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24226"/>
  <mc:AlternateContent xmlns:mc="http://schemas.openxmlformats.org/markup-compatibility/2006">
    <mc:Choice Requires="x15">
      <x15ac:absPath xmlns:x15ac="http://schemas.microsoft.com/office/spreadsheetml/2010/11/ac" url="\\192.168.7.12\Data SIG\Central Station SLC-COLOMBIA\4. Supervisors SLC\11. Lead Supervisors\13. SPLITS MAR to NOV 2025\LUXRIOT\"/>
    </mc:Choice>
  </mc:AlternateContent>
  <xr:revisionPtr revIDLastSave="0" documentId="13_ncr:1_{0A0A2E4D-92B7-454E-B22B-DE39D9103AB5}" xr6:coauthVersionLast="47" xr6:coauthVersionMax="47" xr10:uidLastSave="{00000000-0000-0000-0000-000000000000}"/>
  <workbookProtection workbookAlgorithmName="SHA-512" workbookHashValue="hP4hnmeb27A59PfuYQHR9fV9ae/E5ebLJRnC0hc8oHXwjHFI8Oh7dAS1K4LRCKeaeQHJ4TATWH3nEtL0ouYUHg==" workbookSaltValue="+tfjT5ksF9w2AuaC8ahjxw==" workbookSpinCount="100000" lockStructure="1"/>
  <bookViews>
    <workbookView xWindow="-120" yWindow="-120" windowWidth="29040" windowHeight="15720" xr2:uid="{00000000-000D-0000-FFFF-FFFF00000000}"/>
  </bookViews>
  <sheets>
    <sheet name="Dynamic Split" sheetId="15" r:id="rId1"/>
    <sheet name="Cambio de Split" sheetId="20" state="hidden" r:id="rId2"/>
    <sheet name="Maestra" sheetId="19" state="hidden" r:id="rId3"/>
    <sheet name="Flat Base" sheetId="11" state="hidden" r:id="rId4"/>
    <sheet name="Important Info!" sheetId="21" state="hidden" r:id="rId5"/>
    <sheet name="H.A. Dynamic Split" sheetId="4" state="hidden" r:id="rId6"/>
    <sheet name=" (H.A.) Flat Base" sheetId="12" state="hidden" r:id="rId7"/>
  </sheets>
  <definedNames>
    <definedName name="_xlnm._FilterDatabase" localSheetId="0" hidden="1">'Dynamic Split'!$G$1:$AF$6291</definedName>
    <definedName name="_xlnm._FilterDatabase" localSheetId="3" hidden="1">'Flat Base'!$A$1:$A$559</definedName>
    <definedName name="_xlnm._FilterDatabase" localSheetId="5" hidden="1">'H.A. Dynamic Split'!$A$15:$M$501</definedName>
    <definedName name="_xlnm._FilterDatabase" localSheetId="4" hidden="1">'Important Info!'!$A$1:$G$1</definedName>
    <definedName name="_xlnm.Print_Area" localSheetId="0">'Dynamic Split'!$A$1:$AI$80</definedName>
    <definedName name="_xlnm.Print_Area" localSheetId="5">'H.A. Dynamic Split'!$A$1:$Y$76</definedName>
    <definedName name="SegmentaciónDeDatos_Split">#N/A</definedName>
    <definedName name="SegmentaciónDeDatos_Split1">#N/A</definedName>
    <definedName name="SegmentaciónDeDatos_Split11">#N/A</definedName>
    <definedName name="SegmentaciónDeDatos_Split2">#N/A</definedName>
    <definedName name="SegmentaciónDeDatos_Station">#N/A</definedName>
    <definedName name="SegmentaciónDeDatos_Station1">#N/A</definedName>
    <definedName name="SegmentaciónDeDatos_Station11">#N/A</definedName>
  </definedNames>
  <calcPr calcId="191029"/>
  <pivotCaches>
    <pivotCache cacheId="43" r:id="rId8"/>
    <pivotCache cacheId="53"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1" l="1"/>
  <c r="H4" i="11"/>
  <c r="J32" i="15" s="1"/>
  <c r="H5" i="11"/>
  <c r="J34" i="15" s="1"/>
  <c r="H6" i="11"/>
  <c r="J35" i="15" s="1"/>
  <c r="H7" i="11"/>
  <c r="J36" i="15" s="1"/>
  <c r="H8" i="11"/>
  <c r="J37" i="15" s="1"/>
  <c r="H9" i="11"/>
  <c r="J56" i="15" s="1"/>
  <c r="H10" i="11"/>
  <c r="J38" i="15" s="1"/>
  <c r="H11" i="11"/>
  <c r="J33" i="15" s="1"/>
  <c r="H12" i="11"/>
  <c r="J39" i="15" s="1"/>
  <c r="H13" i="11"/>
  <c r="J51" i="15" s="1"/>
  <c r="H14" i="11"/>
  <c r="J44" i="15" s="1"/>
  <c r="H15" i="11"/>
  <c r="J40" i="15" s="1"/>
  <c r="H16" i="11"/>
  <c r="J54" i="15" s="1"/>
  <c r="H17" i="11"/>
  <c r="J46" i="15" s="1"/>
  <c r="H18" i="11"/>
  <c r="H19" i="11"/>
  <c r="J52" i="15" s="1"/>
  <c r="H20" i="11"/>
  <c r="J50" i="15" s="1"/>
  <c r="H21" i="11"/>
  <c r="J55" i="15" s="1"/>
  <c r="H22" i="11"/>
  <c r="J41" i="15" s="1"/>
  <c r="H23" i="11"/>
  <c r="J53" i="15" s="1"/>
  <c r="H24" i="11"/>
  <c r="J47" i="15" s="1"/>
  <c r="H25" i="11"/>
  <c r="J42" i="15" s="1"/>
  <c r="H26" i="11"/>
  <c r="J43" i="15" s="1"/>
  <c r="H27" i="11"/>
  <c r="J48" i="15" s="1"/>
  <c r="H28" i="11"/>
  <c r="J49" i="15" s="1"/>
  <c r="H29" i="11"/>
  <c r="J76" i="15" s="1"/>
  <c r="H30" i="11"/>
  <c r="J75" i="15" s="1"/>
  <c r="H31" i="11"/>
  <c r="J74" i="15" s="1"/>
  <c r="H32" i="11"/>
  <c r="H33" i="11"/>
  <c r="H34" i="11"/>
  <c r="J71" i="15" s="1"/>
  <c r="H35" i="11"/>
  <c r="H36" i="11"/>
  <c r="J77" i="15" s="1"/>
  <c r="H37" i="11"/>
  <c r="J60" i="15" s="1"/>
  <c r="H38" i="11"/>
  <c r="J73" i="15" s="1"/>
  <c r="H39" i="11"/>
  <c r="H40" i="11"/>
  <c r="H41" i="11"/>
  <c r="J65" i="15" s="1"/>
  <c r="H42" i="11"/>
  <c r="J64" i="15" s="1"/>
  <c r="H43" i="11"/>
  <c r="J58" i="15" s="1"/>
  <c r="H44" i="11"/>
  <c r="J68" i="15" s="1"/>
  <c r="H45" i="11"/>
  <c r="J61" i="15" s="1"/>
  <c r="H46" i="11"/>
  <c r="J69" i="15" s="1"/>
  <c r="H47" i="11"/>
  <c r="J67" i="15" s="1"/>
  <c r="H48" i="11"/>
  <c r="J70" i="15" s="1"/>
  <c r="H49" i="11"/>
  <c r="J66" i="15" s="1"/>
  <c r="H50" i="11"/>
  <c r="J62" i="15" s="1"/>
  <c r="H51" i="11"/>
  <c r="J63" i="15" s="1"/>
  <c r="H52" i="11"/>
  <c r="J59" i="15" s="1"/>
  <c r="H53" i="11"/>
  <c r="H54" i="11"/>
  <c r="H55" i="11"/>
  <c r="H56" i="11"/>
  <c r="J24" i="15" s="1"/>
  <c r="H57" i="11"/>
  <c r="J25" i="15" s="1"/>
  <c r="H58" i="11"/>
  <c r="H59" i="11"/>
  <c r="J45" i="15" s="1"/>
  <c r="H60" i="11"/>
  <c r="J31" i="15" s="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8" i="11"/>
  <c r="H209" i="11"/>
  <c r="H210" i="11"/>
  <c r="H211" i="11"/>
  <c r="H212" i="11"/>
  <c r="H213" i="11"/>
  <c r="H214" i="11"/>
  <c r="H215" i="11"/>
  <c r="H216" i="11"/>
  <c r="H217" i="11"/>
  <c r="H218" i="11"/>
  <c r="H219" i="11"/>
  <c r="H220" i="11"/>
  <c r="H221" i="11"/>
  <c r="H222" i="11"/>
  <c r="H223" i="11"/>
  <c r="H224" i="11"/>
  <c r="H225" i="11"/>
  <c r="H226" i="11"/>
  <c r="H227" i="11"/>
  <c r="H228" i="11"/>
  <c r="H229" i="11"/>
  <c r="H230" i="11"/>
  <c r="H231" i="11"/>
  <c r="H232" i="11"/>
  <c r="H233" i="11"/>
  <c r="H234" i="11"/>
  <c r="H235" i="11"/>
  <c r="H236" i="11"/>
  <c r="H237" i="11"/>
  <c r="H238" i="11"/>
  <c r="H239" i="11"/>
  <c r="H240" i="11"/>
  <c r="H241" i="11"/>
  <c r="H242" i="11"/>
  <c r="H243" i="11"/>
  <c r="H244" i="11"/>
  <c r="H245" i="11"/>
  <c r="H246" i="11"/>
  <c r="H247" i="11"/>
  <c r="H248" i="11"/>
  <c r="H249" i="11"/>
  <c r="H250" i="11"/>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H285" i="11"/>
  <c r="H286" i="11"/>
  <c r="H287" i="11"/>
  <c r="H288" i="11"/>
  <c r="H289" i="11"/>
  <c r="H290" i="11"/>
  <c r="H291" i="11"/>
  <c r="H292" i="11"/>
  <c r="H293" i="11"/>
  <c r="H294" i="11"/>
  <c r="H295" i="11"/>
  <c r="H296" i="11"/>
  <c r="H297" i="11"/>
  <c r="H298" i="11"/>
  <c r="H299" i="11"/>
  <c r="H300" i="11"/>
  <c r="H301" i="11"/>
  <c r="H302" i="11"/>
  <c r="H303" i="11"/>
  <c r="H304" i="11"/>
  <c r="H305" i="11"/>
  <c r="H306" i="11"/>
  <c r="H307" i="11"/>
  <c r="H308" i="11"/>
  <c r="H309" i="11"/>
  <c r="H310"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J57" i="15" s="1"/>
  <c r="H543" i="11"/>
  <c r="H544" i="11"/>
  <c r="H545" i="11"/>
  <c r="H546" i="11"/>
  <c r="H547" i="11"/>
  <c r="H548" i="11"/>
  <c r="H549" i="11"/>
  <c r="H550" i="11"/>
  <c r="H551" i="11"/>
  <c r="H552" i="11"/>
  <c r="H553" i="11"/>
  <c r="H554" i="11"/>
  <c r="H555" i="11"/>
  <c r="H556" i="11"/>
  <c r="H557" i="11"/>
  <c r="H558" i="11"/>
  <c r="H559" i="11"/>
  <c r="H2" i="11"/>
  <c r="J72" i="15" s="1"/>
  <c r="Q9" i="11"/>
  <c r="P9" i="11"/>
  <c r="O9" i="11"/>
  <c r="N9" i="11"/>
  <c r="M9" i="11"/>
  <c r="L9" i="11"/>
  <c r="J9" i="11"/>
  <c r="I9" i="11"/>
  <c r="G9" i="11"/>
  <c r="F9" i="11"/>
  <c r="E9" i="11"/>
  <c r="E551" i="11"/>
  <c r="F551" i="11"/>
  <c r="G551" i="11"/>
  <c r="I551" i="11"/>
  <c r="J551" i="11"/>
  <c r="E552" i="11"/>
  <c r="F552" i="11"/>
  <c r="G552" i="11"/>
  <c r="I552" i="11"/>
  <c r="J552" i="11"/>
  <c r="E553" i="11"/>
  <c r="F553" i="11"/>
  <c r="G553" i="11"/>
  <c r="I553" i="11"/>
  <c r="J553" i="11"/>
  <c r="E554" i="11"/>
  <c r="F554" i="11"/>
  <c r="G554" i="11"/>
  <c r="I554" i="11"/>
  <c r="J554" i="11"/>
  <c r="E555" i="11"/>
  <c r="F555" i="11"/>
  <c r="G555" i="11"/>
  <c r="I555" i="11"/>
  <c r="J555" i="11"/>
  <c r="E556" i="11"/>
  <c r="F556" i="11"/>
  <c r="G556" i="11"/>
  <c r="I556" i="11"/>
  <c r="J556" i="11"/>
  <c r="E557" i="11"/>
  <c r="F557" i="11"/>
  <c r="G557" i="11"/>
  <c r="I557" i="11"/>
  <c r="J557" i="11"/>
  <c r="E558" i="11"/>
  <c r="F558" i="11"/>
  <c r="G558" i="11"/>
  <c r="I558" i="11"/>
  <c r="J558" i="11"/>
  <c r="E559" i="11"/>
  <c r="F559" i="11"/>
  <c r="G559" i="11"/>
  <c r="I559" i="11"/>
  <c r="J559" i="11"/>
  <c r="E542" i="11"/>
  <c r="F542" i="11"/>
  <c r="G542" i="11"/>
  <c r="I542" i="11"/>
  <c r="J542" i="11"/>
  <c r="E543" i="11"/>
  <c r="F543" i="11"/>
  <c r="G543" i="11"/>
  <c r="I543" i="11"/>
  <c r="J543" i="11"/>
  <c r="E544" i="11"/>
  <c r="F544" i="11"/>
  <c r="G544" i="11"/>
  <c r="I544" i="11"/>
  <c r="J544" i="11"/>
  <c r="E545" i="11"/>
  <c r="F545" i="11"/>
  <c r="G545" i="11"/>
  <c r="I545" i="11"/>
  <c r="J545" i="11"/>
  <c r="E546" i="11"/>
  <c r="F546" i="11"/>
  <c r="G546" i="11"/>
  <c r="I546" i="11"/>
  <c r="J546" i="11"/>
  <c r="E547" i="11"/>
  <c r="F547" i="11"/>
  <c r="G547" i="11"/>
  <c r="I547" i="11"/>
  <c r="J547" i="11"/>
  <c r="E548" i="11"/>
  <c r="F548" i="11"/>
  <c r="G548" i="11"/>
  <c r="I548" i="11"/>
  <c r="J548" i="11"/>
  <c r="E549" i="11"/>
  <c r="F549" i="11"/>
  <c r="G549" i="11"/>
  <c r="I549" i="11"/>
  <c r="J549" i="11"/>
  <c r="E550" i="11"/>
  <c r="F550" i="11"/>
  <c r="G550" i="11"/>
  <c r="I550" i="11"/>
  <c r="J550" i="11"/>
  <c r="J483" i="11"/>
  <c r="I483" i="11"/>
  <c r="G483" i="11"/>
  <c r="F483" i="11"/>
  <c r="E483" i="11"/>
  <c r="A483" i="11"/>
  <c r="L483" i="11"/>
  <c r="M483" i="11"/>
  <c r="N483" i="11"/>
  <c r="O483" i="11"/>
  <c r="P483" i="11"/>
  <c r="Q483" i="11"/>
  <c r="J424" i="11"/>
  <c r="I424" i="11"/>
  <c r="G424" i="11"/>
  <c r="F424" i="11"/>
  <c r="E424" i="11"/>
  <c r="A424" i="11"/>
  <c r="L424" i="11"/>
  <c r="M424" i="11"/>
  <c r="N424" i="11"/>
  <c r="O424" i="11"/>
  <c r="P424" i="11"/>
  <c r="Q424" i="11"/>
  <c r="J364" i="11"/>
  <c r="I364" i="11"/>
  <c r="G364" i="11"/>
  <c r="F364" i="11"/>
  <c r="E364" i="11"/>
  <c r="A364" i="11"/>
  <c r="L364" i="11"/>
  <c r="M364" i="11"/>
  <c r="N364" i="11"/>
  <c r="O364" i="11"/>
  <c r="P364" i="11"/>
  <c r="Q364" i="11"/>
  <c r="J304" i="11"/>
  <c r="I304" i="11"/>
  <c r="G304" i="11"/>
  <c r="F304" i="11"/>
  <c r="E304" i="11"/>
  <c r="A304" i="11"/>
  <c r="L304" i="11"/>
  <c r="M304" i="11"/>
  <c r="N304" i="11"/>
  <c r="O304" i="11"/>
  <c r="P304" i="11"/>
  <c r="Q304" i="11"/>
  <c r="J242" i="11"/>
  <c r="I242" i="11"/>
  <c r="G242" i="11"/>
  <c r="F242" i="11"/>
  <c r="E242" i="11"/>
  <c r="A242" i="11"/>
  <c r="L242" i="11"/>
  <c r="M242" i="11"/>
  <c r="N242" i="11"/>
  <c r="O242" i="11"/>
  <c r="P242" i="11"/>
  <c r="Q242" i="11"/>
  <c r="J185" i="11"/>
  <c r="I185" i="11"/>
  <c r="G185" i="11"/>
  <c r="F185" i="11"/>
  <c r="E185" i="11"/>
  <c r="A185" i="11"/>
  <c r="L185" i="11"/>
  <c r="M185" i="11"/>
  <c r="N185" i="11"/>
  <c r="O185" i="11"/>
  <c r="P185" i="11"/>
  <c r="Q185" i="11"/>
  <c r="J123" i="11"/>
  <c r="I123" i="11"/>
  <c r="G123" i="11"/>
  <c r="F123" i="11"/>
  <c r="E123" i="11"/>
  <c r="A123" i="11"/>
  <c r="L123" i="11"/>
  <c r="M123" i="11"/>
  <c r="N123" i="11"/>
  <c r="O123" i="11"/>
  <c r="P123" i="11"/>
  <c r="Q123" i="11"/>
  <c r="J98" i="11"/>
  <c r="I98" i="11"/>
  <c r="G98" i="11"/>
  <c r="F98" i="11"/>
  <c r="E98" i="11"/>
  <c r="A98" i="11"/>
  <c r="L98" i="11"/>
  <c r="M98" i="11"/>
  <c r="N98" i="11"/>
  <c r="O98" i="11"/>
  <c r="P98" i="11"/>
  <c r="Q98" i="11"/>
  <c r="A9" i="11"/>
  <c r="J3" i="11"/>
  <c r="J4" i="11"/>
  <c r="J5" i="11"/>
  <c r="J6" i="11"/>
  <c r="J7" i="11"/>
  <c r="J8"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4" i="11"/>
  <c r="J85" i="11"/>
  <c r="J86" i="11"/>
  <c r="J87" i="11"/>
  <c r="J88" i="11"/>
  <c r="J89" i="11"/>
  <c r="J90" i="11"/>
  <c r="J91" i="11"/>
  <c r="J92" i="11"/>
  <c r="J93" i="11"/>
  <c r="J94" i="11"/>
  <c r="J95" i="11"/>
  <c r="J96" i="11"/>
  <c r="J97" i="11"/>
  <c r="J99" i="11"/>
  <c r="J100" i="11"/>
  <c r="J101" i="11"/>
  <c r="J102" i="11"/>
  <c r="J103" i="11"/>
  <c r="J104" i="11"/>
  <c r="J105" i="11"/>
  <c r="J106" i="11"/>
  <c r="J107" i="11"/>
  <c r="J108" i="11"/>
  <c r="J109" i="11"/>
  <c r="J110" i="11"/>
  <c r="J111" i="11"/>
  <c r="J112" i="11"/>
  <c r="J113" i="11"/>
  <c r="J114" i="11"/>
  <c r="J115" i="11"/>
  <c r="J116" i="11"/>
  <c r="J117" i="11"/>
  <c r="J83" i="11"/>
  <c r="J118" i="11"/>
  <c r="J119" i="11"/>
  <c r="J120" i="11"/>
  <c r="J121" i="11"/>
  <c r="J145" i="11"/>
  <c r="J125" i="11"/>
  <c r="J126" i="11"/>
  <c r="J127" i="11"/>
  <c r="J128" i="11"/>
  <c r="J129" i="11"/>
  <c r="J130" i="11"/>
  <c r="J131" i="11"/>
  <c r="J132" i="11"/>
  <c r="J133" i="11"/>
  <c r="J134" i="11"/>
  <c r="J135" i="11"/>
  <c r="J136" i="11"/>
  <c r="J137" i="11"/>
  <c r="J138" i="11"/>
  <c r="J139" i="11"/>
  <c r="J140" i="11"/>
  <c r="J141" i="11"/>
  <c r="J142" i="11"/>
  <c r="J143" i="11"/>
  <c r="J122" i="11"/>
  <c r="J124"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44" i="11"/>
  <c r="J182" i="11"/>
  <c r="J183" i="11"/>
  <c r="J184"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5" i="11"/>
  <c r="J216" i="11"/>
  <c r="J217" i="11"/>
  <c r="J218" i="11"/>
  <c r="J219" i="11"/>
  <c r="J220" i="11"/>
  <c r="J221" i="11"/>
  <c r="J222" i="11"/>
  <c r="J223" i="11"/>
  <c r="J224" i="11"/>
  <c r="J225" i="11"/>
  <c r="J226" i="11"/>
  <c r="J227" i="11"/>
  <c r="J228" i="11"/>
  <c r="J229" i="11"/>
  <c r="J214" i="11"/>
  <c r="J230" i="11"/>
  <c r="J231" i="11"/>
  <c r="J232" i="11"/>
  <c r="J233" i="11"/>
  <c r="J234" i="11"/>
  <c r="J235" i="11"/>
  <c r="J236" i="11"/>
  <c r="J237" i="11"/>
  <c r="J238" i="11"/>
  <c r="J239" i="11"/>
  <c r="J240" i="11"/>
  <c r="J213" i="11"/>
  <c r="J241" i="11"/>
  <c r="J290" i="11"/>
  <c r="J243" i="11"/>
  <c r="J244" i="11"/>
  <c r="J245" i="11"/>
  <c r="J246" i="11"/>
  <c r="J247" i="11"/>
  <c r="J248" i="11"/>
  <c r="J249" i="11"/>
  <c r="J250" i="11"/>
  <c r="J251" i="11"/>
  <c r="J252" i="11"/>
  <c r="J253" i="11"/>
  <c r="J254" i="11"/>
  <c r="J256" i="11"/>
  <c r="J258" i="11"/>
  <c r="J259" i="11"/>
  <c r="J260" i="11"/>
  <c r="J261" i="11"/>
  <c r="J262" i="11"/>
  <c r="J263" i="11"/>
  <c r="J264" i="11"/>
  <c r="J265" i="11"/>
  <c r="J289" i="11"/>
  <c r="J267" i="11"/>
  <c r="J268" i="11"/>
  <c r="J257" i="11"/>
  <c r="J269" i="11"/>
  <c r="J270" i="11"/>
  <c r="J271" i="11"/>
  <c r="J272" i="11"/>
  <c r="J273" i="11"/>
  <c r="J274" i="11"/>
  <c r="J275" i="11"/>
  <c r="J276" i="11"/>
  <c r="J277" i="11"/>
  <c r="J278" i="11"/>
  <c r="J255" i="11"/>
  <c r="J279" i="11"/>
  <c r="J280" i="11"/>
  <c r="J281" i="11"/>
  <c r="J282" i="11"/>
  <c r="J283" i="11"/>
  <c r="J284" i="11"/>
  <c r="J285" i="11"/>
  <c r="J286" i="11"/>
  <c r="J287" i="11"/>
  <c r="J288" i="11"/>
  <c r="J266" i="11"/>
  <c r="J291" i="11"/>
  <c r="J292" i="11"/>
  <c r="J293" i="11"/>
  <c r="J294" i="11"/>
  <c r="J295" i="11"/>
  <c r="J296" i="11"/>
  <c r="J297" i="11"/>
  <c r="J298" i="11"/>
  <c r="J299" i="11"/>
  <c r="J300" i="11"/>
  <c r="J301" i="11"/>
  <c r="J302" i="11"/>
  <c r="J303" i="11"/>
  <c r="J305" i="11"/>
  <c r="J306" i="11"/>
  <c r="J307" i="11"/>
  <c r="J308" i="11"/>
  <c r="J309" i="11"/>
  <c r="J310" i="11"/>
  <c r="J311" i="11"/>
  <c r="J312" i="11"/>
  <c r="J313" i="11"/>
  <c r="J314" i="11"/>
  <c r="J315" i="11"/>
  <c r="J316" i="11"/>
  <c r="J317" i="11"/>
  <c r="J318" i="11"/>
  <c r="J319" i="11"/>
  <c r="J320" i="11"/>
  <c r="J321" i="11"/>
  <c r="J322" i="11"/>
  <c r="J324" i="11"/>
  <c r="J325" i="11"/>
  <c r="J355" i="11"/>
  <c r="J326" i="11"/>
  <c r="J327" i="11"/>
  <c r="J328" i="11"/>
  <c r="J329" i="11"/>
  <c r="J330" i="11"/>
  <c r="J331" i="11"/>
  <c r="J332" i="11"/>
  <c r="J333" i="11"/>
  <c r="J334" i="11"/>
  <c r="J351" i="11"/>
  <c r="J335" i="11"/>
  <c r="J336" i="11"/>
  <c r="J337" i="11"/>
  <c r="J338" i="11"/>
  <c r="J339" i="11"/>
  <c r="J340" i="11"/>
  <c r="J341" i="11"/>
  <c r="J342" i="11"/>
  <c r="J323" i="11"/>
  <c r="J343" i="11"/>
  <c r="J344" i="11"/>
  <c r="J345" i="11"/>
  <c r="J346" i="11"/>
  <c r="J347" i="11"/>
  <c r="J348" i="11"/>
  <c r="J349" i="11"/>
  <c r="J350" i="11"/>
  <c r="J352" i="11"/>
  <c r="J353" i="11"/>
  <c r="J354" i="11"/>
  <c r="J356" i="11"/>
  <c r="J357" i="11"/>
  <c r="J358" i="11"/>
  <c r="J359" i="11"/>
  <c r="J360" i="11"/>
  <c r="J361" i="11"/>
  <c r="J362" i="11"/>
  <c r="J363" i="11"/>
  <c r="J365" i="11"/>
  <c r="J377" i="11"/>
  <c r="J366" i="11"/>
  <c r="J367" i="11"/>
  <c r="J368" i="11"/>
  <c r="J369" i="11"/>
  <c r="J370" i="11"/>
  <c r="J372" i="11"/>
  <c r="J373" i="11"/>
  <c r="J374" i="11"/>
  <c r="J375" i="11"/>
  <c r="J376" i="11"/>
  <c r="J378" i="11"/>
  <c r="J379" i="11"/>
  <c r="J381" i="11"/>
  <c r="J371" i="11"/>
  <c r="J382" i="11"/>
  <c r="J383" i="11"/>
  <c r="J384" i="11"/>
  <c r="J385" i="11"/>
  <c r="J386" i="11"/>
  <c r="J387" i="11"/>
  <c r="J388" i="11"/>
  <c r="J389" i="11"/>
  <c r="J380" i="11"/>
  <c r="J420" i="11"/>
  <c r="J390" i="11"/>
  <c r="J391" i="11"/>
  <c r="J392" i="11"/>
  <c r="J399" i="11"/>
  <c r="J405" i="11"/>
  <c r="J393" i="11"/>
  <c r="J394" i="11"/>
  <c r="J395" i="11"/>
  <c r="J396" i="11"/>
  <c r="J397" i="11"/>
  <c r="J398" i="11"/>
  <c r="J400" i="11"/>
  <c r="J401" i="11"/>
  <c r="J402" i="11"/>
  <c r="J403" i="11"/>
  <c r="J404" i="11"/>
  <c r="J406" i="11"/>
  <c r="J407" i="11"/>
  <c r="J408" i="11"/>
  <c r="J409" i="11"/>
  <c r="J410" i="11"/>
  <c r="J411" i="11"/>
  <c r="J412" i="11"/>
  <c r="J413" i="11"/>
  <c r="J414" i="11"/>
  <c r="J415" i="11"/>
  <c r="J416" i="11"/>
  <c r="J417" i="11"/>
  <c r="J418" i="11"/>
  <c r="J419" i="11"/>
  <c r="J421" i="11"/>
  <c r="J422" i="11"/>
  <c r="J423" i="11"/>
  <c r="J426" i="11"/>
  <c r="J427" i="11"/>
  <c r="J428" i="11"/>
  <c r="J429" i="11"/>
  <c r="J430" i="11"/>
  <c r="J431" i="11"/>
  <c r="J432" i="11"/>
  <c r="J433" i="11"/>
  <c r="J434" i="11"/>
  <c r="J435" i="11"/>
  <c r="J436" i="11"/>
  <c r="J437" i="11"/>
  <c r="J439" i="11"/>
  <c r="J440" i="11"/>
  <c r="J441" i="11"/>
  <c r="J468" i="11"/>
  <c r="J442" i="11"/>
  <c r="J443" i="11"/>
  <c r="J470" i="11"/>
  <c r="J444" i="11"/>
  <c r="J461" i="11"/>
  <c r="J445" i="11"/>
  <c r="J446" i="11"/>
  <c r="J447" i="11"/>
  <c r="J448" i="11"/>
  <c r="J449" i="11"/>
  <c r="J425" i="11"/>
  <c r="J450" i="11"/>
  <c r="J438" i="11"/>
  <c r="J451" i="11"/>
  <c r="J452" i="11"/>
  <c r="J453" i="11"/>
  <c r="J454" i="11"/>
  <c r="J455" i="11"/>
  <c r="J456" i="11"/>
  <c r="J457" i="11"/>
  <c r="J458" i="11"/>
  <c r="J459" i="11"/>
  <c r="J460" i="11"/>
  <c r="J462" i="11"/>
  <c r="J463" i="11"/>
  <c r="J464" i="11"/>
  <c r="J465" i="11"/>
  <c r="J466" i="11"/>
  <c r="J467" i="11"/>
  <c r="J469" i="11"/>
  <c r="J471" i="11"/>
  <c r="J480" i="11"/>
  <c r="J472" i="11"/>
  <c r="J473" i="11"/>
  <c r="J474" i="11"/>
  <c r="J475" i="11"/>
  <c r="J476" i="11"/>
  <c r="J477" i="11"/>
  <c r="J478" i="11"/>
  <c r="J479" i="11"/>
  <c r="J481" i="11"/>
  <c r="J482" i="11"/>
  <c r="J484" i="11"/>
  <c r="J485" i="11"/>
  <c r="J486" i="11"/>
  <c r="J487" i="11"/>
  <c r="J488" i="11"/>
  <c r="J490" i="11"/>
  <c r="J492" i="11"/>
  <c r="J506" i="11"/>
  <c r="J493" i="11"/>
  <c r="J494" i="11"/>
  <c r="J495" i="11"/>
  <c r="J496" i="11"/>
  <c r="J497" i="11"/>
  <c r="J508" i="11"/>
  <c r="J498" i="11"/>
  <c r="J499" i="11"/>
  <c r="J500" i="11"/>
  <c r="J529" i="11"/>
  <c r="J501" i="11"/>
  <c r="J532" i="11"/>
  <c r="J502" i="11"/>
  <c r="J489" i="11"/>
  <c r="J503" i="11"/>
  <c r="J491" i="11"/>
  <c r="J504" i="11"/>
  <c r="J505" i="11"/>
  <c r="J507" i="11"/>
  <c r="J540" i="11"/>
  <c r="J534" i="11"/>
  <c r="J509" i="11"/>
  <c r="J510" i="11"/>
  <c r="J511" i="11"/>
  <c r="J512" i="11"/>
  <c r="J513" i="11"/>
  <c r="J514" i="11"/>
  <c r="J515" i="11"/>
  <c r="J516" i="11"/>
  <c r="J517" i="11"/>
  <c r="J518" i="11"/>
  <c r="J519" i="11"/>
  <c r="J520" i="11"/>
  <c r="J521" i="11"/>
  <c r="J522" i="11"/>
  <c r="J523" i="11"/>
  <c r="J524" i="11"/>
  <c r="J525" i="11"/>
  <c r="J526" i="11"/>
  <c r="J527" i="11"/>
  <c r="J528" i="11"/>
  <c r="J530" i="11"/>
  <c r="J531" i="11"/>
  <c r="J533" i="11"/>
  <c r="J535" i="11"/>
  <c r="J536" i="11"/>
  <c r="J537" i="11"/>
  <c r="J538" i="11"/>
  <c r="J539" i="11"/>
  <c r="J541" i="11"/>
  <c r="J2" i="11"/>
  <c r="I6" i="11"/>
  <c r="I7" i="11"/>
  <c r="I8"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4" i="11"/>
  <c r="I85" i="11"/>
  <c r="I86" i="11"/>
  <c r="I87" i="11"/>
  <c r="I88" i="11"/>
  <c r="I89" i="11"/>
  <c r="I90" i="11"/>
  <c r="I91" i="11"/>
  <c r="I92" i="11"/>
  <c r="I93" i="11"/>
  <c r="I94" i="11"/>
  <c r="I95" i="11"/>
  <c r="I96" i="11"/>
  <c r="I97" i="11"/>
  <c r="I99" i="11"/>
  <c r="I100" i="11"/>
  <c r="I101" i="11"/>
  <c r="I102" i="11"/>
  <c r="I103" i="11"/>
  <c r="I104" i="11"/>
  <c r="I105" i="11"/>
  <c r="I106" i="11"/>
  <c r="I107" i="11"/>
  <c r="I108" i="11"/>
  <c r="I109" i="11"/>
  <c r="I110" i="11"/>
  <c r="I111" i="11"/>
  <c r="I112" i="11"/>
  <c r="I113" i="11"/>
  <c r="I114" i="11"/>
  <c r="I115" i="11"/>
  <c r="I116" i="11"/>
  <c r="I117" i="11"/>
  <c r="I83" i="11"/>
  <c r="I118" i="11"/>
  <c r="I119" i="11"/>
  <c r="I120" i="11"/>
  <c r="I121" i="11"/>
  <c r="I145" i="11"/>
  <c r="I125" i="11"/>
  <c r="I126" i="11"/>
  <c r="I127" i="11"/>
  <c r="I128" i="11"/>
  <c r="I129" i="11"/>
  <c r="I130" i="11"/>
  <c r="I131" i="11"/>
  <c r="I132" i="11"/>
  <c r="I133" i="11"/>
  <c r="I134" i="11"/>
  <c r="I135" i="11"/>
  <c r="I136" i="11"/>
  <c r="I137" i="11"/>
  <c r="I138" i="11"/>
  <c r="I139" i="11"/>
  <c r="I140" i="11"/>
  <c r="I141" i="11"/>
  <c r="I142" i="11"/>
  <c r="I143" i="11"/>
  <c r="I122" i="11"/>
  <c r="I124"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44" i="11"/>
  <c r="I182" i="11"/>
  <c r="I183" i="11"/>
  <c r="I184"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5" i="11"/>
  <c r="I216" i="11"/>
  <c r="I217" i="11"/>
  <c r="I218" i="11"/>
  <c r="I219" i="11"/>
  <c r="I220" i="11"/>
  <c r="I221" i="11"/>
  <c r="I222" i="11"/>
  <c r="I223" i="11"/>
  <c r="I224" i="11"/>
  <c r="I225" i="11"/>
  <c r="I226" i="11"/>
  <c r="I227" i="11"/>
  <c r="I228" i="11"/>
  <c r="I229" i="11"/>
  <c r="I214" i="11"/>
  <c r="I230" i="11"/>
  <c r="I231" i="11"/>
  <c r="I232" i="11"/>
  <c r="I233" i="11"/>
  <c r="I234" i="11"/>
  <c r="I235" i="11"/>
  <c r="I236" i="11"/>
  <c r="I237" i="11"/>
  <c r="I238" i="11"/>
  <c r="I239" i="11"/>
  <c r="I240" i="11"/>
  <c r="I213" i="11"/>
  <c r="I241" i="11"/>
  <c r="I290" i="11"/>
  <c r="I243" i="11"/>
  <c r="I244" i="11"/>
  <c r="I245" i="11"/>
  <c r="I246" i="11"/>
  <c r="I247" i="11"/>
  <c r="I248" i="11"/>
  <c r="I249" i="11"/>
  <c r="I250" i="11"/>
  <c r="I251" i="11"/>
  <c r="I252" i="11"/>
  <c r="I253" i="11"/>
  <c r="I254" i="11"/>
  <c r="I256" i="11"/>
  <c r="I258" i="11"/>
  <c r="I259" i="11"/>
  <c r="I260" i="11"/>
  <c r="I261" i="11"/>
  <c r="I262" i="11"/>
  <c r="I263" i="11"/>
  <c r="I264" i="11"/>
  <c r="I265" i="11"/>
  <c r="I289" i="11"/>
  <c r="I267" i="11"/>
  <c r="I268" i="11"/>
  <c r="I257" i="11"/>
  <c r="I269" i="11"/>
  <c r="I270" i="11"/>
  <c r="I271" i="11"/>
  <c r="I272" i="11"/>
  <c r="I273" i="11"/>
  <c r="I274" i="11"/>
  <c r="I275" i="11"/>
  <c r="I276" i="11"/>
  <c r="I277" i="11"/>
  <c r="I278" i="11"/>
  <c r="I255" i="11"/>
  <c r="I279" i="11"/>
  <c r="I280" i="11"/>
  <c r="I281" i="11"/>
  <c r="I282" i="11"/>
  <c r="I283" i="11"/>
  <c r="I284" i="11"/>
  <c r="I285" i="11"/>
  <c r="I286" i="11"/>
  <c r="I287" i="11"/>
  <c r="I288" i="11"/>
  <c r="I266" i="11"/>
  <c r="I291" i="11"/>
  <c r="I292" i="11"/>
  <c r="I293" i="11"/>
  <c r="I294" i="11"/>
  <c r="I295" i="11"/>
  <c r="I296" i="11"/>
  <c r="I297" i="11"/>
  <c r="I298" i="11"/>
  <c r="I299" i="11"/>
  <c r="I300" i="11"/>
  <c r="I301" i="11"/>
  <c r="I302" i="11"/>
  <c r="I303" i="11"/>
  <c r="I305" i="11"/>
  <c r="I306" i="11"/>
  <c r="I307" i="11"/>
  <c r="I308" i="11"/>
  <c r="I309" i="11"/>
  <c r="I310" i="11"/>
  <c r="I311" i="11"/>
  <c r="I312" i="11"/>
  <c r="I313" i="11"/>
  <c r="I314" i="11"/>
  <c r="I315" i="11"/>
  <c r="I316" i="11"/>
  <c r="I317" i="11"/>
  <c r="I318" i="11"/>
  <c r="I319" i="11"/>
  <c r="I320" i="11"/>
  <c r="I321" i="11"/>
  <c r="I322" i="11"/>
  <c r="I324" i="11"/>
  <c r="I325" i="11"/>
  <c r="I355" i="11"/>
  <c r="I326" i="11"/>
  <c r="I327" i="11"/>
  <c r="I328" i="11"/>
  <c r="I329" i="11"/>
  <c r="I330" i="11"/>
  <c r="I331" i="11"/>
  <c r="I332" i="11"/>
  <c r="I333" i="11"/>
  <c r="I334" i="11"/>
  <c r="I351" i="11"/>
  <c r="I335" i="11"/>
  <c r="I336" i="11"/>
  <c r="I337" i="11"/>
  <c r="I338" i="11"/>
  <c r="I339" i="11"/>
  <c r="I340" i="11"/>
  <c r="I341" i="11"/>
  <c r="I342" i="11"/>
  <c r="I323" i="11"/>
  <c r="I343" i="11"/>
  <c r="I344" i="11"/>
  <c r="I345" i="11"/>
  <c r="I346" i="11"/>
  <c r="I347" i="11"/>
  <c r="I348" i="11"/>
  <c r="I349" i="11"/>
  <c r="I350" i="11"/>
  <c r="I352" i="11"/>
  <c r="I353" i="11"/>
  <c r="I354" i="11"/>
  <c r="I356" i="11"/>
  <c r="I357" i="11"/>
  <c r="I358" i="11"/>
  <c r="I359" i="11"/>
  <c r="I360" i="11"/>
  <c r="I361" i="11"/>
  <c r="I362" i="11"/>
  <c r="I363" i="11"/>
  <c r="I365" i="11"/>
  <c r="I377" i="11"/>
  <c r="I366" i="11"/>
  <c r="I367" i="11"/>
  <c r="I368" i="11"/>
  <c r="I369" i="11"/>
  <c r="I370" i="11"/>
  <c r="I372" i="11"/>
  <c r="I373" i="11"/>
  <c r="I374" i="11"/>
  <c r="I375" i="11"/>
  <c r="I376" i="11"/>
  <c r="I378" i="11"/>
  <c r="I379" i="11"/>
  <c r="I381" i="11"/>
  <c r="I371" i="11"/>
  <c r="I382" i="11"/>
  <c r="I383" i="11"/>
  <c r="I384" i="11"/>
  <c r="I385" i="11"/>
  <c r="I386" i="11"/>
  <c r="I387" i="11"/>
  <c r="I388" i="11"/>
  <c r="I389" i="11"/>
  <c r="I380" i="11"/>
  <c r="I420" i="11"/>
  <c r="I390" i="11"/>
  <c r="I391" i="11"/>
  <c r="I392" i="11"/>
  <c r="I399" i="11"/>
  <c r="I405" i="11"/>
  <c r="I393" i="11"/>
  <c r="I394" i="11"/>
  <c r="I395" i="11"/>
  <c r="I396" i="11"/>
  <c r="I397" i="11"/>
  <c r="I398" i="11"/>
  <c r="I400" i="11"/>
  <c r="I401" i="11"/>
  <c r="I402" i="11"/>
  <c r="I403" i="11"/>
  <c r="I404" i="11"/>
  <c r="I406" i="11"/>
  <c r="I407" i="11"/>
  <c r="I408" i="11"/>
  <c r="I409" i="11"/>
  <c r="I410" i="11"/>
  <c r="I411" i="11"/>
  <c r="I412" i="11"/>
  <c r="I413" i="11"/>
  <c r="I414" i="11"/>
  <c r="I415" i="11"/>
  <c r="I416" i="11"/>
  <c r="I417" i="11"/>
  <c r="I418" i="11"/>
  <c r="I419" i="11"/>
  <c r="I421" i="11"/>
  <c r="I422" i="11"/>
  <c r="I423" i="11"/>
  <c r="I426" i="11"/>
  <c r="I427" i="11"/>
  <c r="I428" i="11"/>
  <c r="I429" i="11"/>
  <c r="I430" i="11"/>
  <c r="I431" i="11"/>
  <c r="I432" i="11"/>
  <c r="I433" i="11"/>
  <c r="I434" i="11"/>
  <c r="I435" i="11"/>
  <c r="I436" i="11"/>
  <c r="I437" i="11"/>
  <c r="I439" i="11"/>
  <c r="I440" i="11"/>
  <c r="I441" i="11"/>
  <c r="I468" i="11"/>
  <c r="I442" i="11"/>
  <c r="I443" i="11"/>
  <c r="I470" i="11"/>
  <c r="I444" i="11"/>
  <c r="I461" i="11"/>
  <c r="I445" i="11"/>
  <c r="I446" i="11"/>
  <c r="I447" i="11"/>
  <c r="I448" i="11"/>
  <c r="I449" i="11"/>
  <c r="I425" i="11"/>
  <c r="I450" i="11"/>
  <c r="I438" i="11"/>
  <c r="I451" i="11"/>
  <c r="I452" i="11"/>
  <c r="I453" i="11"/>
  <c r="I454" i="11"/>
  <c r="I455" i="11"/>
  <c r="I456" i="11"/>
  <c r="I457" i="11"/>
  <c r="I458" i="11"/>
  <c r="I459" i="11"/>
  <c r="I460" i="11"/>
  <c r="I462" i="11"/>
  <c r="I463" i="11"/>
  <c r="I464" i="11"/>
  <c r="I465" i="11"/>
  <c r="I466" i="11"/>
  <c r="I467" i="11"/>
  <c r="I469" i="11"/>
  <c r="I471" i="11"/>
  <c r="I480" i="11"/>
  <c r="I472" i="11"/>
  <c r="I473" i="11"/>
  <c r="I474" i="11"/>
  <c r="I475" i="11"/>
  <c r="I476" i="11"/>
  <c r="I477" i="11"/>
  <c r="I478" i="11"/>
  <c r="I479" i="11"/>
  <c r="I481" i="11"/>
  <c r="I482" i="11"/>
  <c r="I484" i="11"/>
  <c r="I485" i="11"/>
  <c r="I486" i="11"/>
  <c r="I487" i="11"/>
  <c r="I488" i="11"/>
  <c r="I490" i="11"/>
  <c r="I492" i="11"/>
  <c r="I506" i="11"/>
  <c r="I493" i="11"/>
  <c r="I494" i="11"/>
  <c r="I495" i="11"/>
  <c r="I496" i="11"/>
  <c r="I497" i="11"/>
  <c r="I508" i="11"/>
  <c r="I498" i="11"/>
  <c r="I499" i="11"/>
  <c r="I500" i="11"/>
  <c r="I529" i="11"/>
  <c r="I501" i="11"/>
  <c r="I532" i="11"/>
  <c r="I502" i="11"/>
  <c r="I489" i="11"/>
  <c r="I503" i="11"/>
  <c r="I491" i="11"/>
  <c r="I504" i="11"/>
  <c r="I505" i="11"/>
  <c r="I507" i="11"/>
  <c r="I540" i="11"/>
  <c r="I534" i="11"/>
  <c r="I509" i="11"/>
  <c r="I510" i="11"/>
  <c r="I511" i="11"/>
  <c r="I512" i="11"/>
  <c r="I513" i="11"/>
  <c r="I514" i="11"/>
  <c r="I515" i="11"/>
  <c r="I516" i="11"/>
  <c r="I517" i="11"/>
  <c r="I518" i="11"/>
  <c r="I519" i="11"/>
  <c r="I520" i="11"/>
  <c r="I521" i="11"/>
  <c r="I522" i="11"/>
  <c r="I523" i="11"/>
  <c r="I524" i="11"/>
  <c r="I525" i="11"/>
  <c r="I526" i="11"/>
  <c r="I527" i="11"/>
  <c r="I528" i="11"/>
  <c r="I530" i="11"/>
  <c r="I531" i="11"/>
  <c r="I533" i="11"/>
  <c r="I535" i="11"/>
  <c r="I536" i="11"/>
  <c r="I537" i="11"/>
  <c r="I538" i="11"/>
  <c r="I539" i="11"/>
  <c r="I541" i="11"/>
  <c r="I4" i="11"/>
  <c r="I5" i="11"/>
  <c r="I3" i="11"/>
  <c r="I2" i="11"/>
  <c r="G3" i="11"/>
  <c r="G4" i="11"/>
  <c r="G5" i="11"/>
  <c r="G6" i="11"/>
  <c r="G7" i="11"/>
  <c r="G8"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4" i="11"/>
  <c r="G85" i="11"/>
  <c r="G86" i="11"/>
  <c r="G87" i="11"/>
  <c r="G88" i="11"/>
  <c r="G89" i="11"/>
  <c r="G90" i="11"/>
  <c r="G91" i="11"/>
  <c r="G92" i="11"/>
  <c r="G93" i="11"/>
  <c r="G94" i="11"/>
  <c r="G95" i="11"/>
  <c r="G96" i="11"/>
  <c r="G97" i="11"/>
  <c r="G99" i="11"/>
  <c r="G100" i="11"/>
  <c r="G101" i="11"/>
  <c r="G102" i="11"/>
  <c r="G103" i="11"/>
  <c r="G104" i="11"/>
  <c r="G105" i="11"/>
  <c r="G106" i="11"/>
  <c r="G107" i="11"/>
  <c r="G108" i="11"/>
  <c r="G109" i="11"/>
  <c r="G110" i="11"/>
  <c r="G111" i="11"/>
  <c r="G112" i="11"/>
  <c r="G113" i="11"/>
  <c r="G114" i="11"/>
  <c r="G115" i="11"/>
  <c r="G116" i="11"/>
  <c r="G117" i="11"/>
  <c r="G83" i="11"/>
  <c r="G118" i="11"/>
  <c r="G119" i="11"/>
  <c r="G120" i="11"/>
  <c r="G121" i="11"/>
  <c r="G145" i="11"/>
  <c r="G125" i="11"/>
  <c r="G126" i="11"/>
  <c r="G127" i="11"/>
  <c r="G128" i="11"/>
  <c r="G129" i="11"/>
  <c r="G130" i="11"/>
  <c r="G131" i="11"/>
  <c r="G132" i="11"/>
  <c r="G133" i="11"/>
  <c r="G134" i="11"/>
  <c r="G135" i="11"/>
  <c r="G136" i="11"/>
  <c r="G137" i="11"/>
  <c r="G138" i="11"/>
  <c r="G139" i="11"/>
  <c r="G140" i="11"/>
  <c r="G141" i="11"/>
  <c r="G142" i="11"/>
  <c r="G143" i="11"/>
  <c r="G122" i="11"/>
  <c r="G124"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44" i="11"/>
  <c r="G182" i="11"/>
  <c r="G183" i="11"/>
  <c r="G184"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5" i="11"/>
  <c r="G216" i="11"/>
  <c r="G217" i="11"/>
  <c r="G218" i="11"/>
  <c r="G219" i="11"/>
  <c r="G220" i="11"/>
  <c r="G221" i="11"/>
  <c r="G222" i="11"/>
  <c r="G223" i="11"/>
  <c r="G224" i="11"/>
  <c r="G225" i="11"/>
  <c r="G226" i="11"/>
  <c r="G227" i="11"/>
  <c r="G228" i="11"/>
  <c r="G229" i="11"/>
  <c r="G214" i="11"/>
  <c r="G230" i="11"/>
  <c r="G231" i="11"/>
  <c r="G232" i="11"/>
  <c r="G233" i="11"/>
  <c r="G234" i="11"/>
  <c r="G235" i="11"/>
  <c r="G236" i="11"/>
  <c r="G237" i="11"/>
  <c r="G238" i="11"/>
  <c r="G239" i="11"/>
  <c r="G240" i="11"/>
  <c r="G213" i="11"/>
  <c r="G241" i="11"/>
  <c r="G290" i="11"/>
  <c r="G243" i="11"/>
  <c r="G244" i="11"/>
  <c r="G245" i="11"/>
  <c r="G246" i="11"/>
  <c r="G247" i="11"/>
  <c r="G248" i="11"/>
  <c r="G249" i="11"/>
  <c r="G250" i="11"/>
  <c r="G251" i="11"/>
  <c r="G252" i="11"/>
  <c r="G253" i="11"/>
  <c r="G254" i="11"/>
  <c r="G256" i="11"/>
  <c r="G258" i="11"/>
  <c r="G259" i="11"/>
  <c r="G260" i="11"/>
  <c r="G261" i="11"/>
  <c r="G262" i="11"/>
  <c r="G263" i="11"/>
  <c r="G264" i="11"/>
  <c r="G265" i="11"/>
  <c r="G289" i="11"/>
  <c r="G267" i="11"/>
  <c r="G268" i="11"/>
  <c r="G257" i="11"/>
  <c r="G269" i="11"/>
  <c r="G270" i="11"/>
  <c r="G271" i="11"/>
  <c r="G272" i="11"/>
  <c r="G273" i="11"/>
  <c r="G274" i="11"/>
  <c r="G275" i="11"/>
  <c r="G276" i="11"/>
  <c r="G277" i="11"/>
  <c r="G278" i="11"/>
  <c r="G255" i="11"/>
  <c r="G279" i="11"/>
  <c r="G280" i="11"/>
  <c r="G281" i="11"/>
  <c r="G282" i="11"/>
  <c r="G283" i="11"/>
  <c r="G284" i="11"/>
  <c r="G285" i="11"/>
  <c r="G286" i="11"/>
  <c r="G287" i="11"/>
  <c r="G288" i="11"/>
  <c r="G266" i="11"/>
  <c r="G291" i="11"/>
  <c r="G292" i="11"/>
  <c r="G293" i="11"/>
  <c r="G294" i="11"/>
  <c r="G295" i="11"/>
  <c r="G296" i="11"/>
  <c r="G297" i="11"/>
  <c r="G298" i="11"/>
  <c r="G299" i="11"/>
  <c r="G300" i="11"/>
  <c r="G301" i="11"/>
  <c r="G302" i="11"/>
  <c r="G303" i="11"/>
  <c r="G305" i="11"/>
  <c r="G306" i="11"/>
  <c r="G307" i="11"/>
  <c r="G308" i="11"/>
  <c r="G309" i="11"/>
  <c r="G310" i="11"/>
  <c r="G311" i="11"/>
  <c r="G312" i="11"/>
  <c r="G313" i="11"/>
  <c r="G314" i="11"/>
  <c r="G315" i="11"/>
  <c r="G316" i="11"/>
  <c r="G317" i="11"/>
  <c r="G318" i="11"/>
  <c r="G319" i="11"/>
  <c r="G320" i="11"/>
  <c r="G321" i="11"/>
  <c r="G322" i="11"/>
  <c r="G324" i="11"/>
  <c r="G325" i="11"/>
  <c r="G355" i="11"/>
  <c r="G326" i="11"/>
  <c r="G327" i="11"/>
  <c r="G328" i="11"/>
  <c r="G329" i="11"/>
  <c r="G330" i="11"/>
  <c r="G331" i="11"/>
  <c r="G332" i="11"/>
  <c r="G333" i="11"/>
  <c r="G334" i="11"/>
  <c r="G351" i="11"/>
  <c r="G335" i="11"/>
  <c r="G336" i="11"/>
  <c r="G337" i="11"/>
  <c r="G338" i="11"/>
  <c r="G339" i="11"/>
  <c r="G340" i="11"/>
  <c r="G341" i="11"/>
  <c r="G342" i="11"/>
  <c r="G323" i="11"/>
  <c r="G343" i="11"/>
  <c r="G344" i="11"/>
  <c r="G345" i="11"/>
  <c r="G346" i="11"/>
  <c r="G347" i="11"/>
  <c r="G348" i="11"/>
  <c r="G349" i="11"/>
  <c r="G350" i="11"/>
  <c r="G352" i="11"/>
  <c r="G353" i="11"/>
  <c r="G354" i="11"/>
  <c r="G356" i="11"/>
  <c r="G357" i="11"/>
  <c r="G358" i="11"/>
  <c r="G359" i="11"/>
  <c r="G360" i="11"/>
  <c r="G361" i="11"/>
  <c r="G362" i="11"/>
  <c r="G363" i="11"/>
  <c r="G365" i="11"/>
  <c r="G377" i="11"/>
  <c r="G366" i="11"/>
  <c r="G367" i="11"/>
  <c r="G368" i="11"/>
  <c r="G369" i="11"/>
  <c r="G370" i="11"/>
  <c r="G372" i="11"/>
  <c r="G373" i="11"/>
  <c r="G374" i="11"/>
  <c r="G375" i="11"/>
  <c r="G376" i="11"/>
  <c r="G378" i="11"/>
  <c r="G379" i="11"/>
  <c r="G381" i="11"/>
  <c r="G371" i="11"/>
  <c r="G382" i="11"/>
  <c r="G383" i="11"/>
  <c r="G384" i="11"/>
  <c r="G385" i="11"/>
  <c r="G386" i="11"/>
  <c r="G387" i="11"/>
  <c r="G388" i="11"/>
  <c r="G389" i="11"/>
  <c r="G380" i="11"/>
  <c r="G420" i="11"/>
  <c r="G390" i="11"/>
  <c r="G391" i="11"/>
  <c r="G392" i="11"/>
  <c r="G399" i="11"/>
  <c r="G405" i="11"/>
  <c r="G393" i="11"/>
  <c r="G394" i="11"/>
  <c r="G395" i="11"/>
  <c r="G396" i="11"/>
  <c r="G397" i="11"/>
  <c r="G398" i="11"/>
  <c r="G400" i="11"/>
  <c r="G401" i="11"/>
  <c r="G402" i="11"/>
  <c r="G403" i="11"/>
  <c r="G404" i="11"/>
  <c r="G406" i="11"/>
  <c r="G407" i="11"/>
  <c r="G408" i="11"/>
  <c r="G409" i="11"/>
  <c r="G410" i="11"/>
  <c r="G411" i="11"/>
  <c r="G412" i="11"/>
  <c r="G413" i="11"/>
  <c r="G414" i="11"/>
  <c r="G415" i="11"/>
  <c r="G416" i="11"/>
  <c r="G417" i="11"/>
  <c r="G418" i="11"/>
  <c r="G419" i="11"/>
  <c r="G421" i="11"/>
  <c r="G422" i="11"/>
  <c r="G423" i="11"/>
  <c r="G426" i="11"/>
  <c r="G427" i="11"/>
  <c r="G428" i="11"/>
  <c r="G429" i="11"/>
  <c r="G430" i="11"/>
  <c r="G431" i="11"/>
  <c r="G432" i="11"/>
  <c r="G433" i="11"/>
  <c r="G434" i="11"/>
  <c r="G435" i="11"/>
  <c r="G436" i="11"/>
  <c r="G437" i="11"/>
  <c r="G439" i="11"/>
  <c r="G440" i="11"/>
  <c r="G441" i="11"/>
  <c r="G468" i="11"/>
  <c r="G442" i="11"/>
  <c r="G443" i="11"/>
  <c r="G470" i="11"/>
  <c r="G444" i="11"/>
  <c r="G461" i="11"/>
  <c r="G445" i="11"/>
  <c r="G446" i="11"/>
  <c r="G447" i="11"/>
  <c r="G448" i="11"/>
  <c r="G449" i="11"/>
  <c r="G425" i="11"/>
  <c r="G450" i="11"/>
  <c r="G438" i="11"/>
  <c r="G451" i="11"/>
  <c r="G452" i="11"/>
  <c r="G453" i="11"/>
  <c r="G454" i="11"/>
  <c r="G455" i="11"/>
  <c r="G456" i="11"/>
  <c r="G457" i="11"/>
  <c r="G458" i="11"/>
  <c r="G459" i="11"/>
  <c r="G460" i="11"/>
  <c r="G462" i="11"/>
  <c r="G463" i="11"/>
  <c r="G464" i="11"/>
  <c r="G465" i="11"/>
  <c r="G466" i="11"/>
  <c r="G467" i="11"/>
  <c r="G469" i="11"/>
  <c r="G471" i="11"/>
  <c r="G480" i="11"/>
  <c r="G472" i="11"/>
  <c r="G473" i="11"/>
  <c r="G474" i="11"/>
  <c r="G475" i="11"/>
  <c r="G476" i="11"/>
  <c r="G477" i="11"/>
  <c r="G478" i="11"/>
  <c r="G479" i="11"/>
  <c r="G481" i="11"/>
  <c r="G482" i="11"/>
  <c r="G484" i="11"/>
  <c r="G485" i="11"/>
  <c r="G486" i="11"/>
  <c r="G487" i="11"/>
  <c r="G488" i="11"/>
  <c r="G490" i="11"/>
  <c r="G492" i="11"/>
  <c r="G506" i="11"/>
  <c r="G493" i="11"/>
  <c r="G494" i="11"/>
  <c r="G495" i="11"/>
  <c r="G496" i="11"/>
  <c r="G497" i="11"/>
  <c r="G508" i="11"/>
  <c r="G498" i="11"/>
  <c r="G499" i="11"/>
  <c r="G500" i="11"/>
  <c r="G529" i="11"/>
  <c r="G501" i="11"/>
  <c r="G532" i="11"/>
  <c r="G502" i="11"/>
  <c r="G489" i="11"/>
  <c r="G503" i="11"/>
  <c r="G491" i="11"/>
  <c r="G504" i="11"/>
  <c r="G505" i="11"/>
  <c r="G507" i="11"/>
  <c r="G540" i="11"/>
  <c r="G534" i="11"/>
  <c r="G509" i="11"/>
  <c r="G510" i="11"/>
  <c r="G511" i="11"/>
  <c r="G512" i="11"/>
  <c r="G513" i="11"/>
  <c r="G514" i="11"/>
  <c r="G515" i="11"/>
  <c r="G516" i="11"/>
  <c r="G517" i="11"/>
  <c r="G518" i="11"/>
  <c r="G519" i="11"/>
  <c r="G520" i="11"/>
  <c r="G521" i="11"/>
  <c r="G522" i="11"/>
  <c r="G523" i="11"/>
  <c r="G524" i="11"/>
  <c r="G525" i="11"/>
  <c r="G526" i="11"/>
  <c r="G527" i="11"/>
  <c r="G528" i="11"/>
  <c r="G530" i="11"/>
  <c r="G531" i="11"/>
  <c r="G533" i="11"/>
  <c r="G535" i="11"/>
  <c r="G536" i="11"/>
  <c r="G537" i="11"/>
  <c r="G538" i="11"/>
  <c r="G539" i="11"/>
  <c r="G541" i="11"/>
  <c r="G2" i="11"/>
  <c r="F3" i="11"/>
  <c r="F4" i="11"/>
  <c r="F5" i="11"/>
  <c r="F6" i="11"/>
  <c r="F7" i="11"/>
  <c r="F8"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4" i="11"/>
  <c r="F85" i="11"/>
  <c r="F86" i="11"/>
  <c r="F87" i="11"/>
  <c r="F88" i="11"/>
  <c r="F89" i="11"/>
  <c r="F90" i="11"/>
  <c r="F91" i="11"/>
  <c r="F92" i="11"/>
  <c r="F93" i="11"/>
  <c r="F94" i="11"/>
  <c r="F95" i="11"/>
  <c r="F96" i="11"/>
  <c r="F97" i="11"/>
  <c r="F99" i="11"/>
  <c r="F100" i="11"/>
  <c r="F101" i="11"/>
  <c r="F102" i="11"/>
  <c r="F103" i="11"/>
  <c r="F104" i="11"/>
  <c r="F105" i="11"/>
  <c r="F106" i="11"/>
  <c r="F107" i="11"/>
  <c r="F108" i="11"/>
  <c r="F109" i="11"/>
  <c r="F110" i="11"/>
  <c r="F111" i="11"/>
  <c r="F112" i="11"/>
  <c r="F113" i="11"/>
  <c r="F114" i="11"/>
  <c r="F115" i="11"/>
  <c r="F116" i="11"/>
  <c r="F117" i="11"/>
  <c r="F83" i="11"/>
  <c r="F118" i="11"/>
  <c r="F119" i="11"/>
  <c r="F120" i="11"/>
  <c r="F121" i="11"/>
  <c r="F145" i="11"/>
  <c r="F125" i="11"/>
  <c r="F126" i="11"/>
  <c r="F127" i="11"/>
  <c r="F128" i="11"/>
  <c r="F129" i="11"/>
  <c r="F130" i="11"/>
  <c r="F131" i="11"/>
  <c r="F132" i="11"/>
  <c r="F133" i="11"/>
  <c r="F134" i="11"/>
  <c r="F135" i="11"/>
  <c r="F136" i="11"/>
  <c r="F137" i="11"/>
  <c r="F138" i="11"/>
  <c r="F139" i="11"/>
  <c r="F140" i="11"/>
  <c r="F141" i="11"/>
  <c r="F142" i="11"/>
  <c r="F143" i="11"/>
  <c r="F122" i="11"/>
  <c r="F124"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44" i="11"/>
  <c r="F182" i="11"/>
  <c r="F183" i="11"/>
  <c r="F184"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5" i="11"/>
  <c r="F216" i="11"/>
  <c r="F217" i="11"/>
  <c r="F218" i="11"/>
  <c r="F219" i="11"/>
  <c r="F220" i="11"/>
  <c r="F221" i="11"/>
  <c r="F222" i="11"/>
  <c r="F223" i="11"/>
  <c r="F224" i="11"/>
  <c r="F225" i="11"/>
  <c r="F226" i="11"/>
  <c r="F227" i="11"/>
  <c r="F228" i="11"/>
  <c r="F229" i="11"/>
  <c r="F214" i="11"/>
  <c r="F230" i="11"/>
  <c r="F231" i="11"/>
  <c r="F232" i="11"/>
  <c r="F233" i="11"/>
  <c r="F234" i="11"/>
  <c r="F235" i="11"/>
  <c r="F236" i="11"/>
  <c r="F237" i="11"/>
  <c r="F238" i="11"/>
  <c r="F239" i="11"/>
  <c r="F240" i="11"/>
  <c r="F213" i="11"/>
  <c r="F241" i="11"/>
  <c r="F290" i="11"/>
  <c r="F243" i="11"/>
  <c r="F244" i="11"/>
  <c r="F245" i="11"/>
  <c r="F246" i="11"/>
  <c r="F247" i="11"/>
  <c r="F248" i="11"/>
  <c r="F249" i="11"/>
  <c r="F250" i="11"/>
  <c r="F251" i="11"/>
  <c r="F252" i="11"/>
  <c r="F253" i="11"/>
  <c r="F254" i="11"/>
  <c r="F256" i="11"/>
  <c r="F258" i="11"/>
  <c r="F259" i="11"/>
  <c r="F260" i="11"/>
  <c r="F261" i="11"/>
  <c r="F262" i="11"/>
  <c r="F263" i="11"/>
  <c r="F264" i="11"/>
  <c r="F265" i="11"/>
  <c r="F289" i="11"/>
  <c r="F267" i="11"/>
  <c r="F268" i="11"/>
  <c r="F257" i="11"/>
  <c r="F269" i="11"/>
  <c r="F270" i="11"/>
  <c r="F271" i="11"/>
  <c r="F272" i="11"/>
  <c r="F273" i="11"/>
  <c r="F274" i="11"/>
  <c r="F275" i="11"/>
  <c r="F276" i="11"/>
  <c r="F277" i="11"/>
  <c r="F278" i="11"/>
  <c r="F255" i="11"/>
  <c r="F279" i="11"/>
  <c r="F280" i="11"/>
  <c r="F281" i="11"/>
  <c r="F282" i="11"/>
  <c r="F283" i="11"/>
  <c r="F284" i="11"/>
  <c r="F285" i="11"/>
  <c r="F286" i="11"/>
  <c r="F287" i="11"/>
  <c r="F288" i="11"/>
  <c r="F266" i="11"/>
  <c r="F291" i="11"/>
  <c r="F292" i="11"/>
  <c r="F293" i="11"/>
  <c r="F294" i="11"/>
  <c r="F295" i="11"/>
  <c r="F296" i="11"/>
  <c r="F297" i="11"/>
  <c r="F298" i="11"/>
  <c r="F299" i="11"/>
  <c r="F300" i="11"/>
  <c r="F301" i="11"/>
  <c r="F302" i="11"/>
  <c r="F303" i="11"/>
  <c r="F305" i="11"/>
  <c r="F306" i="11"/>
  <c r="F307" i="11"/>
  <c r="F308" i="11"/>
  <c r="F309" i="11"/>
  <c r="F310" i="11"/>
  <c r="F311" i="11"/>
  <c r="F312" i="11"/>
  <c r="F313" i="11"/>
  <c r="F314" i="11"/>
  <c r="F315" i="11"/>
  <c r="F316" i="11"/>
  <c r="F317" i="11"/>
  <c r="F318" i="11"/>
  <c r="F319" i="11"/>
  <c r="F320" i="11"/>
  <c r="F321" i="11"/>
  <c r="F322" i="11"/>
  <c r="F324" i="11"/>
  <c r="F325" i="11"/>
  <c r="F355" i="11"/>
  <c r="F326" i="11"/>
  <c r="F327" i="11"/>
  <c r="F328" i="11"/>
  <c r="F329" i="11"/>
  <c r="F330" i="11"/>
  <c r="F331" i="11"/>
  <c r="F332" i="11"/>
  <c r="F333" i="11"/>
  <c r="F334" i="11"/>
  <c r="F351" i="11"/>
  <c r="F335" i="11"/>
  <c r="F336" i="11"/>
  <c r="F337" i="11"/>
  <c r="F338" i="11"/>
  <c r="F339" i="11"/>
  <c r="F340" i="11"/>
  <c r="F341" i="11"/>
  <c r="F342" i="11"/>
  <c r="F323" i="11"/>
  <c r="F343" i="11"/>
  <c r="F344" i="11"/>
  <c r="F345" i="11"/>
  <c r="F346" i="11"/>
  <c r="F347" i="11"/>
  <c r="F348" i="11"/>
  <c r="F349" i="11"/>
  <c r="F350" i="11"/>
  <c r="F352" i="11"/>
  <c r="F353" i="11"/>
  <c r="F354" i="11"/>
  <c r="F356" i="11"/>
  <c r="F357" i="11"/>
  <c r="F358" i="11"/>
  <c r="F359" i="11"/>
  <c r="F360" i="11"/>
  <c r="F361" i="11"/>
  <c r="F362" i="11"/>
  <c r="F363" i="11"/>
  <c r="F365" i="11"/>
  <c r="F377" i="11"/>
  <c r="F366" i="11"/>
  <c r="F367" i="11"/>
  <c r="F368" i="11"/>
  <c r="F369" i="11"/>
  <c r="F370" i="11"/>
  <c r="F372" i="11"/>
  <c r="F373" i="11"/>
  <c r="F374" i="11"/>
  <c r="F375" i="11"/>
  <c r="F376" i="11"/>
  <c r="F378" i="11"/>
  <c r="F379" i="11"/>
  <c r="F381" i="11"/>
  <c r="F371" i="11"/>
  <c r="F382" i="11"/>
  <c r="F383" i="11"/>
  <c r="F384" i="11"/>
  <c r="F385" i="11"/>
  <c r="F386" i="11"/>
  <c r="F387" i="11"/>
  <c r="F388" i="11"/>
  <c r="F389" i="11"/>
  <c r="F380" i="11"/>
  <c r="F420" i="11"/>
  <c r="F390" i="11"/>
  <c r="F391" i="11"/>
  <c r="F392" i="11"/>
  <c r="F399" i="11"/>
  <c r="F405" i="11"/>
  <c r="F393" i="11"/>
  <c r="F394" i="11"/>
  <c r="F395" i="11"/>
  <c r="F396" i="11"/>
  <c r="F397" i="11"/>
  <c r="F398" i="11"/>
  <c r="F400" i="11"/>
  <c r="F401" i="11"/>
  <c r="F402" i="11"/>
  <c r="F403" i="11"/>
  <c r="F404" i="11"/>
  <c r="F406" i="11"/>
  <c r="F407" i="11"/>
  <c r="F408" i="11"/>
  <c r="F409" i="11"/>
  <c r="F410" i="11"/>
  <c r="F411" i="11"/>
  <c r="F412" i="11"/>
  <c r="F413" i="11"/>
  <c r="F414" i="11"/>
  <c r="F415" i="11"/>
  <c r="F416" i="11"/>
  <c r="F417" i="11"/>
  <c r="F418" i="11"/>
  <c r="F419" i="11"/>
  <c r="F421" i="11"/>
  <c r="F422" i="11"/>
  <c r="F423" i="11"/>
  <c r="F426" i="11"/>
  <c r="F427" i="11"/>
  <c r="F428" i="11"/>
  <c r="F429" i="11"/>
  <c r="F430" i="11"/>
  <c r="F431" i="11"/>
  <c r="F432" i="11"/>
  <c r="F433" i="11"/>
  <c r="F434" i="11"/>
  <c r="F435" i="11"/>
  <c r="F436" i="11"/>
  <c r="F437" i="11"/>
  <c r="F439" i="11"/>
  <c r="F440" i="11"/>
  <c r="F441" i="11"/>
  <c r="F468" i="11"/>
  <c r="F442" i="11"/>
  <c r="F443" i="11"/>
  <c r="F470" i="11"/>
  <c r="F444" i="11"/>
  <c r="F461" i="11"/>
  <c r="F445" i="11"/>
  <c r="F446" i="11"/>
  <c r="F447" i="11"/>
  <c r="F448" i="11"/>
  <c r="F449" i="11"/>
  <c r="F425" i="11"/>
  <c r="F450" i="11"/>
  <c r="F438" i="11"/>
  <c r="F451" i="11"/>
  <c r="F452" i="11"/>
  <c r="F453" i="11"/>
  <c r="F454" i="11"/>
  <c r="F455" i="11"/>
  <c r="F456" i="11"/>
  <c r="F457" i="11"/>
  <c r="F458" i="11"/>
  <c r="F459" i="11"/>
  <c r="F460" i="11"/>
  <c r="F462" i="11"/>
  <c r="F463" i="11"/>
  <c r="F464" i="11"/>
  <c r="F465" i="11"/>
  <c r="F466" i="11"/>
  <c r="F467" i="11"/>
  <c r="F469" i="11"/>
  <c r="F471" i="11"/>
  <c r="F480" i="11"/>
  <c r="F472" i="11"/>
  <c r="F473" i="11"/>
  <c r="F474" i="11"/>
  <c r="F475" i="11"/>
  <c r="F476" i="11"/>
  <c r="F477" i="11"/>
  <c r="F478" i="11"/>
  <c r="F479" i="11"/>
  <c r="F481" i="11"/>
  <c r="F482" i="11"/>
  <c r="F484" i="11"/>
  <c r="F485" i="11"/>
  <c r="F486" i="11"/>
  <c r="F487" i="11"/>
  <c r="F488" i="11"/>
  <c r="F490" i="11"/>
  <c r="F492" i="11"/>
  <c r="F506" i="11"/>
  <c r="F493" i="11"/>
  <c r="F494" i="11"/>
  <c r="F495" i="11"/>
  <c r="F496" i="11"/>
  <c r="F497" i="11"/>
  <c r="F508" i="11"/>
  <c r="F498" i="11"/>
  <c r="F499" i="11"/>
  <c r="F500" i="11"/>
  <c r="F529" i="11"/>
  <c r="F501" i="11"/>
  <c r="F532" i="11"/>
  <c r="F502" i="11"/>
  <c r="F489" i="11"/>
  <c r="F503" i="11"/>
  <c r="F491" i="11"/>
  <c r="F504" i="11"/>
  <c r="F505" i="11"/>
  <c r="F507" i="11"/>
  <c r="F540" i="11"/>
  <c r="F534" i="11"/>
  <c r="F509" i="11"/>
  <c r="F510" i="11"/>
  <c r="F511" i="11"/>
  <c r="F512" i="11"/>
  <c r="F513" i="11"/>
  <c r="F514" i="11"/>
  <c r="F515" i="11"/>
  <c r="F516" i="11"/>
  <c r="F517" i="11"/>
  <c r="F518" i="11"/>
  <c r="F519" i="11"/>
  <c r="F520" i="11"/>
  <c r="F521" i="11"/>
  <c r="F522" i="11"/>
  <c r="F523" i="11"/>
  <c r="F524" i="11"/>
  <c r="F525" i="11"/>
  <c r="F526" i="11"/>
  <c r="F527" i="11"/>
  <c r="F528" i="11"/>
  <c r="F530" i="11"/>
  <c r="F531" i="11"/>
  <c r="F533" i="11"/>
  <c r="F535" i="11"/>
  <c r="F536" i="11"/>
  <c r="F537" i="11"/>
  <c r="F538" i="11"/>
  <c r="F539" i="11"/>
  <c r="F541" i="11"/>
  <c r="F2" i="11"/>
  <c r="E3" i="11"/>
  <c r="E4" i="11"/>
  <c r="E5" i="11"/>
  <c r="E6" i="11"/>
  <c r="E7" i="11"/>
  <c r="E8"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4" i="11"/>
  <c r="E85" i="11"/>
  <c r="E86" i="11"/>
  <c r="E87" i="11"/>
  <c r="E88" i="11"/>
  <c r="E89" i="11"/>
  <c r="E90" i="11"/>
  <c r="E91" i="11"/>
  <c r="E92" i="11"/>
  <c r="E93" i="11"/>
  <c r="E94" i="11"/>
  <c r="E95" i="11"/>
  <c r="E96" i="11"/>
  <c r="E97" i="11"/>
  <c r="E99" i="11"/>
  <c r="E100" i="11"/>
  <c r="E101" i="11"/>
  <c r="E102" i="11"/>
  <c r="E103" i="11"/>
  <c r="E104" i="11"/>
  <c r="E105" i="11"/>
  <c r="E106" i="11"/>
  <c r="E107" i="11"/>
  <c r="E108" i="11"/>
  <c r="E109" i="11"/>
  <c r="E110" i="11"/>
  <c r="E111" i="11"/>
  <c r="E112" i="11"/>
  <c r="E113" i="11"/>
  <c r="E114" i="11"/>
  <c r="E115" i="11"/>
  <c r="E116" i="11"/>
  <c r="E117" i="11"/>
  <c r="E83" i="11"/>
  <c r="E118" i="11"/>
  <c r="E119" i="11"/>
  <c r="E120" i="11"/>
  <c r="E121" i="11"/>
  <c r="E145" i="11"/>
  <c r="E125" i="11"/>
  <c r="E126" i="11"/>
  <c r="E127" i="11"/>
  <c r="E128" i="11"/>
  <c r="E129" i="11"/>
  <c r="E130" i="11"/>
  <c r="E131" i="11"/>
  <c r="E132" i="11"/>
  <c r="E133" i="11"/>
  <c r="E134" i="11"/>
  <c r="E135" i="11"/>
  <c r="E136" i="11"/>
  <c r="E137" i="11"/>
  <c r="E138" i="11"/>
  <c r="E139" i="11"/>
  <c r="E140" i="11"/>
  <c r="E141" i="11"/>
  <c r="E142" i="11"/>
  <c r="E143" i="11"/>
  <c r="E122" i="11"/>
  <c r="E124"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44" i="11"/>
  <c r="E182" i="11"/>
  <c r="E183" i="11"/>
  <c r="E184"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5" i="11"/>
  <c r="E216" i="11"/>
  <c r="E217" i="11"/>
  <c r="E218" i="11"/>
  <c r="E219" i="11"/>
  <c r="E220" i="11"/>
  <c r="E221" i="11"/>
  <c r="E222" i="11"/>
  <c r="E223" i="11"/>
  <c r="E224" i="11"/>
  <c r="E225" i="11"/>
  <c r="E226" i="11"/>
  <c r="E227" i="11"/>
  <c r="E228" i="11"/>
  <c r="E229" i="11"/>
  <c r="E214" i="11"/>
  <c r="E230" i="11"/>
  <c r="E231" i="11"/>
  <c r="E232" i="11"/>
  <c r="E233" i="11"/>
  <c r="E234" i="11"/>
  <c r="E235" i="11"/>
  <c r="E236" i="11"/>
  <c r="E237" i="11"/>
  <c r="E238" i="11"/>
  <c r="E239" i="11"/>
  <c r="E240" i="11"/>
  <c r="E213" i="11"/>
  <c r="E241" i="11"/>
  <c r="E290" i="11"/>
  <c r="E243" i="11"/>
  <c r="E244" i="11"/>
  <c r="E245" i="11"/>
  <c r="E246" i="11"/>
  <c r="E247" i="11"/>
  <c r="E248" i="11"/>
  <c r="E249" i="11"/>
  <c r="E250" i="11"/>
  <c r="E251" i="11"/>
  <c r="E252" i="11"/>
  <c r="E253" i="11"/>
  <c r="E254" i="11"/>
  <c r="E256" i="11"/>
  <c r="E258" i="11"/>
  <c r="E259" i="11"/>
  <c r="E260" i="11"/>
  <c r="E261" i="11"/>
  <c r="E262" i="11"/>
  <c r="E263" i="11"/>
  <c r="E264" i="11"/>
  <c r="E265" i="11"/>
  <c r="E289" i="11"/>
  <c r="E267" i="11"/>
  <c r="E268" i="11"/>
  <c r="E257" i="11"/>
  <c r="E269" i="11"/>
  <c r="E270" i="11"/>
  <c r="E271" i="11"/>
  <c r="E272" i="11"/>
  <c r="E273" i="11"/>
  <c r="E274" i="11"/>
  <c r="E275" i="11"/>
  <c r="E276" i="11"/>
  <c r="E277" i="11"/>
  <c r="E278" i="11"/>
  <c r="E255" i="11"/>
  <c r="E279" i="11"/>
  <c r="E280" i="11"/>
  <c r="E281" i="11"/>
  <c r="E282" i="11"/>
  <c r="E283" i="11"/>
  <c r="E284" i="11"/>
  <c r="E285" i="11"/>
  <c r="E286" i="11"/>
  <c r="E287" i="11"/>
  <c r="E288" i="11"/>
  <c r="E266" i="11"/>
  <c r="E291" i="11"/>
  <c r="E292" i="11"/>
  <c r="E293" i="11"/>
  <c r="E294" i="11"/>
  <c r="E295" i="11"/>
  <c r="E296" i="11"/>
  <c r="E297" i="11"/>
  <c r="E298" i="11"/>
  <c r="E299" i="11"/>
  <c r="E300" i="11"/>
  <c r="E301" i="11"/>
  <c r="E302" i="11"/>
  <c r="E303" i="11"/>
  <c r="E305" i="11"/>
  <c r="E306" i="11"/>
  <c r="E307" i="11"/>
  <c r="E308" i="11"/>
  <c r="E309" i="11"/>
  <c r="E310" i="11"/>
  <c r="E311" i="11"/>
  <c r="E312" i="11"/>
  <c r="E313" i="11"/>
  <c r="E314" i="11"/>
  <c r="E315" i="11"/>
  <c r="E316" i="11"/>
  <c r="E317" i="11"/>
  <c r="E318" i="11"/>
  <c r="E319" i="11"/>
  <c r="E320" i="11"/>
  <c r="E321" i="11"/>
  <c r="E322" i="11"/>
  <c r="E324" i="11"/>
  <c r="E325" i="11"/>
  <c r="E355" i="11"/>
  <c r="E326" i="11"/>
  <c r="E327" i="11"/>
  <c r="E328" i="11"/>
  <c r="E329" i="11"/>
  <c r="E330" i="11"/>
  <c r="E331" i="11"/>
  <c r="E332" i="11"/>
  <c r="E333" i="11"/>
  <c r="E334" i="11"/>
  <c r="E351" i="11"/>
  <c r="E335" i="11"/>
  <c r="E336" i="11"/>
  <c r="E337" i="11"/>
  <c r="E338" i="11"/>
  <c r="E339" i="11"/>
  <c r="E340" i="11"/>
  <c r="E341" i="11"/>
  <c r="E342" i="11"/>
  <c r="E323" i="11"/>
  <c r="E343" i="11"/>
  <c r="E344" i="11"/>
  <c r="E345" i="11"/>
  <c r="E346" i="11"/>
  <c r="E347" i="11"/>
  <c r="E348" i="11"/>
  <c r="E349" i="11"/>
  <c r="E350" i="11"/>
  <c r="E352" i="11"/>
  <c r="E353" i="11"/>
  <c r="E354" i="11"/>
  <c r="E356" i="11"/>
  <c r="E357" i="11"/>
  <c r="E358" i="11"/>
  <c r="E359" i="11"/>
  <c r="E360" i="11"/>
  <c r="E361" i="11"/>
  <c r="E362" i="11"/>
  <c r="E363" i="11"/>
  <c r="E365" i="11"/>
  <c r="E377" i="11"/>
  <c r="E366" i="11"/>
  <c r="E367" i="11"/>
  <c r="E368" i="11"/>
  <c r="E369" i="11"/>
  <c r="E370" i="11"/>
  <c r="E372" i="11"/>
  <c r="E373" i="11"/>
  <c r="E374" i="11"/>
  <c r="E375" i="11"/>
  <c r="E376" i="11"/>
  <c r="E378" i="11"/>
  <c r="E379" i="11"/>
  <c r="E381" i="11"/>
  <c r="E371" i="11"/>
  <c r="E382" i="11"/>
  <c r="E383" i="11"/>
  <c r="E384" i="11"/>
  <c r="E385" i="11"/>
  <c r="E386" i="11"/>
  <c r="E387" i="11"/>
  <c r="E388" i="11"/>
  <c r="E389" i="11"/>
  <c r="E380" i="11"/>
  <c r="E420" i="11"/>
  <c r="E390" i="11"/>
  <c r="E391" i="11"/>
  <c r="E392" i="11"/>
  <c r="E399" i="11"/>
  <c r="E405" i="11"/>
  <c r="E393" i="11"/>
  <c r="E394" i="11"/>
  <c r="E395" i="11"/>
  <c r="E396" i="11"/>
  <c r="E397" i="11"/>
  <c r="E398" i="11"/>
  <c r="E400" i="11"/>
  <c r="E401" i="11"/>
  <c r="E402" i="11"/>
  <c r="E403" i="11"/>
  <c r="E404" i="11"/>
  <c r="E406" i="11"/>
  <c r="E407" i="11"/>
  <c r="E408" i="11"/>
  <c r="E409" i="11"/>
  <c r="E410" i="11"/>
  <c r="E411" i="11"/>
  <c r="E412" i="11"/>
  <c r="E413" i="11"/>
  <c r="E414" i="11"/>
  <c r="E415" i="11"/>
  <c r="E416" i="11"/>
  <c r="E417" i="11"/>
  <c r="E418" i="11"/>
  <c r="E419" i="11"/>
  <c r="E421" i="11"/>
  <c r="E422" i="11"/>
  <c r="E423" i="11"/>
  <c r="E426" i="11"/>
  <c r="E427" i="11"/>
  <c r="E428" i="11"/>
  <c r="E429" i="11"/>
  <c r="E430" i="11"/>
  <c r="E431" i="11"/>
  <c r="E432" i="11"/>
  <c r="E433" i="11"/>
  <c r="E434" i="11"/>
  <c r="E435" i="11"/>
  <c r="E436" i="11"/>
  <c r="E437" i="11"/>
  <c r="E439" i="11"/>
  <c r="E440" i="11"/>
  <c r="E441" i="11"/>
  <c r="E468" i="11"/>
  <c r="E442" i="11"/>
  <c r="E443" i="11"/>
  <c r="E470" i="11"/>
  <c r="E444" i="11"/>
  <c r="E461" i="11"/>
  <c r="E445" i="11"/>
  <c r="E446" i="11"/>
  <c r="E447" i="11"/>
  <c r="E448" i="11"/>
  <c r="E449" i="11"/>
  <c r="E425" i="11"/>
  <c r="E450" i="11"/>
  <c r="E438" i="11"/>
  <c r="E451" i="11"/>
  <c r="E452" i="11"/>
  <c r="E453" i="11"/>
  <c r="E454" i="11"/>
  <c r="E455" i="11"/>
  <c r="E456" i="11"/>
  <c r="E457" i="11"/>
  <c r="E458" i="11"/>
  <c r="E459" i="11"/>
  <c r="E460" i="11"/>
  <c r="E462" i="11"/>
  <c r="E463" i="11"/>
  <c r="E464" i="11"/>
  <c r="E465" i="11"/>
  <c r="E466" i="11"/>
  <c r="E467" i="11"/>
  <c r="E469" i="11"/>
  <c r="E471" i="11"/>
  <c r="E480" i="11"/>
  <c r="E472" i="11"/>
  <c r="E473" i="11"/>
  <c r="E474" i="11"/>
  <c r="E475" i="11"/>
  <c r="E476" i="11"/>
  <c r="E477" i="11"/>
  <c r="E478" i="11"/>
  <c r="E479" i="11"/>
  <c r="E481" i="11"/>
  <c r="E482" i="11"/>
  <c r="E484" i="11"/>
  <c r="E485" i="11"/>
  <c r="E486" i="11"/>
  <c r="E487" i="11"/>
  <c r="E488" i="11"/>
  <c r="E490" i="11"/>
  <c r="E492" i="11"/>
  <c r="E506" i="11"/>
  <c r="E493" i="11"/>
  <c r="E494" i="11"/>
  <c r="E495" i="11"/>
  <c r="E496" i="11"/>
  <c r="E497" i="11"/>
  <c r="E508" i="11"/>
  <c r="E498" i="11"/>
  <c r="E499" i="11"/>
  <c r="E500" i="11"/>
  <c r="E529" i="11"/>
  <c r="E501" i="11"/>
  <c r="E532" i="11"/>
  <c r="E502" i="11"/>
  <c r="E489" i="11"/>
  <c r="E503" i="11"/>
  <c r="E491" i="11"/>
  <c r="E504" i="11"/>
  <c r="E505" i="11"/>
  <c r="E507" i="11"/>
  <c r="E540" i="11"/>
  <c r="E534" i="11"/>
  <c r="E509" i="11"/>
  <c r="E510" i="11"/>
  <c r="E511" i="11"/>
  <c r="E512" i="11"/>
  <c r="E513" i="11"/>
  <c r="E514" i="11"/>
  <c r="E515" i="11"/>
  <c r="E516" i="11"/>
  <c r="E517" i="11"/>
  <c r="E518" i="11"/>
  <c r="E519" i="11"/>
  <c r="E520" i="11"/>
  <c r="E521" i="11"/>
  <c r="E522" i="11"/>
  <c r="E523" i="11"/>
  <c r="E524" i="11"/>
  <c r="E525" i="11"/>
  <c r="E526" i="11"/>
  <c r="E527" i="11"/>
  <c r="E528" i="11"/>
  <c r="E530" i="11"/>
  <c r="E531" i="11"/>
  <c r="E533" i="11"/>
  <c r="E535" i="11"/>
  <c r="E536" i="11"/>
  <c r="E537" i="11"/>
  <c r="E538" i="11"/>
  <c r="E539" i="11"/>
  <c r="E541" i="11"/>
  <c r="E2" i="11"/>
  <c r="A168" i="11"/>
  <c r="A184" i="11"/>
  <c r="A270" i="11"/>
  <c r="A326" i="11"/>
  <c r="A384" i="11"/>
  <c r="A468" i="11"/>
  <c r="A499" i="11"/>
  <c r="A30" i="11"/>
  <c r="A72" i="11"/>
  <c r="A173" i="11"/>
  <c r="A221" i="11"/>
  <c r="A274" i="11"/>
  <c r="A330" i="11"/>
  <c r="A388" i="11"/>
  <c r="A444" i="11"/>
  <c r="A501" i="11"/>
  <c r="A542" i="11"/>
  <c r="A543" i="11"/>
  <c r="A544" i="11"/>
  <c r="A545" i="11"/>
  <c r="A546" i="11"/>
  <c r="A547" i="11"/>
  <c r="A548" i="11"/>
  <c r="A549" i="11"/>
  <c r="A550" i="11"/>
  <c r="A551" i="11"/>
  <c r="A552" i="11"/>
  <c r="A553" i="11"/>
  <c r="A554" i="11"/>
  <c r="A555" i="11"/>
  <c r="A556" i="11"/>
  <c r="A557" i="11"/>
  <c r="A558" i="11"/>
  <c r="A559" i="11"/>
  <c r="L168" i="11"/>
  <c r="L184" i="11"/>
  <c r="L270" i="11"/>
  <c r="L326" i="11"/>
  <c r="L384" i="11"/>
  <c r="L468" i="11"/>
  <c r="L499" i="11"/>
  <c r="L30" i="11"/>
  <c r="L72" i="11"/>
  <c r="L173" i="11"/>
  <c r="L221" i="11"/>
  <c r="L274" i="11"/>
  <c r="L330" i="11"/>
  <c r="L388" i="11"/>
  <c r="L444" i="11"/>
  <c r="L501" i="11"/>
  <c r="L542" i="11"/>
  <c r="L543" i="11"/>
  <c r="L544" i="11"/>
  <c r="L545" i="11"/>
  <c r="L546" i="11"/>
  <c r="L547" i="11"/>
  <c r="L548" i="11"/>
  <c r="L549" i="11"/>
  <c r="L550" i="11"/>
  <c r="L551" i="11"/>
  <c r="L552" i="11"/>
  <c r="L553" i="11"/>
  <c r="L554" i="11"/>
  <c r="L555" i="11"/>
  <c r="L556" i="11"/>
  <c r="L557" i="11"/>
  <c r="L558" i="11"/>
  <c r="L559" i="11"/>
  <c r="M168" i="11"/>
  <c r="M184" i="11"/>
  <c r="M270" i="11"/>
  <c r="M326" i="11"/>
  <c r="M384" i="11"/>
  <c r="M468" i="11"/>
  <c r="M499" i="11"/>
  <c r="M30" i="11"/>
  <c r="M72" i="11"/>
  <c r="M173" i="11"/>
  <c r="M221" i="11"/>
  <c r="M274" i="11"/>
  <c r="M330" i="11"/>
  <c r="M388" i="11"/>
  <c r="M444" i="11"/>
  <c r="M501" i="11"/>
  <c r="M542" i="11"/>
  <c r="M543" i="11"/>
  <c r="M544" i="11"/>
  <c r="M545" i="11"/>
  <c r="M546" i="11"/>
  <c r="M547" i="11"/>
  <c r="M548" i="11"/>
  <c r="M549" i="11"/>
  <c r="M550" i="11"/>
  <c r="M551" i="11"/>
  <c r="M552" i="11"/>
  <c r="M553" i="11"/>
  <c r="M554" i="11"/>
  <c r="M555" i="11"/>
  <c r="M556" i="11"/>
  <c r="M557" i="11"/>
  <c r="M558" i="11"/>
  <c r="M559" i="11"/>
  <c r="N168" i="11"/>
  <c r="N184" i="11"/>
  <c r="N270" i="11"/>
  <c r="N326" i="11"/>
  <c r="N384" i="11"/>
  <c r="N468" i="11"/>
  <c r="N499" i="11"/>
  <c r="N30" i="11"/>
  <c r="N72" i="11"/>
  <c r="N173" i="11"/>
  <c r="N221" i="11"/>
  <c r="N274" i="11"/>
  <c r="N330" i="11"/>
  <c r="N388" i="11"/>
  <c r="N444" i="11"/>
  <c r="N501" i="11"/>
  <c r="N542" i="11"/>
  <c r="N543" i="11"/>
  <c r="N544" i="11"/>
  <c r="N545" i="11"/>
  <c r="N546" i="11"/>
  <c r="N547" i="11"/>
  <c r="N548" i="11"/>
  <c r="N549" i="11"/>
  <c r="N550" i="11"/>
  <c r="N551" i="11"/>
  <c r="N552" i="11"/>
  <c r="N553" i="11"/>
  <c r="N554" i="11"/>
  <c r="N555" i="11"/>
  <c r="N556" i="11"/>
  <c r="N557" i="11"/>
  <c r="N558" i="11"/>
  <c r="N559" i="11"/>
  <c r="O168" i="11"/>
  <c r="O184" i="11"/>
  <c r="O270" i="11"/>
  <c r="O326" i="11"/>
  <c r="O384" i="11"/>
  <c r="O468" i="11"/>
  <c r="O499" i="11"/>
  <c r="O30" i="11"/>
  <c r="O72" i="11"/>
  <c r="O173" i="11"/>
  <c r="O221" i="11"/>
  <c r="O274" i="11"/>
  <c r="O330" i="11"/>
  <c r="O388" i="11"/>
  <c r="O444" i="11"/>
  <c r="O501" i="11"/>
  <c r="O542" i="11"/>
  <c r="O543" i="11"/>
  <c r="O544" i="11"/>
  <c r="O545" i="11"/>
  <c r="O546" i="11"/>
  <c r="O547" i="11"/>
  <c r="O548" i="11"/>
  <c r="O549" i="11"/>
  <c r="O550" i="11"/>
  <c r="O551" i="11"/>
  <c r="O552" i="11"/>
  <c r="O553" i="11"/>
  <c r="O554" i="11"/>
  <c r="O555" i="11"/>
  <c r="O556" i="11"/>
  <c r="O557" i="11"/>
  <c r="O558" i="11"/>
  <c r="O559" i="11"/>
  <c r="P168" i="11"/>
  <c r="P184" i="11"/>
  <c r="P270" i="11"/>
  <c r="P326" i="11"/>
  <c r="P384" i="11"/>
  <c r="P468" i="11"/>
  <c r="P499" i="11"/>
  <c r="P30" i="11"/>
  <c r="P72" i="11"/>
  <c r="P173" i="11"/>
  <c r="P221" i="11"/>
  <c r="P274" i="11"/>
  <c r="P330" i="11"/>
  <c r="P388" i="11"/>
  <c r="P444" i="11"/>
  <c r="P501" i="11"/>
  <c r="P542" i="11"/>
  <c r="P543" i="11"/>
  <c r="P544" i="11"/>
  <c r="P545" i="11"/>
  <c r="P546" i="11"/>
  <c r="P547" i="11"/>
  <c r="P548" i="11"/>
  <c r="P549" i="11"/>
  <c r="P550" i="11"/>
  <c r="P551" i="11"/>
  <c r="P552" i="11"/>
  <c r="P553" i="11"/>
  <c r="P554" i="11"/>
  <c r="P555" i="11"/>
  <c r="P556" i="11"/>
  <c r="P557" i="11"/>
  <c r="P558" i="11"/>
  <c r="P559" i="11"/>
  <c r="Q168" i="11"/>
  <c r="Q184" i="11"/>
  <c r="Q270" i="11"/>
  <c r="Q326" i="11"/>
  <c r="Q384" i="11"/>
  <c r="Q468" i="11"/>
  <c r="Q499" i="11"/>
  <c r="Q30" i="11"/>
  <c r="Q72" i="11"/>
  <c r="Q173" i="11"/>
  <c r="Q221" i="11"/>
  <c r="Q274" i="11"/>
  <c r="Q330" i="11"/>
  <c r="Q388" i="11"/>
  <c r="Q444" i="11"/>
  <c r="Q501" i="11"/>
  <c r="Q542" i="11"/>
  <c r="Q543" i="11"/>
  <c r="Q544" i="11"/>
  <c r="Q545" i="11"/>
  <c r="Q546" i="11"/>
  <c r="Q547" i="11"/>
  <c r="Q548" i="11"/>
  <c r="Q549" i="11"/>
  <c r="Q550" i="11"/>
  <c r="Q551" i="11"/>
  <c r="Q552" i="11"/>
  <c r="Q553" i="11"/>
  <c r="Q554" i="11"/>
  <c r="Q555" i="11"/>
  <c r="Q556" i="11"/>
  <c r="Q557" i="11"/>
  <c r="Q558" i="11"/>
  <c r="Q559" i="11"/>
  <c r="Q484" i="11"/>
  <c r="P484" i="11"/>
  <c r="O484" i="11"/>
  <c r="N484" i="11"/>
  <c r="M484" i="11"/>
  <c r="L484" i="11"/>
  <c r="Q482" i="11"/>
  <c r="P482" i="11"/>
  <c r="O482" i="11"/>
  <c r="N482" i="11"/>
  <c r="M482" i="11"/>
  <c r="L482" i="11"/>
  <c r="Q490" i="11"/>
  <c r="P490" i="11"/>
  <c r="O490" i="11"/>
  <c r="N490" i="11"/>
  <c r="M490" i="11"/>
  <c r="L490" i="11"/>
  <c r="Q488" i="11"/>
  <c r="P488" i="11"/>
  <c r="O488" i="11"/>
  <c r="N488" i="11"/>
  <c r="M488" i="11"/>
  <c r="L488" i="11"/>
  <c r="Q487" i="11"/>
  <c r="P487" i="11"/>
  <c r="O487" i="11"/>
  <c r="N487" i="11"/>
  <c r="M487" i="11"/>
  <c r="L487" i="11"/>
  <c r="Q486" i="11"/>
  <c r="P486" i="11"/>
  <c r="O486" i="11"/>
  <c r="N486" i="11"/>
  <c r="M486" i="11"/>
  <c r="L486" i="11"/>
  <c r="Q485" i="11"/>
  <c r="P485" i="11"/>
  <c r="O485" i="11"/>
  <c r="N485" i="11"/>
  <c r="M485" i="11"/>
  <c r="L485" i="11"/>
  <c r="A434" i="11"/>
  <c r="A493" i="11"/>
  <c r="A16" i="11"/>
  <c r="A103" i="11"/>
  <c r="A127" i="11"/>
  <c r="A235" i="11"/>
  <c r="A282" i="11"/>
  <c r="A338" i="11"/>
  <c r="A399" i="11"/>
  <c r="A425" i="11"/>
  <c r="A504" i="11"/>
  <c r="A21" i="11"/>
  <c r="A104" i="11"/>
  <c r="L434" i="11"/>
  <c r="L493" i="11"/>
  <c r="L16" i="11"/>
  <c r="L103" i="11"/>
  <c r="L127" i="11"/>
  <c r="L235" i="11"/>
  <c r="L282" i="11"/>
  <c r="L338" i="11"/>
  <c r="L399" i="11"/>
  <c r="L425" i="11"/>
  <c r="L504" i="11"/>
  <c r="L21" i="11"/>
  <c r="L104" i="11"/>
  <c r="M434" i="11"/>
  <c r="M493" i="11"/>
  <c r="M16" i="11"/>
  <c r="M103" i="11"/>
  <c r="M127" i="11"/>
  <c r="M235" i="11"/>
  <c r="M282" i="11"/>
  <c r="M338" i="11"/>
  <c r="M399" i="11"/>
  <c r="M425" i="11"/>
  <c r="M504" i="11"/>
  <c r="M21" i="11"/>
  <c r="M104" i="11"/>
  <c r="N434" i="11"/>
  <c r="N493" i="11"/>
  <c r="N16" i="11"/>
  <c r="N103" i="11"/>
  <c r="N127" i="11"/>
  <c r="N235" i="11"/>
  <c r="N282" i="11"/>
  <c r="N338" i="11"/>
  <c r="N399" i="11"/>
  <c r="N425" i="11"/>
  <c r="N504" i="11"/>
  <c r="N21" i="11"/>
  <c r="N104" i="11"/>
  <c r="O434" i="11"/>
  <c r="O493" i="11"/>
  <c r="O16" i="11"/>
  <c r="O103" i="11"/>
  <c r="O127" i="11"/>
  <c r="O235" i="11"/>
  <c r="O282" i="11"/>
  <c r="O338" i="11"/>
  <c r="O399" i="11"/>
  <c r="O425" i="11"/>
  <c r="O504" i="11"/>
  <c r="O21" i="11"/>
  <c r="O104" i="11"/>
  <c r="P434" i="11"/>
  <c r="P493" i="11"/>
  <c r="P16" i="11"/>
  <c r="P103" i="11"/>
  <c r="P127" i="11"/>
  <c r="P235" i="11"/>
  <c r="P282" i="11"/>
  <c r="P338" i="11"/>
  <c r="P399" i="11"/>
  <c r="P425" i="11"/>
  <c r="P504" i="11"/>
  <c r="P21" i="11"/>
  <c r="P104" i="11"/>
  <c r="Q16" i="11"/>
  <c r="Q103" i="11"/>
  <c r="Q127" i="11"/>
  <c r="Q235" i="11"/>
  <c r="Q282" i="11"/>
  <c r="Q338" i="11"/>
  <c r="Q399" i="11"/>
  <c r="Q425" i="11"/>
  <c r="Q504" i="11"/>
  <c r="Q21" i="11"/>
  <c r="Q104" i="11"/>
  <c r="A436" i="11"/>
  <c r="L436" i="11"/>
  <c r="M436" i="11"/>
  <c r="N436" i="11"/>
  <c r="O436" i="11"/>
  <c r="P436" i="11"/>
  <c r="Q436" i="11"/>
  <c r="A495" i="11"/>
  <c r="L495" i="11"/>
  <c r="M495" i="11"/>
  <c r="N495" i="11"/>
  <c r="O495" i="11"/>
  <c r="P495" i="11"/>
  <c r="Q495" i="11"/>
  <c r="A68" i="11"/>
  <c r="A23" i="11"/>
  <c r="A106" i="11"/>
  <c r="A152" i="11"/>
  <c r="A204" i="11"/>
  <c r="A260" i="11"/>
  <c r="A317" i="11"/>
  <c r="A375" i="11"/>
  <c r="L23" i="11"/>
  <c r="L106" i="11"/>
  <c r="L152" i="11"/>
  <c r="L204" i="11"/>
  <c r="L260" i="11"/>
  <c r="L317" i="11"/>
  <c r="L375" i="11"/>
  <c r="M23" i="11"/>
  <c r="M106" i="11"/>
  <c r="M152" i="11"/>
  <c r="M204" i="11"/>
  <c r="M260" i="11"/>
  <c r="M317" i="11"/>
  <c r="M375" i="11"/>
  <c r="N23" i="11"/>
  <c r="N106" i="11"/>
  <c r="N152" i="11"/>
  <c r="N204" i="11"/>
  <c r="N260" i="11"/>
  <c r="N317" i="11"/>
  <c r="N375" i="11"/>
  <c r="O23" i="11"/>
  <c r="O106" i="11"/>
  <c r="O152" i="11"/>
  <c r="O204" i="11"/>
  <c r="O260" i="11"/>
  <c r="O317" i="11"/>
  <c r="O375" i="11"/>
  <c r="P23" i="11"/>
  <c r="P106" i="11"/>
  <c r="P152" i="11"/>
  <c r="P204" i="11"/>
  <c r="P260" i="11"/>
  <c r="P317" i="11"/>
  <c r="P375" i="11"/>
  <c r="A19" i="11"/>
  <c r="A151" i="11"/>
  <c r="A203" i="11"/>
  <c r="A259" i="11"/>
  <c r="A316" i="11"/>
  <c r="A374" i="11"/>
  <c r="A433" i="11"/>
  <c r="A506" i="11"/>
  <c r="L68" i="11"/>
  <c r="L151" i="11"/>
  <c r="L203" i="11"/>
  <c r="L259" i="11"/>
  <c r="L316" i="11"/>
  <c r="L374" i="11"/>
  <c r="L433" i="11"/>
  <c r="L506" i="11"/>
  <c r="M68" i="11"/>
  <c r="M151" i="11"/>
  <c r="M203" i="11"/>
  <c r="M259" i="11"/>
  <c r="M316" i="11"/>
  <c r="M374" i="11"/>
  <c r="M433" i="11"/>
  <c r="M506" i="11"/>
  <c r="N68" i="11"/>
  <c r="N151" i="11"/>
  <c r="N203" i="11"/>
  <c r="N259" i="11"/>
  <c r="N316" i="11"/>
  <c r="N374" i="11"/>
  <c r="N433" i="11"/>
  <c r="N506" i="11"/>
  <c r="O68" i="11"/>
  <c r="O151" i="11"/>
  <c r="O203" i="11"/>
  <c r="O259" i="11"/>
  <c r="O316" i="11"/>
  <c r="O374" i="11"/>
  <c r="O433" i="11"/>
  <c r="O506" i="11"/>
  <c r="P68" i="11"/>
  <c r="P151" i="11"/>
  <c r="P203" i="11"/>
  <c r="P259" i="11"/>
  <c r="P316" i="11"/>
  <c r="P374" i="11"/>
  <c r="P433" i="11"/>
  <c r="P506" i="11"/>
  <c r="A20" i="11"/>
  <c r="A69" i="11"/>
  <c r="A128" i="11"/>
  <c r="A217" i="11"/>
  <c r="A244" i="11"/>
  <c r="A305" i="11"/>
  <c r="A393" i="11"/>
  <c r="A476" i="11"/>
  <c r="A514" i="11"/>
  <c r="L20" i="11"/>
  <c r="L69" i="11"/>
  <c r="L128" i="11"/>
  <c r="L217" i="11"/>
  <c r="L244" i="11"/>
  <c r="L305" i="11"/>
  <c r="L393" i="11"/>
  <c r="L476" i="11"/>
  <c r="L514" i="11"/>
  <c r="M20" i="11"/>
  <c r="M69" i="11"/>
  <c r="M128" i="11"/>
  <c r="M217" i="11"/>
  <c r="M244" i="11"/>
  <c r="M305" i="11"/>
  <c r="M393" i="11"/>
  <c r="M476" i="11"/>
  <c r="M514" i="11"/>
  <c r="N20" i="11"/>
  <c r="N69" i="11"/>
  <c r="N128" i="11"/>
  <c r="N217" i="11"/>
  <c r="N244" i="11"/>
  <c r="N305" i="11"/>
  <c r="N393" i="11"/>
  <c r="N476" i="11"/>
  <c r="N514" i="11"/>
  <c r="O20" i="11"/>
  <c r="O69" i="11"/>
  <c r="O128" i="11"/>
  <c r="O217" i="11"/>
  <c r="O244" i="11"/>
  <c r="O305" i="11"/>
  <c r="O393" i="11"/>
  <c r="O476" i="11"/>
  <c r="O514" i="11"/>
  <c r="P20" i="11"/>
  <c r="P69" i="11"/>
  <c r="P128" i="11"/>
  <c r="P217" i="11"/>
  <c r="P244" i="11"/>
  <c r="P305" i="11"/>
  <c r="P393" i="11"/>
  <c r="P476" i="11"/>
  <c r="P514" i="11"/>
  <c r="Q20" i="11"/>
  <c r="Q69" i="11"/>
  <c r="Q128" i="11"/>
  <c r="Q217" i="11"/>
  <c r="Q244" i="11"/>
  <c r="Q305" i="11"/>
  <c r="Q393" i="11"/>
  <c r="Q476" i="11"/>
  <c r="Q514" i="11"/>
  <c r="A28" i="11"/>
  <c r="A71" i="11"/>
  <c r="A129" i="11"/>
  <c r="A186" i="11"/>
  <c r="A284" i="11"/>
  <c r="A306" i="11"/>
  <c r="A365" i="11"/>
  <c r="A469" i="11"/>
  <c r="A521" i="11"/>
  <c r="L28" i="11"/>
  <c r="L71" i="11"/>
  <c r="L129" i="11"/>
  <c r="L186" i="11"/>
  <c r="L284" i="11"/>
  <c r="L306" i="11"/>
  <c r="L365" i="11"/>
  <c r="L469" i="11"/>
  <c r="L521" i="11"/>
  <c r="M28" i="11"/>
  <c r="M71" i="11"/>
  <c r="M129" i="11"/>
  <c r="M186" i="11"/>
  <c r="M284" i="11"/>
  <c r="M306" i="11"/>
  <c r="M365" i="11"/>
  <c r="M469" i="11"/>
  <c r="M521" i="11"/>
  <c r="N28" i="11"/>
  <c r="N71" i="11"/>
  <c r="N129" i="11"/>
  <c r="N186" i="11"/>
  <c r="N284" i="11"/>
  <c r="N306" i="11"/>
  <c r="N365" i="11"/>
  <c r="N469" i="11"/>
  <c r="N521" i="11"/>
  <c r="O28" i="11"/>
  <c r="O71" i="11"/>
  <c r="O129" i="11"/>
  <c r="O186" i="11"/>
  <c r="O284" i="11"/>
  <c r="O306" i="11"/>
  <c r="O365" i="11"/>
  <c r="O469" i="11"/>
  <c r="O521" i="11"/>
  <c r="P28" i="11"/>
  <c r="P71" i="11"/>
  <c r="P129" i="11"/>
  <c r="P186" i="11"/>
  <c r="P284" i="11"/>
  <c r="P306" i="11"/>
  <c r="P365" i="11"/>
  <c r="P469" i="11"/>
  <c r="P521" i="11"/>
  <c r="Q28" i="11"/>
  <c r="Q71" i="11"/>
  <c r="Q129" i="11"/>
  <c r="Q186" i="11"/>
  <c r="Q284" i="11"/>
  <c r="Q306" i="11"/>
  <c r="Q365" i="11"/>
  <c r="Q469" i="11"/>
  <c r="Q521" i="11"/>
  <c r="A109" i="11"/>
  <c r="A154" i="11"/>
  <c r="A206" i="11"/>
  <c r="A283" i="11"/>
  <c r="A344" i="11"/>
  <c r="A406" i="11"/>
  <c r="A459" i="11"/>
  <c r="A537" i="11"/>
  <c r="L109" i="11"/>
  <c r="L154" i="11"/>
  <c r="L206" i="11"/>
  <c r="L283" i="11"/>
  <c r="L344" i="11"/>
  <c r="L406" i="11"/>
  <c r="L459" i="11"/>
  <c r="L537" i="11"/>
  <c r="M109" i="11"/>
  <c r="M154" i="11"/>
  <c r="M206" i="11"/>
  <c r="M283" i="11"/>
  <c r="M344" i="11"/>
  <c r="M406" i="11"/>
  <c r="M459" i="11"/>
  <c r="M537" i="11"/>
  <c r="N109" i="11"/>
  <c r="N154" i="11"/>
  <c r="N206" i="11"/>
  <c r="N283" i="11"/>
  <c r="N344" i="11"/>
  <c r="N406" i="11"/>
  <c r="N459" i="11"/>
  <c r="N537" i="11"/>
  <c r="O109" i="11"/>
  <c r="O154" i="11"/>
  <c r="O206" i="11"/>
  <c r="O283" i="11"/>
  <c r="O344" i="11"/>
  <c r="O406" i="11"/>
  <c r="O459" i="11"/>
  <c r="O537" i="11"/>
  <c r="P109" i="11"/>
  <c r="P154" i="11"/>
  <c r="P206" i="11"/>
  <c r="P283" i="11"/>
  <c r="P344" i="11"/>
  <c r="P406" i="11"/>
  <c r="P459" i="11"/>
  <c r="P537" i="11"/>
  <c r="Q109" i="11"/>
  <c r="Q154" i="11"/>
  <c r="Q206" i="11"/>
  <c r="Q283" i="11"/>
  <c r="Q344" i="11"/>
  <c r="Q406" i="11"/>
  <c r="Q459" i="11"/>
  <c r="Q537" i="11"/>
  <c r="A27" i="11"/>
  <c r="L27" i="11"/>
  <c r="M27" i="11"/>
  <c r="N27" i="11"/>
  <c r="O27" i="11"/>
  <c r="P27" i="11"/>
  <c r="Q27" i="11"/>
  <c r="Q538" i="11"/>
  <c r="P538" i="11"/>
  <c r="O538" i="11"/>
  <c r="N538" i="11"/>
  <c r="M538" i="11"/>
  <c r="L538" i="11"/>
  <c r="A482" i="11"/>
  <c r="A484" i="11"/>
  <c r="A538" i="11"/>
  <c r="A485" i="11"/>
  <c r="A486" i="11"/>
  <c r="A487" i="11"/>
  <c r="A488" i="11"/>
  <c r="A490" i="11"/>
  <c r="A492" i="11"/>
  <c r="A494" i="11"/>
  <c r="A496" i="11"/>
  <c r="A497" i="11"/>
  <c r="A508" i="11"/>
  <c r="A498" i="11"/>
  <c r="A500" i="11"/>
  <c r="A536" i="11"/>
  <c r="A529" i="11"/>
  <c r="A532" i="11"/>
  <c r="A502" i="11"/>
  <c r="A489" i="11"/>
  <c r="A535" i="11"/>
  <c r="A503" i="11"/>
  <c r="A491" i="11"/>
  <c r="A505" i="11"/>
  <c r="A507" i="11"/>
  <c r="A540" i="11"/>
  <c r="A534" i="11"/>
  <c r="A509" i="11"/>
  <c r="A539" i="11"/>
  <c r="A510" i="11"/>
  <c r="A511" i="11"/>
  <c r="A512" i="11"/>
  <c r="A513" i="11"/>
  <c r="A515" i="11"/>
  <c r="A516" i="11"/>
  <c r="A517" i="11"/>
  <c r="A541" i="11"/>
  <c r="A518" i="11"/>
  <c r="A519" i="11"/>
  <c r="A520" i="11"/>
  <c r="A522" i="11"/>
  <c r="A523" i="11"/>
  <c r="A524" i="11"/>
  <c r="A525" i="11"/>
  <c r="A526" i="11"/>
  <c r="A527" i="11"/>
  <c r="A528" i="11"/>
  <c r="A530" i="11"/>
  <c r="A531" i="11"/>
  <c r="A533" i="11"/>
  <c r="L498" i="11"/>
  <c r="L500" i="11"/>
  <c r="L536" i="11"/>
  <c r="L529" i="11"/>
  <c r="L532" i="11"/>
  <c r="L502" i="11"/>
  <c r="L489" i="11"/>
  <c r="L535" i="11"/>
  <c r="L503" i="11"/>
  <c r="L491" i="11"/>
  <c r="L505" i="11"/>
  <c r="L507" i="11"/>
  <c r="L540" i="11"/>
  <c r="L534" i="11"/>
  <c r="L509" i="11"/>
  <c r="L539" i="11"/>
  <c r="L510" i="11"/>
  <c r="L511" i="11"/>
  <c r="L512" i="11"/>
  <c r="L513" i="11"/>
  <c r="L515" i="11"/>
  <c r="L516" i="11"/>
  <c r="L517" i="11"/>
  <c r="L541" i="11"/>
  <c r="L518" i="11"/>
  <c r="L519" i="11"/>
  <c r="L520" i="11"/>
  <c r="L522" i="11"/>
  <c r="L523" i="11"/>
  <c r="L524" i="11"/>
  <c r="L525" i="11"/>
  <c r="L526" i="11"/>
  <c r="L527" i="11"/>
  <c r="L528" i="11"/>
  <c r="L530" i="11"/>
  <c r="L531" i="11"/>
  <c r="L533" i="11"/>
  <c r="M498" i="11"/>
  <c r="M500" i="11"/>
  <c r="M536" i="11"/>
  <c r="M529" i="11"/>
  <c r="M532" i="11"/>
  <c r="M502" i="11"/>
  <c r="M489" i="11"/>
  <c r="M535" i="11"/>
  <c r="M503" i="11"/>
  <c r="M491" i="11"/>
  <c r="M505" i="11"/>
  <c r="M507" i="11"/>
  <c r="M540" i="11"/>
  <c r="M534" i="11"/>
  <c r="M509" i="11"/>
  <c r="M539" i="11"/>
  <c r="M510" i="11"/>
  <c r="M511" i="11"/>
  <c r="M512" i="11"/>
  <c r="M513" i="11"/>
  <c r="M515" i="11"/>
  <c r="M516" i="11"/>
  <c r="M517" i="11"/>
  <c r="M541" i="11"/>
  <c r="M518" i="11"/>
  <c r="M519" i="11"/>
  <c r="M520" i="11"/>
  <c r="M522" i="11"/>
  <c r="M523" i="11"/>
  <c r="M524" i="11"/>
  <c r="M525" i="11"/>
  <c r="M526" i="11"/>
  <c r="M527" i="11"/>
  <c r="M528" i="11"/>
  <c r="M530" i="11"/>
  <c r="M531" i="11"/>
  <c r="M533" i="11"/>
  <c r="N498" i="11"/>
  <c r="N500" i="11"/>
  <c r="N536" i="11"/>
  <c r="N529" i="11"/>
  <c r="N532" i="11"/>
  <c r="N502" i="11"/>
  <c r="N489" i="11"/>
  <c r="N535" i="11"/>
  <c r="N503" i="11"/>
  <c r="N491" i="11"/>
  <c r="N505" i="11"/>
  <c r="N507" i="11"/>
  <c r="N540" i="11"/>
  <c r="N534" i="11"/>
  <c r="N509" i="11"/>
  <c r="N539" i="11"/>
  <c r="N510" i="11"/>
  <c r="N511" i="11"/>
  <c r="N512" i="11"/>
  <c r="N513" i="11"/>
  <c r="N515" i="11"/>
  <c r="N516" i="11"/>
  <c r="N517" i="11"/>
  <c r="N541" i="11"/>
  <c r="N518" i="11"/>
  <c r="N519" i="11"/>
  <c r="N520" i="11"/>
  <c r="N522" i="11"/>
  <c r="N523" i="11"/>
  <c r="N524" i="11"/>
  <c r="N525" i="11"/>
  <c r="N526" i="11"/>
  <c r="N527" i="11"/>
  <c r="N528" i="11"/>
  <c r="N530" i="11"/>
  <c r="N531" i="11"/>
  <c r="N533" i="11"/>
  <c r="O498" i="11"/>
  <c r="O500" i="11"/>
  <c r="O536" i="11"/>
  <c r="O529" i="11"/>
  <c r="O532" i="11"/>
  <c r="O502" i="11"/>
  <c r="O489" i="11"/>
  <c r="O535" i="11"/>
  <c r="O503" i="11"/>
  <c r="O491" i="11"/>
  <c r="O505" i="11"/>
  <c r="O507" i="11"/>
  <c r="O540" i="11"/>
  <c r="O534" i="11"/>
  <c r="O509" i="11"/>
  <c r="O539" i="11"/>
  <c r="O510" i="11"/>
  <c r="O511" i="11"/>
  <c r="O512" i="11"/>
  <c r="O513" i="11"/>
  <c r="O515" i="11"/>
  <c r="O516" i="11"/>
  <c r="O517" i="11"/>
  <c r="O541" i="11"/>
  <c r="O518" i="11"/>
  <c r="O519" i="11"/>
  <c r="O520" i="11"/>
  <c r="O522" i="11"/>
  <c r="O523" i="11"/>
  <c r="O524" i="11"/>
  <c r="O525" i="11"/>
  <c r="O526" i="11"/>
  <c r="O527" i="11"/>
  <c r="O528" i="11"/>
  <c r="O530" i="11"/>
  <c r="O531" i="11"/>
  <c r="O533" i="11"/>
  <c r="P498" i="11"/>
  <c r="P500" i="11"/>
  <c r="P536" i="11"/>
  <c r="P529" i="11"/>
  <c r="P532" i="11"/>
  <c r="P502" i="11"/>
  <c r="P489" i="11"/>
  <c r="P535" i="11"/>
  <c r="P503" i="11"/>
  <c r="P491" i="11"/>
  <c r="P505" i="11"/>
  <c r="P507" i="11"/>
  <c r="P540" i="11"/>
  <c r="P534" i="11"/>
  <c r="P509" i="11"/>
  <c r="P539" i="11"/>
  <c r="P510" i="11"/>
  <c r="P511" i="11"/>
  <c r="P512" i="11"/>
  <c r="P513" i="11"/>
  <c r="P515" i="11"/>
  <c r="P516" i="11"/>
  <c r="P517" i="11"/>
  <c r="P541" i="11"/>
  <c r="P518" i="11"/>
  <c r="P519" i="11"/>
  <c r="P520" i="11"/>
  <c r="P522" i="11"/>
  <c r="P523" i="11"/>
  <c r="P524" i="11"/>
  <c r="P525" i="11"/>
  <c r="P526" i="11"/>
  <c r="P527" i="11"/>
  <c r="P528" i="11"/>
  <c r="P530" i="11"/>
  <c r="P531" i="11"/>
  <c r="P533" i="11"/>
  <c r="Q498" i="11"/>
  <c r="Q500" i="11"/>
  <c r="Q536" i="11"/>
  <c r="Q529" i="11"/>
  <c r="Q532" i="11"/>
  <c r="Q502" i="11"/>
  <c r="Q489" i="11"/>
  <c r="Q535" i="11"/>
  <c r="Q503" i="11"/>
  <c r="Q491" i="11"/>
  <c r="Q505" i="11"/>
  <c r="Q507" i="11"/>
  <c r="Q540" i="11"/>
  <c r="Q534" i="11"/>
  <c r="Q509" i="11"/>
  <c r="Q539" i="11"/>
  <c r="Q510" i="11"/>
  <c r="Q511" i="11"/>
  <c r="Q512" i="11"/>
  <c r="Q513" i="11"/>
  <c r="Q515" i="11"/>
  <c r="Q516" i="11"/>
  <c r="Q517" i="11"/>
  <c r="Q541" i="11"/>
  <c r="Q518" i="11"/>
  <c r="Q519" i="11"/>
  <c r="Q520" i="11"/>
  <c r="Q522" i="11"/>
  <c r="Q523" i="11"/>
  <c r="Q524" i="11"/>
  <c r="Q525" i="11"/>
  <c r="Q526" i="11"/>
  <c r="Q527" i="11"/>
  <c r="Q528" i="11"/>
  <c r="Q530" i="11"/>
  <c r="Q531" i="11"/>
  <c r="Q533" i="11"/>
  <c r="A479" i="11"/>
  <c r="A481" i="11"/>
  <c r="L494" i="11"/>
  <c r="L496" i="11"/>
  <c r="L497" i="11"/>
  <c r="L508" i="11"/>
  <c r="M494" i="11"/>
  <c r="M496" i="11"/>
  <c r="M497" i="11"/>
  <c r="M508" i="11"/>
  <c r="N494" i="11"/>
  <c r="N496" i="11"/>
  <c r="N497" i="11"/>
  <c r="N508" i="11"/>
  <c r="O494" i="11"/>
  <c r="O496" i="11"/>
  <c r="O497" i="11"/>
  <c r="O508" i="11"/>
  <c r="P494" i="11"/>
  <c r="P496" i="11"/>
  <c r="P497" i="11"/>
  <c r="P508" i="11"/>
  <c r="Q494" i="11"/>
  <c r="Q496" i="11"/>
  <c r="Q497" i="11"/>
  <c r="Q508" i="11"/>
  <c r="A31" i="11"/>
  <c r="A73" i="11"/>
  <c r="A130" i="11"/>
  <c r="A187" i="11"/>
  <c r="A245" i="11"/>
  <c r="A339" i="11"/>
  <c r="A377" i="11"/>
  <c r="A426" i="11"/>
  <c r="L31" i="11"/>
  <c r="L73" i="11"/>
  <c r="L130" i="11"/>
  <c r="L187" i="11"/>
  <c r="L245" i="11"/>
  <c r="L339" i="11"/>
  <c r="L377" i="11"/>
  <c r="L426" i="11"/>
  <c r="L492" i="11"/>
  <c r="M31" i="11"/>
  <c r="M73" i="11"/>
  <c r="M130" i="11"/>
  <c r="M187" i="11"/>
  <c r="M245" i="11"/>
  <c r="M339" i="11"/>
  <c r="M377" i="11"/>
  <c r="M426" i="11"/>
  <c r="M492" i="11"/>
  <c r="N31" i="11"/>
  <c r="N73" i="11"/>
  <c r="N130" i="11"/>
  <c r="N187" i="11"/>
  <c r="N245" i="11"/>
  <c r="N339" i="11"/>
  <c r="N377" i="11"/>
  <c r="N426" i="11"/>
  <c r="N492" i="11"/>
  <c r="O31" i="11"/>
  <c r="O73" i="11"/>
  <c r="O130" i="11"/>
  <c r="O187" i="11"/>
  <c r="O245" i="11"/>
  <c r="O339" i="11"/>
  <c r="O377" i="11"/>
  <c r="O426" i="11"/>
  <c r="O492" i="11"/>
  <c r="P31" i="11"/>
  <c r="P73" i="11"/>
  <c r="P130" i="11"/>
  <c r="P187" i="11"/>
  <c r="P245" i="11"/>
  <c r="P339" i="11"/>
  <c r="P377" i="11"/>
  <c r="P426" i="11"/>
  <c r="P492" i="11"/>
  <c r="Q31" i="11"/>
  <c r="Q73" i="11"/>
  <c r="Q130" i="11"/>
  <c r="Q187" i="11"/>
  <c r="Q245" i="11"/>
  <c r="Q339" i="11"/>
  <c r="Q377" i="11"/>
  <c r="Q426" i="11"/>
  <c r="Q492" i="11"/>
  <c r="A24" i="11"/>
  <c r="A107" i="11"/>
  <c r="A170" i="11"/>
  <c r="A218" i="11"/>
  <c r="A271" i="11"/>
  <c r="A327" i="11"/>
  <c r="A385" i="11"/>
  <c r="A442" i="11"/>
  <c r="L24" i="11"/>
  <c r="L107" i="11"/>
  <c r="L170" i="11"/>
  <c r="L218" i="11"/>
  <c r="L271" i="11"/>
  <c r="L327" i="11"/>
  <c r="L385" i="11"/>
  <c r="L442" i="11"/>
  <c r="M24" i="11"/>
  <c r="M107" i="11"/>
  <c r="M170" i="11"/>
  <c r="M218" i="11"/>
  <c r="M271" i="11"/>
  <c r="M327" i="11"/>
  <c r="M385" i="11"/>
  <c r="M442" i="11"/>
  <c r="N24" i="11"/>
  <c r="N107" i="11"/>
  <c r="N170" i="11"/>
  <c r="N218" i="11"/>
  <c r="N271" i="11"/>
  <c r="N327" i="11"/>
  <c r="N385" i="11"/>
  <c r="N442" i="11"/>
  <c r="O24" i="11"/>
  <c r="O107" i="11"/>
  <c r="O170" i="11"/>
  <c r="O218" i="11"/>
  <c r="O271" i="11"/>
  <c r="O327" i="11"/>
  <c r="O385" i="11"/>
  <c r="O442" i="11"/>
  <c r="P24" i="11"/>
  <c r="P107" i="11"/>
  <c r="P170" i="11"/>
  <c r="P218" i="11"/>
  <c r="P271" i="11"/>
  <c r="P327" i="11"/>
  <c r="P385" i="11"/>
  <c r="P442" i="11"/>
  <c r="Q24" i="11"/>
  <c r="Q107" i="11"/>
  <c r="Q170" i="11"/>
  <c r="Q218" i="11"/>
  <c r="Q271" i="11"/>
  <c r="Q327" i="11"/>
  <c r="Q385" i="11"/>
  <c r="Q442" i="11"/>
  <c r="A66" i="11"/>
  <c r="A150" i="11"/>
  <c r="A202" i="11"/>
  <c r="A258" i="11"/>
  <c r="A315" i="11"/>
  <c r="A405" i="11"/>
  <c r="A450" i="11"/>
  <c r="L66" i="11"/>
  <c r="L150" i="11"/>
  <c r="L202" i="11"/>
  <c r="L258" i="11"/>
  <c r="L315" i="11"/>
  <c r="L405" i="11"/>
  <c r="L450" i="11"/>
  <c r="M66" i="11"/>
  <c r="M150" i="11"/>
  <c r="M202" i="11"/>
  <c r="M258" i="11"/>
  <c r="M315" i="11"/>
  <c r="M405" i="11"/>
  <c r="M450" i="11"/>
  <c r="N66" i="11"/>
  <c r="N150" i="11"/>
  <c r="N202" i="11"/>
  <c r="N258" i="11"/>
  <c r="N315" i="11"/>
  <c r="N405" i="11"/>
  <c r="N450" i="11"/>
  <c r="O66" i="11"/>
  <c r="O150" i="11"/>
  <c r="O202" i="11"/>
  <c r="O258" i="11"/>
  <c r="O315" i="11"/>
  <c r="O405" i="11"/>
  <c r="O450" i="11"/>
  <c r="P66" i="11"/>
  <c r="P150" i="11"/>
  <c r="P202" i="11"/>
  <c r="P258" i="11"/>
  <c r="P315" i="11"/>
  <c r="P405" i="11"/>
  <c r="P450" i="11"/>
  <c r="Q66" i="11"/>
  <c r="Q150" i="11"/>
  <c r="Q202" i="11"/>
  <c r="Q258" i="11"/>
  <c r="Q315" i="11"/>
  <c r="Q405" i="11"/>
  <c r="Q450" i="11"/>
  <c r="A17" i="11"/>
  <c r="L17" i="11"/>
  <c r="M17" i="11"/>
  <c r="N17" i="11"/>
  <c r="O17" i="11"/>
  <c r="P17" i="11"/>
  <c r="Q17" i="11"/>
  <c r="A38" i="11"/>
  <c r="A77" i="11"/>
  <c r="A133" i="11"/>
  <c r="A190" i="11"/>
  <c r="A248" i="11"/>
  <c r="A358" i="11"/>
  <c r="A408" i="11"/>
  <c r="A460" i="11"/>
  <c r="A88" i="11"/>
  <c r="A140" i="11"/>
  <c r="A227" i="11"/>
  <c r="A253" i="11"/>
  <c r="A342" i="11"/>
  <c r="A411" i="11"/>
  <c r="L88" i="11"/>
  <c r="L140" i="11"/>
  <c r="L227" i="11"/>
  <c r="L253" i="11"/>
  <c r="L342" i="11"/>
  <c r="L411" i="11"/>
  <c r="L481" i="11"/>
  <c r="M88" i="11"/>
  <c r="M140" i="11"/>
  <c r="M227" i="11"/>
  <c r="M253" i="11"/>
  <c r="M342" i="11"/>
  <c r="M411" i="11"/>
  <c r="M481" i="11"/>
  <c r="N88" i="11"/>
  <c r="N140" i="11"/>
  <c r="N227" i="11"/>
  <c r="N253" i="11"/>
  <c r="N342" i="11"/>
  <c r="N411" i="11"/>
  <c r="N481" i="11"/>
  <c r="O88" i="11"/>
  <c r="O140" i="11"/>
  <c r="O227" i="11"/>
  <c r="O253" i="11"/>
  <c r="O342" i="11"/>
  <c r="O411" i="11"/>
  <c r="O481" i="11"/>
  <c r="P88" i="11"/>
  <c r="P140" i="11"/>
  <c r="P227" i="11"/>
  <c r="P253" i="11"/>
  <c r="P342" i="11"/>
  <c r="P411" i="11"/>
  <c r="P481" i="11"/>
  <c r="Q88" i="11"/>
  <c r="Q140" i="11"/>
  <c r="Q227" i="11"/>
  <c r="Q253" i="11"/>
  <c r="Q342" i="11"/>
  <c r="Q411" i="11"/>
  <c r="Q481" i="11"/>
  <c r="A54" i="11"/>
  <c r="L54" i="11"/>
  <c r="M54" i="11"/>
  <c r="N54" i="11"/>
  <c r="O54" i="11"/>
  <c r="P54" i="11"/>
  <c r="Q54" i="11"/>
  <c r="J23" i="15" l="1"/>
  <c r="J29" i="15"/>
  <c r="J28" i="15"/>
  <c r="J19" i="15"/>
  <c r="J26" i="15"/>
  <c r="J30" i="15"/>
  <c r="J27" i="15"/>
  <c r="J22" i="15"/>
  <c r="J20" i="15"/>
  <c r="J21" i="15"/>
  <c r="K23" i="15"/>
  <c r="A58" i="11"/>
  <c r="A91" i="11"/>
  <c r="A142" i="11"/>
  <c r="A196" i="11"/>
  <c r="A267" i="11"/>
  <c r="A324" i="11"/>
  <c r="A371" i="11"/>
  <c r="A464" i="11"/>
  <c r="A14" i="11"/>
  <c r="A65" i="11"/>
  <c r="A126" i="11"/>
  <c r="A201" i="11"/>
  <c r="A257" i="11"/>
  <c r="A325" i="11"/>
  <c r="A382" i="11"/>
  <c r="A467" i="11"/>
  <c r="L58" i="11"/>
  <c r="L91" i="11"/>
  <c r="L142" i="11"/>
  <c r="L196" i="11"/>
  <c r="L267" i="11"/>
  <c r="L324" i="11"/>
  <c r="L371" i="11"/>
  <c r="L464" i="11"/>
  <c r="L14" i="11"/>
  <c r="L65" i="11"/>
  <c r="L126" i="11"/>
  <c r="L201" i="11"/>
  <c r="L257" i="11"/>
  <c r="L325" i="11"/>
  <c r="L382" i="11"/>
  <c r="L467" i="11"/>
  <c r="M58" i="11"/>
  <c r="M91" i="11"/>
  <c r="M142" i="11"/>
  <c r="M196" i="11"/>
  <c r="M267" i="11"/>
  <c r="M324" i="11"/>
  <c r="M371" i="11"/>
  <c r="M464" i="11"/>
  <c r="M14" i="11"/>
  <c r="M65" i="11"/>
  <c r="M126" i="11"/>
  <c r="M201" i="11"/>
  <c r="M257" i="11"/>
  <c r="M325" i="11"/>
  <c r="M382" i="11"/>
  <c r="M467" i="11"/>
  <c r="N58" i="11"/>
  <c r="N91" i="11"/>
  <c r="N142" i="11"/>
  <c r="N196" i="11"/>
  <c r="N267" i="11"/>
  <c r="N324" i="11"/>
  <c r="N371" i="11"/>
  <c r="N464" i="11"/>
  <c r="N14" i="11"/>
  <c r="N65" i="11"/>
  <c r="N126" i="11"/>
  <c r="N201" i="11"/>
  <c r="N257" i="11"/>
  <c r="N325" i="11"/>
  <c r="N382" i="11"/>
  <c r="N467" i="11"/>
  <c r="O58" i="11"/>
  <c r="O91" i="11"/>
  <c r="O142" i="11"/>
  <c r="O196" i="11"/>
  <c r="O267" i="11"/>
  <c r="O324" i="11"/>
  <c r="O371" i="11"/>
  <c r="O464" i="11"/>
  <c r="O14" i="11"/>
  <c r="O65" i="11"/>
  <c r="O126" i="11"/>
  <c r="O201" i="11"/>
  <c r="O257" i="11"/>
  <c r="O325" i="11"/>
  <c r="O382" i="11"/>
  <c r="O467" i="11"/>
  <c r="P58" i="11"/>
  <c r="P91" i="11"/>
  <c r="P142" i="11"/>
  <c r="P196" i="11"/>
  <c r="P267" i="11"/>
  <c r="P324" i="11"/>
  <c r="P371" i="11"/>
  <c r="P464" i="11"/>
  <c r="P14" i="11"/>
  <c r="P65" i="11"/>
  <c r="P126" i="11"/>
  <c r="P201" i="11"/>
  <c r="P257" i="11"/>
  <c r="P325" i="11"/>
  <c r="P382" i="11"/>
  <c r="P467" i="11"/>
  <c r="Q58" i="11"/>
  <c r="Q91" i="11"/>
  <c r="Q142" i="11"/>
  <c r="Q196" i="11"/>
  <c r="Q267" i="11"/>
  <c r="Q324" i="11"/>
  <c r="Q371" i="11"/>
  <c r="Q464" i="11"/>
  <c r="Q14" i="11"/>
  <c r="Q65" i="11"/>
  <c r="Q126" i="11"/>
  <c r="Q201" i="11"/>
  <c r="Q257" i="11"/>
  <c r="Q325" i="11"/>
  <c r="Q382" i="11"/>
  <c r="Q467" i="11"/>
  <c r="A149" i="11"/>
  <c r="A234" i="11"/>
  <c r="A293" i="11"/>
  <c r="A354" i="11"/>
  <c r="A398" i="11"/>
  <c r="A475" i="11"/>
  <c r="A32" i="11"/>
  <c r="A74" i="11"/>
  <c r="A131" i="11"/>
  <c r="A188" i="11"/>
  <c r="A246" i="11"/>
  <c r="A307" i="11"/>
  <c r="A366" i="11"/>
  <c r="A478" i="11"/>
  <c r="A10" i="11"/>
  <c r="A99" i="11"/>
  <c r="A166" i="11"/>
  <c r="A232" i="11"/>
  <c r="A292" i="11"/>
  <c r="A353" i="11"/>
  <c r="A414" i="11"/>
  <c r="A474" i="11"/>
  <c r="A22" i="11"/>
  <c r="A105" i="11"/>
  <c r="A169" i="11"/>
  <c r="A236" i="11"/>
  <c r="A294" i="11"/>
  <c r="A356" i="11"/>
  <c r="A415" i="11"/>
  <c r="A477" i="11"/>
  <c r="L149" i="11"/>
  <c r="L234" i="11"/>
  <c r="L293" i="11"/>
  <c r="L354" i="11"/>
  <c r="L398" i="11"/>
  <c r="L475" i="11"/>
  <c r="L32" i="11"/>
  <c r="L74" i="11"/>
  <c r="L131" i="11"/>
  <c r="L188" i="11"/>
  <c r="L246" i="11"/>
  <c r="L307" i="11"/>
  <c r="L366" i="11"/>
  <c r="L478" i="11"/>
  <c r="L10" i="11"/>
  <c r="L99" i="11"/>
  <c r="L166" i="11"/>
  <c r="L232" i="11"/>
  <c r="L292" i="11"/>
  <c r="L353" i="11"/>
  <c r="L414" i="11"/>
  <c r="L474" i="11"/>
  <c r="L22" i="11"/>
  <c r="L105" i="11"/>
  <c r="L169" i="11"/>
  <c r="L236" i="11"/>
  <c r="L294" i="11"/>
  <c r="L356" i="11"/>
  <c r="L415" i="11"/>
  <c r="L477" i="11"/>
  <c r="M149" i="11"/>
  <c r="M234" i="11"/>
  <c r="M293" i="11"/>
  <c r="M354" i="11"/>
  <c r="M398" i="11"/>
  <c r="M475" i="11"/>
  <c r="M32" i="11"/>
  <c r="M74" i="11"/>
  <c r="M131" i="11"/>
  <c r="M188" i="11"/>
  <c r="M246" i="11"/>
  <c r="M307" i="11"/>
  <c r="M366" i="11"/>
  <c r="M478" i="11"/>
  <c r="M10" i="11"/>
  <c r="M99" i="11"/>
  <c r="M166" i="11"/>
  <c r="M232" i="11"/>
  <c r="M292" i="11"/>
  <c r="M353" i="11"/>
  <c r="M414" i="11"/>
  <c r="M474" i="11"/>
  <c r="M22" i="11"/>
  <c r="M105" i="11"/>
  <c r="M169" i="11"/>
  <c r="M236" i="11"/>
  <c r="M294" i="11"/>
  <c r="M356" i="11"/>
  <c r="M415" i="11"/>
  <c r="M477" i="11"/>
  <c r="N149" i="11"/>
  <c r="N234" i="11"/>
  <c r="N293" i="11"/>
  <c r="N354" i="11"/>
  <c r="N398" i="11"/>
  <c r="N475" i="11"/>
  <c r="N32" i="11"/>
  <c r="N74" i="11"/>
  <c r="N131" i="11"/>
  <c r="N188" i="11"/>
  <c r="N246" i="11"/>
  <c r="N307" i="11"/>
  <c r="N366" i="11"/>
  <c r="N478" i="11"/>
  <c r="N10" i="11"/>
  <c r="N99" i="11"/>
  <c r="N166" i="11"/>
  <c r="N232" i="11"/>
  <c r="N292" i="11"/>
  <c r="N353" i="11"/>
  <c r="N414" i="11"/>
  <c r="N474" i="11"/>
  <c r="N22" i="11"/>
  <c r="N105" i="11"/>
  <c r="N169" i="11"/>
  <c r="N236" i="11"/>
  <c r="N294" i="11"/>
  <c r="N356" i="11"/>
  <c r="N415" i="11"/>
  <c r="N477" i="11"/>
  <c r="O149" i="11"/>
  <c r="O234" i="11"/>
  <c r="O293" i="11"/>
  <c r="O354" i="11"/>
  <c r="O398" i="11"/>
  <c r="O475" i="11"/>
  <c r="O32" i="11"/>
  <c r="O74" i="11"/>
  <c r="O131" i="11"/>
  <c r="O188" i="11"/>
  <c r="O246" i="11"/>
  <c r="O307" i="11"/>
  <c r="O366" i="11"/>
  <c r="O478" i="11"/>
  <c r="O10" i="11"/>
  <c r="O99" i="11"/>
  <c r="O166" i="11"/>
  <c r="O232" i="11"/>
  <c r="O292" i="11"/>
  <c r="O353" i="11"/>
  <c r="O414" i="11"/>
  <c r="O474" i="11"/>
  <c r="O22" i="11"/>
  <c r="O105" i="11"/>
  <c r="O169" i="11"/>
  <c r="O236" i="11"/>
  <c r="O294" i="11"/>
  <c r="O356" i="11"/>
  <c r="O415" i="11"/>
  <c r="O477" i="11"/>
  <c r="P149" i="11"/>
  <c r="P234" i="11"/>
  <c r="P293" i="11"/>
  <c r="P354" i="11"/>
  <c r="P398" i="11"/>
  <c r="P475" i="11"/>
  <c r="P32" i="11"/>
  <c r="P74" i="11"/>
  <c r="P131" i="11"/>
  <c r="P188" i="11"/>
  <c r="P246" i="11"/>
  <c r="P307" i="11"/>
  <c r="P366" i="11"/>
  <c r="P478" i="11"/>
  <c r="P10" i="11"/>
  <c r="P99" i="11"/>
  <c r="P166" i="11"/>
  <c r="P232" i="11"/>
  <c r="P292" i="11"/>
  <c r="P353" i="11"/>
  <c r="P414" i="11"/>
  <c r="P474" i="11"/>
  <c r="P22" i="11"/>
  <c r="P105" i="11"/>
  <c r="P169" i="11"/>
  <c r="P236" i="11"/>
  <c r="P294" i="11"/>
  <c r="P356" i="11"/>
  <c r="P415" i="11"/>
  <c r="P477" i="11"/>
  <c r="Q149" i="11"/>
  <c r="Q234" i="11"/>
  <c r="Q293" i="11"/>
  <c r="Q354" i="11"/>
  <c r="Q398" i="11"/>
  <c r="Q475" i="11"/>
  <c r="Q32" i="11"/>
  <c r="Q74" i="11"/>
  <c r="Q131" i="11"/>
  <c r="Q188" i="11"/>
  <c r="Q246" i="11"/>
  <c r="Q307" i="11"/>
  <c r="Q366" i="11"/>
  <c r="Q478" i="11"/>
  <c r="Q10" i="11"/>
  <c r="Q99" i="11"/>
  <c r="Q166" i="11"/>
  <c r="Q232" i="11"/>
  <c r="Q292" i="11"/>
  <c r="Q353" i="11"/>
  <c r="Q414" i="11"/>
  <c r="Q474" i="11"/>
  <c r="Q22" i="11"/>
  <c r="Q105" i="11"/>
  <c r="Q169" i="11"/>
  <c r="Q236" i="11"/>
  <c r="Q294" i="11"/>
  <c r="Q356" i="11"/>
  <c r="Q415" i="11"/>
  <c r="Q477" i="11"/>
  <c r="A285" i="11"/>
  <c r="A357" i="11"/>
  <c r="A407" i="11"/>
  <c r="A46" i="11"/>
  <c r="A82" i="11"/>
  <c r="A135" i="11"/>
  <c r="A192" i="11"/>
  <c r="A250" i="11"/>
  <c r="A310" i="11"/>
  <c r="A369" i="11"/>
  <c r="A429" i="11"/>
  <c r="A26" i="11"/>
  <c r="A70" i="11"/>
  <c r="A153" i="11"/>
  <c r="A205" i="11"/>
  <c r="A261" i="11"/>
  <c r="A318" i="11"/>
  <c r="A376" i="11"/>
  <c r="A435" i="11"/>
  <c r="A25" i="11"/>
  <c r="A108" i="11"/>
  <c r="A171" i="11"/>
  <c r="A219" i="11"/>
  <c r="A272" i="11"/>
  <c r="A328" i="11"/>
  <c r="A386" i="11"/>
  <c r="A443" i="11"/>
  <c r="A34" i="11"/>
  <c r="A112" i="11"/>
  <c r="A174" i="11"/>
  <c r="A222" i="11"/>
  <c r="A296" i="11"/>
  <c r="A346" i="11"/>
  <c r="A416" i="11"/>
  <c r="A11" i="11"/>
  <c r="A100" i="11"/>
  <c r="A147" i="11"/>
  <c r="A233" i="11"/>
  <c r="A281" i="11"/>
  <c r="A337" i="11"/>
  <c r="A392" i="11"/>
  <c r="A449" i="11"/>
  <c r="A15" i="11"/>
  <c r="A102" i="11"/>
  <c r="L285" i="11"/>
  <c r="L357" i="11"/>
  <c r="L407" i="11"/>
  <c r="L46" i="11"/>
  <c r="L82" i="11"/>
  <c r="L135" i="11"/>
  <c r="L192" i="11"/>
  <c r="L250" i="11"/>
  <c r="L310" i="11"/>
  <c r="L369" i="11"/>
  <c r="L429" i="11"/>
  <c r="L26" i="11"/>
  <c r="L70" i="11"/>
  <c r="L153" i="11"/>
  <c r="L205" i="11"/>
  <c r="L261" i="11"/>
  <c r="L318" i="11"/>
  <c r="L376" i="11"/>
  <c r="L435" i="11"/>
  <c r="L25" i="11"/>
  <c r="L108" i="11"/>
  <c r="L171" i="11"/>
  <c r="L219" i="11"/>
  <c r="L272" i="11"/>
  <c r="L328" i="11"/>
  <c r="L386" i="11"/>
  <c r="L443" i="11"/>
  <c r="L34" i="11"/>
  <c r="L112" i="11"/>
  <c r="L174" i="11"/>
  <c r="L222" i="11"/>
  <c r="L296" i="11"/>
  <c r="L346" i="11"/>
  <c r="L416" i="11"/>
  <c r="L479" i="11"/>
  <c r="L11" i="11"/>
  <c r="L100" i="11"/>
  <c r="L147" i="11"/>
  <c r="L233" i="11"/>
  <c r="L281" i="11"/>
  <c r="L337" i="11"/>
  <c r="L392" i="11"/>
  <c r="L449" i="11"/>
  <c r="L15" i="11"/>
  <c r="L102" i="11"/>
  <c r="M285" i="11"/>
  <c r="M357" i="11"/>
  <c r="M407" i="11"/>
  <c r="M46" i="11"/>
  <c r="M82" i="11"/>
  <c r="M135" i="11"/>
  <c r="M192" i="11"/>
  <c r="M250" i="11"/>
  <c r="M310" i="11"/>
  <c r="M369" i="11"/>
  <c r="M429" i="11"/>
  <c r="M26" i="11"/>
  <c r="M70" i="11"/>
  <c r="M153" i="11"/>
  <c r="M205" i="11"/>
  <c r="M261" i="11"/>
  <c r="M318" i="11"/>
  <c r="M376" i="11"/>
  <c r="M435" i="11"/>
  <c r="M25" i="11"/>
  <c r="M108" i="11"/>
  <c r="M171" i="11"/>
  <c r="M219" i="11"/>
  <c r="M272" i="11"/>
  <c r="M328" i="11"/>
  <c r="M386" i="11"/>
  <c r="M443" i="11"/>
  <c r="M34" i="11"/>
  <c r="M112" i="11"/>
  <c r="M174" i="11"/>
  <c r="M222" i="11"/>
  <c r="M296" i="11"/>
  <c r="M346" i="11"/>
  <c r="M416" i="11"/>
  <c r="M479" i="11"/>
  <c r="M11" i="11"/>
  <c r="M100" i="11"/>
  <c r="M147" i="11"/>
  <c r="M233" i="11"/>
  <c r="M281" i="11"/>
  <c r="M337" i="11"/>
  <c r="M392" i="11"/>
  <c r="M449" i="11"/>
  <c r="M15" i="11"/>
  <c r="M102" i="11"/>
  <c r="N285" i="11"/>
  <c r="N357" i="11"/>
  <c r="N407" i="11"/>
  <c r="N46" i="11"/>
  <c r="N82" i="11"/>
  <c r="N135" i="11"/>
  <c r="N192" i="11"/>
  <c r="N250" i="11"/>
  <c r="N310" i="11"/>
  <c r="N369" i="11"/>
  <c r="N429" i="11"/>
  <c r="N26" i="11"/>
  <c r="N70" i="11"/>
  <c r="N153" i="11"/>
  <c r="N205" i="11"/>
  <c r="N261" i="11"/>
  <c r="N318" i="11"/>
  <c r="N376" i="11"/>
  <c r="N435" i="11"/>
  <c r="N25" i="11"/>
  <c r="N108" i="11"/>
  <c r="N171" i="11"/>
  <c r="N219" i="11"/>
  <c r="N272" i="11"/>
  <c r="N328" i="11"/>
  <c r="N386" i="11"/>
  <c r="N443" i="11"/>
  <c r="N34" i="11"/>
  <c r="N112" i="11"/>
  <c r="N174" i="11"/>
  <c r="N222" i="11"/>
  <c r="N296" i="11"/>
  <c r="N346" i="11"/>
  <c r="N416" i="11"/>
  <c r="N479" i="11"/>
  <c r="N11" i="11"/>
  <c r="N100" i="11"/>
  <c r="N147" i="11"/>
  <c r="N233" i="11"/>
  <c r="N281" i="11"/>
  <c r="N337" i="11"/>
  <c r="N392" i="11"/>
  <c r="N449" i="11"/>
  <c r="N15" i="11"/>
  <c r="N102" i="11"/>
  <c r="O285" i="11"/>
  <c r="O357" i="11"/>
  <c r="O407" i="11"/>
  <c r="O46" i="11"/>
  <c r="O82" i="11"/>
  <c r="O135" i="11"/>
  <c r="O192" i="11"/>
  <c r="O250" i="11"/>
  <c r="O310" i="11"/>
  <c r="O369" i="11"/>
  <c r="O429" i="11"/>
  <c r="O26" i="11"/>
  <c r="O70" i="11"/>
  <c r="O153" i="11"/>
  <c r="O205" i="11"/>
  <c r="O261" i="11"/>
  <c r="O318" i="11"/>
  <c r="O376" i="11"/>
  <c r="O435" i="11"/>
  <c r="O25" i="11"/>
  <c r="O108" i="11"/>
  <c r="O171" i="11"/>
  <c r="O219" i="11"/>
  <c r="O272" i="11"/>
  <c r="O328" i="11"/>
  <c r="O386" i="11"/>
  <c r="O443" i="11"/>
  <c r="O34" i="11"/>
  <c r="O112" i="11"/>
  <c r="O174" i="11"/>
  <c r="O222" i="11"/>
  <c r="O296" i="11"/>
  <c r="O346" i="11"/>
  <c r="O416" i="11"/>
  <c r="O479" i="11"/>
  <c r="O11" i="11"/>
  <c r="O100" i="11"/>
  <c r="O147" i="11"/>
  <c r="O233" i="11"/>
  <c r="O281" i="11"/>
  <c r="O337" i="11"/>
  <c r="O392" i="11"/>
  <c r="O449" i="11"/>
  <c r="O15" i="11"/>
  <c r="O102" i="11"/>
  <c r="P285" i="11"/>
  <c r="P357" i="11"/>
  <c r="P407" i="11"/>
  <c r="P46" i="11"/>
  <c r="P82" i="11"/>
  <c r="P135" i="11"/>
  <c r="P192" i="11"/>
  <c r="P250" i="11"/>
  <c r="P310" i="11"/>
  <c r="P369" i="11"/>
  <c r="P429" i="11"/>
  <c r="P26" i="11"/>
  <c r="P70" i="11"/>
  <c r="P153" i="11"/>
  <c r="P205" i="11"/>
  <c r="P261" i="11"/>
  <c r="P318" i="11"/>
  <c r="P376" i="11"/>
  <c r="P435" i="11"/>
  <c r="P25" i="11"/>
  <c r="P108" i="11"/>
  <c r="P171" i="11"/>
  <c r="P219" i="11"/>
  <c r="P272" i="11"/>
  <c r="P328" i="11"/>
  <c r="P386" i="11"/>
  <c r="P443" i="11"/>
  <c r="P34" i="11"/>
  <c r="P112" i="11"/>
  <c r="P174" i="11"/>
  <c r="P222" i="11"/>
  <c r="P296" i="11"/>
  <c r="P346" i="11"/>
  <c r="P416" i="11"/>
  <c r="P479" i="11"/>
  <c r="P11" i="11"/>
  <c r="P100" i="11"/>
  <c r="P147" i="11"/>
  <c r="P233" i="11"/>
  <c r="P281" i="11"/>
  <c r="P337" i="11"/>
  <c r="P392" i="11"/>
  <c r="P449" i="11"/>
  <c r="P15" i="11"/>
  <c r="P102" i="11"/>
  <c r="Q285" i="11"/>
  <c r="Q357" i="11"/>
  <c r="Q407" i="11"/>
  <c r="Q46" i="11"/>
  <c r="Q82" i="11"/>
  <c r="Q135" i="11"/>
  <c r="Q192" i="11"/>
  <c r="Q250" i="11"/>
  <c r="Q310" i="11"/>
  <c r="Q369" i="11"/>
  <c r="Q429" i="11"/>
  <c r="Q26" i="11"/>
  <c r="Q70" i="11"/>
  <c r="Q153" i="11"/>
  <c r="Q205" i="11"/>
  <c r="Q261" i="11"/>
  <c r="Q318" i="11"/>
  <c r="Q376" i="11"/>
  <c r="Q435" i="11"/>
  <c r="Q25" i="11"/>
  <c r="Q108" i="11"/>
  <c r="Q171" i="11"/>
  <c r="Q219" i="11"/>
  <c r="Q272" i="11"/>
  <c r="Q328" i="11"/>
  <c r="Q386" i="11"/>
  <c r="Q443" i="11"/>
  <c r="Q15" i="11"/>
  <c r="Q102" i="11"/>
  <c r="Q2" i="11"/>
  <c r="Q62" i="11"/>
  <c r="Q145" i="11"/>
  <c r="Q182" i="11"/>
  <c r="Q290" i="11"/>
  <c r="Q302" i="11"/>
  <c r="Q362" i="11"/>
  <c r="Q422" i="11"/>
  <c r="Q3" i="11"/>
  <c r="Q93" i="11"/>
  <c r="Q122" i="11"/>
  <c r="Q198" i="11"/>
  <c r="Q254" i="11"/>
  <c r="Q313" i="11"/>
  <c r="Q372" i="11"/>
  <c r="Q431" i="11"/>
  <c r="Q4" i="11"/>
  <c r="Q94" i="11"/>
  <c r="Q124" i="11"/>
  <c r="Q214" i="11"/>
  <c r="Q255" i="11"/>
  <c r="Q351" i="11"/>
  <c r="Q390" i="11"/>
  <c r="Q447" i="11"/>
  <c r="Q5" i="11"/>
  <c r="Q95" i="11"/>
  <c r="Q163" i="11"/>
  <c r="Q230" i="11"/>
  <c r="Q279" i="11"/>
  <c r="Q335" i="11"/>
  <c r="Q391" i="11"/>
  <c r="Q448" i="11"/>
  <c r="Q6" i="11"/>
  <c r="Q96" i="11"/>
  <c r="Q146" i="11"/>
  <c r="Q199" i="11"/>
  <c r="Q291" i="11"/>
  <c r="Q343" i="11"/>
  <c r="Q397" i="11"/>
  <c r="Q453" i="11"/>
  <c r="Q7" i="11"/>
  <c r="Q63" i="11"/>
  <c r="Q164" i="11"/>
  <c r="Q215" i="11"/>
  <c r="Q268" i="11"/>
  <c r="Q352" i="11"/>
  <c r="Q404" i="11"/>
  <c r="Q458" i="11"/>
  <c r="Q8" i="11"/>
  <c r="Q97" i="11"/>
  <c r="Q165" i="11"/>
  <c r="Q231" i="11"/>
  <c r="Q280" i="11"/>
  <c r="Q336" i="11"/>
  <c r="Q413" i="11"/>
  <c r="Q466" i="11"/>
  <c r="Q12" i="11"/>
  <c r="Q64" i="11"/>
  <c r="Q125" i="11"/>
  <c r="Q183" i="11"/>
  <c r="Q243" i="11"/>
  <c r="Q303" i="11"/>
  <c r="Q363" i="11"/>
  <c r="Q423" i="11"/>
  <c r="Q13" i="11"/>
  <c r="Q101" i="11"/>
  <c r="Q148" i="11"/>
  <c r="Q200" i="11"/>
  <c r="Q256" i="11"/>
  <c r="Q314" i="11"/>
  <c r="Q373" i="11"/>
  <c r="Q432" i="11"/>
  <c r="Q18" i="11"/>
  <c r="Q67" i="11"/>
  <c r="Q167" i="11"/>
  <c r="Q216" i="11"/>
  <c r="Q269" i="11"/>
  <c r="Q355" i="11"/>
  <c r="Q383" i="11"/>
  <c r="Q441" i="11"/>
  <c r="Q29" i="11"/>
  <c r="Q110" i="11"/>
  <c r="Q172" i="11"/>
  <c r="Q220" i="11"/>
  <c r="Q273" i="11"/>
  <c r="Q329" i="11"/>
  <c r="Q387" i="11"/>
  <c r="Q470" i="11"/>
  <c r="Q33" i="11"/>
  <c r="Q111" i="11"/>
  <c r="Q155" i="11"/>
  <c r="Q207" i="11"/>
  <c r="Q295" i="11"/>
  <c r="Q345" i="11"/>
  <c r="Q400" i="11"/>
  <c r="Q454" i="11"/>
  <c r="Q35" i="11"/>
  <c r="Q75" i="11"/>
  <c r="Q132" i="11"/>
  <c r="Q189" i="11"/>
  <c r="Q247" i="11"/>
  <c r="Q308" i="11"/>
  <c r="Q367" i="11"/>
  <c r="Q427" i="11"/>
  <c r="Q37" i="11"/>
  <c r="Q113" i="11"/>
  <c r="Q156" i="11"/>
  <c r="Q208" i="11"/>
  <c r="Q262" i="11"/>
  <c r="Q347" i="11"/>
  <c r="Q417" i="11"/>
  <c r="Q471" i="11"/>
  <c r="Q39" i="11"/>
  <c r="Q114" i="11"/>
  <c r="Q157" i="11"/>
  <c r="Q209" i="11"/>
  <c r="Q263" i="11"/>
  <c r="Q319" i="11"/>
  <c r="Q378" i="11"/>
  <c r="Q437" i="11"/>
  <c r="Q40" i="11"/>
  <c r="Q78" i="11"/>
  <c r="Q176" i="11"/>
  <c r="Q223" i="11"/>
  <c r="Q275" i="11"/>
  <c r="Q331" i="11"/>
  <c r="Q389" i="11"/>
  <c r="Q461" i="11"/>
  <c r="Q41" i="11"/>
  <c r="Q79" i="11"/>
  <c r="Q134" i="11"/>
  <c r="Q238" i="11"/>
  <c r="Q286" i="11"/>
  <c r="Q340" i="11"/>
  <c r="Q394" i="11"/>
  <c r="Q438" i="11"/>
  <c r="Q42" i="11"/>
  <c r="Q80" i="11"/>
  <c r="Q177" i="11"/>
  <c r="Q224" i="11"/>
  <c r="Q297" i="11"/>
  <c r="Q348" i="11"/>
  <c r="Q401" i="11"/>
  <c r="Q455" i="11"/>
  <c r="Q43" i="11"/>
  <c r="Q115" i="11"/>
  <c r="Q158" i="11"/>
  <c r="Q239" i="11"/>
  <c r="Q287" i="11"/>
  <c r="Q359" i="11"/>
  <c r="Q409" i="11"/>
  <c r="Q462" i="11"/>
  <c r="Q44" i="11"/>
  <c r="Q116" i="11"/>
  <c r="Q159" i="11"/>
  <c r="Q210" i="11"/>
  <c r="Q264" i="11"/>
  <c r="Q320" i="11"/>
  <c r="Q418" i="11"/>
  <c r="Q480" i="11"/>
  <c r="Q45" i="11"/>
  <c r="Q81" i="11"/>
  <c r="Q178" i="11"/>
  <c r="Q191" i="11"/>
  <c r="Q249" i="11"/>
  <c r="Q309" i="11"/>
  <c r="Q368" i="11"/>
  <c r="Q428" i="11"/>
  <c r="Q47" i="11"/>
  <c r="Q117" i="11"/>
  <c r="Q160" i="11"/>
  <c r="Q211" i="11"/>
  <c r="Q265" i="11"/>
  <c r="Q321" i="11"/>
  <c r="Q379" i="11"/>
  <c r="Q439" i="11"/>
  <c r="Q48" i="11"/>
  <c r="Q83" i="11"/>
  <c r="Q179" i="11"/>
  <c r="Q225" i="11"/>
  <c r="Q276" i="11"/>
  <c r="Q332" i="11"/>
  <c r="Q380" i="11"/>
  <c r="Q445" i="11"/>
  <c r="Q49" i="11"/>
  <c r="Q118" i="11"/>
  <c r="Q180" i="11"/>
  <c r="Q226" i="11"/>
  <c r="Q298" i="11"/>
  <c r="Q349" i="11"/>
  <c r="Q402" i="11"/>
  <c r="Q456" i="11"/>
  <c r="Q50" i="11"/>
  <c r="Q84" i="11"/>
  <c r="Q136" i="11"/>
  <c r="Q240" i="11"/>
  <c r="Q288" i="11"/>
  <c r="Q341" i="11"/>
  <c r="Q395" i="11"/>
  <c r="Q451" i="11"/>
  <c r="Q51" i="11"/>
  <c r="Q85" i="11"/>
  <c r="Q137" i="11"/>
  <c r="Q193" i="11"/>
  <c r="Q299" i="11"/>
  <c r="Q360" i="11"/>
  <c r="Q410" i="11"/>
  <c r="Q463" i="11"/>
  <c r="Q52" i="11"/>
  <c r="Q86" i="11"/>
  <c r="Q138" i="11"/>
  <c r="Q194" i="11"/>
  <c r="Q251" i="11"/>
  <c r="Q311" i="11"/>
  <c r="Q419" i="11"/>
  <c r="Q472" i="11"/>
  <c r="Q53" i="11"/>
  <c r="Q87" i="11"/>
  <c r="Q139" i="11"/>
  <c r="Q195" i="11"/>
  <c r="Q252" i="11"/>
  <c r="Q312" i="11"/>
  <c r="Q370" i="11"/>
  <c r="Q430" i="11"/>
  <c r="Q55" i="11"/>
  <c r="Q119" i="11"/>
  <c r="Q161" i="11"/>
  <c r="Q212" i="11"/>
  <c r="Q289" i="11"/>
  <c r="Q322" i="11"/>
  <c r="Q381" i="11"/>
  <c r="Q440" i="11"/>
  <c r="Q56" i="11"/>
  <c r="Q89" i="11"/>
  <c r="Q141" i="11"/>
  <c r="Q213" i="11"/>
  <c r="Q266" i="11"/>
  <c r="Q323" i="11"/>
  <c r="Q396" i="11"/>
  <c r="Q452" i="11"/>
  <c r="Q57" i="11"/>
  <c r="Q90" i="11"/>
  <c r="Q181" i="11"/>
  <c r="Q228" i="11"/>
  <c r="Q277" i="11"/>
  <c r="Q333" i="11"/>
  <c r="Q420" i="11"/>
  <c r="Q446" i="11"/>
  <c r="Q59" i="11"/>
  <c r="Q120" i="11"/>
  <c r="Q162" i="11"/>
  <c r="Q241" i="11"/>
  <c r="Q300" i="11"/>
  <c r="Q350" i="11"/>
  <c r="Q403" i="11"/>
  <c r="Q457" i="11"/>
  <c r="Q60" i="11"/>
  <c r="Q121" i="11"/>
  <c r="Q143" i="11"/>
  <c r="Q197" i="11"/>
  <c r="Q301" i="11"/>
  <c r="Q361" i="11"/>
  <c r="Q412" i="11"/>
  <c r="Q465" i="11"/>
  <c r="Q61" i="11"/>
  <c r="Q36" i="11"/>
  <c r="Q76" i="11"/>
  <c r="Q175" i="11"/>
  <c r="Q237" i="11"/>
  <c r="A92" i="11"/>
  <c r="A144" i="11"/>
  <c r="A229" i="11"/>
  <c r="A278" i="11"/>
  <c r="A334" i="11"/>
  <c r="A421" i="11"/>
  <c r="A473" i="11"/>
  <c r="A36" i="11"/>
  <c r="A76" i="11"/>
  <c r="A175" i="11"/>
  <c r="A237" i="11"/>
  <c r="L92" i="11"/>
  <c r="L144" i="11"/>
  <c r="L229" i="11"/>
  <c r="L278" i="11"/>
  <c r="L334" i="11"/>
  <c r="L421" i="11"/>
  <c r="L473" i="11"/>
  <c r="L36" i="11"/>
  <c r="L76" i="11"/>
  <c r="L175" i="11"/>
  <c r="L237" i="11"/>
  <c r="M92" i="11"/>
  <c r="M144" i="11"/>
  <c r="M229" i="11"/>
  <c r="M278" i="11"/>
  <c r="M334" i="11"/>
  <c r="M421" i="11"/>
  <c r="M473" i="11"/>
  <c r="M36" i="11"/>
  <c r="M76" i="11"/>
  <c r="M175" i="11"/>
  <c r="M237" i="11"/>
  <c r="N92" i="11"/>
  <c r="N144" i="11"/>
  <c r="N229" i="11"/>
  <c r="N278" i="11"/>
  <c r="N334" i="11"/>
  <c r="N421" i="11"/>
  <c r="N473" i="11"/>
  <c r="N36" i="11"/>
  <c r="N76" i="11"/>
  <c r="N175" i="11"/>
  <c r="N237" i="11"/>
  <c r="O92" i="11"/>
  <c r="O144" i="11"/>
  <c r="O229" i="11"/>
  <c r="O278" i="11"/>
  <c r="O334" i="11"/>
  <c r="O421" i="11"/>
  <c r="O473" i="11"/>
  <c r="O36" i="11"/>
  <c r="O76" i="11"/>
  <c r="O175" i="11"/>
  <c r="O237" i="11"/>
  <c r="P92" i="11"/>
  <c r="P144" i="11"/>
  <c r="P229" i="11"/>
  <c r="P278" i="11"/>
  <c r="P334" i="11"/>
  <c r="P421" i="11"/>
  <c r="P473" i="11"/>
  <c r="P36" i="11"/>
  <c r="P76" i="11"/>
  <c r="P175" i="11"/>
  <c r="P237" i="11"/>
  <c r="A143" i="11"/>
  <c r="A197" i="11"/>
  <c r="A301" i="11"/>
  <c r="A361" i="11"/>
  <c r="A412" i="11"/>
  <c r="A465" i="11"/>
  <c r="A61" i="11"/>
  <c r="L143" i="11"/>
  <c r="L197" i="11"/>
  <c r="L301" i="11"/>
  <c r="L361" i="11"/>
  <c r="L412" i="11"/>
  <c r="L465" i="11"/>
  <c r="L61" i="11"/>
  <c r="M143" i="11"/>
  <c r="M197" i="11"/>
  <c r="M301" i="11"/>
  <c r="M361" i="11"/>
  <c r="M412" i="11"/>
  <c r="M465" i="11"/>
  <c r="M61" i="11"/>
  <c r="N143" i="11"/>
  <c r="N197" i="11"/>
  <c r="N301" i="11"/>
  <c r="N361" i="11"/>
  <c r="N412" i="11"/>
  <c r="N465" i="11"/>
  <c r="N61" i="11"/>
  <c r="O143" i="11"/>
  <c r="O197" i="11"/>
  <c r="O301" i="11"/>
  <c r="O361" i="11"/>
  <c r="O412" i="11"/>
  <c r="O465" i="11"/>
  <c r="O61" i="11"/>
  <c r="P143" i="11"/>
  <c r="P197" i="11"/>
  <c r="P301" i="11"/>
  <c r="P361" i="11"/>
  <c r="P412" i="11"/>
  <c r="P465" i="11"/>
  <c r="P61" i="11"/>
  <c r="A241" i="11"/>
  <c r="A300" i="11"/>
  <c r="A350" i="11"/>
  <c r="A403" i="11"/>
  <c r="A457" i="11"/>
  <c r="A60" i="11"/>
  <c r="A121" i="11"/>
  <c r="L241" i="11"/>
  <c r="L300" i="11"/>
  <c r="L350" i="11"/>
  <c r="L403" i="11"/>
  <c r="L457" i="11"/>
  <c r="L60" i="11"/>
  <c r="L121" i="11"/>
  <c r="M241" i="11"/>
  <c r="M300" i="11"/>
  <c r="M350" i="11"/>
  <c r="M403" i="11"/>
  <c r="M457" i="11"/>
  <c r="M60" i="11"/>
  <c r="M121" i="11"/>
  <c r="N241" i="11"/>
  <c r="N300" i="11"/>
  <c r="N350" i="11"/>
  <c r="N403" i="11"/>
  <c r="N457" i="11"/>
  <c r="N60" i="11"/>
  <c r="N121" i="11"/>
  <c r="O241" i="11"/>
  <c r="O300" i="11"/>
  <c r="O350" i="11"/>
  <c r="O403" i="11"/>
  <c r="O457" i="11"/>
  <c r="O60" i="11"/>
  <c r="O121" i="11"/>
  <c r="P241" i="11"/>
  <c r="P300" i="11"/>
  <c r="P350" i="11"/>
  <c r="P403" i="11"/>
  <c r="P457" i="11"/>
  <c r="P60" i="11"/>
  <c r="P121" i="11"/>
  <c r="M62" i="11"/>
  <c r="N62" i="11"/>
  <c r="O62" i="11"/>
  <c r="P62" i="11"/>
  <c r="M145" i="11"/>
  <c r="N145" i="11"/>
  <c r="O145" i="11"/>
  <c r="P145" i="11"/>
  <c r="M182" i="11"/>
  <c r="N182" i="11"/>
  <c r="O182" i="11"/>
  <c r="P182" i="11"/>
  <c r="M290" i="11"/>
  <c r="N290" i="11"/>
  <c r="O290" i="11"/>
  <c r="P290" i="11"/>
  <c r="M302" i="11"/>
  <c r="N302" i="11"/>
  <c r="O302" i="11"/>
  <c r="P302" i="11"/>
  <c r="M362" i="11"/>
  <c r="N362" i="11"/>
  <c r="O362" i="11"/>
  <c r="P362" i="11"/>
  <c r="M422" i="11"/>
  <c r="N422" i="11"/>
  <c r="O422" i="11"/>
  <c r="P422" i="11"/>
  <c r="M3" i="11"/>
  <c r="N3" i="11"/>
  <c r="O3" i="11"/>
  <c r="P3" i="11"/>
  <c r="M93" i="11"/>
  <c r="N93" i="11"/>
  <c r="O93" i="11"/>
  <c r="P93" i="11"/>
  <c r="M122" i="11"/>
  <c r="N122" i="11"/>
  <c r="O122" i="11"/>
  <c r="P122" i="11"/>
  <c r="M198" i="11"/>
  <c r="N198" i="11"/>
  <c r="O198" i="11"/>
  <c r="P198" i="11"/>
  <c r="M254" i="11"/>
  <c r="N254" i="11"/>
  <c r="O254" i="11"/>
  <c r="P254" i="11"/>
  <c r="M313" i="11"/>
  <c r="N313" i="11"/>
  <c r="O313" i="11"/>
  <c r="P313" i="11"/>
  <c r="M372" i="11"/>
  <c r="N372" i="11"/>
  <c r="O372" i="11"/>
  <c r="P372" i="11"/>
  <c r="M431" i="11"/>
  <c r="N431" i="11"/>
  <c r="O431" i="11"/>
  <c r="P431" i="11"/>
  <c r="M4" i="11"/>
  <c r="N4" i="11"/>
  <c r="O4" i="11"/>
  <c r="P4" i="11"/>
  <c r="M94" i="11"/>
  <c r="N94" i="11"/>
  <c r="O94" i="11"/>
  <c r="P94" i="11"/>
  <c r="M124" i="11"/>
  <c r="N124" i="11"/>
  <c r="O124" i="11"/>
  <c r="P124" i="11"/>
  <c r="M214" i="11"/>
  <c r="N214" i="11"/>
  <c r="O214" i="11"/>
  <c r="P214" i="11"/>
  <c r="M255" i="11"/>
  <c r="N255" i="11"/>
  <c r="O255" i="11"/>
  <c r="P255" i="11"/>
  <c r="M351" i="11"/>
  <c r="N351" i="11"/>
  <c r="O351" i="11"/>
  <c r="P351" i="11"/>
  <c r="M390" i="11"/>
  <c r="N390" i="11"/>
  <c r="O390" i="11"/>
  <c r="P390" i="11"/>
  <c r="M447" i="11"/>
  <c r="N447" i="11"/>
  <c r="O447" i="11"/>
  <c r="P447" i="11"/>
  <c r="M5" i="11"/>
  <c r="N5" i="11"/>
  <c r="O5" i="11"/>
  <c r="P5" i="11"/>
  <c r="M95" i="11"/>
  <c r="N95" i="11"/>
  <c r="O95" i="11"/>
  <c r="P95" i="11"/>
  <c r="M163" i="11"/>
  <c r="N163" i="11"/>
  <c r="O163" i="11"/>
  <c r="P163" i="11"/>
  <c r="M230" i="11"/>
  <c r="N230" i="11"/>
  <c r="O230" i="11"/>
  <c r="P230" i="11"/>
  <c r="M279" i="11"/>
  <c r="N279" i="11"/>
  <c r="O279" i="11"/>
  <c r="P279" i="11"/>
  <c r="M335" i="11"/>
  <c r="N335" i="11"/>
  <c r="O335" i="11"/>
  <c r="P335" i="11"/>
  <c r="M391" i="11"/>
  <c r="N391" i="11"/>
  <c r="O391" i="11"/>
  <c r="P391" i="11"/>
  <c r="M448" i="11"/>
  <c r="N448" i="11"/>
  <c r="O448" i="11"/>
  <c r="P448" i="11"/>
  <c r="M6" i="11"/>
  <c r="N6" i="11"/>
  <c r="O6" i="11"/>
  <c r="P6" i="11"/>
  <c r="M96" i="11"/>
  <c r="N96" i="11"/>
  <c r="O96" i="11"/>
  <c r="P96" i="11"/>
  <c r="M146" i="11"/>
  <c r="N146" i="11"/>
  <c r="O146" i="11"/>
  <c r="P146" i="11"/>
  <c r="M199" i="11"/>
  <c r="N199" i="11"/>
  <c r="O199" i="11"/>
  <c r="P199" i="11"/>
  <c r="M291" i="11"/>
  <c r="N291" i="11"/>
  <c r="O291" i="11"/>
  <c r="P291" i="11"/>
  <c r="M343" i="11"/>
  <c r="N343" i="11"/>
  <c r="O343" i="11"/>
  <c r="P343" i="11"/>
  <c r="M397" i="11"/>
  <c r="N397" i="11"/>
  <c r="O397" i="11"/>
  <c r="P397" i="11"/>
  <c r="M453" i="11"/>
  <c r="N453" i="11"/>
  <c r="O453" i="11"/>
  <c r="P453" i="11"/>
  <c r="M7" i="11"/>
  <c r="N7" i="11"/>
  <c r="O7" i="11"/>
  <c r="P7" i="11"/>
  <c r="M63" i="11"/>
  <c r="N63" i="11"/>
  <c r="O63" i="11"/>
  <c r="P63" i="11"/>
  <c r="M164" i="11"/>
  <c r="N164" i="11"/>
  <c r="O164" i="11"/>
  <c r="P164" i="11"/>
  <c r="M215" i="11"/>
  <c r="N215" i="11"/>
  <c r="O215" i="11"/>
  <c r="P215" i="11"/>
  <c r="M268" i="11"/>
  <c r="N268" i="11"/>
  <c r="O268" i="11"/>
  <c r="P268" i="11"/>
  <c r="M352" i="11"/>
  <c r="N352" i="11"/>
  <c r="O352" i="11"/>
  <c r="P352" i="11"/>
  <c r="M404" i="11"/>
  <c r="N404" i="11"/>
  <c r="O404" i="11"/>
  <c r="P404" i="11"/>
  <c r="M458" i="11"/>
  <c r="N458" i="11"/>
  <c r="O458" i="11"/>
  <c r="P458" i="11"/>
  <c r="M8" i="11"/>
  <c r="N8" i="11"/>
  <c r="O8" i="11"/>
  <c r="P8" i="11"/>
  <c r="M97" i="11"/>
  <c r="N97" i="11"/>
  <c r="O97" i="11"/>
  <c r="P97" i="11"/>
  <c r="M165" i="11"/>
  <c r="N165" i="11"/>
  <c r="O165" i="11"/>
  <c r="P165" i="11"/>
  <c r="M231" i="11"/>
  <c r="N231" i="11"/>
  <c r="O231" i="11"/>
  <c r="P231" i="11"/>
  <c r="M280" i="11"/>
  <c r="N280" i="11"/>
  <c r="O280" i="11"/>
  <c r="P280" i="11"/>
  <c r="M336" i="11"/>
  <c r="N336" i="11"/>
  <c r="O336" i="11"/>
  <c r="P336" i="11"/>
  <c r="M413" i="11"/>
  <c r="N413" i="11"/>
  <c r="O413" i="11"/>
  <c r="P413" i="11"/>
  <c r="M466" i="11"/>
  <c r="N466" i="11"/>
  <c r="O466" i="11"/>
  <c r="P466" i="11"/>
  <c r="M12" i="11"/>
  <c r="N12" i="11"/>
  <c r="O12" i="11"/>
  <c r="P12" i="11"/>
  <c r="M64" i="11"/>
  <c r="N64" i="11"/>
  <c r="O64" i="11"/>
  <c r="P64" i="11"/>
  <c r="M125" i="11"/>
  <c r="N125" i="11"/>
  <c r="O125" i="11"/>
  <c r="P125" i="11"/>
  <c r="M183" i="11"/>
  <c r="N183" i="11"/>
  <c r="O183" i="11"/>
  <c r="P183" i="11"/>
  <c r="M243" i="11"/>
  <c r="N243" i="11"/>
  <c r="O243" i="11"/>
  <c r="P243" i="11"/>
  <c r="M303" i="11"/>
  <c r="N303" i="11"/>
  <c r="O303" i="11"/>
  <c r="P303" i="11"/>
  <c r="M363" i="11"/>
  <c r="N363" i="11"/>
  <c r="O363" i="11"/>
  <c r="P363" i="11"/>
  <c r="M423" i="11"/>
  <c r="N423" i="11"/>
  <c r="O423" i="11"/>
  <c r="P423" i="11"/>
  <c r="M13" i="11"/>
  <c r="N13" i="11"/>
  <c r="O13" i="11"/>
  <c r="P13" i="11"/>
  <c r="M101" i="11"/>
  <c r="N101" i="11"/>
  <c r="O101" i="11"/>
  <c r="P101" i="11"/>
  <c r="M148" i="11"/>
  <c r="N148" i="11"/>
  <c r="O148" i="11"/>
  <c r="P148" i="11"/>
  <c r="M200" i="11"/>
  <c r="N200" i="11"/>
  <c r="O200" i="11"/>
  <c r="P200" i="11"/>
  <c r="M256" i="11"/>
  <c r="N256" i="11"/>
  <c r="O256" i="11"/>
  <c r="P256" i="11"/>
  <c r="M314" i="11"/>
  <c r="N314" i="11"/>
  <c r="O314" i="11"/>
  <c r="P314" i="11"/>
  <c r="M373" i="11"/>
  <c r="N373" i="11"/>
  <c r="O373" i="11"/>
  <c r="P373" i="11"/>
  <c r="M432" i="11"/>
  <c r="N432" i="11"/>
  <c r="O432" i="11"/>
  <c r="P432" i="11"/>
  <c r="M18" i="11"/>
  <c r="N18" i="11"/>
  <c r="O18" i="11"/>
  <c r="P18" i="11"/>
  <c r="M67" i="11"/>
  <c r="N67" i="11"/>
  <c r="O67" i="11"/>
  <c r="P67" i="11"/>
  <c r="M167" i="11"/>
  <c r="N167" i="11"/>
  <c r="O167" i="11"/>
  <c r="P167" i="11"/>
  <c r="M216" i="11"/>
  <c r="N216" i="11"/>
  <c r="O216" i="11"/>
  <c r="P216" i="11"/>
  <c r="M269" i="11"/>
  <c r="N269" i="11"/>
  <c r="O269" i="11"/>
  <c r="P269" i="11"/>
  <c r="M355" i="11"/>
  <c r="N355" i="11"/>
  <c r="O355" i="11"/>
  <c r="P355" i="11"/>
  <c r="M383" i="11"/>
  <c r="N383" i="11"/>
  <c r="O383" i="11"/>
  <c r="P383" i="11"/>
  <c r="M441" i="11"/>
  <c r="N441" i="11"/>
  <c r="O441" i="11"/>
  <c r="P441" i="11"/>
  <c r="M29" i="11"/>
  <c r="N29" i="11"/>
  <c r="O29" i="11"/>
  <c r="P29" i="11"/>
  <c r="M110" i="11"/>
  <c r="N110" i="11"/>
  <c r="O110" i="11"/>
  <c r="P110" i="11"/>
  <c r="M172" i="11"/>
  <c r="N172" i="11"/>
  <c r="O172" i="11"/>
  <c r="P172" i="11"/>
  <c r="M220" i="11"/>
  <c r="N220" i="11"/>
  <c r="O220" i="11"/>
  <c r="P220" i="11"/>
  <c r="M273" i="11"/>
  <c r="N273" i="11"/>
  <c r="O273" i="11"/>
  <c r="P273" i="11"/>
  <c r="M329" i="11"/>
  <c r="N329" i="11"/>
  <c r="O329" i="11"/>
  <c r="P329" i="11"/>
  <c r="M387" i="11"/>
  <c r="N387" i="11"/>
  <c r="O387" i="11"/>
  <c r="P387" i="11"/>
  <c r="M470" i="11"/>
  <c r="N470" i="11"/>
  <c r="O470" i="11"/>
  <c r="P470" i="11"/>
  <c r="M33" i="11"/>
  <c r="N33" i="11"/>
  <c r="O33" i="11"/>
  <c r="P33" i="11"/>
  <c r="M111" i="11"/>
  <c r="N111" i="11"/>
  <c r="O111" i="11"/>
  <c r="P111" i="11"/>
  <c r="M155" i="11"/>
  <c r="N155" i="11"/>
  <c r="O155" i="11"/>
  <c r="P155" i="11"/>
  <c r="M207" i="11"/>
  <c r="N207" i="11"/>
  <c r="O207" i="11"/>
  <c r="P207" i="11"/>
  <c r="M295" i="11"/>
  <c r="N295" i="11"/>
  <c r="O295" i="11"/>
  <c r="P295" i="11"/>
  <c r="M345" i="11"/>
  <c r="N345" i="11"/>
  <c r="O345" i="11"/>
  <c r="P345" i="11"/>
  <c r="M400" i="11"/>
  <c r="N400" i="11"/>
  <c r="O400" i="11"/>
  <c r="P400" i="11"/>
  <c r="M454" i="11"/>
  <c r="N454" i="11"/>
  <c r="O454" i="11"/>
  <c r="P454" i="11"/>
  <c r="M35" i="11"/>
  <c r="N35" i="11"/>
  <c r="O35" i="11"/>
  <c r="P35" i="11"/>
  <c r="M75" i="11"/>
  <c r="N75" i="11"/>
  <c r="O75" i="11"/>
  <c r="P75" i="11"/>
  <c r="M132" i="11"/>
  <c r="N132" i="11"/>
  <c r="O132" i="11"/>
  <c r="P132" i="11"/>
  <c r="M189" i="11"/>
  <c r="N189" i="11"/>
  <c r="O189" i="11"/>
  <c r="P189" i="11"/>
  <c r="M247" i="11"/>
  <c r="N247" i="11"/>
  <c r="O247" i="11"/>
  <c r="P247" i="11"/>
  <c r="M308" i="11"/>
  <c r="N308" i="11"/>
  <c r="O308" i="11"/>
  <c r="P308" i="11"/>
  <c r="M367" i="11"/>
  <c r="N367" i="11"/>
  <c r="O367" i="11"/>
  <c r="P367" i="11"/>
  <c r="M427" i="11"/>
  <c r="N427" i="11"/>
  <c r="O427" i="11"/>
  <c r="P427" i="11"/>
  <c r="M37" i="11"/>
  <c r="N37" i="11"/>
  <c r="O37" i="11"/>
  <c r="P37" i="11"/>
  <c r="M113" i="11"/>
  <c r="N113" i="11"/>
  <c r="O113" i="11"/>
  <c r="P113" i="11"/>
  <c r="M156" i="11"/>
  <c r="N156" i="11"/>
  <c r="O156" i="11"/>
  <c r="P156" i="11"/>
  <c r="M208" i="11"/>
  <c r="N208" i="11"/>
  <c r="O208" i="11"/>
  <c r="P208" i="11"/>
  <c r="M262" i="11"/>
  <c r="N262" i="11"/>
  <c r="O262" i="11"/>
  <c r="P262" i="11"/>
  <c r="M347" i="11"/>
  <c r="N347" i="11"/>
  <c r="O347" i="11"/>
  <c r="P347" i="11"/>
  <c r="M417" i="11"/>
  <c r="N417" i="11"/>
  <c r="O417" i="11"/>
  <c r="P417" i="11"/>
  <c r="M471" i="11"/>
  <c r="N471" i="11"/>
  <c r="O471" i="11"/>
  <c r="P471" i="11"/>
  <c r="M39" i="11"/>
  <c r="N39" i="11"/>
  <c r="O39" i="11"/>
  <c r="P39" i="11"/>
  <c r="M114" i="11"/>
  <c r="N114" i="11"/>
  <c r="O114" i="11"/>
  <c r="P114" i="11"/>
  <c r="M157" i="11"/>
  <c r="N157" i="11"/>
  <c r="O157" i="11"/>
  <c r="P157" i="11"/>
  <c r="M209" i="11"/>
  <c r="N209" i="11"/>
  <c r="O209" i="11"/>
  <c r="P209" i="11"/>
  <c r="M263" i="11"/>
  <c r="N263" i="11"/>
  <c r="O263" i="11"/>
  <c r="P263" i="11"/>
  <c r="M319" i="11"/>
  <c r="N319" i="11"/>
  <c r="O319" i="11"/>
  <c r="P319" i="11"/>
  <c r="M378" i="11"/>
  <c r="N378" i="11"/>
  <c r="O378" i="11"/>
  <c r="P378" i="11"/>
  <c r="M437" i="11"/>
  <c r="N437" i="11"/>
  <c r="O437" i="11"/>
  <c r="P437" i="11"/>
  <c r="M40" i="11"/>
  <c r="N40" i="11"/>
  <c r="O40" i="11"/>
  <c r="P40" i="11"/>
  <c r="M78" i="11"/>
  <c r="N78" i="11"/>
  <c r="O78" i="11"/>
  <c r="P78" i="11"/>
  <c r="M176" i="11"/>
  <c r="N176" i="11"/>
  <c r="O176" i="11"/>
  <c r="P176" i="11"/>
  <c r="M223" i="11"/>
  <c r="N223" i="11"/>
  <c r="O223" i="11"/>
  <c r="P223" i="11"/>
  <c r="M275" i="11"/>
  <c r="N275" i="11"/>
  <c r="O275" i="11"/>
  <c r="P275" i="11"/>
  <c r="M331" i="11"/>
  <c r="N331" i="11"/>
  <c r="O331" i="11"/>
  <c r="P331" i="11"/>
  <c r="M389" i="11"/>
  <c r="N389" i="11"/>
  <c r="O389" i="11"/>
  <c r="P389" i="11"/>
  <c r="M461" i="11"/>
  <c r="N461" i="11"/>
  <c r="O461" i="11"/>
  <c r="P461" i="11"/>
  <c r="M41" i="11"/>
  <c r="N41" i="11"/>
  <c r="O41" i="11"/>
  <c r="P41" i="11"/>
  <c r="M79" i="11"/>
  <c r="N79" i="11"/>
  <c r="O79" i="11"/>
  <c r="P79" i="11"/>
  <c r="M134" i="11"/>
  <c r="N134" i="11"/>
  <c r="O134" i="11"/>
  <c r="P134" i="11"/>
  <c r="M238" i="11"/>
  <c r="N238" i="11"/>
  <c r="O238" i="11"/>
  <c r="P238" i="11"/>
  <c r="M286" i="11"/>
  <c r="N286" i="11"/>
  <c r="O286" i="11"/>
  <c r="P286" i="11"/>
  <c r="M340" i="11"/>
  <c r="N340" i="11"/>
  <c r="O340" i="11"/>
  <c r="P340" i="11"/>
  <c r="M394" i="11"/>
  <c r="N394" i="11"/>
  <c r="O394" i="11"/>
  <c r="P394" i="11"/>
  <c r="M438" i="11"/>
  <c r="N438" i="11"/>
  <c r="O438" i="11"/>
  <c r="P438" i="11"/>
  <c r="M42" i="11"/>
  <c r="N42" i="11"/>
  <c r="O42" i="11"/>
  <c r="P42" i="11"/>
  <c r="M80" i="11"/>
  <c r="N80" i="11"/>
  <c r="O80" i="11"/>
  <c r="P80" i="11"/>
  <c r="M177" i="11"/>
  <c r="N177" i="11"/>
  <c r="O177" i="11"/>
  <c r="P177" i="11"/>
  <c r="M224" i="11"/>
  <c r="N224" i="11"/>
  <c r="O224" i="11"/>
  <c r="P224" i="11"/>
  <c r="M297" i="11"/>
  <c r="N297" i="11"/>
  <c r="O297" i="11"/>
  <c r="P297" i="11"/>
  <c r="M348" i="11"/>
  <c r="N348" i="11"/>
  <c r="O348" i="11"/>
  <c r="P348" i="11"/>
  <c r="M401" i="11"/>
  <c r="N401" i="11"/>
  <c r="O401" i="11"/>
  <c r="P401" i="11"/>
  <c r="M455" i="11"/>
  <c r="N455" i="11"/>
  <c r="O455" i="11"/>
  <c r="P455" i="11"/>
  <c r="M43" i="11"/>
  <c r="N43" i="11"/>
  <c r="O43" i="11"/>
  <c r="P43" i="11"/>
  <c r="M115" i="11"/>
  <c r="N115" i="11"/>
  <c r="O115" i="11"/>
  <c r="P115" i="11"/>
  <c r="M158" i="11"/>
  <c r="N158" i="11"/>
  <c r="O158" i="11"/>
  <c r="P158" i="11"/>
  <c r="M239" i="11"/>
  <c r="N239" i="11"/>
  <c r="O239" i="11"/>
  <c r="P239" i="11"/>
  <c r="M287" i="11"/>
  <c r="N287" i="11"/>
  <c r="O287" i="11"/>
  <c r="P287" i="11"/>
  <c r="M359" i="11"/>
  <c r="N359" i="11"/>
  <c r="O359" i="11"/>
  <c r="P359" i="11"/>
  <c r="M409" i="11"/>
  <c r="N409" i="11"/>
  <c r="O409" i="11"/>
  <c r="P409" i="11"/>
  <c r="M462" i="11"/>
  <c r="N462" i="11"/>
  <c r="O462" i="11"/>
  <c r="P462" i="11"/>
  <c r="M44" i="11"/>
  <c r="N44" i="11"/>
  <c r="O44" i="11"/>
  <c r="P44" i="11"/>
  <c r="M116" i="11"/>
  <c r="N116" i="11"/>
  <c r="O116" i="11"/>
  <c r="P116" i="11"/>
  <c r="M159" i="11"/>
  <c r="N159" i="11"/>
  <c r="O159" i="11"/>
  <c r="P159" i="11"/>
  <c r="M210" i="11"/>
  <c r="N210" i="11"/>
  <c r="O210" i="11"/>
  <c r="P210" i="11"/>
  <c r="M264" i="11"/>
  <c r="N264" i="11"/>
  <c r="O264" i="11"/>
  <c r="P264" i="11"/>
  <c r="M320" i="11"/>
  <c r="N320" i="11"/>
  <c r="O320" i="11"/>
  <c r="P320" i="11"/>
  <c r="M418" i="11"/>
  <c r="N418" i="11"/>
  <c r="O418" i="11"/>
  <c r="P418" i="11"/>
  <c r="M480" i="11"/>
  <c r="N480" i="11"/>
  <c r="O480" i="11"/>
  <c r="P480" i="11"/>
  <c r="M45" i="11"/>
  <c r="N45" i="11"/>
  <c r="O45" i="11"/>
  <c r="P45" i="11"/>
  <c r="M81" i="11"/>
  <c r="N81" i="11"/>
  <c r="O81" i="11"/>
  <c r="P81" i="11"/>
  <c r="M178" i="11"/>
  <c r="N178" i="11"/>
  <c r="O178" i="11"/>
  <c r="P178" i="11"/>
  <c r="M191" i="11"/>
  <c r="N191" i="11"/>
  <c r="O191" i="11"/>
  <c r="P191" i="11"/>
  <c r="M249" i="11"/>
  <c r="N249" i="11"/>
  <c r="O249" i="11"/>
  <c r="P249" i="11"/>
  <c r="M309" i="11"/>
  <c r="N309" i="11"/>
  <c r="O309" i="11"/>
  <c r="P309" i="11"/>
  <c r="M368" i="11"/>
  <c r="N368" i="11"/>
  <c r="O368" i="11"/>
  <c r="P368" i="11"/>
  <c r="M428" i="11"/>
  <c r="N428" i="11"/>
  <c r="O428" i="11"/>
  <c r="P428" i="11"/>
  <c r="M47" i="11"/>
  <c r="N47" i="11"/>
  <c r="O47" i="11"/>
  <c r="P47" i="11"/>
  <c r="M117" i="11"/>
  <c r="N117" i="11"/>
  <c r="O117" i="11"/>
  <c r="P117" i="11"/>
  <c r="M160" i="11"/>
  <c r="N160" i="11"/>
  <c r="O160" i="11"/>
  <c r="P160" i="11"/>
  <c r="M211" i="11"/>
  <c r="N211" i="11"/>
  <c r="O211" i="11"/>
  <c r="P211" i="11"/>
  <c r="M265" i="11"/>
  <c r="N265" i="11"/>
  <c r="O265" i="11"/>
  <c r="P265" i="11"/>
  <c r="M321" i="11"/>
  <c r="N321" i="11"/>
  <c r="O321" i="11"/>
  <c r="P321" i="11"/>
  <c r="M379" i="11"/>
  <c r="N379" i="11"/>
  <c r="O379" i="11"/>
  <c r="P379" i="11"/>
  <c r="M439" i="11"/>
  <c r="N439" i="11"/>
  <c r="O439" i="11"/>
  <c r="P439" i="11"/>
  <c r="M48" i="11"/>
  <c r="N48" i="11"/>
  <c r="O48" i="11"/>
  <c r="P48" i="11"/>
  <c r="M83" i="11"/>
  <c r="N83" i="11"/>
  <c r="O83" i="11"/>
  <c r="P83" i="11"/>
  <c r="M179" i="11"/>
  <c r="N179" i="11"/>
  <c r="O179" i="11"/>
  <c r="P179" i="11"/>
  <c r="M225" i="11"/>
  <c r="N225" i="11"/>
  <c r="O225" i="11"/>
  <c r="P225" i="11"/>
  <c r="M276" i="11"/>
  <c r="N276" i="11"/>
  <c r="O276" i="11"/>
  <c r="P276" i="11"/>
  <c r="M332" i="11"/>
  <c r="N332" i="11"/>
  <c r="O332" i="11"/>
  <c r="P332" i="11"/>
  <c r="M380" i="11"/>
  <c r="N380" i="11"/>
  <c r="O380" i="11"/>
  <c r="P380" i="11"/>
  <c r="M445" i="11"/>
  <c r="N445" i="11"/>
  <c r="O445" i="11"/>
  <c r="P445" i="11"/>
  <c r="M49" i="11"/>
  <c r="N49" i="11"/>
  <c r="O49" i="11"/>
  <c r="P49" i="11"/>
  <c r="M118" i="11"/>
  <c r="N118" i="11"/>
  <c r="O118" i="11"/>
  <c r="P118" i="11"/>
  <c r="M180" i="11"/>
  <c r="N180" i="11"/>
  <c r="O180" i="11"/>
  <c r="P180" i="11"/>
  <c r="M226" i="11"/>
  <c r="N226" i="11"/>
  <c r="O226" i="11"/>
  <c r="P226" i="11"/>
  <c r="M298" i="11"/>
  <c r="N298" i="11"/>
  <c r="O298" i="11"/>
  <c r="P298" i="11"/>
  <c r="M349" i="11"/>
  <c r="N349" i="11"/>
  <c r="O349" i="11"/>
  <c r="P349" i="11"/>
  <c r="M402" i="11"/>
  <c r="N402" i="11"/>
  <c r="O402" i="11"/>
  <c r="P402" i="11"/>
  <c r="M456" i="11"/>
  <c r="N456" i="11"/>
  <c r="O456" i="11"/>
  <c r="P456" i="11"/>
  <c r="M50" i="11"/>
  <c r="N50" i="11"/>
  <c r="O50" i="11"/>
  <c r="P50" i="11"/>
  <c r="M84" i="11"/>
  <c r="N84" i="11"/>
  <c r="O84" i="11"/>
  <c r="P84" i="11"/>
  <c r="M136" i="11"/>
  <c r="N136" i="11"/>
  <c r="O136" i="11"/>
  <c r="P136" i="11"/>
  <c r="M240" i="11"/>
  <c r="N240" i="11"/>
  <c r="O240" i="11"/>
  <c r="P240" i="11"/>
  <c r="M288" i="11"/>
  <c r="N288" i="11"/>
  <c r="O288" i="11"/>
  <c r="P288" i="11"/>
  <c r="M341" i="11"/>
  <c r="N341" i="11"/>
  <c r="O341" i="11"/>
  <c r="P341" i="11"/>
  <c r="M395" i="11"/>
  <c r="N395" i="11"/>
  <c r="O395" i="11"/>
  <c r="P395" i="11"/>
  <c r="M451" i="11"/>
  <c r="N451" i="11"/>
  <c r="O451" i="11"/>
  <c r="P451" i="11"/>
  <c r="M51" i="11"/>
  <c r="N51" i="11"/>
  <c r="O51" i="11"/>
  <c r="P51" i="11"/>
  <c r="M85" i="11"/>
  <c r="N85" i="11"/>
  <c r="O85" i="11"/>
  <c r="P85" i="11"/>
  <c r="M137" i="11"/>
  <c r="N137" i="11"/>
  <c r="O137" i="11"/>
  <c r="P137" i="11"/>
  <c r="M193" i="11"/>
  <c r="N193" i="11"/>
  <c r="O193" i="11"/>
  <c r="P193" i="11"/>
  <c r="M299" i="11"/>
  <c r="N299" i="11"/>
  <c r="O299" i="11"/>
  <c r="P299" i="11"/>
  <c r="M360" i="11"/>
  <c r="N360" i="11"/>
  <c r="O360" i="11"/>
  <c r="P360" i="11"/>
  <c r="M410" i="11"/>
  <c r="N410" i="11"/>
  <c r="O410" i="11"/>
  <c r="P410" i="11"/>
  <c r="M463" i="11"/>
  <c r="N463" i="11"/>
  <c r="O463" i="11"/>
  <c r="P463" i="11"/>
  <c r="M52" i="11"/>
  <c r="N52" i="11"/>
  <c r="O52" i="11"/>
  <c r="P52" i="11"/>
  <c r="M86" i="11"/>
  <c r="N86" i="11"/>
  <c r="O86" i="11"/>
  <c r="P86" i="11"/>
  <c r="M138" i="11"/>
  <c r="N138" i="11"/>
  <c r="O138" i="11"/>
  <c r="P138" i="11"/>
  <c r="M194" i="11"/>
  <c r="N194" i="11"/>
  <c r="O194" i="11"/>
  <c r="P194" i="11"/>
  <c r="M251" i="11"/>
  <c r="N251" i="11"/>
  <c r="O251" i="11"/>
  <c r="P251" i="11"/>
  <c r="M311" i="11"/>
  <c r="N311" i="11"/>
  <c r="O311" i="11"/>
  <c r="P311" i="11"/>
  <c r="M419" i="11"/>
  <c r="N419" i="11"/>
  <c r="O419" i="11"/>
  <c r="P419" i="11"/>
  <c r="M472" i="11"/>
  <c r="N472" i="11"/>
  <c r="O472" i="11"/>
  <c r="P472" i="11"/>
  <c r="M53" i="11"/>
  <c r="N53" i="11"/>
  <c r="O53" i="11"/>
  <c r="P53" i="11"/>
  <c r="M87" i="11"/>
  <c r="N87" i="11"/>
  <c r="O87" i="11"/>
  <c r="P87" i="11"/>
  <c r="M139" i="11"/>
  <c r="N139" i="11"/>
  <c r="O139" i="11"/>
  <c r="P139" i="11"/>
  <c r="M195" i="11"/>
  <c r="N195" i="11"/>
  <c r="O195" i="11"/>
  <c r="P195" i="11"/>
  <c r="M252" i="11"/>
  <c r="N252" i="11"/>
  <c r="O252" i="11"/>
  <c r="P252" i="11"/>
  <c r="M312" i="11"/>
  <c r="N312" i="11"/>
  <c r="O312" i="11"/>
  <c r="P312" i="11"/>
  <c r="M370" i="11"/>
  <c r="N370" i="11"/>
  <c r="O370" i="11"/>
  <c r="P370" i="11"/>
  <c r="M430" i="11"/>
  <c r="N430" i="11"/>
  <c r="O430" i="11"/>
  <c r="P430" i="11"/>
  <c r="M55" i="11"/>
  <c r="N55" i="11"/>
  <c r="O55" i="11"/>
  <c r="P55" i="11"/>
  <c r="M119" i="11"/>
  <c r="N119" i="11"/>
  <c r="O119" i="11"/>
  <c r="P119" i="11"/>
  <c r="M161" i="11"/>
  <c r="N161" i="11"/>
  <c r="O161" i="11"/>
  <c r="P161" i="11"/>
  <c r="M212" i="11"/>
  <c r="N212" i="11"/>
  <c r="O212" i="11"/>
  <c r="P212" i="11"/>
  <c r="M289" i="11"/>
  <c r="N289" i="11"/>
  <c r="O289" i="11"/>
  <c r="P289" i="11"/>
  <c r="M322" i="11"/>
  <c r="N322" i="11"/>
  <c r="O322" i="11"/>
  <c r="P322" i="11"/>
  <c r="M381" i="11"/>
  <c r="N381" i="11"/>
  <c r="O381" i="11"/>
  <c r="P381" i="11"/>
  <c r="M440" i="11"/>
  <c r="N440" i="11"/>
  <c r="O440" i="11"/>
  <c r="P440" i="11"/>
  <c r="M56" i="11"/>
  <c r="N56" i="11"/>
  <c r="O56" i="11"/>
  <c r="P56" i="11"/>
  <c r="M89" i="11"/>
  <c r="N89" i="11"/>
  <c r="O89" i="11"/>
  <c r="P89" i="11"/>
  <c r="M141" i="11"/>
  <c r="N141" i="11"/>
  <c r="O141" i="11"/>
  <c r="P141" i="11"/>
  <c r="M213" i="11"/>
  <c r="N213" i="11"/>
  <c r="O213" i="11"/>
  <c r="P213" i="11"/>
  <c r="M266" i="11"/>
  <c r="N266" i="11"/>
  <c r="O266" i="11"/>
  <c r="P266" i="11"/>
  <c r="M323" i="11"/>
  <c r="N323" i="11"/>
  <c r="O323" i="11"/>
  <c r="P323" i="11"/>
  <c r="M396" i="11"/>
  <c r="N396" i="11"/>
  <c r="O396" i="11"/>
  <c r="P396" i="11"/>
  <c r="M452" i="11"/>
  <c r="N452" i="11"/>
  <c r="O452" i="11"/>
  <c r="P452" i="11"/>
  <c r="M57" i="11"/>
  <c r="N57" i="11"/>
  <c r="O57" i="11"/>
  <c r="P57" i="11"/>
  <c r="M90" i="11"/>
  <c r="N90" i="11"/>
  <c r="O90" i="11"/>
  <c r="P90" i="11"/>
  <c r="M181" i="11"/>
  <c r="N181" i="11"/>
  <c r="O181" i="11"/>
  <c r="P181" i="11"/>
  <c r="M228" i="11"/>
  <c r="N228" i="11"/>
  <c r="O228" i="11"/>
  <c r="P228" i="11"/>
  <c r="M277" i="11"/>
  <c r="N277" i="11"/>
  <c r="O277" i="11"/>
  <c r="P277" i="11"/>
  <c r="M333" i="11"/>
  <c r="N333" i="11"/>
  <c r="O333" i="11"/>
  <c r="P333" i="11"/>
  <c r="M420" i="11"/>
  <c r="N420" i="11"/>
  <c r="O420" i="11"/>
  <c r="P420" i="11"/>
  <c r="M446" i="11"/>
  <c r="N446" i="11"/>
  <c r="O446" i="11"/>
  <c r="P446" i="11"/>
  <c r="M59" i="11"/>
  <c r="N59" i="11"/>
  <c r="O59" i="11"/>
  <c r="P59" i="11"/>
  <c r="M120" i="11"/>
  <c r="N120" i="11"/>
  <c r="O120" i="11"/>
  <c r="P120" i="11"/>
  <c r="M162" i="11"/>
  <c r="N162" i="11"/>
  <c r="O162" i="11"/>
  <c r="P162" i="11"/>
  <c r="P2" i="11"/>
  <c r="O2" i="11"/>
  <c r="N2" i="11"/>
  <c r="M2" i="11"/>
  <c r="L62" i="11"/>
  <c r="L145" i="11"/>
  <c r="L182" i="11"/>
  <c r="L290" i="11"/>
  <c r="L302" i="11"/>
  <c r="L362" i="11"/>
  <c r="L422" i="11"/>
  <c r="L3" i="11"/>
  <c r="L93" i="11"/>
  <c r="L122" i="11"/>
  <c r="L198" i="11"/>
  <c r="L254" i="11"/>
  <c r="L313" i="11"/>
  <c r="L372" i="11"/>
  <c r="L431" i="11"/>
  <c r="L4" i="11"/>
  <c r="L94" i="11"/>
  <c r="L124" i="11"/>
  <c r="L214" i="11"/>
  <c r="L255" i="11"/>
  <c r="L351" i="11"/>
  <c r="L390" i="11"/>
  <c r="L447" i="11"/>
  <c r="L5" i="11"/>
  <c r="L95" i="11"/>
  <c r="L163" i="11"/>
  <c r="L230" i="11"/>
  <c r="L279" i="11"/>
  <c r="L335" i="11"/>
  <c r="L391" i="11"/>
  <c r="L448" i="11"/>
  <c r="L6" i="11"/>
  <c r="L96" i="11"/>
  <c r="L146" i="11"/>
  <c r="L199" i="11"/>
  <c r="L291" i="11"/>
  <c r="L343" i="11"/>
  <c r="L397" i="11"/>
  <c r="L453" i="11"/>
  <c r="L7" i="11"/>
  <c r="L63" i="11"/>
  <c r="L164" i="11"/>
  <c r="L215" i="11"/>
  <c r="L268" i="11"/>
  <c r="L352" i="11"/>
  <c r="L404" i="11"/>
  <c r="L458" i="11"/>
  <c r="L8" i="11"/>
  <c r="L97" i="11"/>
  <c r="L165" i="11"/>
  <c r="L231" i="11"/>
  <c r="L280" i="11"/>
  <c r="L336" i="11"/>
  <c r="L413" i="11"/>
  <c r="L466" i="11"/>
  <c r="L12" i="11"/>
  <c r="L64" i="11"/>
  <c r="L125" i="11"/>
  <c r="L183" i="11"/>
  <c r="L243" i="11"/>
  <c r="L303" i="11"/>
  <c r="L363" i="11"/>
  <c r="L423" i="11"/>
  <c r="L13" i="11"/>
  <c r="L101" i="11"/>
  <c r="L148" i="11"/>
  <c r="L200" i="11"/>
  <c r="L256" i="11"/>
  <c r="L314" i="11"/>
  <c r="L373" i="11"/>
  <c r="L432" i="11"/>
  <c r="L18" i="11"/>
  <c r="L67" i="11"/>
  <c r="L167" i="11"/>
  <c r="L216" i="11"/>
  <c r="L269" i="11"/>
  <c r="L355" i="11"/>
  <c r="L383" i="11"/>
  <c r="L441" i="11"/>
  <c r="L29" i="11"/>
  <c r="L110" i="11"/>
  <c r="L172" i="11"/>
  <c r="L220" i="11"/>
  <c r="L273" i="11"/>
  <c r="L329" i="11"/>
  <c r="L387" i="11"/>
  <c r="L470" i="11"/>
  <c r="L33" i="11"/>
  <c r="L111" i="11"/>
  <c r="L155" i="11"/>
  <c r="L207" i="11"/>
  <c r="L295" i="11"/>
  <c r="L345" i="11"/>
  <c r="L400" i="11"/>
  <c r="L454" i="11"/>
  <c r="L35" i="11"/>
  <c r="L75" i="11"/>
  <c r="L132" i="11"/>
  <c r="L189" i="11"/>
  <c r="L247" i="11"/>
  <c r="L308" i="11"/>
  <c r="L367" i="11"/>
  <c r="L427" i="11"/>
  <c r="L37" i="11"/>
  <c r="L113" i="11"/>
  <c r="L156" i="11"/>
  <c r="L208" i="11"/>
  <c r="L262" i="11"/>
  <c r="L347" i="11"/>
  <c r="L417" i="11"/>
  <c r="L471" i="11"/>
  <c r="L39" i="11"/>
  <c r="L114" i="11"/>
  <c r="L157" i="11"/>
  <c r="L209" i="11"/>
  <c r="L263" i="11"/>
  <c r="L319" i="11"/>
  <c r="L378" i="11"/>
  <c r="L437" i="11"/>
  <c r="L40" i="11"/>
  <c r="L78" i="11"/>
  <c r="L176" i="11"/>
  <c r="L223" i="11"/>
  <c r="L275" i="11"/>
  <c r="L331" i="11"/>
  <c r="L389" i="11"/>
  <c r="L461" i="11"/>
  <c r="L41" i="11"/>
  <c r="L79" i="11"/>
  <c r="L134" i="11"/>
  <c r="L238" i="11"/>
  <c r="L286" i="11"/>
  <c r="L340" i="11"/>
  <c r="L394" i="11"/>
  <c r="L438" i="11"/>
  <c r="L42" i="11"/>
  <c r="L80" i="11"/>
  <c r="L177" i="11"/>
  <c r="L224" i="11"/>
  <c r="L297" i="11"/>
  <c r="L348" i="11"/>
  <c r="L401" i="11"/>
  <c r="L455" i="11"/>
  <c r="L43" i="11"/>
  <c r="L115" i="11"/>
  <c r="L158" i="11"/>
  <c r="L239" i="11"/>
  <c r="L287" i="11"/>
  <c r="L359" i="11"/>
  <c r="L409" i="11"/>
  <c r="L462" i="11"/>
  <c r="L44" i="11"/>
  <c r="L116" i="11"/>
  <c r="L159" i="11"/>
  <c r="L210" i="11"/>
  <c r="L264" i="11"/>
  <c r="L320" i="11"/>
  <c r="L418" i="11"/>
  <c r="L480" i="11"/>
  <c r="L45" i="11"/>
  <c r="L81" i="11"/>
  <c r="L178" i="11"/>
  <c r="L191" i="11"/>
  <c r="L249" i="11"/>
  <c r="L309" i="11"/>
  <c r="L368" i="11"/>
  <c r="L428" i="11"/>
  <c r="L47" i="11"/>
  <c r="L117" i="11"/>
  <c r="L160" i="11"/>
  <c r="L211" i="11"/>
  <c r="L265" i="11"/>
  <c r="L321" i="11"/>
  <c r="L379" i="11"/>
  <c r="L439" i="11"/>
  <c r="L48" i="11"/>
  <c r="L83" i="11"/>
  <c r="L179" i="11"/>
  <c r="L225" i="11"/>
  <c r="L276" i="11"/>
  <c r="L332" i="11"/>
  <c r="L380" i="11"/>
  <c r="L445" i="11"/>
  <c r="L49" i="11"/>
  <c r="L118" i="11"/>
  <c r="L180" i="11"/>
  <c r="L226" i="11"/>
  <c r="L298" i="11"/>
  <c r="L349" i="11"/>
  <c r="L402" i="11"/>
  <c r="L456" i="11"/>
  <c r="L50" i="11"/>
  <c r="L84" i="11"/>
  <c r="L136" i="11"/>
  <c r="L240" i="11"/>
  <c r="L288" i="11"/>
  <c r="L341" i="11"/>
  <c r="L395" i="11"/>
  <c r="L451" i="11"/>
  <c r="L51" i="11"/>
  <c r="L85" i="11"/>
  <c r="L137" i="11"/>
  <c r="L193" i="11"/>
  <c r="L299" i="11"/>
  <c r="L360" i="11"/>
  <c r="L410" i="11"/>
  <c r="L463" i="11"/>
  <c r="L52" i="11"/>
  <c r="L86" i="11"/>
  <c r="L138" i="11"/>
  <c r="L194" i="11"/>
  <c r="L251" i="11"/>
  <c r="L311" i="11"/>
  <c r="L419" i="11"/>
  <c r="L472" i="11"/>
  <c r="L53" i="11"/>
  <c r="L87" i="11"/>
  <c r="L139" i="11"/>
  <c r="L195" i="11"/>
  <c r="L252" i="11"/>
  <c r="L312" i="11"/>
  <c r="L370" i="11"/>
  <c r="L430" i="11"/>
  <c r="L55" i="11"/>
  <c r="L119" i="11"/>
  <c r="L161" i="11"/>
  <c r="L212" i="11"/>
  <c r="L289" i="11"/>
  <c r="L322" i="11"/>
  <c r="L381" i="11"/>
  <c r="L440" i="11"/>
  <c r="L56" i="11"/>
  <c r="L89" i="11"/>
  <c r="L141" i="11"/>
  <c r="L213" i="11"/>
  <c r="L266" i="11"/>
  <c r="L323" i="11"/>
  <c r="L396" i="11"/>
  <c r="L452" i="11"/>
  <c r="L57" i="11"/>
  <c r="L90" i="11"/>
  <c r="L181" i="11"/>
  <c r="L228" i="11"/>
  <c r="L277" i="11"/>
  <c r="L333" i="11"/>
  <c r="L420" i="11"/>
  <c r="L446" i="11"/>
  <c r="L59" i="11"/>
  <c r="L120" i="11"/>
  <c r="L162" i="11"/>
  <c r="L2" i="11"/>
  <c r="A162" i="11" l="1"/>
  <c r="A277" i="11"/>
  <c r="A333" i="11"/>
  <c r="A420" i="11"/>
  <c r="A446" i="11"/>
  <c r="A59" i="11"/>
  <c r="A120" i="11"/>
  <c r="A228" i="11"/>
  <c r="A181" i="11"/>
  <c r="A90" i="11"/>
  <c r="A57" i="11"/>
  <c r="A452" i="11"/>
  <c r="A396" i="11"/>
  <c r="A323" i="11"/>
  <c r="A362" i="11"/>
  <c r="A313" i="11"/>
  <c r="A146" i="11"/>
  <c r="A63" i="11"/>
  <c r="A8" i="11"/>
  <c r="A466" i="11"/>
  <c r="A363" i="11"/>
  <c r="A314" i="11"/>
  <c r="A269" i="11"/>
  <c r="A220" i="11"/>
  <c r="A37" i="11"/>
  <c r="A471" i="11"/>
  <c r="A238" i="11"/>
  <c r="A177" i="11"/>
  <c r="A115" i="11"/>
  <c r="A480" i="11"/>
  <c r="A319" i="11"/>
  <c r="A321" i="11"/>
  <c r="A276" i="11"/>
  <c r="A275" i="11"/>
  <c r="A226" i="11"/>
  <c r="A136" i="11"/>
  <c r="A85" i="11"/>
  <c r="A52" i="11"/>
  <c r="A472" i="11"/>
  <c r="A370" i="11"/>
  <c r="A266" i="11"/>
  <c r="A75" i="11"/>
  <c r="A155" i="11"/>
  <c r="A322" i="11"/>
  <c r="A368" i="11"/>
  <c r="A44" i="11"/>
  <c r="A230" i="11"/>
  <c r="A255" i="11"/>
  <c r="A223" i="11"/>
  <c r="A320" i="11"/>
  <c r="A182" i="11"/>
  <c r="A4" i="11"/>
  <c r="A3" i="11"/>
  <c r="A372" i="11"/>
  <c r="A7" i="11"/>
  <c r="A336" i="11"/>
  <c r="A148" i="11"/>
  <c r="K29" i="15"/>
  <c r="A351" i="11"/>
  <c r="A431" i="11"/>
  <c r="A210" i="11"/>
  <c r="A158" i="11"/>
  <c r="A349" i="11"/>
  <c r="A402" i="11"/>
  <c r="A359" i="11"/>
  <c r="A176" i="11"/>
  <c r="A427" i="11"/>
  <c r="A45" i="11"/>
  <c r="A288" i="11"/>
  <c r="A348" i="11"/>
  <c r="A308" i="11"/>
  <c r="A311" i="11"/>
  <c r="A417" i="11"/>
  <c r="A35" i="11"/>
  <c r="A410" i="11"/>
  <c r="A470" i="11"/>
  <c r="A461" i="11"/>
  <c r="A47" i="11"/>
  <c r="A419" i="11"/>
  <c r="A95" i="11"/>
  <c r="A397" i="11"/>
  <c r="A343" i="11"/>
  <c r="A439" i="11"/>
  <c r="A378" i="11"/>
  <c r="A413" i="11"/>
  <c r="A50" i="11"/>
  <c r="A401" i="11"/>
  <c r="A239" i="11"/>
  <c r="A207" i="11"/>
  <c r="A309" i="11"/>
  <c r="A265" i="11"/>
  <c r="A172" i="11"/>
  <c r="A302" i="11"/>
  <c r="A458" i="11"/>
  <c r="A225" i="11"/>
  <c r="A111" i="11"/>
  <c r="A134" i="11"/>
  <c r="A80" i="11"/>
  <c r="A254" i="11"/>
  <c r="A51" i="11"/>
  <c r="A463" i="11"/>
  <c r="A303" i="11"/>
  <c r="A214" i="11"/>
  <c r="A163" i="11"/>
  <c r="A256" i="11"/>
  <c r="A96" i="11"/>
  <c r="A180" i="11"/>
  <c r="A43" i="11"/>
  <c r="A312" i="11"/>
  <c r="A289" i="11"/>
  <c r="A263" i="11"/>
  <c r="A84" i="11"/>
  <c r="A216" i="11"/>
  <c r="A213" i="11"/>
  <c r="A462" i="11"/>
  <c r="A418" i="11"/>
  <c r="A455" i="11"/>
  <c r="A409" i="11"/>
  <c r="A367" i="11"/>
  <c r="A290" i="11"/>
  <c r="A243" i="11"/>
  <c r="A249" i="11"/>
  <c r="A347" i="11"/>
  <c r="A209" i="11"/>
  <c r="A198" i="11"/>
  <c r="A200" i="11"/>
  <c r="A451" i="11"/>
  <c r="A167" i="11"/>
  <c r="A124" i="11"/>
  <c r="A6" i="11"/>
  <c r="A110" i="11"/>
  <c r="A453" i="11"/>
  <c r="A211" i="11"/>
  <c r="A79" i="11"/>
  <c r="A33" i="11"/>
  <c r="A252" i="11"/>
  <c r="A212" i="11"/>
  <c r="A454" i="11"/>
  <c r="A179" i="11"/>
  <c r="A404" i="11"/>
  <c r="A118" i="11"/>
  <c r="A141" i="11"/>
  <c r="A42" i="11"/>
  <c r="A440" i="11"/>
  <c r="A441" i="11"/>
  <c r="A160" i="11"/>
  <c r="A430" i="11"/>
  <c r="A41" i="11"/>
  <c r="A247" i="11"/>
  <c r="A395" i="11"/>
  <c r="A12" i="11"/>
  <c r="A291" i="11"/>
  <c r="A117" i="11"/>
  <c r="A97" i="11"/>
  <c r="A389" i="11"/>
  <c r="A240" i="11"/>
  <c r="A138" i="11"/>
  <c r="A287" i="11"/>
  <c r="A157" i="11"/>
  <c r="A298" i="11"/>
  <c r="A189" i="11"/>
  <c r="A101" i="11"/>
  <c r="A137" i="11"/>
  <c r="A87" i="11"/>
  <c r="A139" i="11"/>
  <c r="A161" i="11"/>
  <c r="A273" i="11"/>
  <c r="A165" i="11"/>
  <c r="A445" i="11"/>
  <c r="A5" i="11"/>
  <c r="A423" i="11"/>
  <c r="A340" i="11"/>
  <c r="A208" i="11"/>
  <c r="A438" i="11"/>
  <c r="A279" i="11"/>
  <c r="A390" i="11"/>
  <c r="A178" i="11"/>
  <c r="A78" i="11"/>
  <c r="A39" i="11"/>
  <c r="A145" i="11"/>
  <c r="A49" i="11"/>
  <c r="A2" i="11"/>
  <c r="A422" i="11"/>
  <c r="A62" i="11"/>
  <c r="A93" i="11"/>
  <c r="A456" i="11"/>
  <c r="A199" i="11"/>
  <c r="A335" i="11"/>
  <c r="A387" i="11"/>
  <c r="A122" i="11"/>
  <c r="A164" i="11"/>
  <c r="A437" i="11"/>
  <c r="A345" i="11"/>
  <c r="A67" i="11"/>
  <c r="A373" i="11"/>
  <c r="A215" i="11"/>
  <c r="A48" i="11"/>
  <c r="A360" i="11"/>
  <c r="A355" i="11"/>
  <c r="A297" i="11"/>
  <c r="A447" i="11"/>
  <c r="A94" i="11"/>
  <c r="A132" i="11"/>
  <c r="A159" i="11"/>
  <c r="A114" i="11"/>
  <c r="A251" i="11"/>
  <c r="A113" i="11"/>
  <c r="A81" i="11"/>
  <c r="A40" i="11"/>
  <c r="A29" i="11"/>
  <c r="A64" i="11"/>
  <c r="A391" i="11"/>
  <c r="A448" i="11"/>
  <c r="A331" i="11"/>
  <c r="A13" i="11"/>
  <c r="A268" i="11"/>
  <c r="A352" i="11"/>
  <c r="A286" i="11"/>
  <c r="A380" i="11"/>
  <c r="A394" i="11"/>
  <c r="A400" i="11"/>
  <c r="A224" i="11"/>
  <c r="A432" i="11"/>
  <c r="A231" i="11"/>
  <c r="A280" i="11"/>
  <c r="A116" i="11"/>
  <c r="A383" i="11"/>
  <c r="A341" i="11"/>
  <c r="A195" i="11"/>
  <c r="A428" i="11"/>
  <c r="A329" i="11"/>
  <c r="A299" i="11"/>
  <c r="A264" i="11"/>
  <c r="A379" i="11"/>
  <c r="A193" i="11"/>
  <c r="A125" i="11"/>
  <c r="A262" i="11"/>
  <c r="A332" i="11"/>
  <c r="A295" i="11"/>
  <c r="A194" i="11"/>
  <c r="A191" i="11"/>
  <c r="A86" i="11"/>
  <c r="A156" i="11"/>
  <c r="A18" i="11"/>
  <c r="A183" i="11"/>
  <c r="A53" i="11"/>
  <c r="A55" i="11"/>
  <c r="A119" i="11"/>
  <c r="A89" i="11"/>
  <c r="A381" i="11"/>
  <c r="A56" i="11"/>
  <c r="A83" i="11"/>
  <c r="E16" i="4" l="1"/>
  <c r="E17" i="4"/>
  <c r="C17" i="19"/>
  <c r="F21" i="20" s="1"/>
  <c r="C18" i="19"/>
  <c r="F22" i="20" s="1"/>
  <c r="C19" i="19"/>
  <c r="F23" i="20" s="1"/>
  <c r="C20" i="19"/>
  <c r="F24" i="20" s="1"/>
  <c r="C21" i="19"/>
  <c r="F25" i="20" s="1"/>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45" i="19"/>
  <c r="A46" i="19"/>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16" i="19"/>
  <c r="C16" i="19"/>
  <c r="F20" i="20" s="1"/>
  <c r="G72" i="4"/>
  <c r="F72" i="4"/>
  <c r="G71" i="4"/>
  <c r="F71" i="4"/>
  <c r="G70" i="4"/>
  <c r="F70" i="4"/>
  <c r="G69" i="4"/>
  <c r="F69" i="4"/>
  <c r="G68" i="4"/>
  <c r="F68" i="4"/>
  <c r="G67" i="4"/>
  <c r="F67" i="4"/>
  <c r="G66" i="4"/>
  <c r="F66" i="4"/>
  <c r="G65" i="4"/>
  <c r="F65" i="4"/>
  <c r="G64" i="4"/>
  <c r="F64" i="4"/>
  <c r="G63" i="4"/>
  <c r="F63" i="4"/>
  <c r="G62" i="4"/>
  <c r="F62" i="4"/>
  <c r="G61" i="4"/>
  <c r="F61" i="4"/>
  <c r="G60" i="4"/>
  <c r="F60" i="4"/>
  <c r="G59" i="4"/>
  <c r="F59" i="4"/>
  <c r="G58" i="4"/>
  <c r="F58" i="4"/>
  <c r="G57" i="4"/>
  <c r="F57" i="4"/>
  <c r="G56" i="4"/>
  <c r="F56" i="4"/>
  <c r="G55" i="4"/>
  <c r="F55" i="4"/>
  <c r="G54" i="4"/>
  <c r="F54" i="4"/>
  <c r="G53" i="4"/>
  <c r="F53" i="4"/>
  <c r="G52" i="4"/>
  <c r="F52" i="4"/>
  <c r="G51" i="4"/>
  <c r="F51" i="4"/>
  <c r="G50" i="4"/>
  <c r="F50" i="4"/>
  <c r="G49" i="4"/>
  <c r="F49" i="4"/>
  <c r="G48" i="4"/>
  <c r="F48" i="4"/>
  <c r="G47" i="4"/>
  <c r="F47" i="4"/>
  <c r="G46" i="4"/>
  <c r="F46" i="4"/>
  <c r="G45" i="4"/>
  <c r="F45" i="4"/>
  <c r="G44" i="4"/>
  <c r="F44" i="4"/>
  <c r="G43" i="4"/>
  <c r="F43" i="4"/>
  <c r="G42" i="4"/>
  <c r="F42" i="4"/>
  <c r="G41" i="4"/>
  <c r="F41" i="4"/>
  <c r="G40" i="4"/>
  <c r="F40" i="4"/>
  <c r="G39" i="4"/>
  <c r="F39" i="4"/>
  <c r="G38" i="4"/>
  <c r="F38" i="4"/>
  <c r="G37" i="4"/>
  <c r="F37" i="4"/>
  <c r="G36" i="4"/>
  <c r="F36" i="4"/>
  <c r="G35" i="4"/>
  <c r="F35" i="4"/>
  <c r="G34" i="4"/>
  <c r="F34" i="4"/>
  <c r="G33" i="4"/>
  <c r="F33" i="4"/>
  <c r="G32" i="4"/>
  <c r="F32" i="4"/>
  <c r="G31" i="4"/>
  <c r="F31" i="4"/>
  <c r="G30" i="4"/>
  <c r="F30" i="4"/>
  <c r="G29" i="4"/>
  <c r="F29" i="4"/>
  <c r="G28" i="4"/>
  <c r="F28" i="4"/>
  <c r="G27" i="4"/>
  <c r="F27" i="4"/>
  <c r="G26" i="4"/>
  <c r="F26" i="4"/>
  <c r="G25" i="4"/>
  <c r="F25" i="4"/>
  <c r="G24" i="4"/>
  <c r="F24" i="4"/>
  <c r="G23" i="4"/>
  <c r="F23" i="4"/>
  <c r="G22" i="4"/>
  <c r="F22" i="4"/>
  <c r="G21" i="4"/>
  <c r="F21" i="4"/>
  <c r="G20" i="4"/>
  <c r="F20" i="4"/>
  <c r="G19" i="4"/>
  <c r="F19" i="4"/>
  <c r="G18" i="4"/>
  <c r="F18" i="4"/>
  <c r="G17" i="4"/>
  <c r="F17" i="4"/>
  <c r="G16" i="4"/>
  <c r="F16" i="4"/>
  <c r="G11" i="4"/>
  <c r="J6" i="4"/>
  <c r="J5" i="4"/>
  <c r="K77" i="15"/>
  <c r="K76" i="15"/>
  <c r="K75" i="15"/>
  <c r="K74" i="15"/>
  <c r="K73" i="15"/>
  <c r="K72" i="15"/>
  <c r="K71" i="15"/>
  <c r="K70" i="15"/>
  <c r="K69" i="15"/>
  <c r="K68" i="15"/>
  <c r="K67" i="15"/>
  <c r="K66" i="15"/>
  <c r="K65" i="15"/>
  <c r="K64" i="15"/>
  <c r="K63" i="15"/>
  <c r="K62" i="15"/>
  <c r="K61" i="15"/>
  <c r="K60" i="15"/>
  <c r="K59" i="15"/>
  <c r="K58" i="15"/>
  <c r="K57" i="15"/>
  <c r="K56" i="15"/>
  <c r="K55" i="15"/>
  <c r="K54" i="15"/>
  <c r="K53" i="15"/>
  <c r="K52" i="15"/>
  <c r="K51" i="15"/>
  <c r="K50" i="15"/>
  <c r="K49" i="15"/>
  <c r="K48" i="15"/>
  <c r="K47" i="15"/>
  <c r="K46" i="15"/>
  <c r="K45" i="15"/>
  <c r="K44" i="15"/>
  <c r="K43" i="15"/>
  <c r="K42" i="15"/>
  <c r="K41" i="15"/>
  <c r="K40" i="15"/>
  <c r="K39" i="15"/>
  <c r="K38" i="15"/>
  <c r="K37" i="15"/>
  <c r="K36" i="15"/>
  <c r="K35" i="15"/>
  <c r="K34" i="15"/>
  <c r="K33" i="15"/>
  <c r="K32" i="15"/>
  <c r="K31" i="15"/>
  <c r="K30" i="15"/>
  <c r="K28" i="15"/>
  <c r="K27" i="15"/>
  <c r="K26" i="15"/>
  <c r="K25" i="15"/>
  <c r="K24" i="15"/>
  <c r="K22" i="15"/>
  <c r="K21" i="15"/>
  <c r="K20" i="15"/>
  <c r="K19" i="15"/>
  <c r="O6" i="15"/>
  <c r="O5" i="15"/>
  <c r="G16" i="20" l="1"/>
  <c r="E25" i="4"/>
  <c r="E26" i="4"/>
  <c r="E29" i="4"/>
  <c r="E18" i="4"/>
  <c r="E38" i="4"/>
  <c r="E19" i="4"/>
  <c r="E39" i="4"/>
  <c r="E40" i="4"/>
  <c r="E499" i="4"/>
  <c r="E501" i="4"/>
  <c r="E21" i="4"/>
  <c r="E22" i="4"/>
  <c r="E23" i="4"/>
  <c r="E20" i="4"/>
  <c r="E37" i="4"/>
  <c r="E27" i="4"/>
  <c r="E28" i="4"/>
  <c r="E30" i="4"/>
  <c r="E31" i="4"/>
  <c r="E33" i="4"/>
  <c r="E34" i="4"/>
  <c r="E32" i="4"/>
  <c r="E35" i="4"/>
  <c r="E36" i="4"/>
  <c r="E24" i="4"/>
  <c r="E500" i="4"/>
  <c r="G16" i="15"/>
  <c r="J16" i="15"/>
</calcChain>
</file>

<file path=xl/sharedStrings.xml><?xml version="1.0" encoding="utf-8"?>
<sst xmlns="http://schemas.openxmlformats.org/spreadsheetml/2006/main" count="2510" uniqueCount="456">
  <si>
    <t>24 Hrs</t>
  </si>
  <si>
    <t>SIG Tools</t>
  </si>
  <si>
    <t>ET</t>
  </si>
  <si>
    <t>N/A</t>
  </si>
  <si>
    <t>CT</t>
  </si>
  <si>
    <t>MT</t>
  </si>
  <si>
    <t>PT</t>
  </si>
  <si>
    <t>(AS) Plaza Audi/Infiniti</t>
  </si>
  <si>
    <t>(AS) Plaza Lexus/Mercedes/BMW</t>
  </si>
  <si>
    <t>(DT) Albuquerque</t>
  </si>
  <si>
    <t>(DT) Escondido</t>
  </si>
  <si>
    <t>(AS) Courtesy CDJR of Brandon</t>
  </si>
  <si>
    <t>(DT) Louisville</t>
  </si>
  <si>
    <t>(KG) Truck Center Remote Storage Lot</t>
  </si>
  <si>
    <t>(DT) Modesto</t>
  </si>
  <si>
    <t>(ML) Joe Machens CDJR</t>
  </si>
  <si>
    <t>(MK) McKenny Salinas Honda</t>
  </si>
  <si>
    <t>(KG) Big Star CDJR of Clear Lake</t>
  </si>
  <si>
    <t>(DT) Arlington</t>
  </si>
  <si>
    <t>(AS) Park Place Bodywerks Dallas</t>
  </si>
  <si>
    <t>(ML) Joe Machens Ford Lincoln I &amp; II</t>
  </si>
  <si>
    <t>(SCH) Parts Warehouse Lake Worth</t>
  </si>
  <si>
    <t>(AS) Courtesy Hyundai/Nissan Tampa</t>
  </si>
  <si>
    <t>(SCH) Chevrolet North Palm</t>
  </si>
  <si>
    <t>(ML) McLarty-Gray Daniels Chevrolet</t>
  </si>
  <si>
    <t>Split</t>
  </si>
  <si>
    <t>Hour</t>
  </si>
  <si>
    <t>Site</t>
  </si>
  <si>
    <t>SUNDAY (D.T.)</t>
  </si>
  <si>
    <t>Station</t>
  </si>
  <si>
    <t>Drop time</t>
  </si>
  <si>
    <t>Log In</t>
  </si>
  <si>
    <t>(RV) Toms Camperland Avondale (NO TOURS)</t>
  </si>
  <si>
    <t>(AS) Stevinson Chevrolet Golden (NO TOURS)</t>
  </si>
  <si>
    <t>(TC) Tavernier Creek Marina (NO TOURS)</t>
  </si>
  <si>
    <t>(RV) Toms Camperland Mesa (NO TOURS)</t>
  </si>
  <si>
    <t>(PE) BMW of Mamaroneck (NO TOURS)</t>
  </si>
  <si>
    <t>(AS) Lexus Smyrna (NO TOURS)</t>
  </si>
  <si>
    <t>(PE) BMW Service Center (NO TOURS)</t>
  </si>
  <si>
    <t>(AS) Bill Estes Ford (NO TOURS)</t>
  </si>
  <si>
    <t>(DT) Colorado Springs (NO TOURS)</t>
  </si>
  <si>
    <t>(ML) Joe Machens Capital City I &amp; II (NO TOURS)</t>
  </si>
  <si>
    <t>(KG) Clear Lake Pre-Owned</t>
  </si>
  <si>
    <t>(AS) David McDavid Lincoln Frisco</t>
  </si>
  <si>
    <t>From: Split-Station:</t>
  </si>
  <si>
    <t>Changes: Split-Station:</t>
  </si>
  <si>
    <t>(KG) Texan GMC Buick (NO TOURS)</t>
  </si>
  <si>
    <t>(ML) Ford Lincoln of North Little Rock</t>
  </si>
  <si>
    <t>(PE) Hudson Toyota Nissan CDJR (NO TOURS)</t>
  </si>
  <si>
    <t>(AS) David McDavid Honda I &amp; II</t>
  </si>
  <si>
    <t>Sites</t>
  </si>
  <si>
    <t>192.168.7.100</t>
  </si>
  <si>
    <t>Map</t>
  </si>
  <si>
    <t>Notes*</t>
  </si>
  <si>
    <t>Time</t>
  </si>
  <si>
    <t>Suma de Station</t>
  </si>
  <si>
    <t xml:space="preserve"> Station</t>
  </si>
  <si>
    <t>Its On:</t>
  </si>
  <si>
    <t>https://www.google.com/maps/d/viewer?mid=1AyViBuyeq7iwDua1SVudJ2A1BYi3IBA&amp;ll=27.38181516363982%2C-80.32568845000002&amp;z=18</t>
  </si>
  <si>
    <t>Sum of Station</t>
  </si>
  <si>
    <t>Searched Site</t>
  </si>
  <si>
    <t>Alphabetical Order</t>
  </si>
  <si>
    <t>8:00 P.M.</t>
  </si>
  <si>
    <t>9:00 P.M.</t>
  </si>
  <si>
    <t>9:30 P.M.</t>
  </si>
  <si>
    <t>10:00 P.M.</t>
  </si>
  <si>
    <t>11:00 P.M.</t>
  </si>
  <si>
    <t>12:00 A.M.</t>
  </si>
  <si>
    <t>10:00 A.M.</t>
  </si>
  <si>
    <t>11:00 A.M.</t>
  </si>
  <si>
    <t>7:00 A.M.</t>
  </si>
  <si>
    <t>12:00 P.M.</t>
  </si>
  <si>
    <t>6:00 A.M.</t>
  </si>
  <si>
    <t>8:00 A.M.</t>
  </si>
  <si>
    <t>9:00 A.M.</t>
  </si>
  <si>
    <t>H.A. 1</t>
  </si>
  <si>
    <t>H.A. 2</t>
  </si>
  <si>
    <t>H.A. 3</t>
  </si>
  <si>
    <t>H.A. 4</t>
  </si>
  <si>
    <t>H.A. Split</t>
  </si>
  <si>
    <t>H.A. Station</t>
  </si>
  <si>
    <t>Operators Split</t>
  </si>
  <si>
    <t>Operator Station</t>
  </si>
  <si>
    <t>Serached Site:</t>
  </si>
  <si>
    <t xml:space="preserve">Station </t>
  </si>
  <si>
    <t>Total Sites</t>
  </si>
  <si>
    <t>Log Out from</t>
  </si>
  <si>
    <t>Total New Sites</t>
  </si>
  <si>
    <t>Log In to</t>
  </si>
  <si>
    <t>High Alert Split-High Alert Station-Operator Station</t>
  </si>
  <si>
    <t>Log Time</t>
  </si>
  <si>
    <t xml:space="preserve">Log Time </t>
  </si>
  <si>
    <t>Key</t>
  </si>
  <si>
    <t>Searched Site:</t>
  </si>
  <si>
    <t xml:space="preserve"> New Sites</t>
  </si>
  <si>
    <t>(HUD) CDJR of Greensboro</t>
  </si>
  <si>
    <t>-</t>
  </si>
  <si>
    <t>https://www.google.com/maps/d/viewer?mid=1ot0ILX76JMuvd9yMuqkb4_e0yH1n7TA&amp;ll=45.07815812965141%2C-93.33506855000002&amp;z=17</t>
  </si>
  <si>
    <t>https://www.google.com/maps/d/viewer?mid=1bDs0QGFZwL3vEeGKxjVMk_j4azr0-lg&amp;ll=33.4593758581648%2C-112.28793780000001&amp;z=18</t>
  </si>
  <si>
    <t>(ML) Joe Machens Temporary 2.0</t>
  </si>
  <si>
    <t>Mario Residence</t>
  </si>
  <si>
    <t>SIG Office</t>
  </si>
  <si>
    <t>PTZ</t>
  </si>
  <si>
    <t>IMPORTANT CAMERAS</t>
  </si>
  <si>
    <t>BLIND SPOTS</t>
  </si>
  <si>
    <t>LPR GATES</t>
  </si>
  <si>
    <t>ENTRANCES</t>
  </si>
  <si>
    <t>GATES</t>
  </si>
  <si>
    <t>SITES</t>
  </si>
  <si>
    <t/>
  </si>
  <si>
    <t>SIG Office Trailer</t>
  </si>
  <si>
    <t>https://www.google.com/maps/d/viewer?hl=es&amp;mid=1C1oZdjH3dNvCvqdpIv_Lk0Yn1OCVn-4&amp;ll=38.965368114274455%2C-92.3405954&amp;z=15</t>
  </si>
  <si>
    <t>https://tools.sig.systems/site/details/159</t>
  </si>
  <si>
    <t>MST</t>
  </si>
  <si>
    <t>Gates</t>
  </si>
  <si>
    <t>Entrances</t>
  </si>
  <si>
    <t>LPR</t>
  </si>
  <si>
    <t>Important Cameras</t>
  </si>
  <si>
    <t>https://tools.sig.systems/site/details/148</t>
  </si>
  <si>
    <t>(BRL) Shoemakersville</t>
  </si>
  <si>
    <t>(PE) MB of Greenwich</t>
  </si>
  <si>
    <t>(AS) Coggin BMW Ft. Pierce (NO TOURS)</t>
  </si>
  <si>
    <t>24H</t>
  </si>
  <si>
    <t>(LT) Luther Bloomington Subaru - Acura</t>
  </si>
  <si>
    <t>(ML) Joe Machens Hyundai</t>
  </si>
  <si>
    <t>(LT) Luther Brookdale Toyota</t>
  </si>
  <si>
    <t>(LT) Luther North Country Ford</t>
  </si>
  <si>
    <t>(LT) Luther St. Cloud Subaru</t>
  </si>
  <si>
    <t>(KG) Big Star Hyundai Houston</t>
  </si>
  <si>
    <t>(KG) Ken Garff Volkswagen of Gilbert</t>
  </si>
  <si>
    <t>https://tools.sig.systems/site/details/283</t>
  </si>
  <si>
    <t>https://www.google.com/maps/d/viewer?hl=es&amp;mid=19SU7XE9Cg8jhVFpEI21Vi9Zfgdih9Ds&amp;ll=33.29158262977276%2C-111.75783630000002&amp;z=17</t>
  </si>
  <si>
    <t>https://tools.sig.systems/site/details/284</t>
  </si>
  <si>
    <t>https://tools.sig.systems/site/details/298</t>
  </si>
  <si>
    <t>https://tools.sig.systems/site/details/295</t>
  </si>
  <si>
    <t>https://tools.sig.systems/site/details/292</t>
  </si>
  <si>
    <t>https://tools.sig.systems/site/details/288</t>
  </si>
  <si>
    <t>https://tools.sig.systems/site/details/281</t>
  </si>
  <si>
    <t>https://tools.sig.systems/site/details/280</t>
  </si>
  <si>
    <t>https://tools.sig.systems/site/details/286</t>
  </si>
  <si>
    <t>https://tools.sig.systems/site/details/289</t>
  </si>
  <si>
    <t>https://tools.sig.systems/site/details/282</t>
  </si>
  <si>
    <t>https://www.google.com/maps/d/edit?mid=1hsX5GGrNcCQgAuzDCDz1OWgEkhsAc78&amp;usp=sharing</t>
  </si>
  <si>
    <t>https://tools.sig.systems/site/details/119</t>
  </si>
  <si>
    <t>https://www.google.com/maps/d/viewer?mid=1ZLGV-cDM9aCfovhmXHIAXgVOKts0dEI&amp;ll=26.438859950088858%2C-80.07968125000001&amp;z=16</t>
  </si>
  <si>
    <t>https://tools.sig.systems/site/details/188</t>
  </si>
  <si>
    <t>https://tools.sig.systems/site/details/302</t>
  </si>
  <si>
    <t>https://tools.sig.systems/site/details/305</t>
  </si>
  <si>
    <t>https://tools.sig.systems/site/details/301</t>
  </si>
  <si>
    <t>https://tools.sig.systems/site/details/303</t>
  </si>
  <si>
    <t>(DT) Charlotte</t>
  </si>
  <si>
    <t>https://tools.sig.systems/site/details/299</t>
  </si>
  <si>
    <t>4,12,13</t>
  </si>
  <si>
    <t>8, 11</t>
  </si>
  <si>
    <t>1, 6, 13A, 15, 18A</t>
  </si>
  <si>
    <t>13B, 23</t>
  </si>
  <si>
    <t>1, 2, 8</t>
  </si>
  <si>
    <t>13, 14, 20, 26, 40</t>
  </si>
  <si>
    <t>23, 24, 25</t>
  </si>
  <si>
    <t>2, 14</t>
  </si>
  <si>
    <t>1, 3, 9, 10, 14</t>
  </si>
  <si>
    <t>3, 10, 13</t>
  </si>
  <si>
    <t>1, 20, 27</t>
  </si>
  <si>
    <t>12, 25</t>
  </si>
  <si>
    <t>15, 16</t>
  </si>
  <si>
    <t>1, 2, 9, 22, 31, 57</t>
  </si>
  <si>
    <t>15, 16, 17, 29</t>
  </si>
  <si>
    <t>1, 7, 8, 12, 19, 32</t>
  </si>
  <si>
    <t>18, 24</t>
  </si>
  <si>
    <t>2, 3</t>
  </si>
  <si>
    <t>1, 5, 7, 8, 21, 29</t>
  </si>
  <si>
    <t>1, 5</t>
  </si>
  <si>
    <t xml:space="preserve">2, 6, 10, 12, 17 </t>
  </si>
  <si>
    <t>4, 25, 41</t>
  </si>
  <si>
    <t xml:space="preserve">11, 32, 35 </t>
  </si>
  <si>
    <t>6, 11, 18, 29, 34,  38, 39</t>
  </si>
  <si>
    <t>5, 8, 33</t>
  </si>
  <si>
    <t>4, 7, 35</t>
  </si>
  <si>
    <t xml:space="preserve">1, 2, 14, 24, 34  </t>
  </si>
  <si>
    <t>3, 4, 14, 25</t>
  </si>
  <si>
    <t>1, 11, 12, 13, 15</t>
  </si>
  <si>
    <t>1, 21</t>
  </si>
  <si>
    <t>38, 39, 40</t>
  </si>
  <si>
    <t>2, 10, 19</t>
  </si>
  <si>
    <t>4, 5, 7, 11, 13, 20, 24, 36</t>
  </si>
  <si>
    <t>5, 7</t>
  </si>
  <si>
    <t xml:space="preserve">1, 2, 4, 10, 18, 24, 25 </t>
  </si>
  <si>
    <t>9, 36</t>
  </si>
  <si>
    <t>38, 39</t>
  </si>
  <si>
    <t>3, 26</t>
  </si>
  <si>
    <t>1, 4, 11, 18, 23, 25, 31</t>
  </si>
  <si>
    <t>7, 14, 19</t>
  </si>
  <si>
    <t>30, 31, 32</t>
  </si>
  <si>
    <t>1, 4, 9, 13, 15, 16B, 25</t>
  </si>
  <si>
    <t>25, 31</t>
  </si>
  <si>
    <t>9, 13, 20</t>
  </si>
  <si>
    <t>38, 39, 40, 41</t>
  </si>
  <si>
    <t>2, 6, 8, 11, 14, 19, 23, 26</t>
  </si>
  <si>
    <t>3, 12, 17</t>
  </si>
  <si>
    <t>23, 35</t>
  </si>
  <si>
    <t>1, 75</t>
  </si>
  <si>
    <t xml:space="preserve">5, 11, 16, 20, 26, 30, 32, 34 </t>
  </si>
  <si>
    <t>7, 11</t>
  </si>
  <si>
    <t xml:space="preserve">2, 6, 10, 15, 18 </t>
  </si>
  <si>
    <t>4, 6</t>
  </si>
  <si>
    <t>1, 5, 8, 9, 17, 19, 21</t>
  </si>
  <si>
    <t>5, 19</t>
  </si>
  <si>
    <t>3, 5</t>
  </si>
  <si>
    <t>1, 6, 7, 12, 15, 17, 21</t>
  </si>
  <si>
    <t>7, 8</t>
  </si>
  <si>
    <t>(PE) JLR Paramus (NO TOURS)</t>
  </si>
  <si>
    <t>1, 17</t>
  </si>
  <si>
    <t>https://tools.sig.systems/site/details/177</t>
  </si>
  <si>
    <t xml:space="preserve">1, 2 </t>
  </si>
  <si>
    <t>https://tools.sig.systems/site/details/184</t>
  </si>
  <si>
    <t>(AS) Larry H Miller CDJR Fiat (NO TOURS)</t>
  </si>
  <si>
    <t>(PE) JLR Englewood (NO TOURS)</t>
  </si>
  <si>
    <t>1, 2</t>
  </si>
  <si>
    <t>https://tools.sig.systems/site/details/178</t>
  </si>
  <si>
    <t>https://www.google.com/maps/d/viewer?mid=1ubI2iKs1JyYXssuT4oLPnVvFnyLPi_s&amp;ll=40.878808846788026%2C-73.98560655&amp;z=17</t>
  </si>
  <si>
    <t>https://tools.sig.systems/site/details/287</t>
  </si>
  <si>
    <t>https://tools.sig.systems/site/details/300</t>
  </si>
  <si>
    <t>1, 22, 26, 28, 29</t>
  </si>
  <si>
    <t>3, 11, 15, 23</t>
  </si>
  <si>
    <t>14, 16</t>
  </si>
  <si>
    <t>https://tools.sig.systems/site/details/306</t>
  </si>
  <si>
    <t>https://www.google.com/maps/d/edit?hl=es&amp;mid=11XB1lTSP7EcDCDvzypdUPWP6bWCNAEI&amp;ll=39.21145022420528%2C-76.94003711910554&amp;z=17</t>
  </si>
  <si>
    <t>https://tools.sig.systems/site/details/308</t>
  </si>
  <si>
    <t>https://www.google.com/maps/d/edit?hl=es&amp;mid=11XB1lTSP7EcDCDvzypdUPWP6bWCNAEI&amp;ll=39.21145022420528%2C-76.94003711910554&amp;z=21</t>
  </si>
  <si>
    <t>https://www.google.com/maps/d/edit?hl=es&amp;mid=13OmECPqyeB7fXgZmEoM9cnG34HU_v5g&amp;ll=26.046837034777553%2C-80.38753458591658&amp;z=19</t>
  </si>
  <si>
    <t>https://www.google.com/maps/d/edit?hl=es&amp;mid=1uPmsRMsXnp74hPFW2t-sp2totVWF_xY&amp;ll=32.83050137713022%2C-96.83197783061323&amp;z=17</t>
  </si>
  <si>
    <t>https://www.google.com/maps/d/edit?hl=en&amp;mid=1UHmt7tH1ihTa85i0MfQIcTfVvIQg_vM&amp;ll=41.02423447529239%2C-73.63721502222738&amp;z=18</t>
  </si>
  <si>
    <t>https://www.google.com/maps/d/edit?hl=en&amp;mid=1jIRkMUnWNPuTgDjQgDP-f33LClT85NU&amp;ll=29.55731827236326%2C-95.1601644&amp;z=17</t>
  </si>
  <si>
    <t>(AS) Koons MB of Catonsville (NO TOURS)</t>
  </si>
  <si>
    <t>(TC) Lamborghini South Dade</t>
  </si>
  <si>
    <t>9, 11</t>
  </si>
  <si>
    <t>https://tools.sig.systems/site/details/313</t>
  </si>
  <si>
    <t>(KG) Big Star Cadillac</t>
  </si>
  <si>
    <t>1, 4, 16</t>
  </si>
  <si>
    <t>15, 16, 19, 20</t>
  </si>
  <si>
    <t>https://www.google.com/maps/d/edit?mid=1jIRkMUnWNPuTgDjQgDP-f33LClT85NU&amp;usp=sharing</t>
  </si>
  <si>
    <t>https://tools.sig.systems/site/details/316</t>
  </si>
  <si>
    <t>https://tools.sig.systems/site/details/318</t>
  </si>
  <si>
    <t>6, 9, 13</t>
  </si>
  <si>
    <t>58, 59</t>
  </si>
  <si>
    <t>11, 18</t>
  </si>
  <si>
    <t>5:00 A.M.</t>
  </si>
  <si>
    <t>(LT) Landers Kia of Little Rock</t>
  </si>
  <si>
    <t>https://tools.sig.systems/site/details/322</t>
  </si>
  <si>
    <t>5, 9, 33, 19</t>
  </si>
  <si>
    <t>4, 10</t>
  </si>
  <si>
    <t>1, 35</t>
  </si>
  <si>
    <t>5, 9, 12, 14, 18, 26, 29</t>
  </si>
  <si>
    <t>(LT) Luther Landers Recon Center</t>
  </si>
  <si>
    <t>https://tools.sig.systems/site/details/323</t>
  </si>
  <si>
    <t>4:00 A.M.</t>
  </si>
  <si>
    <t>5:30 A.M.</t>
  </si>
  <si>
    <t>https://tools.sig.systems/site/details/315</t>
  </si>
  <si>
    <t>1,2,3,18</t>
  </si>
  <si>
    <t>1,2,3,5,16,18</t>
  </si>
  <si>
    <t>(LT) Luther Genesis of Minneapolis</t>
  </si>
  <si>
    <t>8, 17, 27, 28</t>
  </si>
  <si>
    <t>4, 20, 24</t>
  </si>
  <si>
    <t>2, 4</t>
  </si>
  <si>
    <t>3, 9, 11</t>
  </si>
  <si>
    <t>3, 18</t>
  </si>
  <si>
    <t>6, 9</t>
  </si>
  <si>
    <t>https://tools.sig.systems/site/details/324</t>
  </si>
  <si>
    <t>2, 10, 12B, 14, 38</t>
  </si>
  <si>
    <t>12, 31</t>
  </si>
  <si>
    <t>12B, 26, 37, 19</t>
  </si>
  <si>
    <t>(LT) Luther Brookdale Honda (NO TOURS)</t>
  </si>
  <si>
    <t>1, 12</t>
  </si>
  <si>
    <t>2, 7, 9</t>
  </si>
  <si>
    <t>6, 10</t>
  </si>
  <si>
    <t>https://tools.sig.systems/site/details/331</t>
  </si>
  <si>
    <t>https://www.google.com/maps/d/u/1/edit?mid=1-zEzsc6U6nZom08edp0XAd3_HYFvAyk&amp;usp=sharing</t>
  </si>
  <si>
    <t>https://tools.sig.systems/site/details/267</t>
  </si>
  <si>
    <t>5, 6</t>
  </si>
  <si>
    <t>2, 3, 5, 10</t>
  </si>
  <si>
    <t>(LT) Luther Burnsville Hyundai</t>
  </si>
  <si>
    <t>6, 17</t>
  </si>
  <si>
    <t>22, 21</t>
  </si>
  <si>
    <t>2, 4, 16</t>
  </si>
  <si>
    <t>https://tools.sig.systems/site/details/307</t>
  </si>
  <si>
    <t>(AS) Coggin Collision Center of Kissimmee (NO TOURS)</t>
  </si>
  <si>
    <t>ID</t>
  </si>
  <si>
    <t>SIG TOOLS</t>
  </si>
  <si>
    <t>119</t>
  </si>
  <si>
    <t>301</t>
  </si>
  <si>
    <t>300</t>
  </si>
  <si>
    <t>282</t>
  </si>
  <si>
    <t>303</t>
  </si>
  <si>
    <t>298</t>
  </si>
  <si>
    <t>302</t>
  </si>
  <si>
    <t>299</t>
  </si>
  <si>
    <t>287</t>
  </si>
  <si>
    <t>(KG) Ken Garff Kia of Avondale</t>
  </si>
  <si>
    <t>283</t>
  </si>
  <si>
    <t>284</t>
  </si>
  <si>
    <t>289</t>
  </si>
  <si>
    <t>280</t>
  </si>
  <si>
    <t>281</t>
  </si>
  <si>
    <t>(LT) Luther Hopkins Honda (NO TOURS)</t>
  </si>
  <si>
    <t>288</t>
  </si>
  <si>
    <t>322</t>
  </si>
  <si>
    <t>315</t>
  </si>
  <si>
    <t>292</t>
  </si>
  <si>
    <t>295</t>
  </si>
  <si>
    <t>318</t>
  </si>
  <si>
    <t>286</t>
  </si>
  <si>
    <t>184</t>
  </si>
  <si>
    <t>178</t>
  </si>
  <si>
    <t>177</t>
  </si>
  <si>
    <t>188</t>
  </si>
  <si>
    <t>11, 21, 22, 57, 69</t>
  </si>
  <si>
    <t>2, 16, 46</t>
  </si>
  <si>
    <t>24, 39</t>
  </si>
  <si>
    <t>159</t>
  </si>
  <si>
    <t>148</t>
  </si>
  <si>
    <t>306</t>
  </si>
  <si>
    <t>308</t>
  </si>
  <si>
    <t>313</t>
  </si>
  <si>
    <t>316</t>
  </si>
  <si>
    <t>323</t>
  </si>
  <si>
    <t>324</t>
  </si>
  <si>
    <t>331</t>
  </si>
  <si>
    <t>267</t>
  </si>
  <si>
    <t>307</t>
  </si>
  <si>
    <t>2, 7</t>
  </si>
  <si>
    <t>343</t>
  </si>
  <si>
    <t>https://tools.sig.systems/site/details/343</t>
  </si>
  <si>
    <t>3, 24, 26, 27, 31, 36</t>
  </si>
  <si>
    <t>13, 26, 29</t>
  </si>
  <si>
    <t>342</t>
  </si>
  <si>
    <t>https://tools.sig.systems/site/details/342</t>
  </si>
  <si>
    <t>https://tools.sig.systems/site/details/199</t>
  </si>
  <si>
    <t>21, 22, 24, 32, 45</t>
  </si>
  <si>
    <t>1, 8</t>
  </si>
  <si>
    <t>5, 28, 38</t>
  </si>
  <si>
    <t>335</t>
  </si>
  <si>
    <t>https://tools.sig.systems/site/details/335</t>
  </si>
  <si>
    <t>7, 10, 16, 29</t>
  </si>
  <si>
    <t>1, 2, 3</t>
  </si>
  <si>
    <t>14, 17, 30</t>
  </si>
  <si>
    <t>333</t>
  </si>
  <si>
    <t>https://tools.sig.systems/site/details/333</t>
  </si>
  <si>
    <t>(BRL) Fort Pierce</t>
  </si>
  <si>
    <t>15, 18</t>
  </si>
  <si>
    <t>326</t>
  </si>
  <si>
    <t>https://tools.sig.systems/site/details/326</t>
  </si>
  <si>
    <t>(AS) Koons Baltimore Ford - Main Dealership (NO TOURS)</t>
  </si>
  <si>
    <t>https://tools.sig.systems/site/details/334</t>
  </si>
  <si>
    <t>334</t>
  </si>
  <si>
    <t>https://tools.sig.systems/site/details/338</t>
  </si>
  <si>
    <t>1, 3, 12, 15, 17</t>
  </si>
  <si>
    <t>2, 6, 18, 20</t>
  </si>
  <si>
    <t>338</t>
  </si>
  <si>
    <t>5, 7, 9</t>
  </si>
  <si>
    <t>6, 10, 1</t>
  </si>
  <si>
    <t>3, 8, 9</t>
  </si>
  <si>
    <t>199</t>
  </si>
  <si>
    <t>(PE) Porsche Audi Fairfield (NO TOURS)</t>
  </si>
  <si>
    <t>1, 18</t>
  </si>
  <si>
    <t>https://tools.sig.systems/site/details/194</t>
  </si>
  <si>
    <t>194</t>
  </si>
  <si>
    <t>6, 12, 15</t>
  </si>
  <si>
    <t>19, 20</t>
  </si>
  <si>
    <t>352</t>
  </si>
  <si>
    <t>https://tools.sig.systems/site/details/352</t>
  </si>
  <si>
    <t>(PE) JLR Darien (NO TOURS)</t>
  </si>
  <si>
    <t>1, 13</t>
  </si>
  <si>
    <t>https://tools.sig.systems/site/details/189</t>
  </si>
  <si>
    <t>189</t>
  </si>
  <si>
    <t>(AS) 3281 Storage Lot (NO TOURS)</t>
  </si>
  <si>
    <t>(AS) Coggin Honda of Orlando (NO TOURS)</t>
  </si>
  <si>
    <t>(AS) Hare Chevrolet (NO TOURS)</t>
  </si>
  <si>
    <t>(AS) Hare Truck Center (NO TOURS)</t>
  </si>
  <si>
    <t>(AS) Kahlo CDJR (NO TOURS)</t>
  </si>
  <si>
    <t>(AS) Koons Chevrolet Buick GMC - Clarksville (NO TOURS)</t>
  </si>
  <si>
    <t>(AS) Koons Arlington Toyota - New Car (NO TOURS)</t>
  </si>
  <si>
    <t>(AS) Larry H Miller Hyundai Arapahoe (NO TOURS)</t>
  </si>
  <si>
    <t>(AS) Koons Volvo Cars White Marsh (NO TOURS)</t>
  </si>
  <si>
    <t>(AS) Koons Woodbridge GMC (NO TOURS)</t>
  </si>
  <si>
    <t>(AS) Koons Woodbridge Ford (NO TOURS)</t>
  </si>
  <si>
    <t>(AS) Koons Chevrolet Buick GMC - Tysons Remote Lot (NO TOURS)</t>
  </si>
  <si>
    <t>(AS) Koons Chevrolet Buick GMC - Tysons (NO TOURS)</t>
  </si>
  <si>
    <t>(SCH) Schumacher of Delray I &amp; III</t>
  </si>
  <si>
    <t>(AS) Koons Falls Church Ford (NO TOURS)</t>
  </si>
  <si>
    <t>345</t>
  </si>
  <si>
    <t>https://tools.sig.systems/site/details/345</t>
  </si>
  <si>
    <t>339</t>
  </si>
  <si>
    <t>https://tools.sig.systems/site/details/339</t>
  </si>
  <si>
    <t>(AS) Koons White Marsh Chevrolet (NO TOURS)</t>
  </si>
  <si>
    <t>(AS) Plaza Mercedes Benz West (NO TOURS)</t>
  </si>
  <si>
    <t>https://tools.sig.systems/site/details/349</t>
  </si>
  <si>
    <t>1, 7</t>
  </si>
  <si>
    <t>6, 21</t>
  </si>
  <si>
    <t>349</t>
  </si>
  <si>
    <t>3, 6</t>
  </si>
  <si>
    <t xml:space="preserve">2, 9, 17 </t>
  </si>
  <si>
    <t>18, 19</t>
  </si>
  <si>
    <t>4, 14, 22</t>
  </si>
  <si>
    <t>10, 11</t>
  </si>
  <si>
    <t>347</t>
  </si>
  <si>
    <t>https://tools.sig.systems/site/details/347</t>
  </si>
  <si>
    <t>(AS) Koons Woodbridge Hyundai (NO TOURS)</t>
  </si>
  <si>
    <t>(AS) Koons Woodbridge Kia (NO TOURS)</t>
  </si>
  <si>
    <t>7, 9</t>
  </si>
  <si>
    <t>346</t>
  </si>
  <si>
    <t>https://tools.sig.systems/site/details/346</t>
  </si>
  <si>
    <t>(AS) Koons Sterling Ford - Main Dealership (NO TOURS)</t>
  </si>
  <si>
    <t>4, 21</t>
  </si>
  <si>
    <t>348</t>
  </si>
  <si>
    <t>https://tools.sig.systems/site/details/348</t>
  </si>
  <si>
    <t>(AS) Koons Chevrolet Buick GMC - Clarksville Remote Lot (NO TOURS)</t>
  </si>
  <si>
    <t>(AS) Koons Owings Mills Kia (NO TOURS)</t>
  </si>
  <si>
    <t>https://tools.sig.systems/site/details/336</t>
  </si>
  <si>
    <t>2, 18</t>
  </si>
  <si>
    <t>7, 14</t>
  </si>
  <si>
    <t>336</t>
  </si>
  <si>
    <t>https://tools.sig.systems/site/details/341</t>
  </si>
  <si>
    <t>(AS) Koons Westminster Toyota (NO TOURS)</t>
  </si>
  <si>
    <t>1, 7, 9, 18, 25</t>
  </si>
  <si>
    <t>8, 14, 16</t>
  </si>
  <si>
    <t>341</t>
  </si>
  <si>
    <t>(AS) Koons Easton Toyota - Main Dealership (NO TOURS)</t>
  </si>
  <si>
    <t>340</t>
  </si>
  <si>
    <t>https://tools.sig.systems/site/details/340</t>
  </si>
  <si>
    <t>4, 5</t>
  </si>
  <si>
    <t>8, 15</t>
  </si>
  <si>
    <t>(blank)</t>
  </si>
  <si>
    <t>(AS) Koons Tysons Toyota - Main Dealership (NO TOURS)</t>
  </si>
  <si>
    <t>1, 25</t>
  </si>
  <si>
    <t>13, 22, 27</t>
  </si>
  <si>
    <t>344</t>
  </si>
  <si>
    <t>https://tools.sig.systems/site/details/344</t>
  </si>
  <si>
    <t>(AS) Plaza Collision ST Louis (NO TOURS)</t>
  </si>
  <si>
    <t>https://tools.sig.systems/site/details/350</t>
  </si>
  <si>
    <t>350</t>
  </si>
  <si>
    <t>2, 6</t>
  </si>
  <si>
    <t>HOUR</t>
  </si>
  <si>
    <t>TIME</t>
  </si>
  <si>
    <t>DROP TIME</t>
  </si>
  <si>
    <t>SUNDAY D.T.</t>
  </si>
  <si>
    <t>MAP</t>
  </si>
  <si>
    <t>(AS) Koons Annapolis Toyota (NO TOURS)</t>
  </si>
  <si>
    <t>1, 6, 21</t>
  </si>
  <si>
    <t>3, 5, 7, 19</t>
  </si>
  <si>
    <t>https://tools.sig.systems/site/details/337</t>
  </si>
  <si>
    <t>337</t>
  </si>
  <si>
    <t>37, 38</t>
  </si>
  <si>
    <t>355</t>
  </si>
  <si>
    <t>https://tools.sig.systems/site/details/355</t>
  </si>
  <si>
    <t>(AS) Koons Tysons Toyota - UC Recon (NO TOURS)</t>
  </si>
  <si>
    <t>(LT) Luther Bloomington Hyundai (NO TOURS)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</si>
</sst>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h:mm\ AM/PM;@"/>
  </numFmts>
  <fonts count="26" x14ac:knownFonts="1">
    <font>
      <sz val="11"/>
      <color theme="1"/>
      <name val="Calibri"/>
      <family val="2"/>
      <scheme val="minor"/>
    </font>
    <font>
      <b/>
      <sz val="14"/>
      <color theme="0"/>
      <name val="Calibri"/>
      <family val="2"/>
      <scheme val="minor"/>
    </font>
    <font>
      <u/>
      <sz val="11"/>
      <color theme="10"/>
      <name val="Calibri"/>
      <family val="2"/>
      <scheme val="minor"/>
    </font>
    <font>
      <u/>
      <sz val="11"/>
      <color theme="1"/>
      <name val="Calibri"/>
      <family val="2"/>
      <scheme val="minor"/>
    </font>
    <font>
      <sz val="14"/>
      <color theme="1"/>
      <name val="Calibri"/>
      <family val="2"/>
      <scheme val="minor"/>
    </font>
    <font>
      <b/>
      <sz val="14"/>
      <color theme="1"/>
      <name val="Calibri"/>
      <family val="2"/>
      <scheme val="minor"/>
    </font>
    <font>
      <u/>
      <sz val="14"/>
      <color theme="10"/>
      <name val="Calibri"/>
      <family val="2"/>
      <scheme val="minor"/>
    </font>
    <font>
      <b/>
      <sz val="15"/>
      <color theme="0"/>
      <name val="Calibri"/>
      <family val="2"/>
      <scheme val="minor"/>
    </font>
    <font>
      <b/>
      <sz val="15"/>
      <color theme="1"/>
      <name val="Calibri"/>
      <family val="2"/>
      <scheme val="minor"/>
    </font>
    <font>
      <sz val="15"/>
      <color theme="0"/>
      <name val="Calibri"/>
      <family val="2"/>
      <scheme val="minor"/>
    </font>
    <font>
      <sz val="15"/>
      <color theme="1"/>
      <name val="Calibri"/>
      <family val="2"/>
      <scheme val="minor"/>
    </font>
    <font>
      <b/>
      <sz val="15"/>
      <color rgb="FF00B0F0"/>
      <name val="Calibri"/>
      <family val="2"/>
      <scheme val="minor"/>
    </font>
    <font>
      <b/>
      <u/>
      <sz val="15"/>
      <color theme="0"/>
      <name val="Calibri"/>
      <family val="2"/>
      <scheme val="minor"/>
    </font>
    <font>
      <b/>
      <sz val="14"/>
      <color rgb="FFFFFF00"/>
      <name val="Calibri"/>
      <family val="2"/>
      <scheme val="minor"/>
    </font>
    <font>
      <b/>
      <u/>
      <sz val="14"/>
      <color theme="10"/>
      <name val="Calibri"/>
      <family val="2"/>
      <scheme val="minor"/>
    </font>
    <font>
      <b/>
      <u/>
      <sz val="14"/>
      <color theme="1"/>
      <name val="Calibri"/>
      <family val="2"/>
      <scheme val="minor"/>
    </font>
    <font>
      <b/>
      <sz val="26"/>
      <name val="Calibri"/>
      <family val="2"/>
      <scheme val="minor"/>
    </font>
    <font>
      <sz val="26"/>
      <color rgb="FF000000"/>
      <name val="Calibri"/>
      <family val="2"/>
      <scheme val="minor"/>
    </font>
    <font>
      <sz val="26"/>
      <name val="Calibri"/>
      <family val="2"/>
      <scheme val="minor"/>
    </font>
    <font>
      <sz val="11"/>
      <name val="Calibri"/>
      <family val="2"/>
      <scheme val="minor"/>
    </font>
    <font>
      <sz val="8"/>
      <name val="Calibri"/>
      <family val="2"/>
      <scheme val="minor"/>
    </font>
    <font>
      <b/>
      <sz val="11"/>
      <color theme="1"/>
      <name val="Calibri"/>
      <family val="2"/>
      <scheme val="minor"/>
    </font>
    <font>
      <b/>
      <sz val="14"/>
      <color rgb="FF00B0F0"/>
      <name val="Calibri"/>
      <family val="2"/>
      <scheme val="minor"/>
    </font>
    <font>
      <b/>
      <sz val="32"/>
      <color theme="3"/>
      <name val="Calibri"/>
      <family val="2"/>
      <scheme val="minor"/>
    </font>
    <font>
      <sz val="14"/>
      <color theme="0"/>
      <name val="Calibri"/>
      <family val="2"/>
      <scheme val="minor"/>
    </font>
    <font>
      <sz val="11"/>
      <color theme="3" tint="-0.249977111117893"/>
      <name val="Calibri"/>
      <family val="2"/>
      <scheme val="minor"/>
    </font>
  </fonts>
  <fills count="10">
    <fill>
      <patternFill patternType="none"/>
    </fill>
    <fill>
      <patternFill patternType="gray125"/>
    </fill>
    <fill>
      <patternFill patternType="solid">
        <fgColor theme="1"/>
        <bgColor indexed="64"/>
      </patternFill>
    </fill>
    <fill>
      <patternFill patternType="solid">
        <fgColor theme="0"/>
        <bgColor theme="0"/>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bgColor indexed="64"/>
      </patternFill>
    </fill>
    <fill>
      <patternFill patternType="solid">
        <fgColor theme="3" tint="0.39997558519241921"/>
        <bgColor indexed="64"/>
      </patternFill>
    </fill>
    <fill>
      <patternFill patternType="solid">
        <fgColor theme="0" tint="-0.149967955565050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theme="1" tint="0.499984740745262"/>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top/>
      <bottom style="thin">
        <color theme="4" tint="0.39997558519241921"/>
      </bottom>
      <diagonal/>
    </border>
    <border>
      <left/>
      <right/>
      <top/>
      <bottom style="thin">
        <color theme="0" tint="-0.3499862666707357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auto="1"/>
      </right>
      <top style="thin">
        <color auto="1"/>
      </top>
      <bottom/>
      <diagonal/>
    </border>
    <border>
      <left/>
      <right/>
      <top style="thin">
        <color indexed="64"/>
      </top>
      <bottom style="thin">
        <color indexed="64"/>
      </bottom>
      <diagonal/>
    </border>
    <border>
      <left style="thin">
        <color theme="0"/>
      </left>
      <right style="thin">
        <color theme="0"/>
      </right>
      <top/>
      <bottom/>
      <diagonal/>
    </border>
    <border>
      <left/>
      <right style="thin">
        <color theme="0"/>
      </right>
      <top/>
      <bottom/>
      <diagonal/>
    </border>
    <border>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115">
    <xf numFmtId="0" fontId="0" fillId="0" borderId="0" xfId="0"/>
    <xf numFmtId="0" fontId="0" fillId="0" borderId="0" xfId="0" applyAlignment="1">
      <alignment horizontal="left"/>
    </xf>
    <xf numFmtId="0" fontId="1" fillId="2" borderId="0" xfId="0" applyFont="1" applyFill="1"/>
    <xf numFmtId="0" fontId="0" fillId="0" borderId="0" xfId="0" applyAlignment="1">
      <alignment horizontal="center"/>
    </xf>
    <xf numFmtId="0" fontId="2" fillId="0" borderId="0" xfId="1" applyFill="1"/>
    <xf numFmtId="0" fontId="3" fillId="0" borderId="0" xfId="0" applyFont="1"/>
    <xf numFmtId="0" fontId="1" fillId="2" borderId="7" xfId="0" applyFont="1" applyFill="1" applyBorder="1" applyAlignment="1">
      <alignment horizontal="center"/>
    </xf>
    <xf numFmtId="0" fontId="4" fillId="0" borderId="0" xfId="0" applyFont="1" applyAlignment="1">
      <alignment horizontal="center"/>
    </xf>
    <xf numFmtId="0" fontId="6" fillId="0" borderId="0" xfId="1" applyFont="1" applyFill="1" applyBorder="1" applyAlignment="1">
      <alignment horizontal="center"/>
    </xf>
    <xf numFmtId="0" fontId="5" fillId="0" borderId="0" xfId="0" applyFont="1" applyAlignment="1">
      <alignment horizontal="center"/>
    </xf>
    <xf numFmtId="0" fontId="7" fillId="2" borderId="0" xfId="0" applyFont="1" applyFill="1"/>
    <xf numFmtId="0" fontId="8" fillId="0" borderId="0" xfId="0" applyFont="1" applyAlignment="1">
      <alignment horizontal="center"/>
    </xf>
    <xf numFmtId="0" fontId="9" fillId="2" borderId="0" xfId="0" applyFont="1" applyFill="1"/>
    <xf numFmtId="0" fontId="7" fillId="2" borderId="0" xfId="0" applyFont="1" applyFill="1" applyAlignment="1">
      <alignment horizontal="left"/>
    </xf>
    <xf numFmtId="0" fontId="10" fillId="0" borderId="0" xfId="0" applyFont="1"/>
    <xf numFmtId="0" fontId="7" fillId="2" borderId="0" xfId="0" applyFont="1" applyFill="1" applyAlignment="1">
      <alignment horizontal="center"/>
    </xf>
    <xf numFmtId="0" fontId="5" fillId="0" borderId="1" xfId="0" applyFont="1" applyBorder="1" applyAlignment="1">
      <alignment horizontal="center"/>
    </xf>
    <xf numFmtId="0" fontId="7" fillId="2" borderId="8" xfId="0" applyFont="1" applyFill="1" applyBorder="1"/>
    <xf numFmtId="0" fontId="5" fillId="0" borderId="0" xfId="0" applyFont="1" applyAlignment="1">
      <alignment horizontal="center" vertical="center"/>
    </xf>
    <xf numFmtId="18" fontId="0" fillId="0" borderId="0" xfId="0" applyNumberFormat="1" applyAlignment="1">
      <alignment horizontal="center"/>
    </xf>
    <xf numFmtId="164" fontId="0" fillId="0" borderId="0" xfId="0" applyNumberFormat="1"/>
    <xf numFmtId="18" fontId="0" fillId="0" borderId="0" xfId="0" applyNumberFormat="1"/>
    <xf numFmtId="164" fontId="4" fillId="0" borderId="0" xfId="0" applyNumberFormat="1" applyFont="1" applyAlignment="1">
      <alignment horizontal="center"/>
    </xf>
    <xf numFmtId="18" fontId="4" fillId="0" borderId="0" xfId="0" applyNumberFormat="1" applyFont="1" applyAlignment="1">
      <alignment horizontal="center"/>
    </xf>
    <xf numFmtId="0" fontId="0" fillId="0" borderId="0" xfId="0" applyAlignment="1">
      <alignment vertical="center"/>
    </xf>
    <xf numFmtId="0" fontId="5" fillId="0" borderId="0" xfId="0" applyFont="1"/>
    <xf numFmtId="0" fontId="7" fillId="2" borderId="8" xfId="0" applyFont="1" applyFill="1" applyBorder="1" applyAlignment="1">
      <alignment horizontal="left"/>
    </xf>
    <xf numFmtId="0" fontId="5" fillId="6" borderId="0" xfId="0" applyFont="1" applyFill="1" applyAlignment="1">
      <alignment vertical="top"/>
    </xf>
    <xf numFmtId="0" fontId="14" fillId="0" borderId="0" xfId="1" applyFont="1" applyFill="1" applyBorder="1" applyAlignment="1">
      <alignment horizontal="center"/>
    </xf>
    <xf numFmtId="0" fontId="5" fillId="5" borderId="5" xfId="0" applyFont="1" applyFill="1" applyBorder="1" applyAlignment="1">
      <alignment horizontal="center"/>
    </xf>
    <xf numFmtId="0" fontId="5" fillId="5" borderId="4" xfId="0" applyFont="1" applyFill="1" applyBorder="1" applyAlignment="1">
      <alignment horizontal="center"/>
    </xf>
    <xf numFmtId="0" fontId="0" fillId="7" borderId="0" xfId="0" applyFill="1"/>
    <xf numFmtId="0" fontId="0" fillId="0" borderId="0" xfId="0" applyAlignment="1">
      <alignment horizontal="center" vertical="center"/>
    </xf>
    <xf numFmtId="164" fontId="0" fillId="0" borderId="0" xfId="0" applyNumberFormat="1" applyAlignment="1">
      <alignment vertical="center"/>
    </xf>
    <xf numFmtId="0" fontId="7" fillId="2" borderId="8" xfId="0" applyFont="1" applyFill="1" applyBorder="1" applyAlignment="1">
      <alignment vertical="center"/>
    </xf>
    <xf numFmtId="20" fontId="0" fillId="0" borderId="0" xfId="0" applyNumberFormat="1"/>
    <xf numFmtId="0" fontId="18" fillId="0" borderId="0" xfId="0" applyFont="1" applyAlignment="1">
      <alignment wrapText="1"/>
    </xf>
    <xf numFmtId="0" fontId="19" fillId="0" borderId="0" xfId="0" applyFont="1"/>
    <xf numFmtId="0" fontId="5" fillId="3" borderId="1" xfId="0" applyFont="1" applyFill="1" applyBorder="1" applyAlignment="1">
      <alignment horizontal="center"/>
    </xf>
    <xf numFmtId="0" fontId="13" fillId="2" borderId="4" xfId="0" applyFont="1" applyFill="1" applyBorder="1" applyAlignment="1">
      <alignment horizontal="center" vertical="center"/>
    </xf>
    <xf numFmtId="0" fontId="5" fillId="4" borderId="4" xfId="0" applyFont="1" applyFill="1" applyBorder="1" applyAlignment="1">
      <alignment horizontal="center"/>
    </xf>
    <xf numFmtId="0" fontId="13" fillId="2" borderId="3" xfId="0" applyFont="1" applyFill="1" applyBorder="1" applyAlignment="1">
      <alignment horizontal="center" vertical="center"/>
    </xf>
    <xf numFmtId="0" fontId="1" fillId="2" borderId="7" xfId="0" applyFont="1" applyFill="1" applyBorder="1" applyAlignment="1">
      <alignment horizontal="center" vertical="center"/>
    </xf>
    <xf numFmtId="0" fontId="5" fillId="4" borderId="5" xfId="0" applyFont="1" applyFill="1" applyBorder="1" applyAlignment="1">
      <alignment horizontal="center"/>
    </xf>
    <xf numFmtId="0" fontId="13" fillId="2" borderId="5" xfId="0" applyFont="1" applyFill="1" applyBorder="1" applyAlignment="1">
      <alignment horizontal="center" vertical="center"/>
    </xf>
    <xf numFmtId="18" fontId="4" fillId="0" borderId="0" xfId="0" applyNumberFormat="1" applyFont="1" applyAlignment="1">
      <alignment horizontal="center" vertical="center"/>
    </xf>
    <xf numFmtId="0" fontId="21" fillId="0" borderId="0" xfId="0" applyFont="1" applyAlignment="1">
      <alignment horizontal="center" vertical="center"/>
    </xf>
    <xf numFmtId="0" fontId="21" fillId="0" borderId="0" xfId="0" applyFont="1" applyAlignment="1">
      <alignment horizontal="center"/>
    </xf>
    <xf numFmtId="0" fontId="5" fillId="0" borderId="0" xfId="0" applyFont="1" applyAlignment="1">
      <alignment vertical="center"/>
    </xf>
    <xf numFmtId="0" fontId="14" fillId="0" borderId="0" xfId="1" applyFont="1" applyFill="1" applyBorder="1" applyAlignment="1">
      <alignment horizontal="center" vertical="center"/>
    </xf>
    <xf numFmtId="14" fontId="23" fillId="0" borderId="0" xfId="0" applyNumberFormat="1" applyFont="1" applyAlignment="1">
      <alignment vertical="center"/>
    </xf>
    <xf numFmtId="0" fontId="1" fillId="2" borderId="0" xfId="0" applyFont="1" applyFill="1" applyAlignment="1">
      <alignment horizontal="center" vertical="center"/>
    </xf>
    <xf numFmtId="0" fontId="1" fillId="2" borderId="0" xfId="0" applyFont="1" applyFill="1" applyAlignment="1">
      <alignment horizontal="center"/>
    </xf>
    <xf numFmtId="0" fontId="5" fillId="6" borderId="3" xfId="0" applyFont="1" applyFill="1" applyBorder="1" applyAlignment="1">
      <alignment vertical="center"/>
    </xf>
    <xf numFmtId="0" fontId="5" fillId="6" borderId="5" xfId="0" applyFont="1" applyFill="1" applyBorder="1" applyAlignment="1">
      <alignment vertical="center"/>
    </xf>
    <xf numFmtId="0" fontId="5" fillId="6" borderId="4" xfId="0" applyFont="1" applyFill="1" applyBorder="1" applyAlignment="1">
      <alignment vertical="center"/>
    </xf>
    <xf numFmtId="0" fontId="5" fillId="3" borderId="0" xfId="0" applyFont="1" applyFill="1" applyAlignment="1">
      <alignment horizontal="center"/>
    </xf>
    <xf numFmtId="0" fontId="5" fillId="0" borderId="0" xfId="0" pivotButton="1" applyFont="1" applyAlignment="1">
      <alignment horizontal="center" vertical="center"/>
    </xf>
    <xf numFmtId="0" fontId="5" fillId="3" borderId="13" xfId="0" applyFont="1" applyFill="1" applyBorder="1" applyAlignment="1">
      <alignment horizontal="center"/>
    </xf>
    <xf numFmtId="0" fontId="5" fillId="3" borderId="10" xfId="0" applyFont="1" applyFill="1" applyBorder="1" applyAlignment="1">
      <alignment horizontal="center"/>
    </xf>
    <xf numFmtId="0" fontId="5" fillId="3" borderId="9" xfId="0" applyFont="1" applyFill="1" applyBorder="1" applyAlignment="1">
      <alignment horizontal="center"/>
    </xf>
    <xf numFmtId="0" fontId="16" fillId="8" borderId="0" xfId="0" applyFont="1" applyFill="1" applyAlignment="1">
      <alignment horizontal="center" vertical="center"/>
    </xf>
    <xf numFmtId="0" fontId="17" fillId="0" borderId="0" xfId="0" applyFont="1" applyAlignment="1">
      <alignment horizontal="center" vertical="center"/>
    </xf>
    <xf numFmtId="0" fontId="16" fillId="8" borderId="0" xfId="0" applyFont="1" applyFill="1" applyAlignment="1">
      <alignment horizontal="left" vertical="center"/>
    </xf>
    <xf numFmtId="49" fontId="16" fillId="8" borderId="14" xfId="0" applyNumberFormat="1" applyFont="1" applyFill="1" applyBorder="1" applyAlignment="1">
      <alignment horizontal="center" vertical="center"/>
    </xf>
    <xf numFmtId="0" fontId="16" fillId="8" borderId="14" xfId="0" applyFont="1" applyFill="1" applyBorder="1" applyAlignment="1">
      <alignment horizontal="center" vertical="center"/>
    </xf>
    <xf numFmtId="0" fontId="17" fillId="0" borderId="0" xfId="0" applyFont="1" applyAlignment="1">
      <alignment horizontal="left" vertical="center"/>
    </xf>
    <xf numFmtId="49" fontId="17" fillId="0" borderId="0" xfId="0" applyNumberFormat="1" applyFont="1" applyAlignment="1">
      <alignment horizontal="center" vertical="center"/>
    </xf>
    <xf numFmtId="0" fontId="16" fillId="0" borderId="0" xfId="0" applyFont="1" applyAlignment="1">
      <alignment horizontal="left" vertical="center"/>
    </xf>
    <xf numFmtId="49" fontId="16" fillId="0" borderId="0" xfId="0" applyNumberFormat="1" applyFont="1" applyAlignment="1">
      <alignment vertical="center"/>
    </xf>
    <xf numFmtId="0" fontId="5" fillId="0" borderId="9" xfId="0" applyFont="1" applyBorder="1" applyAlignment="1">
      <alignment horizontal="center"/>
    </xf>
    <xf numFmtId="0" fontId="5" fillId="0" borderId="6" xfId="0" applyFont="1" applyBorder="1" applyAlignment="1">
      <alignment horizontal="center" vertical="center"/>
    </xf>
    <xf numFmtId="0" fontId="16" fillId="8" borderId="15" xfId="0" applyFont="1" applyFill="1" applyBorder="1" applyAlignment="1">
      <alignment horizontal="center" vertical="center"/>
    </xf>
    <xf numFmtId="0" fontId="25" fillId="0" borderId="0" xfId="0" applyFont="1" applyAlignment="1">
      <alignment horizontal="center" vertical="center"/>
    </xf>
    <xf numFmtId="0" fontId="2" fillId="0" borderId="0" xfId="1" applyAlignment="1">
      <alignment horizontal="center" vertical="center"/>
    </xf>
    <xf numFmtId="0" fontId="2" fillId="0" borderId="0" xfId="1" applyNumberFormat="1" applyAlignment="1">
      <alignment horizontal="center" vertical="center"/>
    </xf>
    <xf numFmtId="164" fontId="13" fillId="2" borderId="3" xfId="0" applyNumberFormat="1" applyFont="1" applyFill="1" applyBorder="1" applyAlignment="1">
      <alignment horizontal="center" vertical="center"/>
    </xf>
    <xf numFmtId="164" fontId="5" fillId="5" borderId="5" xfId="0" applyNumberFormat="1" applyFont="1" applyFill="1" applyBorder="1" applyAlignment="1">
      <alignment horizontal="center" vertical="center"/>
    </xf>
    <xf numFmtId="164" fontId="5" fillId="5" borderId="4" xfId="0" applyNumberFormat="1" applyFont="1" applyFill="1" applyBorder="1" applyAlignment="1">
      <alignment horizontal="center" vertical="center"/>
    </xf>
    <xf numFmtId="164" fontId="5" fillId="5" borderId="3" xfId="0" applyNumberFormat="1" applyFont="1" applyFill="1" applyBorder="1" applyAlignment="1">
      <alignment horizontal="center" vertical="center"/>
    </xf>
    <xf numFmtId="0" fontId="22" fillId="2" borderId="6" xfId="0" applyFont="1" applyFill="1" applyBorder="1" applyAlignment="1">
      <alignment horizontal="center" vertical="center"/>
    </xf>
    <xf numFmtId="0" fontId="22" fillId="2" borderId="0" xfId="0" applyFont="1" applyFill="1" applyAlignment="1">
      <alignment horizontal="center" vertical="center"/>
    </xf>
    <xf numFmtId="0" fontId="1" fillId="2" borderId="0" xfId="0" applyFont="1" applyFill="1" applyAlignment="1">
      <alignment horizontal="center" vertical="center"/>
    </xf>
    <xf numFmtId="0" fontId="15" fillId="0" borderId="9" xfId="0" applyFont="1" applyBorder="1" applyAlignment="1">
      <alignment horizontal="center"/>
    </xf>
    <xf numFmtId="0" fontId="15" fillId="0" borderId="10" xfId="0" applyFont="1" applyBorder="1" applyAlignment="1">
      <alignment horizontal="center"/>
    </xf>
    <xf numFmtId="0" fontId="12" fillId="2" borderId="2" xfId="0" applyFont="1" applyFill="1" applyBorder="1" applyAlignment="1">
      <alignment horizontal="center" vertical="center"/>
    </xf>
    <xf numFmtId="0" fontId="12" fillId="2" borderId="0" xfId="0" applyFont="1" applyFill="1" applyAlignment="1">
      <alignment horizontal="center" vertical="center"/>
    </xf>
    <xf numFmtId="0" fontId="1" fillId="2" borderId="7" xfId="0" applyFont="1" applyFill="1" applyBorder="1" applyAlignment="1">
      <alignment horizontal="center" vertical="center"/>
    </xf>
    <xf numFmtId="0" fontId="7" fillId="2" borderId="0" xfId="0" applyFont="1" applyFill="1" applyAlignment="1">
      <alignment horizontal="center" vertical="center"/>
    </xf>
    <xf numFmtId="0" fontId="12" fillId="2" borderId="2" xfId="0" applyFont="1" applyFill="1" applyBorder="1" applyAlignment="1">
      <alignment horizontal="center"/>
    </xf>
    <xf numFmtId="0" fontId="12" fillId="2" borderId="0" xfId="0" applyFont="1" applyFill="1" applyAlignment="1">
      <alignment horizontal="center"/>
    </xf>
    <xf numFmtId="0" fontId="11" fillId="2" borderId="6" xfId="0" applyFont="1" applyFill="1" applyBorder="1" applyAlignment="1">
      <alignment horizontal="center" vertical="center"/>
    </xf>
    <xf numFmtId="0" fontId="11" fillId="2" borderId="0" xfId="0" applyFont="1" applyFill="1" applyAlignment="1">
      <alignment horizontal="center" vertical="center"/>
    </xf>
    <xf numFmtId="0" fontId="0" fillId="0" borderId="0" xfId="0" applyNumberFormat="1"/>
    <xf numFmtId="0" fontId="5" fillId="0" borderId="0" xfId="0" applyNumberFormat="1" applyFont="1"/>
    <xf numFmtId="0" fontId="0" fillId="0" borderId="0" xfId="0" applyNumberFormat="1" applyAlignment="1">
      <alignment vertical="center"/>
    </xf>
    <xf numFmtId="0" fontId="5" fillId="0" borderId="0" xfId="0" applyFont="1" applyFill="1" applyAlignment="1">
      <alignment horizontal="center"/>
    </xf>
    <xf numFmtId="0" fontId="0" fillId="0" borderId="1" xfId="0" applyNumberFormat="1" applyBorder="1" applyAlignment="1">
      <alignment horizontal="center"/>
    </xf>
    <xf numFmtId="0" fontId="5" fillId="0" borderId="1" xfId="0" applyNumberFormat="1" applyFont="1" applyBorder="1" applyAlignment="1">
      <alignment horizontal="center"/>
    </xf>
    <xf numFmtId="0" fontId="5" fillId="0" borderId="0" xfId="0" applyFont="1" applyBorder="1"/>
    <xf numFmtId="0" fontId="5" fillId="0" borderId="12" xfId="0" applyNumberFormat="1" applyFont="1" applyBorder="1" applyAlignment="1">
      <alignment vertical="center"/>
    </xf>
    <xf numFmtId="0" fontId="5" fillId="0" borderId="11" xfId="0" applyNumberFormat="1" applyFont="1" applyBorder="1" applyAlignment="1">
      <alignment vertical="center"/>
    </xf>
    <xf numFmtId="0" fontId="5" fillId="0" borderId="0" xfId="0" applyFont="1" applyBorder="1" applyAlignment="1">
      <alignment vertical="center"/>
    </xf>
    <xf numFmtId="0" fontId="5" fillId="0" borderId="16" xfId="0" applyNumberFormat="1" applyFont="1" applyBorder="1" applyAlignment="1">
      <alignment vertical="center"/>
    </xf>
    <xf numFmtId="0" fontId="0" fillId="0" borderId="0" xfId="0" applyBorder="1"/>
    <xf numFmtId="0" fontId="7" fillId="2" borderId="0" xfId="0" applyFont="1" applyFill="1" applyBorder="1"/>
    <xf numFmtId="0" fontId="5" fillId="0" borderId="0" xfId="0" applyNumberFormat="1" applyFont="1" applyAlignment="1">
      <alignment horizontal="center" vertical="center"/>
    </xf>
    <xf numFmtId="0" fontId="5" fillId="0" borderId="1" xfId="0" applyNumberFormat="1" applyFont="1" applyFill="1" applyBorder="1" applyAlignment="1">
      <alignment horizontal="center"/>
    </xf>
    <xf numFmtId="0" fontId="0" fillId="0" borderId="0" xfId="0" pivotButton="1" applyBorder="1"/>
    <xf numFmtId="0" fontId="0" fillId="0" borderId="0" xfId="0" applyNumberFormat="1" applyBorder="1"/>
    <xf numFmtId="0" fontId="24" fillId="2" borderId="0" xfId="0" applyFont="1" applyFill="1" applyBorder="1"/>
    <xf numFmtId="0" fontId="0" fillId="4" borderId="0" xfId="0" applyNumberFormat="1" applyFill="1" applyBorder="1"/>
    <xf numFmtId="0" fontId="0" fillId="9" borderId="0" xfId="0" applyNumberFormat="1" applyFill="1" applyBorder="1"/>
    <xf numFmtId="0" fontId="4" fillId="4" borderId="0" xfId="0" applyFont="1" applyFill="1" applyBorder="1"/>
    <xf numFmtId="0" fontId="4" fillId="9" borderId="0" xfId="0" applyFont="1" applyFill="1" applyBorder="1"/>
  </cellXfs>
  <cellStyles count="2">
    <cellStyle name="Hyperlink" xfId="1" builtinId="8"/>
    <cellStyle name="Normal" xfId="0" builtinId="0"/>
  </cellStyles>
  <dxfs count="1253">
    <dxf>
      <font>
        <color rgb="FF9C0006"/>
      </font>
      <fill>
        <patternFill>
          <bgColor rgb="FFFFC7CE"/>
        </patternFill>
      </fill>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9C0006"/>
      </font>
      <fill>
        <patternFill>
          <bgColor rgb="FFFFC7CE"/>
        </patternFill>
      </fill>
    </dxf>
    <dxf>
      <font>
        <color rgb="FFFF0000"/>
      </font>
    </dxf>
    <dxf>
      <fill>
        <patternFill>
          <bgColor theme="0" tint="-0.14996795556505021"/>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9C0006"/>
      </font>
      <fill>
        <patternFill>
          <bgColor rgb="FFFFC7CE"/>
        </patternFill>
      </fill>
    </dxf>
    <dxf>
      <font>
        <color rgb="FFFF0000"/>
      </font>
    </dxf>
    <dxf>
      <fill>
        <patternFill>
          <bgColor theme="0" tint="-0.14996795556505021"/>
        </patternFill>
      </fill>
    </dxf>
    <dxf>
      <border>
        <left style="thin">
          <color indexed="64"/>
        </left>
      </border>
    </dxf>
    <dxf>
      <border>
        <top style="thin">
          <color indexed="64"/>
        </top>
      </border>
    </dxf>
    <dxf>
      <border>
        <right style="thin">
          <color indexed="64"/>
        </right>
      </border>
    </dxf>
    <dxf>
      <border>
        <bottom style="thin">
          <color indexed="64"/>
        </bottom>
      </border>
    </dxf>
    <dxf>
      <font>
        <b/>
        <sz val="14"/>
      </font>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border>
        <left style="thin">
          <color indexed="64"/>
        </left>
      </border>
    </dxf>
    <dxf>
      <border>
        <top style="thin">
          <color indexed="64"/>
        </top>
      </border>
    </dxf>
    <dxf>
      <border>
        <right style="thin">
          <color indexed="64"/>
        </right>
      </border>
    </dxf>
    <dxf>
      <border>
        <bottom style="thin">
          <color indexed="64"/>
        </bottom>
      </bord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color rgb="FFFF0000"/>
      </font>
    </dxf>
    <dxf>
      <font>
        <color rgb="FFFF0000"/>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5"/>
      </font>
    </dxf>
    <dxf>
      <font>
        <sz val="15"/>
      </font>
    </dxf>
    <dxf>
      <font>
        <sz val="15"/>
      </font>
    </dxf>
    <dxf>
      <font>
        <sz val="15"/>
      </font>
    </dxf>
    <dxf>
      <alignment horizontal="left"/>
    </dxf>
    <dxf>
      <fill>
        <patternFill>
          <bgColor theme="0" tint="-0.249977111117893"/>
        </patternFill>
      </fill>
    </dxf>
    <dxf>
      <fill>
        <patternFill patternType="solid">
          <bgColor theme="0" tint="-0.34998626667073579"/>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14999847407452621"/>
        </patternFill>
      </fill>
    </dxf>
    <dxf>
      <fill>
        <patternFill patternType="solid">
          <bgColor theme="0" tint="-0.249977111117893"/>
        </patternFill>
      </fill>
    </dxf>
    <dxf>
      <fill>
        <patternFill patternType="solid">
          <bgColor theme="0" tint="-0.14999847407452621"/>
        </patternFill>
      </fill>
    </dxf>
    <dxf>
      <fill>
        <patternFill patternType="solid">
          <bgColor theme="0"/>
        </patternFill>
      </fill>
    </dxf>
    <dxf>
      <alignment horizontal="center"/>
    </dxf>
    <dxf>
      <alignment horizontal="center"/>
    </dxf>
    <dxf>
      <alignment horizontal="center"/>
    </dxf>
    <dxf>
      <alignment horizontal="cent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indexed="64"/>
        </left>
        <right style="thin">
          <color indexed="64"/>
        </right>
        <bottom style="thin">
          <color indexed="64"/>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alignment vertical="top"/>
    </dxf>
    <dxf>
      <font>
        <color rgb="FFFFFF00"/>
      </font>
      <fill>
        <patternFill patternType="solid">
          <bgColor theme="1"/>
        </patternFill>
      </fill>
    </dxf>
    <dxf>
      <alignment vertical="center"/>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none">
          <fgColor indexed="64"/>
          <bgColor indexed="65"/>
        </patternFill>
      </fill>
    </dxf>
    <dxf>
      <font>
        <sz val="14"/>
      </font>
    </dxf>
    <dxf>
      <font>
        <sz val="14"/>
      </font>
    </dxf>
    <dxf>
      <fill>
        <patternFill patternType="none">
          <fgColor indexed="64"/>
          <bgColor indexed="65"/>
        </patternFill>
      </fill>
    </dxf>
    <dxf>
      <fill>
        <patternFill patternType="solid">
          <bgColor rgb="FF92D050"/>
        </patternFill>
      </fill>
    </dxf>
    <dxf>
      <fill>
        <patternFill patternType="solid">
          <bgColor rgb="FF92D05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alignment horizontal="center"/>
    </dxf>
    <dxf>
      <alignment horizontal="center"/>
    </dxf>
    <dxf>
      <alignment vertical="center"/>
    </dxf>
    <dxf>
      <font>
        <sz val="14"/>
      </font>
    </dxf>
    <dxf>
      <font>
        <b/>
        <sz val="14"/>
      </font>
    </dxf>
    <dxf>
      <font>
        <sz val="15"/>
      </font>
    </dxf>
    <dxf>
      <font>
        <sz val="15"/>
      </font>
    </dxf>
    <dxf>
      <font>
        <sz val="15"/>
      </font>
    </dxf>
    <dxf>
      <font>
        <sz val="15"/>
      </font>
    </dxf>
    <dxf>
      <font>
        <sz val="15"/>
      </font>
    </dxf>
    <dxf>
      <font>
        <sz val="14"/>
      </font>
    </dxf>
    <dxf>
      <font>
        <sz val="14"/>
      </font>
    </dxf>
    <dxf>
      <font>
        <b/>
      </font>
    </dxf>
    <dxf>
      <font>
        <b/>
      </font>
    </dxf>
    <dxf>
      <alignment horizontal="center"/>
    </dxf>
    <dxf>
      <alignment horizontal="center"/>
    </dxf>
    <dxf>
      <alignment horizontal="center"/>
    </dxf>
    <dxf>
      <alignment horizontal="left"/>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border>
        <left style="thin">
          <color indexed="64"/>
        </left>
      </border>
    </dxf>
    <dxf>
      <border>
        <top style="thin">
          <color indexed="64"/>
        </top>
      </border>
    </dxf>
    <dxf>
      <border>
        <right style="thin">
          <color indexed="64"/>
        </right>
      </border>
    </dxf>
    <dxf>
      <border>
        <bottom style="thin">
          <color indexed="64"/>
        </bottom>
      </bord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val="0"/>
        <i val="0"/>
        <strike val="0"/>
        <condense val="0"/>
        <extend val="0"/>
        <outline val="0"/>
        <shadow val="0"/>
        <u val="none"/>
        <vertAlign val="baseline"/>
        <sz val="26"/>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26"/>
        <color auto="1"/>
        <name val="Calibri"/>
        <family val="2"/>
        <scheme val="minor"/>
      </font>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theme="0"/>
        </left>
        <right style="thin">
          <color theme="0"/>
        </right>
        <top/>
        <bottom/>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general" vertical="bottom" textRotation="0" wrapText="0" indent="0" justifyLastLine="0" shrinkToFit="0" readingOrder="0"/>
    </dxf>
    <dxf>
      <alignment horizontal="center" vertical="center" textRotation="0" wrapText="0" indent="0" justifyLastLine="0" shrinkToFit="0" readingOrder="0"/>
    </dxf>
    <dxf>
      <font>
        <b/>
      </font>
    </dxf>
    <dxf>
      <font>
        <b/>
      </font>
    </dxf>
    <dxf>
      <font>
        <b/>
      </font>
    </dxf>
    <dxf>
      <font>
        <sz val="14"/>
      </font>
    </dxf>
    <dxf>
      <font>
        <sz val="14"/>
      </font>
    </dxf>
    <dxf>
      <font>
        <sz val="14"/>
      </font>
    </dxf>
    <dxf>
      <alignment horizontal="center"/>
    </dxf>
    <dxf>
      <fill>
        <patternFill patternType="solid">
          <fgColor indexed="64"/>
          <bgColor theme="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4"/>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font>
        <b/>
        <sz val="14"/>
      </font>
    </dxf>
    <dxf>
      <font>
        <b/>
        <sz val="14"/>
      </font>
    </dxf>
    <dxf>
      <font>
        <b/>
        <sz val="14"/>
      </font>
    </dxf>
    <dxf>
      <font>
        <sz val="14"/>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patternFill>
      </fill>
    </dxf>
    <dxf>
      <fill>
        <patternFill>
          <bgColor theme="0"/>
        </patternFill>
      </fill>
    </dxf>
    <dxf>
      <fill>
        <patternFill patternType="solid">
          <bgColor theme="0" tint="-0.14996795556505021"/>
        </patternFill>
      </fill>
    </dxf>
    <dxf>
      <fill>
        <patternFill patternType="solid">
          <bgColor theme="0" tint="-0.14996795556505021"/>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tint="-0.14996795556505021"/>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tint="-0.14996795556505021"/>
        </patternFill>
      </fill>
    </dxf>
    <dxf>
      <fill>
        <patternFill patternType="solid">
          <bgColor theme="0"/>
        </patternFill>
      </fill>
    </dxf>
    <dxf>
      <font>
        <sz val="14"/>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alignment horizontal="center"/>
    </dxf>
    <dxf>
      <alignment horizontal="center"/>
    </dxf>
    <dxf>
      <font>
        <b/>
        <sz val="14"/>
        <color theme="0"/>
      </font>
      <fill>
        <patternFill patternType="solid">
          <fgColor indexed="64"/>
          <bgColor theme="1"/>
        </patternFill>
      </fill>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alignment vertical="center"/>
    </dxf>
    <dxf>
      <alignment horizontal="center"/>
    </dxf>
    <dxf>
      <font>
        <b/>
      </font>
    </dxf>
    <dxf>
      <font>
        <b/>
      </font>
    </dxf>
    <dxf>
      <font>
        <b/>
      </font>
    </dxf>
    <dxf>
      <font>
        <sz val="14"/>
      </font>
    </dxf>
    <dxf>
      <font>
        <sz val="14"/>
      </font>
    </dxf>
    <dxf>
      <font>
        <sz val="14"/>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top style="thin">
          <color indexed="64"/>
        </top>
      </border>
    </dxf>
    <dxf>
      <font>
        <color theme="0"/>
      </font>
      <fill>
        <patternFill patternType="solid">
          <fgColor indexed="64"/>
          <bgColor theme="1"/>
        </patternFill>
      </fill>
      <alignment horizontal="center"/>
    </dxf>
    <dxf>
      <border>
        <top style="thin">
          <color indexed="64"/>
        </top>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rgb="FFFFFF00"/>
      </font>
    </dxf>
    <dxf>
      <fill>
        <patternFill patternType="solid">
          <bgColor theme="1"/>
        </patternFill>
      </fill>
    </dxf>
    <dxf>
      <border>
        <right style="thin">
          <color indexed="64"/>
        </right>
      </border>
    </dxf>
    <dxf>
      <border>
        <right/>
        <top/>
        <bottom/>
      </border>
    </dxf>
    <dxf>
      <border>
        <right/>
        <top/>
        <bottom/>
      </border>
    </dxf>
    <dxf>
      <border>
        <right/>
        <top/>
        <bottom/>
      </border>
    </dxf>
    <dxf>
      <border>
        <right/>
        <top/>
        <bottom/>
      </border>
    </dxf>
    <dxf>
      <border>
        <right/>
        <top/>
        <bottom/>
      </border>
    </dxf>
    <dxf>
      <font>
        <color auto="1"/>
      </font>
    </dxf>
    <dxf>
      <fill>
        <patternFill patternType="none">
          <bgColor auto="1"/>
        </patternFill>
      </fill>
    </dxf>
    <dxf>
      <border>
        <right/>
      </border>
    </dxf>
    <dxf>
      <border>
        <right/>
      </border>
    </dxf>
    <dxf>
      <alignment horizontal="center"/>
    </dxf>
    <dxf>
      <border>
        <top style="thin">
          <color indexed="64"/>
        </top>
      </border>
    </dxf>
    <dxf>
      <border>
        <right style="thin">
          <color indexed="64"/>
        </right>
        <top style="thin">
          <color indexed="64"/>
        </top>
        <bottom style="thin">
          <color indexed="64"/>
        </bottom>
      </border>
    </dxf>
    <dxf>
      <font>
        <b/>
      </font>
    </dxf>
    <dxf>
      <font>
        <b/>
      </font>
    </dxf>
    <dxf>
      <font>
        <b/>
      </font>
    </dxf>
    <dxf>
      <font>
        <b/>
      </font>
    </dxf>
    <dxf>
      <font>
        <b/>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fill>
        <patternFill patternType="none">
          <bgColor auto="1"/>
        </patternFill>
      </fill>
    </dxf>
    <dxf>
      <font>
        <b/>
      </font>
    </dxf>
    <dxf>
      <font>
        <sz val="14"/>
      </font>
    </dxf>
    <dxf>
      <alignment horizontal="center"/>
    </dxf>
    <dxf>
      <alignment horizontal="center"/>
    </dxf>
    <dxf>
      <alignment horizontal="center"/>
    </dxf>
    <dxf>
      <alignment horizontal="center"/>
    </dxf>
    <dxf>
      <font>
        <b/>
        <sz val="14"/>
      </font>
    </dxf>
    <dxf>
      <font>
        <b/>
        <sz val="14"/>
      </font>
    </dxf>
    <dxf>
      <font>
        <b/>
        <sz val="14"/>
      </font>
    </dxf>
    <dxf>
      <font>
        <b/>
        <sz val="14"/>
      </font>
    </dxf>
    <dxf>
      <numFmt numFmtId="164" formatCode="[$-409]h:mm\ AM/PM;@"/>
    </dxf>
    <dxf>
      <numFmt numFmtId="164" formatCode="[$-409]h:mm\ AM/PM;@"/>
    </dxf>
    <dxf>
      <numFmt numFmtId="164" formatCode="[$-409]h:mm\ AM/PM;@"/>
    </dxf>
    <dxf>
      <numFmt numFmtId="164" formatCode="[$-409]h:mm\ AM/PM;@"/>
    </dxf>
    <dxf>
      <numFmt numFmtId="164" formatCode="[$-409]h:mm\ AM/PM;@"/>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5"/>
      </font>
    </dxf>
    <dxf>
      <font>
        <sz val="15"/>
      </font>
    </dxf>
    <dxf>
      <font>
        <sz val="15"/>
      </font>
    </dxf>
    <dxf>
      <font>
        <sz val="15"/>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alignment horizontal="left"/>
    </dxf>
    <dxf>
      <fill>
        <patternFill>
          <bgColor theme="0" tint="-0.249977111117893"/>
        </patternFill>
      </fill>
    </dxf>
    <dxf>
      <fill>
        <patternFill patternType="solid">
          <bgColor theme="0" tint="-0.34998626667073579"/>
        </patternFill>
      </fill>
    </dxf>
    <dxf>
      <fill>
        <patternFill patternType="solid">
          <bgColor theme="0" tint="-0.14999847407452621"/>
        </patternFill>
      </fill>
    </dxf>
    <dxf>
      <fill>
        <patternFill patternType="solid">
          <bgColor theme="0"/>
        </patternFill>
      </fill>
    </dxf>
    <dxf>
      <fill>
        <patternFill patternType="solid">
          <bgColor theme="0" tint="-0.14999847407452621"/>
        </patternFill>
      </fill>
    </dxf>
    <dxf>
      <fill>
        <patternFill patternType="solid">
          <bgColor theme="0" tint="-0.249977111117893"/>
        </patternFill>
      </fill>
    </dxf>
    <dxf>
      <fill>
        <patternFill patternType="solid">
          <bgColor theme="0" tint="-0.14999847407452621"/>
        </patternFill>
      </fill>
    </dxf>
    <dxf>
      <fill>
        <patternFill patternType="solid">
          <bgColor theme="0"/>
        </patternFill>
      </fill>
    </dxf>
    <dxf>
      <border>
        <top/>
      </border>
    </dxf>
    <dxf>
      <border>
        <top/>
      </border>
    </dxf>
    <dxf>
      <border>
        <top/>
      </border>
    </dxf>
    <dxf>
      <border>
        <top/>
      </border>
    </dxf>
    <dxf>
      <border>
        <top/>
      </border>
    </dxf>
    <dxf>
      <alignment horizontal="center"/>
    </dxf>
    <dxf>
      <alignment horizontal="cent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indexed="64"/>
        </left>
        <right style="thin">
          <color indexed="64"/>
        </right>
        <bottom style="thin">
          <color indexed="64"/>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alignment vertical="top"/>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alignment vertical="center"/>
    </dxf>
    <dxf>
      <alignment horizontal="cent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alignment vertical="center"/>
    </dxf>
    <dxf>
      <alignment horizontal="center"/>
    </dxf>
    <dxf>
      <font>
        <b/>
      </font>
    </dxf>
    <dxf>
      <font>
        <b/>
      </font>
    </dxf>
    <dxf>
      <font>
        <b/>
      </font>
    </dxf>
    <dxf>
      <font>
        <sz val="14"/>
      </font>
    </dxf>
    <dxf>
      <font>
        <sz val="14"/>
      </font>
    </dxf>
    <dxf>
      <font>
        <sz val="14"/>
      </font>
    </dxf>
    <dxf>
      <fill>
        <patternFill patternType="solid">
          <fgColor theme="0"/>
          <bgColor theme="0"/>
        </patternFill>
      </fill>
    </dxf>
    <dxf>
      <alignment horizontal="center"/>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vertical="center"/>
    </dxf>
    <dxf>
      <alignment horizontal="center"/>
    </dxf>
    <dxf>
      <font>
        <sz val="14"/>
      </font>
    </dxf>
    <dxf>
      <font>
        <b/>
      </font>
    </dxf>
    <dxf>
      <fill>
        <patternFill>
          <bgColor rgb="FFFFFF00"/>
        </patternFill>
      </fill>
    </dxf>
    <dxf>
      <fill>
        <patternFill>
          <bgColor theme="0" tint="-0.14996795556505021"/>
        </patternFill>
      </fill>
    </dxf>
  </dxfs>
  <tableStyles count="1" defaultTableStyle="TableStyleMedium2" defaultPivotStyle="PivotStyleLight16">
    <tableStyle name="Estilo de tabla dinámica 1" table="0" count="2" xr9:uid="{D93D049C-31A5-4CFB-923A-7E52ECEC1E07}">
      <tableStyleElement type="firstRowStripe" dxfId="1252"/>
      <tableStyleElement type="secondRowStripe" dxfId="1251"/>
    </tableStyle>
  </tableStyles>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drawings/drawing1.xml><?xml version="1.0" encoding="utf-8"?>
<xdr:wsDr xmlns:xdr="http://schemas.openxmlformats.org/drawingml/2006/spreadsheetDrawing" xmlns:a="http://schemas.openxmlformats.org/drawingml/2006/main">
  <xdr:twoCellAnchor editAs="oneCell">
    <xdr:from>
      <xdr:col>0</xdr:col>
      <xdr:colOff>82122</xdr:colOff>
      <xdr:row>3</xdr:row>
      <xdr:rowOff>143272</xdr:rowOff>
    </xdr:from>
    <xdr:to>
      <xdr:col>2</xdr:col>
      <xdr:colOff>1597249</xdr:colOff>
      <xdr:row>8</xdr:row>
      <xdr:rowOff>111440</xdr:rowOff>
    </xdr:to>
    <mc:AlternateContent xmlns:mc="http://schemas.openxmlformats.org/markup-compatibility/2006" xmlns:a14="http://schemas.microsoft.com/office/drawing/2010/main">
      <mc:Choice Requires="a14">
        <xdr:graphicFrame macro="">
          <xdr:nvGraphicFramePr>
            <xdr:cNvPr id="2" name="Split 1">
              <a:extLst>
                <a:ext uri="{FF2B5EF4-FFF2-40B4-BE49-F238E27FC236}">
                  <a16:creationId xmlns:a16="http://schemas.microsoft.com/office/drawing/2014/main" id="{4541399B-247C-4301-A200-5556E62D1FF1}"/>
                </a:ext>
              </a:extLst>
            </xdr:cNvPr>
            <xdr:cNvGraphicFramePr/>
          </xdr:nvGraphicFramePr>
          <xdr:xfrm>
            <a:off x="0" y="0"/>
            <a:ext cx="0" cy="0"/>
          </xdr:xfrm>
          <a:graphic>
            <a:graphicData uri="http://schemas.microsoft.com/office/drawing/2010/slicer">
              <sle:slicer xmlns:sle="http://schemas.microsoft.com/office/drawing/2010/slicer" name="Split 1"/>
            </a:graphicData>
          </a:graphic>
        </xdr:graphicFrame>
      </mc:Choice>
      <mc:Fallback xmlns="">
        <xdr:sp macro="" textlink="">
          <xdr:nvSpPr>
            <xdr:cNvPr id="0" name=""/>
            <xdr:cNvSpPr>
              <a:spLocks noTextEdit="1"/>
            </xdr:cNvSpPr>
          </xdr:nvSpPr>
          <xdr:spPr>
            <a:xfrm>
              <a:off x="82122" y="878059"/>
              <a:ext cx="2661666" cy="1590900"/>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1658789</xdr:colOff>
      <xdr:row>3</xdr:row>
      <xdr:rowOff>136069</xdr:rowOff>
    </xdr:from>
    <xdr:to>
      <xdr:col>2</xdr:col>
      <xdr:colOff>4835674</xdr:colOff>
      <xdr:row>8</xdr:row>
      <xdr:rowOff>111439</xdr:rowOff>
    </xdr:to>
    <mc:AlternateContent xmlns:mc="http://schemas.openxmlformats.org/markup-compatibility/2006" xmlns:a14="http://schemas.microsoft.com/office/drawing/2010/main">
      <mc:Choice Requires="a14">
        <xdr:graphicFrame macro="">
          <xdr:nvGraphicFramePr>
            <xdr:cNvPr id="3" name="Station 1">
              <a:extLst>
                <a:ext uri="{FF2B5EF4-FFF2-40B4-BE49-F238E27FC236}">
                  <a16:creationId xmlns:a16="http://schemas.microsoft.com/office/drawing/2014/main" id="{BDFCAF10-63CC-43F4-A31A-0CE92BA4A750}"/>
                </a:ext>
              </a:extLst>
            </xdr:cNvPr>
            <xdr:cNvGraphicFramePr/>
          </xdr:nvGraphicFramePr>
          <xdr:xfrm>
            <a:off x="0" y="0"/>
            <a:ext cx="0" cy="0"/>
          </xdr:xfrm>
          <a:graphic>
            <a:graphicData uri="http://schemas.microsoft.com/office/drawing/2010/slicer">
              <sle:slicer xmlns:sle="http://schemas.microsoft.com/office/drawing/2010/slicer" name="Station 1"/>
            </a:graphicData>
          </a:graphic>
        </xdr:graphicFrame>
      </mc:Choice>
      <mc:Fallback xmlns="">
        <xdr:sp macro="" textlink="">
          <xdr:nvSpPr>
            <xdr:cNvPr id="0" name=""/>
            <xdr:cNvSpPr>
              <a:spLocks noTextEdit="1"/>
            </xdr:cNvSpPr>
          </xdr:nvSpPr>
          <xdr:spPr>
            <a:xfrm>
              <a:off x="3115554" y="797216"/>
              <a:ext cx="3159740" cy="16989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16610</xdr:rowOff>
    </xdr:from>
    <xdr:to>
      <xdr:col>2</xdr:col>
      <xdr:colOff>1590280</xdr:colOff>
      <xdr:row>12</xdr:row>
      <xdr:rowOff>113351</xdr:rowOff>
    </xdr:to>
    <mc:AlternateContent xmlns:mc="http://schemas.openxmlformats.org/markup-compatibility/2006" xmlns:a14="http://schemas.microsoft.com/office/drawing/2010/main">
      <mc:Choice Requires="a14">
        <xdr:graphicFrame macro="">
          <xdr:nvGraphicFramePr>
            <xdr:cNvPr id="2" name="Split 2">
              <a:extLst>
                <a:ext uri="{FF2B5EF4-FFF2-40B4-BE49-F238E27FC236}">
                  <a16:creationId xmlns:a16="http://schemas.microsoft.com/office/drawing/2014/main" id="{F7FAF4F5-F338-4021-84B4-07A7A901C82D}"/>
                </a:ext>
              </a:extLst>
            </xdr:cNvPr>
            <xdr:cNvGraphicFramePr/>
          </xdr:nvGraphicFramePr>
          <xdr:xfrm>
            <a:off x="0" y="0"/>
            <a:ext cx="0" cy="0"/>
          </xdr:xfrm>
          <a:graphic>
            <a:graphicData uri="http://schemas.microsoft.com/office/drawing/2010/slicer">
              <sle:slicer xmlns:sle="http://schemas.microsoft.com/office/drawing/2010/slicer" name="Split 2"/>
            </a:graphicData>
          </a:graphic>
        </xdr:graphicFrame>
      </mc:Choice>
      <mc:Fallback xmlns="">
        <xdr:sp macro="" textlink="">
          <xdr:nvSpPr>
            <xdr:cNvPr id="0" name=""/>
            <xdr:cNvSpPr>
              <a:spLocks noTextEdit="1"/>
            </xdr:cNvSpPr>
          </xdr:nvSpPr>
          <xdr:spPr>
            <a:xfrm>
              <a:off x="0" y="450950"/>
              <a:ext cx="3400030" cy="1925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365922</xdr:colOff>
      <xdr:row>2</xdr:row>
      <xdr:rowOff>0</xdr:rowOff>
    </xdr:from>
    <xdr:to>
      <xdr:col>8</xdr:col>
      <xdr:colOff>2008253</xdr:colOff>
      <xdr:row>12</xdr:row>
      <xdr:rowOff>113351</xdr:rowOff>
    </xdr:to>
    <mc:AlternateContent xmlns:mc="http://schemas.openxmlformats.org/markup-compatibility/2006" xmlns:a14="http://schemas.microsoft.com/office/drawing/2010/main">
      <mc:Choice Requires="a14">
        <xdr:graphicFrame macro="">
          <xdr:nvGraphicFramePr>
            <xdr:cNvPr id="3" name="Station 2">
              <a:extLst>
                <a:ext uri="{FF2B5EF4-FFF2-40B4-BE49-F238E27FC236}">
                  <a16:creationId xmlns:a16="http://schemas.microsoft.com/office/drawing/2014/main" id="{AEF23DB2-21A1-44BE-A4F1-B7E0EF0876E8}"/>
                </a:ext>
              </a:extLst>
            </xdr:cNvPr>
            <xdr:cNvGraphicFramePr/>
          </xdr:nvGraphicFramePr>
          <xdr:xfrm>
            <a:off x="0" y="0"/>
            <a:ext cx="0" cy="0"/>
          </xdr:xfrm>
          <a:graphic>
            <a:graphicData uri="http://schemas.microsoft.com/office/drawing/2010/slicer">
              <sle:slicer xmlns:sle="http://schemas.microsoft.com/office/drawing/2010/slicer" name="Station 2"/>
            </a:graphicData>
          </a:graphic>
        </xdr:graphicFrame>
      </mc:Choice>
      <mc:Fallback xmlns="">
        <xdr:sp macro="" textlink="">
          <xdr:nvSpPr>
            <xdr:cNvPr id="0" name=""/>
            <xdr:cNvSpPr>
              <a:spLocks noTextEdit="1"/>
            </xdr:cNvSpPr>
          </xdr:nvSpPr>
          <xdr:spPr>
            <a:xfrm>
              <a:off x="4023522" y="434340"/>
              <a:ext cx="3109816" cy="1942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152959</xdr:colOff>
      <xdr:row>1</xdr:row>
      <xdr:rowOff>129429</xdr:rowOff>
    </xdr:from>
    <xdr:to>
      <xdr:col>1</xdr:col>
      <xdr:colOff>865505</xdr:colOff>
      <xdr:row>6</xdr:row>
      <xdr:rowOff>148558</xdr:rowOff>
    </xdr:to>
    <mc:AlternateContent xmlns:mc="http://schemas.openxmlformats.org/markup-compatibility/2006" xmlns:a14="http://schemas.microsoft.com/office/drawing/2010/main">
      <mc:Choice Requires="a14">
        <xdr:graphicFrame macro="">
          <xdr:nvGraphicFramePr>
            <xdr:cNvPr id="2" name="Split">
              <a:extLst>
                <a:ext uri="{FF2B5EF4-FFF2-40B4-BE49-F238E27FC236}">
                  <a16:creationId xmlns:a16="http://schemas.microsoft.com/office/drawing/2014/main" id="{6A1947D2-E7EE-7E08-2499-E1CFFF2BB8B3}"/>
                </a:ext>
              </a:extLst>
            </xdr:cNvPr>
            <xdr:cNvGraphicFramePr/>
          </xdr:nvGraphicFramePr>
          <xdr:xfrm>
            <a:off x="0" y="0"/>
            <a:ext cx="0" cy="0"/>
          </xdr:xfrm>
          <a:graphic>
            <a:graphicData uri="http://schemas.microsoft.com/office/drawing/2010/slicer">
              <sle:slicer xmlns:sle="http://schemas.microsoft.com/office/drawing/2010/slicer" name="Split"/>
            </a:graphicData>
          </a:graphic>
        </xdr:graphicFrame>
      </mc:Choice>
      <mc:Fallback xmlns="">
        <xdr:sp macro="" textlink="">
          <xdr:nvSpPr>
            <xdr:cNvPr id="0" name=""/>
            <xdr:cNvSpPr>
              <a:spLocks noTextEdit="1"/>
            </xdr:cNvSpPr>
          </xdr:nvSpPr>
          <xdr:spPr>
            <a:xfrm>
              <a:off x="152959" y="377079"/>
              <a:ext cx="1656791"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1074081</xdr:colOff>
      <xdr:row>1</xdr:row>
      <xdr:rowOff>127189</xdr:rowOff>
    </xdr:from>
    <xdr:to>
      <xdr:col>2</xdr:col>
      <xdr:colOff>1437340</xdr:colOff>
      <xdr:row>6</xdr:row>
      <xdr:rowOff>148699</xdr:rowOff>
    </xdr:to>
    <mc:AlternateContent xmlns:mc="http://schemas.openxmlformats.org/markup-compatibility/2006" xmlns:a14="http://schemas.microsoft.com/office/drawing/2010/main">
      <mc:Choice Requires="a14">
        <xdr:graphicFrame macro="">
          <xdr:nvGraphicFramePr>
            <xdr:cNvPr id="3" name="Station">
              <a:extLst>
                <a:ext uri="{FF2B5EF4-FFF2-40B4-BE49-F238E27FC236}">
                  <a16:creationId xmlns:a16="http://schemas.microsoft.com/office/drawing/2014/main" id="{A85EDD27-5AA4-88B2-FA2F-75563B5E2859}"/>
                </a:ext>
              </a:extLst>
            </xdr:cNvPr>
            <xdr:cNvGraphicFramePr/>
          </xdr:nvGraphicFramePr>
          <xdr:xfrm>
            <a:off x="0" y="0"/>
            <a:ext cx="0" cy="0"/>
          </xdr:xfrm>
          <a:graphic>
            <a:graphicData uri="http://schemas.microsoft.com/office/drawing/2010/slicer">
              <sle:slicer xmlns:sle="http://schemas.microsoft.com/office/drawing/2010/slicer" name="Station"/>
            </a:graphicData>
          </a:graphic>
        </xdr:graphicFrame>
      </mc:Choice>
      <mc:Fallback xmlns="">
        <xdr:sp macro="" textlink="">
          <xdr:nvSpPr>
            <xdr:cNvPr id="0" name=""/>
            <xdr:cNvSpPr>
              <a:spLocks noTextEdit="1"/>
            </xdr:cNvSpPr>
          </xdr:nvSpPr>
          <xdr:spPr>
            <a:xfrm>
              <a:off x="2036106" y="374839"/>
              <a:ext cx="1528484"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1633258</xdr:colOff>
      <xdr:row>1</xdr:row>
      <xdr:rowOff>127747</xdr:rowOff>
    </xdr:from>
    <xdr:to>
      <xdr:col>4</xdr:col>
      <xdr:colOff>791686</xdr:colOff>
      <xdr:row>7</xdr:row>
      <xdr:rowOff>35083</xdr:rowOff>
    </xdr:to>
    <mc:AlternateContent xmlns:mc="http://schemas.openxmlformats.org/markup-compatibility/2006" xmlns:a14="http://schemas.microsoft.com/office/drawing/2010/main">
      <mc:Choice Requires="a14">
        <xdr:graphicFrame macro="">
          <xdr:nvGraphicFramePr>
            <xdr:cNvPr id="5" name="Operation Split">
              <a:extLst>
                <a:ext uri="{FF2B5EF4-FFF2-40B4-BE49-F238E27FC236}">
                  <a16:creationId xmlns:a16="http://schemas.microsoft.com/office/drawing/2014/main" id="{189B5AF4-C134-717D-CBE0-021CA66639D2}"/>
                </a:ext>
              </a:extLst>
            </xdr:cNvPr>
            <xdr:cNvGraphicFramePr/>
          </xdr:nvGraphicFramePr>
          <xdr:xfrm>
            <a:off x="0" y="0"/>
            <a:ext cx="0" cy="0"/>
          </xdr:xfrm>
          <a:graphic>
            <a:graphicData uri="http://schemas.microsoft.com/office/drawing/2010/slicer">
              <sle:slicer xmlns:sle="http://schemas.microsoft.com/office/drawing/2010/slicer" name="Operation Split"/>
            </a:graphicData>
          </a:graphic>
        </xdr:graphicFrame>
      </mc:Choice>
      <mc:Fallback xmlns="">
        <xdr:sp macro="" textlink="">
          <xdr:nvSpPr>
            <xdr:cNvPr id="0" name=""/>
            <xdr:cNvSpPr>
              <a:spLocks noTextEdit="1"/>
            </xdr:cNvSpPr>
          </xdr:nvSpPr>
          <xdr:spPr>
            <a:xfrm>
              <a:off x="3766858" y="375398"/>
              <a:ext cx="2919738"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Wendy Heredia" refreshedDate="45954.238085532408" missingItemsLimit="0" createdVersion="8" refreshedVersion="8" minRefreshableVersion="3" recordCount="558" xr:uid="{802D880A-952F-4C77-B337-C39833E1DB04}">
  <cacheSource type="worksheet">
    <worksheetSource name="Tabla3"/>
  </cacheSource>
  <cacheFields count="17">
    <cacheField name="Key" numFmtId="0">
      <sharedItems/>
    </cacheField>
    <cacheField name="Split" numFmtId="0">
      <sharedItems containsString="0" containsBlank="1" containsNumber="1" containsInteger="1" minValue="1" maxValue="9" count="10">
        <n v="1"/>
        <n v="2"/>
        <n v="3"/>
        <n v="4"/>
        <n v="5"/>
        <n v="6"/>
        <n v="7"/>
        <n v="8"/>
        <n v="9"/>
        <m/>
      </sharedItems>
    </cacheField>
    <cacheField name="Station" numFmtId="0">
      <sharedItems containsString="0" containsBlank="1" containsNumber="1" containsInteger="1" minValue="1" maxValue="9" count="10">
        <n v="1"/>
        <n v="2"/>
        <n v="3"/>
        <n v="4"/>
        <n v="5"/>
        <n v="6"/>
        <n v="7"/>
        <n v="8"/>
        <n v="9"/>
        <m/>
      </sharedItems>
    </cacheField>
    <cacheField name="Site" numFmtId="0">
      <sharedItems containsBlank="1" count="62">
        <s v="(AS) 3281 Storage Lot (NO TOURS)"/>
        <s v="(AS) Coggin BMW Ft. Pierce (NO TOURS)"/>
        <s v="(AS) Coggin Collision Center of Kissimmee (NO TOURS)"/>
        <s v="(AS) Coggin Honda of Orlando (NO TOURS)"/>
        <s v="(AS) Hare Chevrolet (NO TOURS)"/>
        <s v="(AS) Hare Truck Center (NO TOURS)"/>
        <s v="(AS) Kahlo CDJR (NO TOURS)"/>
        <s v="(AS) Koons Annapolis Toyota (NO TOURS)"/>
        <s v="(AS) Koons Arlington Toyota - New Car (NO TOURS)"/>
        <s v="(AS) Koons Baltimore Ford - Main Dealership (NO TOURS)"/>
        <s v="(AS) Koons Chevrolet Buick GMC - Clarksville (NO TOURS)"/>
        <s v="(AS) Koons Chevrolet Buick GMC - Clarksville Remote Lot (NO TOURS)"/>
        <s v="(AS) Koons Chevrolet Buick GMC - Tysons (NO TOURS)"/>
        <s v="(AS) Koons Chevrolet Buick GMC - Tysons Remote Lot (NO TOURS)"/>
        <s v="(AS) Koons Easton Toyota - Main Dealership (NO TOURS)"/>
        <s v="(AS) Koons Falls Church Ford (NO TOURS)"/>
        <s v="(AS) Koons MB of Catonsville (NO TOURS)"/>
        <s v="(AS) Koons Owings Mills Kia (NO TOURS)"/>
        <s v="(AS) Koons Sterling Ford - Main Dealership (NO TOURS)"/>
        <s v="(AS) Koons Tysons Toyota - Main Dealership (NO TOURS)"/>
        <s v="(AS) Koons Volvo Cars White Marsh (NO TOURS)"/>
        <s v="(AS) Koons Westminster Toyota (NO TOURS)"/>
        <s v="(AS) Koons White Marsh Chevrolet (NO TOURS)"/>
        <s v="(AS) Koons Woodbridge Ford (NO TOURS)"/>
        <s v="(AS) Koons Woodbridge GMC (NO TOURS)"/>
        <s v="(AS) Koons Woodbridge Hyundai (NO TOURS)"/>
        <s v="(AS) Koons Woodbridge Kia (NO TOURS)"/>
        <s v="(AS) Larry H Miller CDJR Fiat (NO TOURS)"/>
        <s v="(AS) Plaza Collision ST Louis (NO TOURS)"/>
        <s v="(AS) Plaza Mercedes Benz West (NO TOURS)"/>
        <s v="(BRL) Fort Pierce"/>
        <s v="(BRL) Shoemakersville"/>
        <s v="(DT) Arlington"/>
        <s v="(DT) Charlotte"/>
        <s v="(DT) Modesto"/>
        <s v="(KG) Big Star Cadillac"/>
        <s v="(KG) Big Star Hyundai Houston"/>
        <s v="(KG) Ken Garff Kia of Avondale"/>
        <s v="(KG) Ken Garff Volkswagen of Gilbert"/>
        <s v="(LT) Landers Kia of Little Rock"/>
        <s v="(LT) Luther Bloomington Hyundai (NO TOURS)"/>
        <s v="(LT) Luther Bloomington Subaru - Acura"/>
        <s v="(LT) Luther Brookdale Honda (NO TOURS)"/>
        <s v="(LT) Luther Brookdale Toyota"/>
        <s v="(LT) Luther Burnsville Hyundai"/>
        <s v="(LT) Luther Genesis of Minneapolis"/>
        <s v="(LT) Luther Hopkins Honda (NO TOURS)"/>
        <s v="(LT) Luther Landers Recon Center"/>
        <s v="(LT) Luther North Country Ford"/>
        <s v="(LT) Luther St. Cloud Subaru"/>
        <s v="(ML) Joe Machens Hyundai"/>
        <s v="(PE) BMW Service Center (NO TOURS)"/>
        <s v="(PE) JLR Darien (NO TOURS)"/>
        <s v="(PE) JLR Englewood (NO TOURS)"/>
        <s v="(PE) JLR Paramus (NO TOURS)"/>
        <s v="(PE) MB of Greenwich"/>
        <s v="(PE) Porsche Audi Fairfield (NO TOURS)"/>
        <s v="(SCH) Schumacher of Delray I &amp; III"/>
        <s v="(TC) Lamborghini South Dade"/>
        <s v="Mario Residence"/>
        <s v="(AS) Koons Tysons Toyota - UC Recon (NO TOURS)"/>
        <m/>
      </sharedItems>
    </cacheField>
    <cacheField name="Hour" numFmtId="0">
      <sharedItems count="8">
        <s v="10:00 P.M."/>
        <s v="9:00 P.M."/>
        <s v="11:00 P.M."/>
        <s v="24H"/>
        <s v="12:00 A.M."/>
        <s v="9:30 P.M."/>
        <s v="8:00 P.M."/>
        <e v="#N/A"/>
      </sharedItems>
    </cacheField>
    <cacheField name="Time" numFmtId="0">
      <sharedItems count="6">
        <s v="CT"/>
        <s v="ET"/>
        <s v="MT"/>
        <s v="PT"/>
        <s v="MST"/>
        <e v="#N/A"/>
      </sharedItems>
    </cacheField>
    <cacheField name="Drop time" numFmtId="0">
      <sharedItems count="8">
        <s v="6:00 A.M."/>
        <s v="5:00 A.M."/>
        <s v="7:00 A.M."/>
        <s v="-"/>
        <s v="8:00 A.M."/>
        <s v="4:00 A.M."/>
        <s v="5:30 A.M."/>
        <e v="#N/A"/>
      </sharedItems>
    </cacheField>
    <cacheField name="SIG Tools" numFmtId="0">
      <sharedItems/>
    </cacheField>
    <cacheField name="Map" numFmtId="0">
      <sharedItems containsMixedTypes="1" containsNumber="1" containsInteger="1" minValue="0" maxValue="0"/>
    </cacheField>
    <cacheField name="SUNDAY (D.T.)" numFmtId="0">
      <sharedItems count="7">
        <s v="-"/>
        <s v="11:00 A.M."/>
        <s v="10:00 A.M."/>
        <s v="9:00 A.M."/>
        <s v="8:00 A.M."/>
        <s v="12:00 P.M."/>
        <e v="#N/A"/>
      </sharedItems>
    </cacheField>
    <cacheField name="Notes*" numFmtId="0">
      <sharedItems containsNonDate="0" containsString="0" containsBlank="1"/>
    </cacheField>
    <cacheField name="Gates" numFmtId="0">
      <sharedItems containsBlank="1" containsMixedTypes="1" containsNumber="1" containsInteger="1" minValue="3" maxValue="29" count="33">
        <s v="-"/>
        <s v="3, 10, 13"/>
        <s v="1, 12"/>
        <s v="2, 10, 12B, 14, 38"/>
        <s v="18, 24"/>
        <n v="6"/>
        <s v="21, 22, 24, 32, 45"/>
        <s v="4, 6"/>
        <m/>
        <n v="19"/>
        <n v="25"/>
        <s v="7, 11"/>
        <s v="2, 6"/>
        <n v="8"/>
        <s v="4, 25, 41"/>
        <n v="10"/>
        <s v="1, 4, 16"/>
        <s v="3, 12, 17"/>
        <s v="5, 19"/>
        <s v="5, 9, 33, 19"/>
        <n v="29"/>
        <s v="2, 4"/>
        <s v="25, 31"/>
        <n v="3"/>
        <s v="1, 13"/>
        <s v="1, 2"/>
        <s v="1, 17"/>
        <s v="1, 2, 8"/>
        <s v="1, 18"/>
        <s v="11, 21, 22, 57, 69"/>
        <s v="7, 8"/>
        <n v="12"/>
        <e v="#N/A"/>
      </sharedItems>
    </cacheField>
    <cacheField name="Entrances" numFmtId="0">
      <sharedItems containsBlank="1" containsMixedTypes="1" containsNumber="1" containsInteger="1" minValue="1" maxValue="10" count="42">
        <s v="2, 14"/>
        <s v="-"/>
        <s v="2, 3"/>
        <s v="1, 5"/>
        <s v="12, 25"/>
        <s v="1, 6, 21"/>
        <s v="1, 3, 12, 15, 17"/>
        <n v="1"/>
        <s v="1, 22, 26, 28, 29"/>
        <n v="6"/>
        <s v="4, 5"/>
        <s v="15, 16, 17, 29"/>
        <m/>
        <n v="3"/>
        <s v="1, 25"/>
        <s v="5, 7, 9"/>
        <s v="1, 7, 9, 18, 25"/>
        <n v="10"/>
        <s v="3, 24, 26, 27, 31, 36"/>
        <s v="1, 17"/>
        <n v="2"/>
        <s v="1, 7"/>
        <s v="8, 11"/>
        <s v="5, 6"/>
        <s v="23, 35"/>
        <s v="6, 9, 13"/>
        <s v="5, 8, 33"/>
        <s v="1, 21"/>
        <s v="5, 7"/>
        <s v="6, 17"/>
        <s v="1,2,3,18"/>
        <s v="9, 36"/>
        <s v="7, 14, 19"/>
        <s v="9, 13, 20"/>
        <s v="3, 4, 14, 25"/>
        <s v="13, 14, 20, 26, 40"/>
        <s v="2, 16, 46"/>
        <s v="9, 11"/>
        <s v="7, 8"/>
        <s v="2, 18"/>
        <s v="37, 38"/>
        <e v="#N/A"/>
      </sharedItems>
    </cacheField>
    <cacheField name="LPR" numFmtId="0">
      <sharedItems containsBlank="1" containsMixedTypes="1" containsNumber="1" containsInteger="1" minValue="29" maxValue="29" count="14">
        <s v="-"/>
        <s v="15, 16"/>
        <s v="1, 2, 3"/>
        <n v="29"/>
        <m/>
        <s v="4, 10"/>
        <s v="58, 59"/>
        <s v="4, 7, 35"/>
        <s v="38, 39, 40"/>
        <s v="22, 21"/>
        <s v="38, 39"/>
        <s v="30, 31, 32"/>
        <s v="38, 39, 40, 41"/>
        <e v="#N/A"/>
      </sharedItems>
    </cacheField>
    <cacheField name="PTZ" numFmtId="0">
      <sharedItems containsBlank="1" containsMixedTypes="1" containsNumber="1" containsInteger="1" minValue="2" maxValue="27" count="24">
        <s v="-"/>
        <n v="2"/>
        <s v="12, 31"/>
        <n v="5"/>
        <n v="20"/>
        <s v="1, 8"/>
        <n v="4"/>
        <s v="7, 10, 16, 29"/>
        <m/>
        <s v="4, 21"/>
        <n v="11"/>
        <n v="17"/>
        <s v="1, 6, 13A, 15, 18A"/>
        <s v="11, 32, 35 "/>
        <s v="1, 75"/>
        <s v="3, 5"/>
        <s v="2, 14"/>
        <s v="1, 35"/>
        <n v="10"/>
        <s v="2, 10, 19"/>
        <n v="7"/>
        <s v="3, 26"/>
        <n v="27"/>
        <e v="#N/A"/>
      </sharedItems>
    </cacheField>
    <cacheField name="Important Cameras" numFmtId="0">
      <sharedItems containsBlank="1" containsMixedTypes="1" containsNumber="1" containsInteger="1" minValue="3" maxValue="29" count="59">
        <s v="1, 3, 9, 10, 14"/>
        <s v="1, 20, 27"/>
        <s v="2, 7, 9"/>
        <s v="12B, 26, 37, 19"/>
        <s v="1, 5, 7, 8, 21, 29"/>
        <s v="2, 6, 10, 12, 17 "/>
        <s v="1, 2, 9, 22, 31, 57"/>
        <s v="3, 5, 7, 19"/>
        <s v="2, 6, 18, 20"/>
        <s v="5, 28, 38"/>
        <s v="3, 11, 15, 23"/>
        <s v="14, 16"/>
        <s v="6, 12, 15"/>
        <s v="14, 17, 30"/>
        <s v="8, 15"/>
        <s v="-"/>
        <s v="1, 7, 8, 12, 19, 32"/>
        <m/>
        <s v="7, 8"/>
        <s v="13, 22, 27"/>
        <s v="6, 10, 1"/>
        <s v="8, 14, 16"/>
        <n v="12"/>
        <s v="13, 26, 29"/>
        <s v="2, 7"/>
        <s v="4, 14, 22"/>
        <n v="5"/>
        <s v="2, 6, 10, 15, 18 "/>
        <n v="3"/>
        <s v="6, 21"/>
        <s v="15, 18"/>
        <s v="13B, 23"/>
        <s v="3, 8, 9"/>
        <s v="6, 11, 18, 29, 34,  38, 39"/>
        <s v="2, 3, 5, 10"/>
        <s v="15, 16, 19, 20"/>
        <s v="5, 11, 16, 20, 26, 30, 32, 34 "/>
        <s v="1, 6, 7, 12, 15, 17, 21"/>
        <s v="1, 5, 8, 9, 17, 19, 21"/>
        <s v="5, 9, 12, 14, 18, 26, 29"/>
        <s v="11, 18"/>
        <s v="1, 2, 14, 24, 34  "/>
        <s v="4, 5, 7, 11, 13, 20, 24, 36"/>
        <s v="1, 2, 4, 10, 18, 24, 25 "/>
        <s v="2, 4, 16"/>
        <s v="1,2,3,5,16,18"/>
        <s v="1, 4, 11, 18, 23, 25, 31"/>
        <s v="3, 9, 11"/>
        <s v="1, 4, 9, 13, 15, 16B, 25"/>
        <s v="2, 6, 8, 11, 14, 19, 23, 26"/>
        <s v="1, 11, 12, 13, 15"/>
        <s v="1, 2 "/>
        <s v="1, 17"/>
        <n v="29"/>
        <n v="15"/>
        <s v="24, 39"/>
        <s v="4,12,13"/>
        <s v="7, 14"/>
        <e v="#N/A"/>
      </sharedItems>
    </cacheField>
    <cacheField name="ID" numFmtId="0">
      <sharedItems containsMixedTypes="1" containsNumber="1" containsInteger="1" minValue="199" maxValue="341" count="65">
        <n v="305"/>
        <s v="119"/>
        <s v="331"/>
        <s v="324"/>
        <s v="301"/>
        <s v="300"/>
        <s v="282"/>
        <s v="337"/>
        <s v="334"/>
        <n v="335"/>
        <s v="306"/>
        <s v="308"/>
        <s v="352"/>
        <s v="333"/>
        <s v="340"/>
        <s v="345"/>
        <s v="303"/>
        <n v="336"/>
        <s v="348"/>
        <s v="344"/>
        <s v="338"/>
        <n v="341"/>
        <s v="339"/>
        <s v="342"/>
        <s v="343"/>
        <s v="347"/>
        <s v="346"/>
        <s v="298"/>
        <s v="350"/>
        <s v="349"/>
        <s v="326"/>
        <s v="302"/>
        <n v="334"/>
        <s v="299"/>
        <s v="267"/>
        <s v="316"/>
        <s v="287"/>
        <s v="283"/>
        <s v="284"/>
        <s v="322"/>
        <s v="318"/>
        <s v="289"/>
        <s v="280"/>
        <s v="281"/>
        <s v="307"/>
        <s v="315"/>
        <s v="288"/>
        <s v="323"/>
        <s v="292"/>
        <s v="295"/>
        <s v="286"/>
        <s v="184"/>
        <s v="189"/>
        <s v="178"/>
        <s v="177"/>
        <s v="188"/>
        <s v="194"/>
        <s v="159"/>
        <s v="313"/>
        <s v="148"/>
        <n v="199"/>
        <s v="335"/>
        <s v="199"/>
        <s v="355"/>
        <e v="#N/A"/>
      </sharedItems>
    </cacheField>
  </cacheFields>
  <extLst>
    <ext xmlns:x14="http://schemas.microsoft.com/office/spreadsheetml/2009/9/main" uri="{725AE2AE-9491-48be-B2B4-4EB974FC3084}">
      <x14:pivotCacheDefinition pivotCacheId="13842727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ndy Heredia" refreshedDate="45954.238087268517" createdVersion="8" refreshedVersion="8" minRefreshableVersion="3" recordCount="85" xr:uid="{0EBEDEFB-A82C-4F5C-B3E5-D1F97485AB72}">
  <cacheSource type="worksheet">
    <worksheetSource name="Tabla33"/>
  </cacheSource>
  <cacheFields count="8">
    <cacheField name="Split" numFmtId="0">
      <sharedItems containsBlank="1" count="8">
        <s v="H.A. 1"/>
        <s v="H.A. 2"/>
        <s v="H.A. 3"/>
        <s v="H.A. 4"/>
        <m u="1"/>
        <s v="H.A. 5" u="1"/>
        <s v="H.A. 6" u="1"/>
        <s v="H.A. 7" u="1"/>
      </sharedItems>
    </cacheField>
    <cacheField name="Station" numFmtId="0">
      <sharedItems containsSemiMixedTypes="0" containsString="0" containsNumber="1" containsInteger="1" minValue="1" maxValue="7" count="7">
        <n v="1"/>
        <n v="4"/>
        <n v="2"/>
        <n v="3"/>
        <n v="5" u="1"/>
        <n v="6" u="1"/>
        <n v="7" u="1"/>
      </sharedItems>
    </cacheField>
    <cacheField name="Hour" numFmtId="0">
      <sharedItems containsBlank="1" count="9">
        <s v="9:00 P.M."/>
        <s v="8:00 P.M."/>
        <s v="10:00 P.M."/>
        <s v="11:00 P.M."/>
        <s v="9:30 P.M."/>
        <s v="12:00 A.M."/>
        <s v="24 Hrs"/>
        <m u="1"/>
        <s v="1:00 A.M." u="1"/>
      </sharedItems>
    </cacheField>
    <cacheField name="Time" numFmtId="0">
      <sharedItems containsBlank="1" count="5">
        <s v="ET"/>
        <s v="CT"/>
        <s v="MT"/>
        <s v="PT"/>
        <m u="1"/>
      </sharedItems>
    </cacheField>
    <cacheField name="Site" numFmtId="0">
      <sharedItems containsBlank="1" count="191">
        <s v="(AS) Bill Estes Ford (NO TOURS)"/>
        <s v="(AS) Courtesy CDJR of Brandon"/>
        <s v="(AS) Courtesy Hyundai/Nissan Tampa"/>
        <s v="(AS) Lexus Smyrna (NO TOURS)"/>
        <s v="(DT) Louisville"/>
        <s v="(HUD) CDJR of Greensboro"/>
        <s v="(MK) McKenny Salinas Honda"/>
        <s v="(PE) BMW of Mamaroneck (NO TOURS)"/>
        <s v="(PE) BMW Service Center (NO TOURS)"/>
        <s v="(PE) Hudson Toyota Nissan CDJR (NO TOURS)"/>
        <s v="(SCH) Chevrolet North Palm"/>
        <s v="(SCH) Parts Warehouse Lake Worth"/>
        <s v="(AS) David McDavid Lincoln Frisco"/>
        <s v="(AS) Plaza Audi/Infiniti"/>
        <s v="(AS) Plaza Lexus/Mercedes/BMW"/>
        <s v="(KG) Texan GMC Buick (NO TOURS)"/>
        <s v="(ML) Joe Machens Capital City I &amp; II (NO TOURS)"/>
        <s v="(ML) Joe Machens Temporary 2.0"/>
        <s v="(AS) David McDavid Honda I &amp; II"/>
        <s v="(AS) Park Place Bodywerks Dallas"/>
        <s v="(DT) Arlington"/>
        <s v="(KG) Big Star CDJR of Clear Lake"/>
        <s v="(KG) Clear Lake Pre-Owned"/>
        <s v="(ML) Ford Lincoln of North Little Rock"/>
        <s v="(ML) Joe Machens CDJR"/>
        <s v="(ML) Joe Machens Ford Lincoln I &amp; II"/>
        <s v="(ML) McLarty-Gray Daniels Chevrolet"/>
        <s v="(TC) Tavernier Creek Marina (NO TOURS)"/>
        <s v="(AS) Stevinson Chevrolet Golden (NO TOURS)"/>
        <s v="(DT) Albuquerque"/>
        <s v="(DT) Colorado Springs (NO TOURS)"/>
        <s v="(RV) Toms Camperland Avondale (NO TOURS)"/>
        <s v="(RV) Toms Camperland Mesa (NO TOURS)"/>
        <s v="(DT) Escondido"/>
        <s v="(DT) Modesto"/>
        <s v="(KG) Truck Center Remote Storage Lot"/>
        <s v="Mario Residence"/>
        <s v="SIG Office"/>
        <s v="SIG Office Trailer"/>
        <m u="1"/>
        <s v="(AN) Chevrolet/Buick GMC Laurel" u="1"/>
        <s v="(AN) Auto Auction Orlando (NO TOURS)" u="1"/>
        <s v="(AN) CDJR &amp; FIAT North Columbus (ICRealTime)" u="1"/>
        <s v="(AN) CDJR North Richland Hills" u="1"/>
        <s v="(AN) Mercedes Benz Ft. Lauderdale" u="1"/>
        <s v="(AN) Nissan Tempe" u="1"/>
        <s v="(AN) Toyota South Austin (Dealer)" u="1"/>
        <s v="(AN) Toyota South Austin (Service)" u="1"/>
        <s v="(AN) CDJR Southwest (ICRealTime)" u="1"/>
        <s v="(AN) Ford Katy" u="1"/>
        <s v="(AN) Ford Union City" u="1"/>
        <s v="(AN) Auto Auction Houston" u="1"/>
        <s v="(AN) Chevrolet Coral Gables" u="1"/>
        <s v="(AN) Ford Panama City (NO TOURS)" u="1"/>
        <s v="(AN) Parts Center Spokane" u="1"/>
        <s v="(AN) Honda Costa Mesa" u="1"/>
        <s v="(AN) CDJR Springs I &amp; II" u="1"/>
        <s v="(AN) Remote Lot Chevrolet Coral Gables" u="1"/>
        <s v="(AN) JLR Bethesda (NO TOURS)" u="1"/>
        <s v="(AN) USA Houston" u="1"/>
        <s v="(AN) Parts Center Roseville" u="1"/>
        <s v="(AN) Toyota Arapahoe (NO SPEAKERS)" u="1"/>
        <s v="(AN) JLR W Houston" u="1"/>
        <s v="(AN) Mercedes Benz Naperville" u="1"/>
        <s v="(AN) Chevrolet North Richland Hills" u="1"/>
        <s v="(AN) Hyundai North Richland Hills" u="1"/>
        <s v="(SCH) West Palm Beach I, II,III" u="1"/>
        <s v="(AN) Laurel BMW of Westmont (NO TOURS)" u="1"/>
        <s v="(AN) Collision Center Bellevue" u="1"/>
        <s v="(AN) Collision Center Austin" u="1"/>
        <s v="(AN) BMW Westmont (NO TOURS)" u="1"/>
        <s v="(AN) Roseville Parts Warehouse" u="1"/>
        <s v="(AN) CDJR &amp; FIAT North Columbus" u="1"/>
        <s v="(AN) CDJR Southwest" u="1"/>
        <s v="(PE) BMW of Greenwich (NO TOURS)" u="1"/>
        <s v="(HUD) BMW of Greensboro" u="1"/>
        <s v="(AS) Nalley Lexus Roswell" u="1"/>
        <s v="(AN) Chevrolet West Colonial" u="1"/>
        <s v="(AN) Ford North Canton" u="1"/>
        <s v="(ML) Nissan Of North Little Rock" u="1"/>
        <s v="(ML) McLarty Gray-Daniels Ford Lincoln" u="1"/>
        <s v="(AS) Mercedes Benz/Porsche Dallas I,II &amp; III" u="1"/>
        <s v="(AS) Park Place Sprinter Van Center" u="1"/>
        <s v="(AN) Fleet Mechanical White Bear Lake (NO TOURS)" u="1"/>
        <s v="(AN) Ford Ft Worth I &amp; II" u="1"/>
        <s v="(AS) Mike Shaw CDJR &amp; Truck Center (NO TOURS)" u="1"/>
        <s v="(AN) BMW Vista" u="1"/>
        <s v="(AN) JLR Southbay (NO TOURS)" u="1"/>
        <s v="(AN) JLR Woodland Hills (NO TOURS)" u="1"/>
        <s v="(PE) BMW Tenafly (NO TOURS)" u="1"/>
        <s v="(AS) Courtesy Kia of Brandon" u="1"/>
        <s v="(ML) Columbia Honda (NO TOURS)" u="1"/>
        <s v="(ML) Volvo Collision Corp" u="1"/>
        <s v="(DT) N. Houston" u="1"/>
        <s v="(ML) Mazda VW-Lot B" u="1"/>
        <s v="(ML) Nissan Of Benton" u="1"/>
        <s v="(KG) Big Star Honda" u="1"/>
        <s v="(LM) Luther Mazda / Mitsubishi" u="1"/>
        <s v="(AN) Mercedes Benz Greenway Houston" u="1"/>
        <s v="(AS) Stevinson Toyota West (NO TOURS)" u="1"/>
        <s v="(AN) USA Henderson (NO TOURS)" u="1"/>
        <s v="(AN) Audi Las Vegas (NO TOURS)" u="1"/>
        <s v="(AN) Subaru Roseville" u="1"/>
        <s v="(AN) JLR White Plains" u="1"/>
        <s v="(ML) Joe Machens Toyota" u="1"/>
        <s v="(PE) CarShop South Brunswick (NO TOURS)" u="1"/>
        <s v="(HUD) Acura of Greensboro" u="1"/>
        <s v="(AN) BMW of Delray Beach" u="1"/>
        <s v="(ML) Joe Machens Nissan" u="1"/>
        <s v="(DT) W Houston" u="1"/>
        <s v="(KG) Big Star Ford" u="1"/>
        <s v="(KG) Baytown GMC Buick (NO TOURS)" u="1"/>
        <s v="(KG) Texan CDJR" u="1"/>
        <s v="(AN) USA San Antonio" u="1"/>
        <s v="(AN) Acura Gulf Freeway" u="1"/>
        <s v="(AS) Stevinson Lexus of Lakewood" u="1"/>
        <s v="(RV) Toms Camperland Surprise (NO TOURS)" u="1"/>
        <s v="(AN) USA Phoenix" u="1"/>
        <s v="SIG Office (SIG Office &amp; Jorge Calzadilla)" u="1"/>
        <s v="MARIO'S Residence" u="1"/>
        <s v="(ML) Joe Machens Hyundai" u="1"/>
        <s v="(AN) Collision Center Columbus" u="1"/>
        <s v="(AN) Volkswagen North Columbus" u="1"/>
        <s v="(AN) Collision Center Denver" u="1"/>
        <s v="(HUD) Crown Acura of Greensboro" u="1"/>
        <s v="(RV) RV Sonny's Camp N Travel" u="1"/>
        <s v="(SCH) Delray II" u="1"/>
        <s v="(PE) JLR Paramus (NO TOURS)" u="1"/>
        <s v="(AS) Lexus Grapevine I" u="1"/>
        <s v="(AN) Remote Lot W Sahara" u="1"/>
        <s v="(HUD) Crown Honda Greensboro" u="1"/>
        <s v="(AS) Mercedes Benz/Porsche Dallas I,II,III" u="1"/>
        <s v="(AN) Auto Auction Orlando (NO SPEAKERS)" u="1"/>
        <s v="(AN) USA Corpus Christi" u="1"/>
        <s v="(AS) Stevinson JLR (NO TOURS)" u="1"/>
        <s v="(AS) Coggin Mercedes Benz Ft Pierce" u="1"/>
        <s v="(PE) Car Shop South Brunswick (NO TOURS)" u="1"/>
        <s v="(AN) Porsche Bellevue" u="1"/>
        <s v="(AN) Nissan Pembroke Pines" u="1"/>
        <s v="(HUD) Crown BMW of Greensboro" u="1"/>
        <s v="(HUD) Crown Nissan Greensboro" u="1"/>
        <s v="(HUD) Crown Paint and Body Center" u="1"/>
        <s v="(RV) Sonny's Camp N Travel Concord" u="1"/>
        <s v="(AN) USA Corpus Christi " u="1"/>
        <s v="(KG) JLR LEHI (NO TOURS)" u="1"/>
        <s v="(AS) Coggin BMW Ft Pierce (NO TOURS)" u="1"/>
        <s v="(RML) Burleson Nissan" u="1"/>
        <s v="(AN) Ford Brooksville" u="1"/>
        <s v="(HUD) Crown Paint and Body Centre" u="1"/>
        <s v="(HUD) Crown CDJR of Greensboro" u="1"/>
        <s v="(LM) Luther Mazda/Mitsubishi" u="1"/>
        <s v="(AN) Chevrolet North Corpus Christi" u="1"/>
        <s v="(AN) JLR White Plains " u="1"/>
        <s v="(HUD) Crown Honda of Southpoint" u="1"/>
        <s v="(AN) JLR W Houston " u="1"/>
        <s v="(AN) Mercedes Benz Pembroke Pines" u="1"/>
        <s v="RML Burleson Nissan" u="1"/>
        <s v="(PE) Fairfield Collision (NO TOURS)" u="1"/>
        <s v="(AN) Chevrolet Arrowhead" u="1"/>
        <s v="(AS) Courtesy Honda Palm Harbor (NO TOURS)" u="1"/>
        <s v="(AN) USA San Antonio " u="1"/>
        <s v="(AN) Mini of the Woodlands" u="1"/>
        <s v="(AS) Coggins Mercedes Benz Ft Pierce " u="1"/>
        <s v="(AN) Chevrolet/Buick GMC Laurel " u="1"/>
        <s v="(AS) Courtesy of Kia of Brandon" u="1"/>
        <s v="(AN) Ford Ft Worth" u="1"/>
        <s v="(DT) Albuquerque " u="1"/>
        <s v="(AN) Toyota Mall of Georgia" u="1"/>
        <s v="(ML) Collision Center N Little Rock" u="1"/>
        <s v="(AS) Plano Auction (NO SPEAKERS)" u="1"/>
        <s v="(AS) Lexus Grapevine II" u="1"/>
        <s v="(AN) Hyundai North Columbus" u="1"/>
        <s v="(AN) Lexus Clearwater (NO SPEAKERS)" u="1"/>
        <s v="(AN) Porsche Bellevue Remote Service" u="1"/>
        <s v="(AN) Chevy N Corpus Christi" u="1"/>
        <s v="(AS) Atwell Prep Center-Dallas" u="1"/>
        <s v="(SCH) Delray" u="1"/>
        <s v="(AN) Collision Center Columbus " u="1"/>
        <s v="(KG) Texan CDJR " u="1"/>
        <s v="(AN) USA Charleston" u="1"/>
        <s v="(DT) Denver (NO TOURS)" u="1"/>
        <s v="(PE) JLR Englewood (NO TOURS)" u="1"/>
        <s v="(AN) Honda &amp; Recon Center Roseville" u="1"/>
        <s v="(RVS) RV Sonny's Camp N Travel " u="1"/>
        <s v="(AN) Ford Ft Worth II" u="1"/>
        <s v="(AN) Subaru Scottsdale" u="1"/>
        <s v="(AN) Hyundai Tempe" u="1"/>
        <s v="(AN) Mercedes Benz FT Lauderdale" u="1"/>
        <s v="(AN) Jaguar Land Rover South Bay (NO TOURS)" u="1"/>
        <s v="(AN) AN Remote Lot Chevrolet Coral Gables" u="1"/>
        <s v="(AN) Honda Memphis" u="1"/>
      </sharedItems>
    </cacheField>
    <cacheField name="Drop time" numFmtId="0">
      <sharedItems containsBlank="1" count="9">
        <s v="6:00 A.M."/>
        <s v="7:00 A.M."/>
        <s v="8:00 A.M."/>
        <s v="9:00 A.M."/>
        <s v="N/A"/>
        <s v="5:00 A.M." u="1"/>
        <m u="1"/>
        <s v="10:00 A.M." u="1"/>
        <s v="11:00 a.m." u="1"/>
      </sharedItems>
    </cacheField>
    <cacheField name="SUNDAY (D.T.)" numFmtId="0">
      <sharedItems containsBlank="1" count="10">
        <s v="N/A"/>
        <s v="10:00 A.M."/>
        <s v="11:00 A.M."/>
        <s v="8:00 A.M."/>
        <s v="7:00 a.m." u="1"/>
        <m u="1"/>
        <s v="11:30 A.M." u="1"/>
        <s v="12:00 P.M." u="1"/>
        <s v="1:00 P.M." u="1"/>
        <s v="11:00 p.m." u="1"/>
      </sharedItems>
    </cacheField>
    <cacheField name="Notes*" numFmtId="0">
      <sharedItems containsNonDate="0" containsString="0" containsBlank="1"/>
    </cacheField>
  </cacheFields>
  <extLst>
    <ext xmlns:x14="http://schemas.microsoft.com/office/spreadsheetml/2009/9/main" uri="{725AE2AE-9491-48be-B2B4-4EB974FC3084}">
      <x14:pivotCacheDefinition pivotCacheId="1018124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8">
  <r>
    <s v="(AS) 3281 Storage Lot (NO TOURS)1"/>
    <x v="0"/>
    <x v="0"/>
    <x v="0"/>
    <x v="0"/>
    <x v="0"/>
    <x v="0"/>
    <s v="https://tools.sig.systems/site/details/305"/>
    <s v="https://www.google.com/maps/d/edit?hl=es&amp;mid=1uPmsRMsXnp74hPFW2t-sp2totVWF_xY&amp;ll=32.83050137713022%2C-96.83197783061323&amp;z=17"/>
    <x v="0"/>
    <m/>
    <x v="0"/>
    <x v="0"/>
    <x v="0"/>
    <x v="0"/>
    <x v="0"/>
    <x v="0"/>
  </r>
  <r>
    <s v="(AS) Coggin BMW Ft. Pierce (NO TOURS)1"/>
    <x v="0"/>
    <x v="0"/>
    <x v="1"/>
    <x v="1"/>
    <x v="1"/>
    <x v="1"/>
    <s v="https://tools.sig.systems/site/details/119"/>
    <s v="https://www.google.com/maps/d/viewer?mid=1AyViBuyeq7iwDua1SVudJ2A1BYi3IBA&amp;ll=27.38181516363982%2C-80.32568845000002&amp;z=18"/>
    <x v="0"/>
    <m/>
    <x v="1"/>
    <x v="1"/>
    <x v="0"/>
    <x v="1"/>
    <x v="1"/>
    <x v="1"/>
  </r>
  <r>
    <s v="(AS) Coggin Collision Center of Kissimmee (NO TOURS)1"/>
    <x v="0"/>
    <x v="0"/>
    <x v="2"/>
    <x v="1"/>
    <x v="1"/>
    <x v="1"/>
    <s v="https://tools.sig.systems/site/details/331"/>
    <n v="0"/>
    <x v="0"/>
    <m/>
    <x v="2"/>
    <x v="1"/>
    <x v="0"/>
    <x v="0"/>
    <x v="2"/>
    <x v="2"/>
  </r>
  <r>
    <s v="(AS) Coggin Honda of Orlando (NO TOURS)1"/>
    <x v="0"/>
    <x v="0"/>
    <x v="3"/>
    <x v="1"/>
    <x v="1"/>
    <x v="1"/>
    <s v="https://tools.sig.systems/site/details/324"/>
    <n v="0"/>
    <x v="1"/>
    <m/>
    <x v="3"/>
    <x v="1"/>
    <x v="0"/>
    <x v="2"/>
    <x v="3"/>
    <x v="3"/>
  </r>
  <r>
    <s v="(AS) Hare Chevrolet (NO TOURS)1"/>
    <x v="0"/>
    <x v="0"/>
    <x v="4"/>
    <x v="1"/>
    <x v="1"/>
    <x v="1"/>
    <s v="https://tools.sig.systems/site/details/301"/>
    <s v="https://www.google.com/maps/d/edit?mid=1hsX5GGrNcCQgAuzDCDz1OWgEkhsAc78&amp;usp=sharing"/>
    <x v="0"/>
    <m/>
    <x v="4"/>
    <x v="2"/>
    <x v="0"/>
    <x v="3"/>
    <x v="4"/>
    <x v="4"/>
  </r>
  <r>
    <s v="(AS) Hare Truck Center (NO TOURS)1"/>
    <x v="0"/>
    <x v="0"/>
    <x v="5"/>
    <x v="1"/>
    <x v="1"/>
    <x v="1"/>
    <s v="https://tools.sig.systems/site/details/300"/>
    <s v="https://www.google.com/maps/d/edit?mid=1hsX5GGrNcCQgAuzDCDz1OWgEkhsAc78&amp;usp=sharing"/>
    <x v="0"/>
    <m/>
    <x v="0"/>
    <x v="3"/>
    <x v="0"/>
    <x v="0"/>
    <x v="5"/>
    <x v="5"/>
  </r>
  <r>
    <s v="(AS) Kahlo CDJR (NO TOURS)1"/>
    <x v="0"/>
    <x v="0"/>
    <x v="6"/>
    <x v="1"/>
    <x v="1"/>
    <x v="1"/>
    <s v="https://tools.sig.systems/site/details/282"/>
    <s v="https://www.google.com/maps/d/edit?mid=1hsX5GGrNcCQgAuzDCDz1OWgEkhsAc78&amp;usp=sharing"/>
    <x v="0"/>
    <m/>
    <x v="0"/>
    <x v="4"/>
    <x v="1"/>
    <x v="4"/>
    <x v="6"/>
    <x v="6"/>
  </r>
  <r>
    <s v="(AS) Koons Annapolis Toyota (NO TOURS)1"/>
    <x v="0"/>
    <x v="0"/>
    <x v="7"/>
    <x v="1"/>
    <x v="1"/>
    <x v="1"/>
    <s v="https://tools.sig.systems/site/details/337"/>
    <n v="0"/>
    <x v="0"/>
    <m/>
    <x v="5"/>
    <x v="5"/>
    <x v="0"/>
    <x v="0"/>
    <x v="7"/>
    <x v="7"/>
  </r>
  <r>
    <s v="(AS) Koons Arlington Toyota - New Car (NO TOURS)1"/>
    <x v="0"/>
    <x v="0"/>
    <x v="8"/>
    <x v="1"/>
    <x v="1"/>
    <x v="1"/>
    <s v="https://tools.sig.systems/site/details/334"/>
    <n v="0"/>
    <x v="2"/>
    <m/>
    <x v="0"/>
    <x v="6"/>
    <x v="0"/>
    <x v="0"/>
    <x v="8"/>
    <x v="8"/>
  </r>
  <r>
    <s v="(AS) Koons Baltimore Ford - Main Dealership (NO TOURS)1"/>
    <x v="0"/>
    <x v="0"/>
    <x v="9"/>
    <x v="1"/>
    <x v="1"/>
    <x v="1"/>
    <s v="https://tools.sig.systems/site/details/335"/>
    <s v="-"/>
    <x v="0"/>
    <m/>
    <x v="6"/>
    <x v="7"/>
    <x v="0"/>
    <x v="5"/>
    <x v="9"/>
    <x v="9"/>
  </r>
  <r>
    <s v="(AS) Koons Chevrolet Buick GMC - Clarksville (NO TOURS)1"/>
    <x v="0"/>
    <x v="0"/>
    <x v="10"/>
    <x v="1"/>
    <x v="1"/>
    <x v="1"/>
    <s v="https://tools.sig.systems/site/details/306"/>
    <s v="https://www.google.com/maps/d/edit?hl=es&amp;mid=11XB1lTSP7EcDCDvzypdUPWP6bWCNAEI&amp;ll=39.21145022420528%2C-76.94003711910554&amp;z=17"/>
    <x v="2"/>
    <m/>
    <x v="0"/>
    <x v="8"/>
    <x v="0"/>
    <x v="0"/>
    <x v="10"/>
    <x v="10"/>
  </r>
  <r>
    <s v="(AS) Koons Chevrolet Buick GMC - Clarksville Remote Lot (NO TOURS)1"/>
    <x v="0"/>
    <x v="0"/>
    <x v="11"/>
    <x v="1"/>
    <x v="1"/>
    <x v="1"/>
    <s v="https://tools.sig.systems/site/details/308"/>
    <s v="https://www.google.com/maps/d/edit?hl=es&amp;mid=11XB1lTSP7EcDCDvzypdUPWP6bWCNAEI&amp;ll=39.21145022420528%2C-76.94003711910554&amp;z=21"/>
    <x v="2"/>
    <m/>
    <x v="0"/>
    <x v="3"/>
    <x v="0"/>
    <x v="0"/>
    <x v="11"/>
    <x v="11"/>
  </r>
  <r>
    <s v="(AS) Koons Chevrolet Buick GMC - Tysons (NO TOURS)1"/>
    <x v="0"/>
    <x v="0"/>
    <x v="12"/>
    <x v="1"/>
    <x v="1"/>
    <x v="1"/>
    <s v="https://tools.sig.systems/site/details/352"/>
    <s v="-"/>
    <x v="2"/>
    <m/>
    <x v="7"/>
    <x v="1"/>
    <x v="0"/>
    <x v="6"/>
    <x v="12"/>
    <x v="12"/>
  </r>
  <r>
    <s v="(AS) Koons Chevrolet Buick GMC - Tysons Remote Lot (NO TOURS)1"/>
    <x v="0"/>
    <x v="0"/>
    <x v="13"/>
    <x v="1"/>
    <x v="1"/>
    <x v="1"/>
    <s v="https://tools.sig.systems/site/details/333"/>
    <s v="-"/>
    <x v="0"/>
    <m/>
    <x v="0"/>
    <x v="9"/>
    <x v="2"/>
    <x v="7"/>
    <x v="13"/>
    <x v="13"/>
  </r>
  <r>
    <s v="(AS) Koons Easton Toyota - Main Dealership (NO TOURS)1"/>
    <x v="0"/>
    <x v="0"/>
    <x v="14"/>
    <x v="1"/>
    <x v="1"/>
    <x v="1"/>
    <s v="https://tools.sig.systems/site/details/340"/>
    <s v="-"/>
    <x v="0"/>
    <m/>
    <x v="0"/>
    <x v="10"/>
    <x v="0"/>
    <x v="0"/>
    <x v="14"/>
    <x v="14"/>
  </r>
  <r>
    <s v="(AS) Koons Falls Church Ford (NO TOURS)1"/>
    <x v="0"/>
    <x v="0"/>
    <x v="15"/>
    <x v="1"/>
    <x v="1"/>
    <x v="1"/>
    <s v="https://tools.sig.systems/site/details/345"/>
    <s v="-"/>
    <x v="2"/>
    <m/>
    <x v="0"/>
    <x v="7"/>
    <x v="0"/>
    <x v="0"/>
    <x v="15"/>
    <x v="15"/>
  </r>
  <r>
    <s v="(AS) Koons MB of Catonsville (NO TOURS)1"/>
    <x v="0"/>
    <x v="0"/>
    <x v="16"/>
    <x v="1"/>
    <x v="1"/>
    <x v="1"/>
    <s v="https://tools.sig.systems/site/details/303"/>
    <n v="0"/>
    <x v="0"/>
    <m/>
    <x v="0"/>
    <x v="11"/>
    <x v="3"/>
    <x v="3"/>
    <x v="16"/>
    <x v="16"/>
  </r>
  <r>
    <s v="(AS) Koons Owings Mills Kia (NO TOURS)1"/>
    <x v="0"/>
    <x v="0"/>
    <x v="17"/>
    <x v="1"/>
    <x v="1"/>
    <x v="1"/>
    <s v="https://tools.sig.systems/site/details/336"/>
    <s v="-"/>
    <x v="0"/>
    <m/>
    <x v="8"/>
    <x v="12"/>
    <x v="4"/>
    <x v="8"/>
    <x v="17"/>
    <x v="17"/>
  </r>
  <r>
    <s v="(AS) Koons Sterling Ford - Main Dealership (NO TOURS)1"/>
    <x v="0"/>
    <x v="0"/>
    <x v="18"/>
    <x v="1"/>
    <x v="1"/>
    <x v="1"/>
    <s v="https://tools.sig.systems/site/details/348"/>
    <s v="-"/>
    <x v="2"/>
    <m/>
    <x v="9"/>
    <x v="13"/>
    <x v="0"/>
    <x v="9"/>
    <x v="18"/>
    <x v="18"/>
  </r>
  <r>
    <s v="(AS) Koons Tysons Toyota - Main Dealership (NO TOURS)1"/>
    <x v="0"/>
    <x v="0"/>
    <x v="19"/>
    <x v="1"/>
    <x v="1"/>
    <x v="1"/>
    <s v="https://tools.sig.systems/site/details/344"/>
    <s v="-"/>
    <x v="0"/>
    <m/>
    <x v="0"/>
    <x v="14"/>
    <x v="0"/>
    <x v="0"/>
    <x v="19"/>
    <x v="19"/>
  </r>
  <r>
    <s v="(AS) Koons Volvo Cars White Marsh (NO TOURS)1"/>
    <x v="0"/>
    <x v="0"/>
    <x v="20"/>
    <x v="1"/>
    <x v="1"/>
    <x v="1"/>
    <s v="https://tools.sig.systems/site/details/338"/>
    <n v="0"/>
    <x v="0"/>
    <m/>
    <x v="0"/>
    <x v="15"/>
    <x v="0"/>
    <x v="0"/>
    <x v="20"/>
    <x v="20"/>
  </r>
  <r>
    <s v="(AS) Koons Westminster Toyota (NO TOURS)1"/>
    <x v="0"/>
    <x v="0"/>
    <x v="21"/>
    <x v="1"/>
    <x v="1"/>
    <x v="1"/>
    <s v="https://tools.sig.systems/site/details/341"/>
    <s v="-"/>
    <x v="0"/>
    <m/>
    <x v="0"/>
    <x v="16"/>
    <x v="0"/>
    <x v="0"/>
    <x v="21"/>
    <x v="21"/>
  </r>
  <r>
    <s v="(AS) Koons White Marsh Chevrolet (NO TOURS)1"/>
    <x v="0"/>
    <x v="0"/>
    <x v="22"/>
    <x v="1"/>
    <x v="1"/>
    <x v="1"/>
    <s v="https://tools.sig.systems/site/details/339"/>
    <s v="-"/>
    <x v="0"/>
    <m/>
    <x v="10"/>
    <x v="17"/>
    <x v="0"/>
    <x v="0"/>
    <x v="22"/>
    <x v="22"/>
  </r>
  <r>
    <s v="(AS) Koons Woodbridge Ford (NO TOURS)1"/>
    <x v="0"/>
    <x v="0"/>
    <x v="23"/>
    <x v="1"/>
    <x v="1"/>
    <x v="1"/>
    <s v="https://tools.sig.systems/site/details/342"/>
    <n v="0"/>
    <x v="3"/>
    <m/>
    <x v="0"/>
    <x v="18"/>
    <x v="0"/>
    <x v="0"/>
    <x v="23"/>
    <x v="23"/>
  </r>
  <r>
    <s v="(AS) Koons Woodbridge GMC (NO TOURS)1"/>
    <x v="0"/>
    <x v="0"/>
    <x v="24"/>
    <x v="1"/>
    <x v="1"/>
    <x v="1"/>
    <s v="https://tools.sig.systems/site/details/343"/>
    <n v="0"/>
    <x v="2"/>
    <m/>
    <x v="0"/>
    <x v="7"/>
    <x v="0"/>
    <x v="10"/>
    <x v="24"/>
    <x v="24"/>
  </r>
  <r>
    <s v="(AS) Koons Woodbridge Hyundai (NO TOURS)1"/>
    <x v="0"/>
    <x v="0"/>
    <x v="25"/>
    <x v="1"/>
    <x v="1"/>
    <x v="1"/>
    <s v="https://tools.sig.systems/site/details/347"/>
    <s v="-"/>
    <x v="4"/>
    <m/>
    <x v="0"/>
    <x v="19"/>
    <x v="0"/>
    <x v="0"/>
    <x v="25"/>
    <x v="25"/>
  </r>
  <r>
    <s v="(AS) Koons Woodbridge Kia (NO TOURS)1"/>
    <x v="0"/>
    <x v="0"/>
    <x v="26"/>
    <x v="1"/>
    <x v="1"/>
    <x v="1"/>
    <s v="https://tools.sig.systems/site/details/346"/>
    <s v="-"/>
    <x v="2"/>
    <m/>
    <x v="0"/>
    <x v="20"/>
    <x v="0"/>
    <x v="0"/>
    <x v="26"/>
    <x v="26"/>
  </r>
  <r>
    <s v="(AS) Larry H Miller CDJR Fiat (NO TOURS)1"/>
    <x v="0"/>
    <x v="0"/>
    <x v="27"/>
    <x v="2"/>
    <x v="2"/>
    <x v="2"/>
    <s v="https://tools.sig.systems/site/details/298"/>
    <n v="0"/>
    <x v="0"/>
    <m/>
    <x v="11"/>
    <x v="2"/>
    <x v="0"/>
    <x v="0"/>
    <x v="27"/>
    <x v="27"/>
  </r>
  <r>
    <s v="(AS) Plaza Collision ST Louis (NO TOURS)1"/>
    <x v="0"/>
    <x v="0"/>
    <x v="28"/>
    <x v="0"/>
    <x v="0"/>
    <x v="0"/>
    <s v="https://tools.sig.systems/site/details/350"/>
    <s v="-"/>
    <x v="0"/>
    <m/>
    <x v="12"/>
    <x v="7"/>
    <x v="0"/>
    <x v="0"/>
    <x v="28"/>
    <x v="28"/>
  </r>
  <r>
    <s v="(AS) Plaza Mercedes Benz West (NO TOURS)1"/>
    <x v="0"/>
    <x v="0"/>
    <x v="29"/>
    <x v="0"/>
    <x v="0"/>
    <x v="0"/>
    <s v="https://tools.sig.systems/site/details/349"/>
    <n v="0"/>
    <x v="0"/>
    <m/>
    <x v="0"/>
    <x v="21"/>
    <x v="0"/>
    <x v="11"/>
    <x v="29"/>
    <x v="29"/>
  </r>
  <r>
    <s v="(BRL) Fort Pierce1"/>
    <x v="0"/>
    <x v="0"/>
    <x v="30"/>
    <x v="3"/>
    <x v="1"/>
    <x v="3"/>
    <s v="https://tools.sig.systems/site/details/326"/>
    <s v="-"/>
    <x v="0"/>
    <m/>
    <x v="0"/>
    <x v="7"/>
    <x v="0"/>
    <x v="1"/>
    <x v="30"/>
    <x v="30"/>
  </r>
  <r>
    <s v="(BRL) Shoemakersville1"/>
    <x v="0"/>
    <x v="0"/>
    <x v="31"/>
    <x v="3"/>
    <x v="1"/>
    <x v="3"/>
    <s v="https://tools.sig.systems/site/details/302"/>
    <n v="0"/>
    <x v="0"/>
    <m/>
    <x v="0"/>
    <x v="22"/>
    <x v="0"/>
    <x v="12"/>
    <x v="31"/>
    <x v="31"/>
  </r>
  <r>
    <s v="(DT) Arlington1"/>
    <x v="0"/>
    <x v="0"/>
    <x v="32"/>
    <x v="0"/>
    <x v="0"/>
    <x v="0"/>
    <s v="https://tools.sig.systems/site/details/199"/>
    <n v="0"/>
    <x v="0"/>
    <m/>
    <x v="13"/>
    <x v="13"/>
    <x v="0"/>
    <x v="0"/>
    <x v="32"/>
    <x v="32"/>
  </r>
  <r>
    <s v="(DT) Charlotte1"/>
    <x v="0"/>
    <x v="0"/>
    <x v="33"/>
    <x v="1"/>
    <x v="1"/>
    <x v="1"/>
    <s v="https://tools.sig.systems/site/details/299"/>
    <n v="0"/>
    <x v="0"/>
    <m/>
    <x v="14"/>
    <x v="1"/>
    <x v="0"/>
    <x v="13"/>
    <x v="33"/>
    <x v="33"/>
  </r>
  <r>
    <s v="(DT) Modesto1"/>
    <x v="0"/>
    <x v="0"/>
    <x v="34"/>
    <x v="4"/>
    <x v="3"/>
    <x v="4"/>
    <s v="https://tools.sig.systems/site/details/267"/>
    <n v="0"/>
    <x v="0"/>
    <m/>
    <x v="15"/>
    <x v="23"/>
    <x v="0"/>
    <x v="0"/>
    <x v="34"/>
    <x v="34"/>
  </r>
  <r>
    <s v="(KG) Big Star Cadillac1"/>
    <x v="0"/>
    <x v="0"/>
    <x v="35"/>
    <x v="0"/>
    <x v="0"/>
    <x v="0"/>
    <s v="https://tools.sig.systems/site/details/316"/>
    <s v="https://www.google.com/maps/d/edit?mid=1jIRkMUnWNPuTgDjQgDP-f33LClT85NU&amp;usp=sharing"/>
    <x v="0"/>
    <m/>
    <x v="16"/>
    <x v="1"/>
    <x v="0"/>
    <x v="0"/>
    <x v="35"/>
    <x v="35"/>
  </r>
  <r>
    <s v="(KG) Big Star Hyundai Houston1"/>
    <x v="0"/>
    <x v="0"/>
    <x v="36"/>
    <x v="0"/>
    <x v="0"/>
    <x v="0"/>
    <s v="https://tools.sig.systems/site/details/287"/>
    <s v="https://www.google.com/maps/d/edit?hl=en&amp;mid=1jIRkMUnWNPuTgDjQgDP-f33LClT85NU&amp;ll=29.55731827236326%2C-95.1601644&amp;z=17"/>
    <x v="0"/>
    <m/>
    <x v="17"/>
    <x v="24"/>
    <x v="0"/>
    <x v="14"/>
    <x v="36"/>
    <x v="36"/>
  </r>
  <r>
    <s v="(KG) Ken Garff Kia of Avondale1"/>
    <x v="0"/>
    <x v="0"/>
    <x v="37"/>
    <x v="4"/>
    <x v="4"/>
    <x v="4"/>
    <s v="https://tools.sig.systems/site/details/283"/>
    <s v="https://www.google.com/maps/d/viewer?mid=1bDs0QGFZwL3vEeGKxjVMk_j4azr0-lg&amp;ll=33.4593758581648%2C-112.28793780000001&amp;z=18"/>
    <x v="5"/>
    <m/>
    <x v="18"/>
    <x v="1"/>
    <x v="0"/>
    <x v="15"/>
    <x v="37"/>
    <x v="37"/>
  </r>
  <r>
    <s v="(KG) Ken Garff Volkswagen of Gilbert1"/>
    <x v="0"/>
    <x v="0"/>
    <x v="38"/>
    <x v="4"/>
    <x v="4"/>
    <x v="4"/>
    <s v="https://tools.sig.systems/site/details/284"/>
    <s v="https://www.google.com/maps/d/viewer?hl=es&amp;mid=19SU7XE9Cg8jhVFpEI21Vi9Zfgdih9Ds&amp;ll=33.29158262977276%2C-111.75783630000002&amp;z=17"/>
    <x v="5"/>
    <m/>
    <x v="7"/>
    <x v="1"/>
    <x v="0"/>
    <x v="16"/>
    <x v="38"/>
    <x v="38"/>
  </r>
  <r>
    <s v="(LT) Landers Kia of Little Rock1"/>
    <x v="0"/>
    <x v="0"/>
    <x v="39"/>
    <x v="0"/>
    <x v="0"/>
    <x v="0"/>
    <s v="https://tools.sig.systems/site/details/322"/>
    <s v="https://www.google.com/maps/d/u/1/edit?mid=1-zEzsc6U6nZom08edp0XAd3_HYFvAyk&amp;usp=sharing"/>
    <x v="0"/>
    <m/>
    <x v="19"/>
    <x v="1"/>
    <x v="5"/>
    <x v="17"/>
    <x v="39"/>
    <x v="39"/>
  </r>
  <r>
    <s v="(LT) Luther Bloomington Hyundai (NO TOURS)1"/>
    <x v="0"/>
    <x v="0"/>
    <x v="40"/>
    <x v="0"/>
    <x v="0"/>
    <x v="0"/>
    <s v="https://tools.sig.systems/site/details/318"/>
    <n v="0"/>
    <x v="0"/>
    <m/>
    <x v="0"/>
    <x v="25"/>
    <x v="6"/>
    <x v="18"/>
    <x v="40"/>
    <x v="40"/>
  </r>
  <r>
    <s v="(LT) Luther Bloomington Subaru - Acura1"/>
    <x v="0"/>
    <x v="0"/>
    <x v="41"/>
    <x v="5"/>
    <x v="0"/>
    <x v="5"/>
    <s v="https://tools.sig.systems/site/details/289"/>
    <n v="0"/>
    <x v="0"/>
    <m/>
    <x v="20"/>
    <x v="26"/>
    <x v="7"/>
    <x v="0"/>
    <x v="41"/>
    <x v="41"/>
  </r>
  <r>
    <s v="(LT) Luther Brookdale Honda (NO TOURS)1"/>
    <x v="0"/>
    <x v="0"/>
    <x v="42"/>
    <x v="0"/>
    <x v="0"/>
    <x v="0"/>
    <s v="https://tools.sig.systems/site/details/280"/>
    <s v="https://www.google.com/maps/d/viewer?mid=1ot0ILX76JMuvd9yMuqkb4_e0yH1n7TA&amp;ll=45.07815812965141%2C-93.33506855000002&amp;z=17"/>
    <x v="0"/>
    <m/>
    <x v="0"/>
    <x v="27"/>
    <x v="8"/>
    <x v="19"/>
    <x v="42"/>
    <x v="42"/>
  </r>
  <r>
    <s v="(LT) Luther Brookdale Toyota1"/>
    <x v="0"/>
    <x v="0"/>
    <x v="43"/>
    <x v="0"/>
    <x v="0"/>
    <x v="1"/>
    <s v="https://tools.sig.systems/site/details/281"/>
    <s v="https://www.google.com/maps/d/viewer?mid=1ot0ILX76JMuvd9yMuqkb4_e0yH1n7TA&amp;ll=45.07815812965141%2C-93.33506855000002&amp;z=17"/>
    <x v="0"/>
    <m/>
    <x v="0"/>
    <x v="28"/>
    <x v="3"/>
    <x v="4"/>
    <x v="43"/>
    <x v="43"/>
  </r>
  <r>
    <s v="(LT) Luther Burnsville Hyundai1"/>
    <x v="0"/>
    <x v="0"/>
    <x v="44"/>
    <x v="0"/>
    <x v="0"/>
    <x v="0"/>
    <s v="https://tools.sig.systems/site/details/307"/>
    <n v="0"/>
    <x v="0"/>
    <m/>
    <x v="0"/>
    <x v="29"/>
    <x v="9"/>
    <x v="20"/>
    <x v="44"/>
    <x v="44"/>
  </r>
  <r>
    <s v="(LT) Luther Genesis of Minneapolis1"/>
    <x v="0"/>
    <x v="0"/>
    <x v="45"/>
    <x v="0"/>
    <x v="0"/>
    <x v="0"/>
    <s v="https://tools.sig.systems/site/details/315"/>
    <n v="0"/>
    <x v="0"/>
    <m/>
    <x v="0"/>
    <x v="30"/>
    <x v="0"/>
    <x v="0"/>
    <x v="45"/>
    <x v="45"/>
  </r>
  <r>
    <s v="(LT) Luther Hopkins Honda (NO TOURS)1"/>
    <x v="0"/>
    <x v="0"/>
    <x v="46"/>
    <x v="0"/>
    <x v="0"/>
    <x v="0"/>
    <s v="https://tools.sig.systems/site/details/288"/>
    <n v="0"/>
    <x v="0"/>
    <m/>
    <x v="0"/>
    <x v="31"/>
    <x v="10"/>
    <x v="21"/>
    <x v="46"/>
    <x v="46"/>
  </r>
  <r>
    <s v="(LT) Luther Landers Recon Center1"/>
    <x v="0"/>
    <x v="0"/>
    <x v="47"/>
    <x v="0"/>
    <x v="0"/>
    <x v="0"/>
    <s v="https://tools.sig.systems/site/details/323"/>
    <s v="https://www.google.com/maps/d/u/1/edit?mid=1-zEzsc6U6nZom08edp0XAd3_HYFvAyk&amp;usp=sharing"/>
    <x v="0"/>
    <m/>
    <x v="21"/>
    <x v="1"/>
    <x v="0"/>
    <x v="0"/>
    <x v="47"/>
    <x v="47"/>
  </r>
  <r>
    <s v="(LT) Luther North Country Ford1"/>
    <x v="0"/>
    <x v="0"/>
    <x v="48"/>
    <x v="0"/>
    <x v="0"/>
    <x v="0"/>
    <s v="https://tools.sig.systems/site/details/292"/>
    <n v="0"/>
    <x v="0"/>
    <m/>
    <x v="0"/>
    <x v="32"/>
    <x v="11"/>
    <x v="0"/>
    <x v="48"/>
    <x v="48"/>
  </r>
  <r>
    <s v="(LT) Luther St. Cloud Subaru1"/>
    <x v="0"/>
    <x v="0"/>
    <x v="49"/>
    <x v="0"/>
    <x v="0"/>
    <x v="6"/>
    <s v="https://tools.sig.systems/site/details/295"/>
    <n v="0"/>
    <x v="0"/>
    <m/>
    <x v="22"/>
    <x v="33"/>
    <x v="12"/>
    <x v="22"/>
    <x v="49"/>
    <x v="49"/>
  </r>
  <r>
    <s v="(ML) Joe Machens Hyundai1"/>
    <x v="0"/>
    <x v="0"/>
    <x v="50"/>
    <x v="0"/>
    <x v="0"/>
    <x v="0"/>
    <s v="https://tools.sig.systems/site/details/286"/>
    <s v="https://www.google.com/maps/d/viewer?hl=es&amp;mid=1C1oZdjH3dNvCvqdpIv_Lk0Yn1OCVn-4&amp;ll=38.965368114274455%2C-92.3405954&amp;z=15"/>
    <x v="0"/>
    <m/>
    <x v="0"/>
    <x v="34"/>
    <x v="0"/>
    <x v="11"/>
    <x v="50"/>
    <x v="50"/>
  </r>
  <r>
    <s v="(PE) BMW Service Center (NO TOURS)1"/>
    <x v="0"/>
    <x v="0"/>
    <x v="51"/>
    <x v="6"/>
    <x v="1"/>
    <x v="1"/>
    <s v="https://tools.sig.systems/site/details/184"/>
    <s v="https://www.google.com/maps/d/edit?hl=en&amp;mid=1UHmt7tH1ihTa85i0MfQIcTfVvIQg_vM&amp;ll=41.02423447529239%2C-73.63721502222738&amp;z=18"/>
    <x v="0"/>
    <m/>
    <x v="23"/>
    <x v="1"/>
    <x v="0"/>
    <x v="0"/>
    <x v="51"/>
    <x v="51"/>
  </r>
  <r>
    <s v="(PE) JLR Darien (NO TOURS)1"/>
    <x v="0"/>
    <x v="0"/>
    <x v="52"/>
    <x v="6"/>
    <x v="1"/>
    <x v="1"/>
    <s v="https://tools.sig.systems/site/details/189"/>
    <s v="-"/>
    <x v="0"/>
    <m/>
    <x v="24"/>
    <x v="1"/>
    <x v="0"/>
    <x v="0"/>
    <x v="15"/>
    <x v="52"/>
  </r>
  <r>
    <s v="(PE) JLR Englewood (NO TOURS)1"/>
    <x v="0"/>
    <x v="0"/>
    <x v="53"/>
    <x v="6"/>
    <x v="1"/>
    <x v="1"/>
    <s v="https://tools.sig.systems/site/details/178"/>
    <s v="https://www.google.com/maps/d/viewer?mid=1ubI2iKs1JyYXssuT4oLPnVvFnyLPi_s&amp;ll=40.878808846788026%2C-73.98560655&amp;z=17"/>
    <x v="0"/>
    <m/>
    <x v="25"/>
    <x v="1"/>
    <x v="0"/>
    <x v="0"/>
    <x v="15"/>
    <x v="53"/>
  </r>
  <r>
    <s v="(PE) JLR Paramus (NO TOURS)1"/>
    <x v="0"/>
    <x v="0"/>
    <x v="54"/>
    <x v="6"/>
    <x v="1"/>
    <x v="1"/>
    <s v="https://tools.sig.systems/site/details/177"/>
    <n v="0"/>
    <x v="0"/>
    <m/>
    <x v="26"/>
    <x v="1"/>
    <x v="0"/>
    <x v="0"/>
    <x v="52"/>
    <x v="54"/>
  </r>
  <r>
    <s v="(PE) MB of Greenwich1"/>
    <x v="0"/>
    <x v="0"/>
    <x v="55"/>
    <x v="6"/>
    <x v="1"/>
    <x v="1"/>
    <s v="https://tools.sig.systems/site/details/188"/>
    <s v="https://www.google.com/maps/d/edit?hl=en&amp;mid=1UHmt7tH1ihTa85i0MfQIcTfVvIQg_vM&amp;ll=41.02423447529239%2C-73.63721502222738&amp;z=18"/>
    <x v="0"/>
    <m/>
    <x v="27"/>
    <x v="35"/>
    <x v="0"/>
    <x v="0"/>
    <x v="53"/>
    <x v="55"/>
  </r>
  <r>
    <s v="(PE) Porsche Audi Fairfield (NO TOURS)1"/>
    <x v="0"/>
    <x v="0"/>
    <x v="56"/>
    <x v="6"/>
    <x v="1"/>
    <x v="1"/>
    <s v="https://tools.sig.systems/site/details/194"/>
    <n v="0"/>
    <x v="0"/>
    <m/>
    <x v="28"/>
    <x v="1"/>
    <x v="0"/>
    <x v="4"/>
    <x v="54"/>
    <x v="56"/>
  </r>
  <r>
    <s v="(SCH) Schumacher of Delray I &amp; III1"/>
    <x v="0"/>
    <x v="0"/>
    <x v="57"/>
    <x v="1"/>
    <x v="1"/>
    <x v="1"/>
    <s v="https://tools.sig.systems/site/details/159"/>
    <s v="https://www.google.com/maps/d/viewer?mid=1ZLGV-cDM9aCfovhmXHIAXgVOKts0dEI&amp;ll=26.438859950088858%2C-80.07968125000001&amp;z=16"/>
    <x v="1"/>
    <m/>
    <x v="29"/>
    <x v="36"/>
    <x v="0"/>
    <x v="0"/>
    <x v="55"/>
    <x v="57"/>
  </r>
  <r>
    <s v="(TC) Lamborghini South Dade1"/>
    <x v="0"/>
    <x v="0"/>
    <x v="58"/>
    <x v="1"/>
    <x v="1"/>
    <x v="1"/>
    <s v="https://tools.sig.systems/site/details/313"/>
    <n v="0"/>
    <x v="0"/>
    <m/>
    <x v="0"/>
    <x v="37"/>
    <x v="0"/>
    <x v="0"/>
    <x v="15"/>
    <x v="58"/>
  </r>
  <r>
    <s v="Mario Residence1"/>
    <x v="0"/>
    <x v="0"/>
    <x v="59"/>
    <x v="3"/>
    <x v="1"/>
    <x v="3"/>
    <s v="https://tools.sig.systems/site/details/148"/>
    <s v="https://www.google.com/maps/d/edit?hl=es&amp;mid=13OmECPqyeB7fXgZmEoM9cnG34HU_v5g&amp;ll=26.046837034777553%2C-80.38753458591658&amp;z=19"/>
    <x v="0"/>
    <m/>
    <x v="30"/>
    <x v="38"/>
    <x v="0"/>
    <x v="0"/>
    <x v="56"/>
    <x v="59"/>
  </r>
  <r>
    <s v="(AS) 3281 Storage Lot (NO TOURS)2"/>
    <x v="1"/>
    <x v="0"/>
    <x v="0"/>
    <x v="0"/>
    <x v="0"/>
    <x v="0"/>
    <s v="https://tools.sig.systems/site/details/305"/>
    <s v="https://www.google.com/maps/d/edit?hl=es&amp;mid=1uPmsRMsXnp74hPFW2t-sp2totVWF_xY&amp;ll=32.83050137713022%2C-96.83197783061323&amp;z=17"/>
    <x v="0"/>
    <m/>
    <x v="0"/>
    <x v="0"/>
    <x v="0"/>
    <x v="0"/>
    <x v="0"/>
    <x v="0"/>
  </r>
  <r>
    <s v="(AS) Hare Truck Center (NO TOURS)2"/>
    <x v="1"/>
    <x v="0"/>
    <x v="5"/>
    <x v="1"/>
    <x v="1"/>
    <x v="1"/>
    <s v="https://tools.sig.systems/site/details/300"/>
    <s v="https://www.google.com/maps/d/edit?mid=1hsX5GGrNcCQgAuzDCDz1OWgEkhsAc78&amp;usp=sharing"/>
    <x v="0"/>
    <m/>
    <x v="0"/>
    <x v="3"/>
    <x v="0"/>
    <x v="0"/>
    <x v="5"/>
    <x v="5"/>
  </r>
  <r>
    <s v="(AS) Koons Chevrolet Buick GMC - Clarksville (NO TOURS)2"/>
    <x v="1"/>
    <x v="0"/>
    <x v="10"/>
    <x v="1"/>
    <x v="1"/>
    <x v="1"/>
    <s v="https://tools.sig.systems/site/details/306"/>
    <s v="https://www.google.com/maps/d/edit?hl=es&amp;mid=11XB1lTSP7EcDCDvzypdUPWP6bWCNAEI&amp;ll=39.21145022420528%2C-76.94003711910554&amp;z=17"/>
    <x v="2"/>
    <m/>
    <x v="0"/>
    <x v="8"/>
    <x v="0"/>
    <x v="0"/>
    <x v="10"/>
    <x v="10"/>
  </r>
  <r>
    <s v="(AS) Koons Chevrolet Buick GMC - Tysons (NO TOURS)2"/>
    <x v="1"/>
    <x v="0"/>
    <x v="12"/>
    <x v="1"/>
    <x v="1"/>
    <x v="1"/>
    <s v="https://tools.sig.systems/site/details/352"/>
    <s v="-"/>
    <x v="2"/>
    <m/>
    <x v="7"/>
    <x v="1"/>
    <x v="0"/>
    <x v="6"/>
    <x v="12"/>
    <x v="12"/>
  </r>
  <r>
    <s v="(AS) Koons Falls Church Ford (NO TOURS)2"/>
    <x v="1"/>
    <x v="0"/>
    <x v="15"/>
    <x v="1"/>
    <x v="1"/>
    <x v="1"/>
    <s v="https://tools.sig.systems/site/details/345"/>
    <s v="-"/>
    <x v="2"/>
    <m/>
    <x v="0"/>
    <x v="7"/>
    <x v="0"/>
    <x v="0"/>
    <x v="15"/>
    <x v="15"/>
  </r>
  <r>
    <s v="(AS) Koons MB of Catonsville (NO TOURS)2"/>
    <x v="1"/>
    <x v="0"/>
    <x v="16"/>
    <x v="1"/>
    <x v="1"/>
    <x v="1"/>
    <s v="https://tools.sig.systems/site/details/303"/>
    <n v="0"/>
    <x v="0"/>
    <m/>
    <x v="0"/>
    <x v="11"/>
    <x v="3"/>
    <x v="3"/>
    <x v="16"/>
    <x v="16"/>
  </r>
  <r>
    <s v="(AS) Koons Owings Mills Kia (NO TOURS)2"/>
    <x v="1"/>
    <x v="0"/>
    <x v="17"/>
    <x v="1"/>
    <x v="1"/>
    <x v="1"/>
    <s v="https://tools.sig.systems/site/details/336"/>
    <s v="-"/>
    <x v="0"/>
    <m/>
    <x v="31"/>
    <x v="39"/>
    <x v="0"/>
    <x v="0"/>
    <x v="57"/>
    <x v="17"/>
  </r>
  <r>
    <s v="(AS) Koons Sterling Ford - Main Dealership (NO TOURS)2"/>
    <x v="1"/>
    <x v="0"/>
    <x v="18"/>
    <x v="1"/>
    <x v="1"/>
    <x v="1"/>
    <s v="https://tools.sig.systems/site/details/348"/>
    <s v="-"/>
    <x v="2"/>
    <m/>
    <x v="9"/>
    <x v="13"/>
    <x v="0"/>
    <x v="9"/>
    <x v="18"/>
    <x v="18"/>
  </r>
  <r>
    <s v="(AS) Koons Woodbridge GMC (NO TOURS)2"/>
    <x v="1"/>
    <x v="0"/>
    <x v="24"/>
    <x v="1"/>
    <x v="1"/>
    <x v="1"/>
    <s v="https://tools.sig.systems/site/details/343"/>
    <n v="0"/>
    <x v="2"/>
    <m/>
    <x v="0"/>
    <x v="7"/>
    <x v="0"/>
    <x v="10"/>
    <x v="24"/>
    <x v="24"/>
  </r>
  <r>
    <s v="(AS) Koons Woodbridge Kia (NO TOURS)2"/>
    <x v="1"/>
    <x v="0"/>
    <x v="26"/>
    <x v="1"/>
    <x v="1"/>
    <x v="1"/>
    <s v="https://tools.sig.systems/site/details/346"/>
    <s v="-"/>
    <x v="2"/>
    <m/>
    <x v="0"/>
    <x v="20"/>
    <x v="0"/>
    <x v="0"/>
    <x v="26"/>
    <x v="26"/>
  </r>
  <r>
    <s v="(AS) Plaza Collision ST Louis (NO TOURS)2"/>
    <x v="1"/>
    <x v="0"/>
    <x v="28"/>
    <x v="0"/>
    <x v="0"/>
    <x v="0"/>
    <s v="https://tools.sig.systems/site/details/350"/>
    <s v="-"/>
    <x v="0"/>
    <m/>
    <x v="12"/>
    <x v="7"/>
    <x v="0"/>
    <x v="0"/>
    <x v="28"/>
    <x v="28"/>
  </r>
  <r>
    <s v="(AS) Plaza Mercedes Benz West (NO TOURS)2"/>
    <x v="1"/>
    <x v="0"/>
    <x v="29"/>
    <x v="0"/>
    <x v="0"/>
    <x v="0"/>
    <s v="https://tools.sig.systems/site/details/349"/>
    <n v="0"/>
    <x v="0"/>
    <m/>
    <x v="0"/>
    <x v="21"/>
    <x v="0"/>
    <x v="11"/>
    <x v="29"/>
    <x v="29"/>
  </r>
  <r>
    <s v="(BRL) Fort Pierce2"/>
    <x v="1"/>
    <x v="0"/>
    <x v="30"/>
    <x v="3"/>
    <x v="1"/>
    <x v="3"/>
    <s v="https://tools.sig.systems/site/details/326"/>
    <s v="-"/>
    <x v="0"/>
    <m/>
    <x v="0"/>
    <x v="7"/>
    <x v="0"/>
    <x v="1"/>
    <x v="30"/>
    <x v="30"/>
  </r>
  <r>
    <s v="(DT) Charlotte2"/>
    <x v="1"/>
    <x v="0"/>
    <x v="33"/>
    <x v="1"/>
    <x v="1"/>
    <x v="1"/>
    <s v="https://tools.sig.systems/site/details/299"/>
    <n v="0"/>
    <x v="0"/>
    <m/>
    <x v="14"/>
    <x v="1"/>
    <x v="0"/>
    <x v="13"/>
    <x v="33"/>
    <x v="33"/>
  </r>
  <r>
    <s v="(DT) Modesto2"/>
    <x v="1"/>
    <x v="0"/>
    <x v="34"/>
    <x v="4"/>
    <x v="3"/>
    <x v="4"/>
    <s v="https://tools.sig.systems/site/details/267"/>
    <n v="0"/>
    <x v="0"/>
    <m/>
    <x v="15"/>
    <x v="23"/>
    <x v="0"/>
    <x v="0"/>
    <x v="34"/>
    <x v="34"/>
  </r>
  <r>
    <s v="(KG) Big Star Hyundai Houston2"/>
    <x v="1"/>
    <x v="0"/>
    <x v="36"/>
    <x v="0"/>
    <x v="0"/>
    <x v="0"/>
    <s v="https://tools.sig.systems/site/details/287"/>
    <s v="https://www.google.com/maps/d/edit?hl=en&amp;mid=1jIRkMUnWNPuTgDjQgDP-f33LClT85NU&amp;ll=29.55731827236326%2C-95.1601644&amp;z=17"/>
    <x v="0"/>
    <m/>
    <x v="17"/>
    <x v="24"/>
    <x v="0"/>
    <x v="14"/>
    <x v="36"/>
    <x v="36"/>
  </r>
  <r>
    <s v="(KG) Ken Garff Volkswagen of Gilbert2"/>
    <x v="1"/>
    <x v="0"/>
    <x v="38"/>
    <x v="4"/>
    <x v="4"/>
    <x v="4"/>
    <s v="https://tools.sig.systems/site/details/284"/>
    <s v="https://www.google.com/maps/d/viewer?hl=es&amp;mid=19SU7XE9Cg8jhVFpEI21Vi9Zfgdih9Ds&amp;ll=33.29158262977276%2C-111.75783630000002&amp;z=17"/>
    <x v="5"/>
    <m/>
    <x v="7"/>
    <x v="1"/>
    <x v="0"/>
    <x v="16"/>
    <x v="38"/>
    <x v="38"/>
  </r>
  <r>
    <s v="(LT) Landers Kia of Little Rock2"/>
    <x v="1"/>
    <x v="0"/>
    <x v="39"/>
    <x v="0"/>
    <x v="0"/>
    <x v="0"/>
    <s v="https://tools.sig.systems/site/details/322"/>
    <s v="https://www.google.com/maps/d/u/1/edit?mid=1-zEzsc6U6nZom08edp0XAd3_HYFvAyk&amp;usp=sharing"/>
    <x v="0"/>
    <m/>
    <x v="19"/>
    <x v="1"/>
    <x v="5"/>
    <x v="17"/>
    <x v="39"/>
    <x v="39"/>
  </r>
  <r>
    <s v="(LT) Luther Bloomington Hyundai (NO TOURS)2"/>
    <x v="1"/>
    <x v="0"/>
    <x v="40"/>
    <x v="0"/>
    <x v="0"/>
    <x v="0"/>
    <s v="https://tools.sig.systems/site/details/318"/>
    <n v="0"/>
    <x v="0"/>
    <m/>
    <x v="0"/>
    <x v="25"/>
    <x v="6"/>
    <x v="18"/>
    <x v="40"/>
    <x v="40"/>
  </r>
  <r>
    <s v="(LT) Luther Brookdale Toyota2"/>
    <x v="1"/>
    <x v="0"/>
    <x v="43"/>
    <x v="0"/>
    <x v="0"/>
    <x v="1"/>
    <s v="https://tools.sig.systems/site/details/281"/>
    <s v="https://www.google.com/maps/d/viewer?mid=1ot0ILX76JMuvd9yMuqkb4_e0yH1n7TA&amp;ll=45.07815812965141%2C-93.33506855000002&amp;z=17"/>
    <x v="0"/>
    <m/>
    <x v="0"/>
    <x v="28"/>
    <x v="3"/>
    <x v="4"/>
    <x v="43"/>
    <x v="43"/>
  </r>
  <r>
    <s v="(LT) Luther Burnsville Hyundai2"/>
    <x v="1"/>
    <x v="0"/>
    <x v="44"/>
    <x v="0"/>
    <x v="0"/>
    <x v="0"/>
    <s v="https://tools.sig.systems/site/details/307"/>
    <n v="0"/>
    <x v="0"/>
    <m/>
    <x v="0"/>
    <x v="29"/>
    <x v="9"/>
    <x v="20"/>
    <x v="44"/>
    <x v="44"/>
  </r>
  <r>
    <s v="(LT) Luther Hopkins Honda (NO TOURS)2"/>
    <x v="1"/>
    <x v="0"/>
    <x v="46"/>
    <x v="0"/>
    <x v="0"/>
    <x v="0"/>
    <s v="https://tools.sig.systems/site/details/288"/>
    <n v="0"/>
    <x v="0"/>
    <m/>
    <x v="0"/>
    <x v="31"/>
    <x v="10"/>
    <x v="21"/>
    <x v="46"/>
    <x v="46"/>
  </r>
  <r>
    <s v="(LT) Luther North Country Ford2"/>
    <x v="1"/>
    <x v="0"/>
    <x v="48"/>
    <x v="0"/>
    <x v="0"/>
    <x v="0"/>
    <s v="https://tools.sig.systems/site/details/292"/>
    <n v="0"/>
    <x v="0"/>
    <m/>
    <x v="0"/>
    <x v="32"/>
    <x v="11"/>
    <x v="0"/>
    <x v="48"/>
    <x v="48"/>
  </r>
  <r>
    <s v="(LT) Luther St. Cloud Subaru2"/>
    <x v="1"/>
    <x v="0"/>
    <x v="49"/>
    <x v="0"/>
    <x v="0"/>
    <x v="6"/>
    <s v="https://tools.sig.systems/site/details/295"/>
    <n v="0"/>
    <x v="0"/>
    <m/>
    <x v="22"/>
    <x v="33"/>
    <x v="12"/>
    <x v="22"/>
    <x v="49"/>
    <x v="49"/>
  </r>
  <r>
    <s v="(ML) Joe Machens Hyundai2"/>
    <x v="1"/>
    <x v="0"/>
    <x v="50"/>
    <x v="0"/>
    <x v="0"/>
    <x v="0"/>
    <s v="https://tools.sig.systems/site/details/286"/>
    <s v="https://www.google.com/maps/d/viewer?hl=es&amp;mid=1C1oZdjH3dNvCvqdpIv_Lk0Yn1OCVn-4&amp;ll=38.965368114274455%2C-92.3405954&amp;z=15"/>
    <x v="0"/>
    <m/>
    <x v="0"/>
    <x v="34"/>
    <x v="0"/>
    <x v="11"/>
    <x v="50"/>
    <x v="50"/>
  </r>
  <r>
    <s v="(PE) BMW Service Center (NO TOURS)2"/>
    <x v="1"/>
    <x v="0"/>
    <x v="51"/>
    <x v="6"/>
    <x v="1"/>
    <x v="1"/>
    <s v="https://tools.sig.systems/site/details/184"/>
    <s v="https://www.google.com/maps/d/edit?hl=en&amp;mid=1UHmt7tH1ihTa85i0MfQIcTfVvIQg_vM&amp;ll=41.02423447529239%2C-73.63721502222738&amp;z=18"/>
    <x v="0"/>
    <m/>
    <x v="23"/>
    <x v="1"/>
    <x v="0"/>
    <x v="0"/>
    <x v="51"/>
    <x v="51"/>
  </r>
  <r>
    <s v="(PE) JLR Darien (NO TOURS)2"/>
    <x v="1"/>
    <x v="0"/>
    <x v="52"/>
    <x v="6"/>
    <x v="1"/>
    <x v="1"/>
    <s v="https://tools.sig.systems/site/details/189"/>
    <s v="-"/>
    <x v="0"/>
    <m/>
    <x v="24"/>
    <x v="1"/>
    <x v="0"/>
    <x v="0"/>
    <x v="15"/>
    <x v="52"/>
  </r>
  <r>
    <s v="(PE) JLR Paramus (NO TOURS)2"/>
    <x v="1"/>
    <x v="0"/>
    <x v="54"/>
    <x v="6"/>
    <x v="1"/>
    <x v="1"/>
    <s v="https://tools.sig.systems/site/details/177"/>
    <n v="0"/>
    <x v="0"/>
    <m/>
    <x v="26"/>
    <x v="1"/>
    <x v="0"/>
    <x v="0"/>
    <x v="52"/>
    <x v="54"/>
  </r>
  <r>
    <s v="(PE) MB of Greenwich2"/>
    <x v="1"/>
    <x v="0"/>
    <x v="55"/>
    <x v="6"/>
    <x v="1"/>
    <x v="1"/>
    <s v="https://tools.sig.systems/site/details/188"/>
    <s v="https://www.google.com/maps/d/edit?hl=en&amp;mid=1UHmt7tH1ihTa85i0MfQIcTfVvIQg_vM&amp;ll=41.02423447529239%2C-73.63721502222738&amp;z=18"/>
    <x v="0"/>
    <m/>
    <x v="27"/>
    <x v="35"/>
    <x v="0"/>
    <x v="0"/>
    <x v="53"/>
    <x v="55"/>
  </r>
  <r>
    <s v="(PE) Porsche Audi Fairfield (NO TOURS)2"/>
    <x v="1"/>
    <x v="0"/>
    <x v="56"/>
    <x v="6"/>
    <x v="1"/>
    <x v="1"/>
    <s v="https://tools.sig.systems/site/details/194"/>
    <n v="0"/>
    <x v="0"/>
    <m/>
    <x v="28"/>
    <x v="1"/>
    <x v="0"/>
    <x v="4"/>
    <x v="54"/>
    <x v="56"/>
  </r>
  <r>
    <s v="Mario Residence2"/>
    <x v="1"/>
    <x v="0"/>
    <x v="59"/>
    <x v="3"/>
    <x v="1"/>
    <x v="3"/>
    <s v="https://tools.sig.systems/site/details/148"/>
    <s v="https://www.google.com/maps/d/edit?hl=es&amp;mid=13OmECPqyeB7fXgZmEoM9cnG34HU_v5g&amp;ll=26.046837034777553%2C-80.38753458591658&amp;z=19"/>
    <x v="0"/>
    <m/>
    <x v="30"/>
    <x v="38"/>
    <x v="0"/>
    <x v="0"/>
    <x v="56"/>
    <x v="60"/>
  </r>
  <r>
    <s v="(AS) Coggin BMW Ft. Pierce (NO TOURS)2"/>
    <x v="1"/>
    <x v="1"/>
    <x v="1"/>
    <x v="1"/>
    <x v="1"/>
    <x v="1"/>
    <s v="https://tools.sig.systems/site/details/119"/>
    <s v="https://www.google.com/maps/d/viewer?mid=1AyViBuyeq7iwDua1SVudJ2A1BYi3IBA&amp;ll=27.38181516363982%2C-80.32568845000002&amp;z=18"/>
    <x v="0"/>
    <m/>
    <x v="1"/>
    <x v="1"/>
    <x v="0"/>
    <x v="1"/>
    <x v="1"/>
    <x v="1"/>
  </r>
  <r>
    <s v="(AS) Coggin Collision Center of Kissimmee (NO TOURS)2"/>
    <x v="1"/>
    <x v="1"/>
    <x v="2"/>
    <x v="1"/>
    <x v="1"/>
    <x v="1"/>
    <s v="https://tools.sig.systems/site/details/331"/>
    <n v="0"/>
    <x v="0"/>
    <m/>
    <x v="2"/>
    <x v="1"/>
    <x v="0"/>
    <x v="0"/>
    <x v="2"/>
    <x v="2"/>
  </r>
  <r>
    <s v="(AS) Coggin Honda of Orlando (NO TOURS)2"/>
    <x v="1"/>
    <x v="1"/>
    <x v="3"/>
    <x v="1"/>
    <x v="1"/>
    <x v="1"/>
    <s v="https://tools.sig.systems/site/details/324"/>
    <n v="0"/>
    <x v="1"/>
    <m/>
    <x v="3"/>
    <x v="1"/>
    <x v="0"/>
    <x v="2"/>
    <x v="3"/>
    <x v="3"/>
  </r>
  <r>
    <s v="(AS) Hare Chevrolet (NO TOURS)2"/>
    <x v="1"/>
    <x v="1"/>
    <x v="4"/>
    <x v="1"/>
    <x v="1"/>
    <x v="1"/>
    <s v="https://tools.sig.systems/site/details/301"/>
    <s v="https://www.google.com/maps/d/edit?mid=1hsX5GGrNcCQgAuzDCDz1OWgEkhsAc78&amp;usp=sharing"/>
    <x v="0"/>
    <m/>
    <x v="4"/>
    <x v="2"/>
    <x v="0"/>
    <x v="3"/>
    <x v="4"/>
    <x v="4"/>
  </r>
  <r>
    <s v="(AS) Kahlo CDJR (NO TOURS)2"/>
    <x v="1"/>
    <x v="1"/>
    <x v="6"/>
    <x v="1"/>
    <x v="1"/>
    <x v="1"/>
    <s v="https://tools.sig.systems/site/details/282"/>
    <s v="https://www.google.com/maps/d/edit?mid=1hsX5GGrNcCQgAuzDCDz1OWgEkhsAc78&amp;usp=sharing"/>
    <x v="0"/>
    <m/>
    <x v="0"/>
    <x v="4"/>
    <x v="1"/>
    <x v="4"/>
    <x v="6"/>
    <x v="6"/>
  </r>
  <r>
    <s v="(AS) Koons Annapolis Toyota (NO TOURS)2"/>
    <x v="1"/>
    <x v="0"/>
    <x v="7"/>
    <x v="1"/>
    <x v="1"/>
    <x v="1"/>
    <s v="https://tools.sig.systems/site/details/337"/>
    <n v="0"/>
    <x v="0"/>
    <m/>
    <x v="5"/>
    <x v="5"/>
    <x v="0"/>
    <x v="0"/>
    <x v="7"/>
    <x v="7"/>
  </r>
  <r>
    <s v="(AS) Koons Arlington Toyota - New Car (NO TOURS)2"/>
    <x v="1"/>
    <x v="1"/>
    <x v="8"/>
    <x v="1"/>
    <x v="1"/>
    <x v="1"/>
    <s v="https://tools.sig.systems/site/details/334"/>
    <n v="0"/>
    <x v="2"/>
    <m/>
    <x v="0"/>
    <x v="6"/>
    <x v="0"/>
    <x v="0"/>
    <x v="8"/>
    <x v="8"/>
  </r>
  <r>
    <s v="(AS) Koons Baltimore Ford - Main Dealership (NO TOURS)2"/>
    <x v="1"/>
    <x v="1"/>
    <x v="9"/>
    <x v="1"/>
    <x v="1"/>
    <x v="1"/>
    <s v="https://tools.sig.systems/site/details/335"/>
    <s v="-"/>
    <x v="0"/>
    <m/>
    <x v="6"/>
    <x v="7"/>
    <x v="0"/>
    <x v="5"/>
    <x v="9"/>
    <x v="9"/>
  </r>
  <r>
    <s v="(AS) Koons Chevrolet Buick GMC - Clarksville Remote Lot (NO TOURS)2"/>
    <x v="1"/>
    <x v="1"/>
    <x v="11"/>
    <x v="1"/>
    <x v="1"/>
    <x v="1"/>
    <s v="https://tools.sig.systems/site/details/308"/>
    <s v="https://www.google.com/maps/d/edit?hl=es&amp;mid=11XB1lTSP7EcDCDvzypdUPWP6bWCNAEI&amp;ll=39.21145022420528%2C-76.94003711910554&amp;z=21"/>
    <x v="2"/>
    <m/>
    <x v="0"/>
    <x v="3"/>
    <x v="0"/>
    <x v="0"/>
    <x v="11"/>
    <x v="11"/>
  </r>
  <r>
    <s v="(AS) Koons Chevrolet Buick GMC - Tysons Remote Lot (NO TOURS)2"/>
    <x v="1"/>
    <x v="1"/>
    <x v="13"/>
    <x v="1"/>
    <x v="1"/>
    <x v="1"/>
    <s v="https://tools.sig.systems/site/details/333"/>
    <s v="-"/>
    <x v="0"/>
    <m/>
    <x v="0"/>
    <x v="9"/>
    <x v="2"/>
    <x v="7"/>
    <x v="13"/>
    <x v="13"/>
  </r>
  <r>
    <s v="(AS) Koons Easton Toyota - Main Dealership (NO TOURS)2"/>
    <x v="1"/>
    <x v="1"/>
    <x v="14"/>
    <x v="1"/>
    <x v="1"/>
    <x v="1"/>
    <s v="https://tools.sig.systems/site/details/340"/>
    <s v="-"/>
    <x v="0"/>
    <m/>
    <x v="0"/>
    <x v="10"/>
    <x v="0"/>
    <x v="0"/>
    <x v="14"/>
    <x v="14"/>
  </r>
  <r>
    <s v="(AS) Koons Tysons Toyota - Main Dealership (NO TOURS)2"/>
    <x v="1"/>
    <x v="1"/>
    <x v="19"/>
    <x v="1"/>
    <x v="1"/>
    <x v="1"/>
    <s v="https://tools.sig.systems/site/details/344"/>
    <s v="-"/>
    <x v="0"/>
    <m/>
    <x v="0"/>
    <x v="14"/>
    <x v="0"/>
    <x v="0"/>
    <x v="19"/>
    <x v="19"/>
  </r>
  <r>
    <s v="(AS) Koons Volvo Cars White Marsh (NO TOURS)2"/>
    <x v="1"/>
    <x v="1"/>
    <x v="20"/>
    <x v="1"/>
    <x v="1"/>
    <x v="1"/>
    <s v="https://tools.sig.systems/site/details/338"/>
    <n v="0"/>
    <x v="0"/>
    <m/>
    <x v="0"/>
    <x v="15"/>
    <x v="0"/>
    <x v="0"/>
    <x v="20"/>
    <x v="20"/>
  </r>
  <r>
    <s v="(AS) Koons Westminster Toyota (NO TOURS)2"/>
    <x v="1"/>
    <x v="1"/>
    <x v="21"/>
    <x v="1"/>
    <x v="1"/>
    <x v="1"/>
    <s v="https://tools.sig.systems/site/details/341"/>
    <s v="-"/>
    <x v="0"/>
    <m/>
    <x v="0"/>
    <x v="16"/>
    <x v="0"/>
    <x v="0"/>
    <x v="21"/>
    <x v="21"/>
  </r>
  <r>
    <s v="(AS) Koons White Marsh Chevrolet (NO TOURS)2"/>
    <x v="1"/>
    <x v="1"/>
    <x v="22"/>
    <x v="1"/>
    <x v="1"/>
    <x v="1"/>
    <s v="https://tools.sig.systems/site/details/339"/>
    <s v="-"/>
    <x v="0"/>
    <m/>
    <x v="10"/>
    <x v="17"/>
    <x v="0"/>
    <x v="0"/>
    <x v="22"/>
    <x v="22"/>
  </r>
  <r>
    <s v="(AS) Koons Woodbridge Ford (NO TOURS)2"/>
    <x v="1"/>
    <x v="1"/>
    <x v="23"/>
    <x v="1"/>
    <x v="1"/>
    <x v="1"/>
    <s v="https://tools.sig.systems/site/details/342"/>
    <n v="0"/>
    <x v="3"/>
    <m/>
    <x v="0"/>
    <x v="18"/>
    <x v="0"/>
    <x v="0"/>
    <x v="23"/>
    <x v="23"/>
  </r>
  <r>
    <s v="(AS) Koons Woodbridge Hyundai (NO TOURS)2"/>
    <x v="1"/>
    <x v="1"/>
    <x v="25"/>
    <x v="1"/>
    <x v="1"/>
    <x v="1"/>
    <s v="https://tools.sig.systems/site/details/347"/>
    <s v="-"/>
    <x v="4"/>
    <m/>
    <x v="0"/>
    <x v="19"/>
    <x v="0"/>
    <x v="0"/>
    <x v="25"/>
    <x v="25"/>
  </r>
  <r>
    <s v="(AS) Larry H Miller CDJR Fiat (NO TOURS)2"/>
    <x v="1"/>
    <x v="1"/>
    <x v="27"/>
    <x v="2"/>
    <x v="2"/>
    <x v="2"/>
    <s v="https://tools.sig.systems/site/details/298"/>
    <n v="0"/>
    <x v="0"/>
    <m/>
    <x v="11"/>
    <x v="2"/>
    <x v="0"/>
    <x v="0"/>
    <x v="27"/>
    <x v="27"/>
  </r>
  <r>
    <s v="(BRL) Shoemakersville2"/>
    <x v="1"/>
    <x v="1"/>
    <x v="31"/>
    <x v="3"/>
    <x v="1"/>
    <x v="3"/>
    <s v="https://tools.sig.systems/site/details/302"/>
    <n v="0"/>
    <x v="0"/>
    <m/>
    <x v="0"/>
    <x v="22"/>
    <x v="0"/>
    <x v="12"/>
    <x v="31"/>
    <x v="31"/>
  </r>
  <r>
    <s v="(DT) Arlington2"/>
    <x v="1"/>
    <x v="1"/>
    <x v="32"/>
    <x v="0"/>
    <x v="0"/>
    <x v="0"/>
    <s v="https://tools.sig.systems/site/details/199"/>
    <n v="0"/>
    <x v="0"/>
    <m/>
    <x v="13"/>
    <x v="13"/>
    <x v="0"/>
    <x v="0"/>
    <x v="32"/>
    <x v="32"/>
  </r>
  <r>
    <s v="(KG) Big Star Cadillac2"/>
    <x v="1"/>
    <x v="1"/>
    <x v="35"/>
    <x v="0"/>
    <x v="0"/>
    <x v="0"/>
    <s v="https://tools.sig.systems/site/details/316"/>
    <s v="https://www.google.com/maps/d/edit?mid=1jIRkMUnWNPuTgDjQgDP-f33LClT85NU&amp;usp=sharing"/>
    <x v="0"/>
    <m/>
    <x v="16"/>
    <x v="1"/>
    <x v="0"/>
    <x v="0"/>
    <x v="35"/>
    <x v="35"/>
  </r>
  <r>
    <s v="(KG) Ken Garff Kia of Avondale2"/>
    <x v="1"/>
    <x v="1"/>
    <x v="37"/>
    <x v="4"/>
    <x v="4"/>
    <x v="4"/>
    <s v="https://tools.sig.systems/site/details/283"/>
    <s v="https://www.google.com/maps/d/viewer?mid=1bDs0QGFZwL3vEeGKxjVMk_j4azr0-lg&amp;ll=33.4593758581648%2C-112.28793780000001&amp;z=18"/>
    <x v="5"/>
    <m/>
    <x v="18"/>
    <x v="1"/>
    <x v="0"/>
    <x v="15"/>
    <x v="37"/>
    <x v="37"/>
  </r>
  <r>
    <s v="(LT) Luther Bloomington Subaru - Acura2"/>
    <x v="1"/>
    <x v="1"/>
    <x v="41"/>
    <x v="5"/>
    <x v="0"/>
    <x v="5"/>
    <s v="https://tools.sig.systems/site/details/289"/>
    <n v="0"/>
    <x v="0"/>
    <m/>
    <x v="20"/>
    <x v="26"/>
    <x v="7"/>
    <x v="0"/>
    <x v="41"/>
    <x v="41"/>
  </r>
  <r>
    <s v="(LT) Luther Brookdale Honda (NO TOURS)2"/>
    <x v="1"/>
    <x v="1"/>
    <x v="42"/>
    <x v="0"/>
    <x v="0"/>
    <x v="0"/>
    <s v="https://tools.sig.systems/site/details/280"/>
    <s v="https://www.google.com/maps/d/viewer?mid=1ot0ILX76JMuvd9yMuqkb4_e0yH1n7TA&amp;ll=45.07815812965141%2C-93.33506855000002&amp;z=17"/>
    <x v="0"/>
    <m/>
    <x v="0"/>
    <x v="27"/>
    <x v="8"/>
    <x v="19"/>
    <x v="42"/>
    <x v="42"/>
  </r>
  <r>
    <s v="(LT) Luther Genesis of Minneapolis2"/>
    <x v="1"/>
    <x v="1"/>
    <x v="45"/>
    <x v="0"/>
    <x v="0"/>
    <x v="0"/>
    <s v="https://tools.sig.systems/site/details/315"/>
    <n v="0"/>
    <x v="0"/>
    <m/>
    <x v="0"/>
    <x v="30"/>
    <x v="0"/>
    <x v="0"/>
    <x v="45"/>
    <x v="45"/>
  </r>
  <r>
    <s v="(LT) Luther Landers Recon Center2"/>
    <x v="1"/>
    <x v="1"/>
    <x v="47"/>
    <x v="0"/>
    <x v="0"/>
    <x v="0"/>
    <s v="https://tools.sig.systems/site/details/323"/>
    <s v="https://www.google.com/maps/d/u/1/edit?mid=1-zEzsc6U6nZom08edp0XAd3_HYFvAyk&amp;usp=sharing"/>
    <x v="0"/>
    <m/>
    <x v="21"/>
    <x v="1"/>
    <x v="0"/>
    <x v="0"/>
    <x v="47"/>
    <x v="47"/>
  </r>
  <r>
    <s v="(PE) JLR Englewood (NO TOURS)2"/>
    <x v="1"/>
    <x v="1"/>
    <x v="53"/>
    <x v="6"/>
    <x v="1"/>
    <x v="1"/>
    <s v="https://tools.sig.systems/site/details/178"/>
    <s v="https://www.google.com/maps/d/viewer?mid=1ubI2iKs1JyYXssuT4oLPnVvFnyLPi_s&amp;ll=40.878808846788026%2C-73.98560655&amp;z=17"/>
    <x v="0"/>
    <m/>
    <x v="25"/>
    <x v="1"/>
    <x v="0"/>
    <x v="0"/>
    <x v="15"/>
    <x v="53"/>
  </r>
  <r>
    <s v="(SCH) Schumacher of Delray I &amp; III2"/>
    <x v="1"/>
    <x v="1"/>
    <x v="57"/>
    <x v="1"/>
    <x v="1"/>
    <x v="1"/>
    <s v="https://tools.sig.systems/site/details/159"/>
    <s v="https://www.google.com/maps/d/viewer?mid=1ZLGV-cDM9aCfovhmXHIAXgVOKts0dEI&amp;ll=26.438859950088858%2C-80.07968125000001&amp;z=16"/>
    <x v="1"/>
    <m/>
    <x v="29"/>
    <x v="36"/>
    <x v="0"/>
    <x v="0"/>
    <x v="55"/>
    <x v="57"/>
  </r>
  <r>
    <s v="(TC) Lamborghini South Dade2"/>
    <x v="1"/>
    <x v="1"/>
    <x v="58"/>
    <x v="1"/>
    <x v="1"/>
    <x v="1"/>
    <s v="https://tools.sig.systems/site/details/313"/>
    <n v="0"/>
    <x v="0"/>
    <m/>
    <x v="0"/>
    <x v="37"/>
    <x v="0"/>
    <x v="0"/>
    <x v="15"/>
    <x v="58"/>
  </r>
  <r>
    <s v="(AS) Coggin BMW Ft. Pierce (NO TOURS)3"/>
    <x v="2"/>
    <x v="0"/>
    <x v="1"/>
    <x v="1"/>
    <x v="1"/>
    <x v="1"/>
    <s v="https://tools.sig.systems/site/details/119"/>
    <s v="https://www.google.com/maps/d/viewer?mid=1AyViBuyeq7iwDua1SVudJ2A1BYi3IBA&amp;ll=27.38181516363982%2C-80.32568845000002&amp;z=18"/>
    <x v="0"/>
    <m/>
    <x v="1"/>
    <x v="1"/>
    <x v="0"/>
    <x v="1"/>
    <x v="1"/>
    <x v="1"/>
  </r>
  <r>
    <s v="(AS) Koons Annapolis Toyota (NO TOURS)3"/>
    <x v="2"/>
    <x v="0"/>
    <x v="7"/>
    <x v="1"/>
    <x v="1"/>
    <x v="1"/>
    <s v="https://tools.sig.systems/site/details/337"/>
    <n v="0"/>
    <x v="0"/>
    <m/>
    <x v="5"/>
    <x v="5"/>
    <x v="0"/>
    <x v="0"/>
    <x v="7"/>
    <x v="7"/>
  </r>
  <r>
    <s v="(AS) Coggin Collision Center of Kissimmee (NO TOURS)3"/>
    <x v="2"/>
    <x v="0"/>
    <x v="2"/>
    <x v="1"/>
    <x v="1"/>
    <x v="1"/>
    <s v="https://tools.sig.systems/site/details/331"/>
    <n v="0"/>
    <x v="0"/>
    <m/>
    <x v="2"/>
    <x v="1"/>
    <x v="0"/>
    <x v="0"/>
    <x v="2"/>
    <x v="2"/>
  </r>
  <r>
    <s v="(AS) Koons Chevrolet Buick GMC - Clarksville (NO TOURS)3"/>
    <x v="2"/>
    <x v="0"/>
    <x v="10"/>
    <x v="1"/>
    <x v="1"/>
    <x v="1"/>
    <s v="https://tools.sig.systems/site/details/306"/>
    <s v="https://www.google.com/maps/d/edit?hl=es&amp;mid=11XB1lTSP7EcDCDvzypdUPWP6bWCNAEI&amp;ll=39.21145022420528%2C-76.94003711910554&amp;z=17"/>
    <x v="2"/>
    <m/>
    <x v="0"/>
    <x v="8"/>
    <x v="0"/>
    <x v="0"/>
    <x v="10"/>
    <x v="10"/>
  </r>
  <r>
    <s v="(AS) Koons Chevrolet Buick GMC - Tysons (NO TOURS)3"/>
    <x v="2"/>
    <x v="0"/>
    <x v="12"/>
    <x v="1"/>
    <x v="1"/>
    <x v="1"/>
    <s v="https://tools.sig.systems/site/details/352"/>
    <s v="-"/>
    <x v="2"/>
    <m/>
    <x v="7"/>
    <x v="1"/>
    <x v="0"/>
    <x v="6"/>
    <x v="12"/>
    <x v="12"/>
  </r>
  <r>
    <s v="(AS) Koons Easton Toyota - Main Dealership (NO TOURS)3"/>
    <x v="2"/>
    <x v="0"/>
    <x v="14"/>
    <x v="1"/>
    <x v="1"/>
    <x v="1"/>
    <s v="https://tools.sig.systems/site/details/340"/>
    <s v="-"/>
    <x v="0"/>
    <m/>
    <x v="0"/>
    <x v="10"/>
    <x v="0"/>
    <x v="0"/>
    <x v="14"/>
    <x v="14"/>
  </r>
  <r>
    <s v="(AS) Koons Sterling Ford - Main Dealership (NO TOURS)3"/>
    <x v="2"/>
    <x v="0"/>
    <x v="18"/>
    <x v="1"/>
    <x v="1"/>
    <x v="1"/>
    <s v="https://tools.sig.systems/site/details/348"/>
    <s v="-"/>
    <x v="2"/>
    <m/>
    <x v="9"/>
    <x v="13"/>
    <x v="0"/>
    <x v="9"/>
    <x v="18"/>
    <x v="18"/>
  </r>
  <r>
    <s v="(AS) Koons Woodbridge Kia (NO TOURS)3"/>
    <x v="2"/>
    <x v="0"/>
    <x v="26"/>
    <x v="1"/>
    <x v="1"/>
    <x v="1"/>
    <s v="https://tools.sig.systems/site/details/346"/>
    <s v="-"/>
    <x v="2"/>
    <m/>
    <x v="0"/>
    <x v="20"/>
    <x v="0"/>
    <x v="0"/>
    <x v="26"/>
    <x v="26"/>
  </r>
  <r>
    <s v="(AS) Plaza Mercedes Benz West (NO TOURS)3"/>
    <x v="2"/>
    <x v="0"/>
    <x v="29"/>
    <x v="0"/>
    <x v="0"/>
    <x v="0"/>
    <s v="https://tools.sig.systems/site/details/349"/>
    <n v="0"/>
    <x v="0"/>
    <m/>
    <x v="0"/>
    <x v="21"/>
    <x v="0"/>
    <x v="11"/>
    <x v="29"/>
    <x v="29"/>
  </r>
  <r>
    <s v="(BRL) Fort Pierce3"/>
    <x v="2"/>
    <x v="0"/>
    <x v="30"/>
    <x v="3"/>
    <x v="1"/>
    <x v="3"/>
    <s v="https://tools.sig.systems/site/details/326"/>
    <s v="-"/>
    <x v="0"/>
    <m/>
    <x v="0"/>
    <x v="7"/>
    <x v="0"/>
    <x v="1"/>
    <x v="30"/>
    <x v="30"/>
  </r>
  <r>
    <s v="(DT) Charlotte3"/>
    <x v="2"/>
    <x v="0"/>
    <x v="33"/>
    <x v="1"/>
    <x v="1"/>
    <x v="1"/>
    <s v="https://tools.sig.systems/site/details/299"/>
    <n v="0"/>
    <x v="0"/>
    <m/>
    <x v="14"/>
    <x v="1"/>
    <x v="0"/>
    <x v="13"/>
    <x v="33"/>
    <x v="33"/>
  </r>
  <r>
    <s v="(KG) Big Star Hyundai Houston3"/>
    <x v="2"/>
    <x v="0"/>
    <x v="36"/>
    <x v="0"/>
    <x v="0"/>
    <x v="0"/>
    <s v="https://tools.sig.systems/site/details/287"/>
    <s v="https://www.google.com/maps/d/edit?hl=en&amp;mid=1jIRkMUnWNPuTgDjQgDP-f33LClT85NU&amp;ll=29.55731827236326%2C-95.1601644&amp;z=17"/>
    <x v="0"/>
    <m/>
    <x v="17"/>
    <x v="24"/>
    <x v="0"/>
    <x v="14"/>
    <x v="36"/>
    <x v="36"/>
  </r>
  <r>
    <s v="(LT) Landers Kia of Little Rock3"/>
    <x v="2"/>
    <x v="0"/>
    <x v="39"/>
    <x v="0"/>
    <x v="0"/>
    <x v="0"/>
    <s v="https://tools.sig.systems/site/details/322"/>
    <s v="https://www.google.com/maps/d/u/1/edit?mid=1-zEzsc6U6nZom08edp0XAd3_HYFvAyk&amp;usp=sharing"/>
    <x v="0"/>
    <m/>
    <x v="19"/>
    <x v="1"/>
    <x v="5"/>
    <x v="17"/>
    <x v="39"/>
    <x v="39"/>
  </r>
  <r>
    <s v="(LT) Luther Burnsville Hyundai3"/>
    <x v="2"/>
    <x v="0"/>
    <x v="44"/>
    <x v="0"/>
    <x v="0"/>
    <x v="0"/>
    <s v="https://tools.sig.systems/site/details/307"/>
    <n v="0"/>
    <x v="0"/>
    <m/>
    <x v="0"/>
    <x v="29"/>
    <x v="9"/>
    <x v="20"/>
    <x v="44"/>
    <x v="44"/>
  </r>
  <r>
    <s v="(LT) Luther North Country Ford3"/>
    <x v="2"/>
    <x v="0"/>
    <x v="48"/>
    <x v="0"/>
    <x v="0"/>
    <x v="0"/>
    <s v="https://tools.sig.systems/site/details/292"/>
    <n v="0"/>
    <x v="0"/>
    <m/>
    <x v="0"/>
    <x v="32"/>
    <x v="11"/>
    <x v="0"/>
    <x v="48"/>
    <x v="48"/>
  </r>
  <r>
    <s v="(LT) Luther St. Cloud Subaru3"/>
    <x v="2"/>
    <x v="0"/>
    <x v="49"/>
    <x v="0"/>
    <x v="0"/>
    <x v="6"/>
    <s v="https://tools.sig.systems/site/details/295"/>
    <n v="0"/>
    <x v="0"/>
    <m/>
    <x v="22"/>
    <x v="33"/>
    <x v="12"/>
    <x v="22"/>
    <x v="49"/>
    <x v="49"/>
  </r>
  <r>
    <s v="(ML) Joe Machens Hyundai3"/>
    <x v="2"/>
    <x v="0"/>
    <x v="50"/>
    <x v="0"/>
    <x v="0"/>
    <x v="0"/>
    <s v="https://tools.sig.systems/site/details/286"/>
    <s v="https://www.google.com/maps/d/viewer?hl=es&amp;mid=1C1oZdjH3dNvCvqdpIv_Lk0Yn1OCVn-4&amp;ll=38.965368114274455%2C-92.3405954&amp;z=15"/>
    <x v="0"/>
    <m/>
    <x v="0"/>
    <x v="34"/>
    <x v="0"/>
    <x v="11"/>
    <x v="50"/>
    <x v="50"/>
  </r>
  <r>
    <s v="(PE) BMW Service Center (NO TOURS)3"/>
    <x v="2"/>
    <x v="0"/>
    <x v="51"/>
    <x v="6"/>
    <x v="1"/>
    <x v="1"/>
    <s v="https://tools.sig.systems/site/details/184"/>
    <s v="https://www.google.com/maps/d/edit?hl=en&amp;mid=1UHmt7tH1ihTa85i0MfQIcTfVvIQg_vM&amp;ll=41.02423447529239%2C-73.63721502222738&amp;z=18"/>
    <x v="0"/>
    <m/>
    <x v="23"/>
    <x v="1"/>
    <x v="0"/>
    <x v="0"/>
    <x v="51"/>
    <x v="51"/>
  </r>
  <r>
    <s v="(PE) JLR Darien (NO TOURS)3"/>
    <x v="2"/>
    <x v="0"/>
    <x v="52"/>
    <x v="6"/>
    <x v="1"/>
    <x v="1"/>
    <s v="https://tools.sig.systems/site/details/189"/>
    <s v="-"/>
    <x v="0"/>
    <m/>
    <x v="24"/>
    <x v="1"/>
    <x v="0"/>
    <x v="0"/>
    <x v="15"/>
    <x v="52"/>
  </r>
  <r>
    <s v="(PE) JLR Paramus (NO TOURS)3"/>
    <x v="2"/>
    <x v="0"/>
    <x v="54"/>
    <x v="6"/>
    <x v="1"/>
    <x v="1"/>
    <s v="https://tools.sig.systems/site/details/177"/>
    <n v="0"/>
    <x v="0"/>
    <m/>
    <x v="26"/>
    <x v="1"/>
    <x v="0"/>
    <x v="0"/>
    <x v="52"/>
    <x v="54"/>
  </r>
  <r>
    <s v="(PE) Porsche Audi Fairfield (NO TOURS)3"/>
    <x v="2"/>
    <x v="0"/>
    <x v="56"/>
    <x v="6"/>
    <x v="1"/>
    <x v="1"/>
    <s v="https://tools.sig.systems/site/details/194"/>
    <n v="0"/>
    <x v="0"/>
    <m/>
    <x v="28"/>
    <x v="1"/>
    <x v="0"/>
    <x v="4"/>
    <x v="54"/>
    <x v="56"/>
  </r>
  <r>
    <s v="(TC) Lamborghini South Dade3"/>
    <x v="2"/>
    <x v="0"/>
    <x v="58"/>
    <x v="1"/>
    <x v="1"/>
    <x v="1"/>
    <s v="https://tools.sig.systems/site/details/313"/>
    <n v="0"/>
    <x v="0"/>
    <m/>
    <x v="0"/>
    <x v="37"/>
    <x v="0"/>
    <x v="0"/>
    <x v="15"/>
    <x v="58"/>
  </r>
  <r>
    <s v="Mario Residence3"/>
    <x v="2"/>
    <x v="0"/>
    <x v="59"/>
    <x v="3"/>
    <x v="1"/>
    <x v="3"/>
    <s v="https://tools.sig.systems/site/details/148"/>
    <s v="https://www.google.com/maps/d/edit?hl=es&amp;mid=13OmECPqyeB7fXgZmEoM9cnG34HU_v5g&amp;ll=26.046837034777553%2C-80.38753458591658&amp;z=19"/>
    <x v="0"/>
    <m/>
    <x v="30"/>
    <x v="38"/>
    <x v="0"/>
    <x v="0"/>
    <x v="56"/>
    <x v="60"/>
  </r>
  <r>
    <s v="(AS) 3281 Storage Lot (NO TOURS)3"/>
    <x v="2"/>
    <x v="1"/>
    <x v="0"/>
    <x v="0"/>
    <x v="0"/>
    <x v="0"/>
    <s v="https://tools.sig.systems/site/details/305"/>
    <s v="https://www.google.com/maps/d/edit?hl=es&amp;mid=1uPmsRMsXnp74hPFW2t-sp2totVWF_xY&amp;ll=32.83050137713022%2C-96.83197783061323&amp;z=17"/>
    <x v="0"/>
    <m/>
    <x v="0"/>
    <x v="0"/>
    <x v="0"/>
    <x v="0"/>
    <x v="0"/>
    <x v="0"/>
  </r>
  <r>
    <s v="(AS) Hare Chevrolet (NO TOURS)3"/>
    <x v="2"/>
    <x v="1"/>
    <x v="4"/>
    <x v="1"/>
    <x v="1"/>
    <x v="1"/>
    <s v="https://tools.sig.systems/site/details/301"/>
    <s v="https://www.google.com/maps/d/edit?mid=1hsX5GGrNcCQgAuzDCDz1OWgEkhsAc78&amp;usp=sharing"/>
    <x v="0"/>
    <m/>
    <x v="4"/>
    <x v="2"/>
    <x v="0"/>
    <x v="3"/>
    <x v="4"/>
    <x v="4"/>
  </r>
  <r>
    <s v="(AS) Koons Baltimore Ford - Main Dealership (NO TOURS)3"/>
    <x v="2"/>
    <x v="1"/>
    <x v="9"/>
    <x v="1"/>
    <x v="1"/>
    <x v="1"/>
    <s v="https://tools.sig.systems/site/details/335"/>
    <s v="-"/>
    <x v="0"/>
    <m/>
    <x v="6"/>
    <x v="7"/>
    <x v="0"/>
    <x v="5"/>
    <x v="9"/>
    <x v="9"/>
  </r>
  <r>
    <s v="(AS) Koons Chevrolet Buick GMC - Clarksville Remote Lot (NO TOURS)3"/>
    <x v="2"/>
    <x v="1"/>
    <x v="11"/>
    <x v="1"/>
    <x v="1"/>
    <x v="1"/>
    <s v="https://tools.sig.systems/site/details/308"/>
    <s v="https://www.google.com/maps/d/edit?hl=es&amp;mid=11XB1lTSP7EcDCDvzypdUPWP6bWCNAEI&amp;ll=39.21145022420528%2C-76.94003711910554&amp;z=21"/>
    <x v="2"/>
    <m/>
    <x v="0"/>
    <x v="3"/>
    <x v="0"/>
    <x v="0"/>
    <x v="11"/>
    <x v="11"/>
  </r>
  <r>
    <s v="(AS) Koons Chevrolet Buick GMC - Tysons Remote Lot (NO TOURS)3"/>
    <x v="2"/>
    <x v="1"/>
    <x v="13"/>
    <x v="1"/>
    <x v="1"/>
    <x v="1"/>
    <s v="https://tools.sig.systems/site/details/333"/>
    <s v="-"/>
    <x v="0"/>
    <m/>
    <x v="0"/>
    <x v="9"/>
    <x v="2"/>
    <x v="7"/>
    <x v="13"/>
    <x v="13"/>
  </r>
  <r>
    <s v="(AS) Koons Falls Church Ford (NO TOURS)3"/>
    <x v="2"/>
    <x v="1"/>
    <x v="15"/>
    <x v="1"/>
    <x v="1"/>
    <x v="1"/>
    <s v="https://tools.sig.systems/site/details/345"/>
    <s v="-"/>
    <x v="2"/>
    <m/>
    <x v="0"/>
    <x v="7"/>
    <x v="0"/>
    <x v="0"/>
    <x v="15"/>
    <x v="15"/>
  </r>
  <r>
    <s v="(AS) Koons Owings Mills Kia (NO TOURS)3"/>
    <x v="2"/>
    <x v="1"/>
    <x v="17"/>
    <x v="1"/>
    <x v="1"/>
    <x v="1"/>
    <s v="https://tools.sig.systems/site/details/336"/>
    <s v="-"/>
    <x v="0"/>
    <m/>
    <x v="31"/>
    <x v="39"/>
    <x v="0"/>
    <x v="0"/>
    <x v="57"/>
    <x v="17"/>
  </r>
  <r>
    <s v="(AS) Koons Westminster Toyota (NO TOURS)3"/>
    <x v="2"/>
    <x v="1"/>
    <x v="21"/>
    <x v="1"/>
    <x v="1"/>
    <x v="1"/>
    <s v="https://tools.sig.systems/site/details/341"/>
    <s v="-"/>
    <x v="0"/>
    <m/>
    <x v="0"/>
    <x v="16"/>
    <x v="0"/>
    <x v="0"/>
    <x v="21"/>
    <x v="21"/>
  </r>
  <r>
    <s v="(AS) Koons Woodbridge GMC (NO TOURS)3"/>
    <x v="2"/>
    <x v="1"/>
    <x v="24"/>
    <x v="1"/>
    <x v="1"/>
    <x v="1"/>
    <s v="https://tools.sig.systems/site/details/343"/>
    <n v="0"/>
    <x v="2"/>
    <m/>
    <x v="0"/>
    <x v="7"/>
    <x v="0"/>
    <x v="10"/>
    <x v="24"/>
    <x v="24"/>
  </r>
  <r>
    <s v="(AS) Koons Woodbridge Hyundai (NO TOURS)3"/>
    <x v="2"/>
    <x v="1"/>
    <x v="25"/>
    <x v="1"/>
    <x v="1"/>
    <x v="1"/>
    <s v="https://tools.sig.systems/site/details/347"/>
    <s v="-"/>
    <x v="4"/>
    <m/>
    <x v="0"/>
    <x v="19"/>
    <x v="0"/>
    <x v="0"/>
    <x v="25"/>
    <x v="25"/>
  </r>
  <r>
    <s v="(BRL) Shoemakersville3"/>
    <x v="2"/>
    <x v="1"/>
    <x v="31"/>
    <x v="3"/>
    <x v="1"/>
    <x v="3"/>
    <s v="https://tools.sig.systems/site/details/302"/>
    <n v="0"/>
    <x v="0"/>
    <m/>
    <x v="0"/>
    <x v="22"/>
    <x v="0"/>
    <x v="12"/>
    <x v="31"/>
    <x v="31"/>
  </r>
  <r>
    <s v="(KG) Big Star Cadillac3"/>
    <x v="2"/>
    <x v="1"/>
    <x v="35"/>
    <x v="0"/>
    <x v="0"/>
    <x v="0"/>
    <s v="https://tools.sig.systems/site/details/316"/>
    <s v="https://www.google.com/maps/d/edit?mid=1jIRkMUnWNPuTgDjQgDP-f33LClT85NU&amp;usp=sharing"/>
    <x v="0"/>
    <m/>
    <x v="16"/>
    <x v="1"/>
    <x v="0"/>
    <x v="0"/>
    <x v="35"/>
    <x v="35"/>
  </r>
  <r>
    <s v="(KG) Ken Garff Kia of Avondale3"/>
    <x v="2"/>
    <x v="1"/>
    <x v="37"/>
    <x v="4"/>
    <x v="4"/>
    <x v="4"/>
    <s v="https://tools.sig.systems/site/details/283"/>
    <s v="https://www.google.com/maps/d/viewer?mid=1bDs0QGFZwL3vEeGKxjVMk_j4azr0-lg&amp;ll=33.4593758581648%2C-112.28793780000001&amp;z=18"/>
    <x v="5"/>
    <m/>
    <x v="18"/>
    <x v="1"/>
    <x v="0"/>
    <x v="15"/>
    <x v="37"/>
    <x v="37"/>
  </r>
  <r>
    <s v="(LT) Luther Bloomington Subaru - Acura3"/>
    <x v="2"/>
    <x v="1"/>
    <x v="41"/>
    <x v="5"/>
    <x v="0"/>
    <x v="5"/>
    <s v="https://tools.sig.systems/site/details/289"/>
    <n v="0"/>
    <x v="0"/>
    <m/>
    <x v="20"/>
    <x v="26"/>
    <x v="7"/>
    <x v="0"/>
    <x v="41"/>
    <x v="41"/>
  </r>
  <r>
    <s v="(LT) Luther Brookdale Honda (NO TOURS)3"/>
    <x v="2"/>
    <x v="1"/>
    <x v="42"/>
    <x v="0"/>
    <x v="0"/>
    <x v="0"/>
    <s v="https://tools.sig.systems/site/details/280"/>
    <s v="https://www.google.com/maps/d/viewer?mid=1ot0ILX76JMuvd9yMuqkb4_e0yH1n7TA&amp;ll=45.07815812965141%2C-93.33506855000002&amp;z=17"/>
    <x v="0"/>
    <m/>
    <x v="0"/>
    <x v="27"/>
    <x v="8"/>
    <x v="19"/>
    <x v="42"/>
    <x v="42"/>
  </r>
  <r>
    <s v="(LT) Luther Genesis of Minneapolis3"/>
    <x v="2"/>
    <x v="1"/>
    <x v="45"/>
    <x v="0"/>
    <x v="0"/>
    <x v="0"/>
    <s v="https://tools.sig.systems/site/details/315"/>
    <n v="0"/>
    <x v="0"/>
    <m/>
    <x v="0"/>
    <x v="30"/>
    <x v="0"/>
    <x v="0"/>
    <x v="45"/>
    <x v="45"/>
  </r>
  <r>
    <s v="(PE) JLR Englewood (NO TOURS)3"/>
    <x v="2"/>
    <x v="1"/>
    <x v="53"/>
    <x v="6"/>
    <x v="1"/>
    <x v="1"/>
    <s v="https://tools.sig.systems/site/details/178"/>
    <s v="https://www.google.com/maps/d/viewer?mid=1ubI2iKs1JyYXssuT4oLPnVvFnyLPi_s&amp;ll=40.878808846788026%2C-73.98560655&amp;z=17"/>
    <x v="0"/>
    <m/>
    <x v="25"/>
    <x v="1"/>
    <x v="0"/>
    <x v="0"/>
    <x v="15"/>
    <x v="53"/>
  </r>
  <r>
    <s v="(SCH) Schumacher of Delray I &amp; III3"/>
    <x v="2"/>
    <x v="1"/>
    <x v="57"/>
    <x v="1"/>
    <x v="1"/>
    <x v="1"/>
    <s v="https://tools.sig.systems/site/details/159"/>
    <s v="https://www.google.com/maps/d/viewer?mid=1ZLGV-cDM9aCfovhmXHIAXgVOKts0dEI&amp;ll=26.438859950088858%2C-80.07968125000001&amp;z=16"/>
    <x v="1"/>
    <m/>
    <x v="29"/>
    <x v="36"/>
    <x v="0"/>
    <x v="0"/>
    <x v="55"/>
    <x v="57"/>
  </r>
  <r>
    <s v="(AS) Coggin Honda of Orlando (NO TOURS)3"/>
    <x v="2"/>
    <x v="2"/>
    <x v="3"/>
    <x v="1"/>
    <x v="1"/>
    <x v="1"/>
    <s v="https://tools.sig.systems/site/details/324"/>
    <n v="0"/>
    <x v="1"/>
    <m/>
    <x v="3"/>
    <x v="1"/>
    <x v="0"/>
    <x v="2"/>
    <x v="3"/>
    <x v="3"/>
  </r>
  <r>
    <s v="(AS) Hare Truck Center (NO TOURS)3"/>
    <x v="2"/>
    <x v="2"/>
    <x v="5"/>
    <x v="1"/>
    <x v="1"/>
    <x v="1"/>
    <s v="https://tools.sig.systems/site/details/300"/>
    <s v="https://www.google.com/maps/d/edit?mid=1hsX5GGrNcCQgAuzDCDz1OWgEkhsAc78&amp;usp=sharing"/>
    <x v="0"/>
    <m/>
    <x v="0"/>
    <x v="3"/>
    <x v="0"/>
    <x v="0"/>
    <x v="5"/>
    <x v="5"/>
  </r>
  <r>
    <s v="(AS) Kahlo CDJR (NO TOURS)3"/>
    <x v="2"/>
    <x v="2"/>
    <x v="6"/>
    <x v="1"/>
    <x v="1"/>
    <x v="1"/>
    <s v="https://tools.sig.systems/site/details/282"/>
    <s v="https://www.google.com/maps/d/edit?mid=1hsX5GGrNcCQgAuzDCDz1OWgEkhsAc78&amp;usp=sharing"/>
    <x v="0"/>
    <m/>
    <x v="0"/>
    <x v="4"/>
    <x v="1"/>
    <x v="4"/>
    <x v="6"/>
    <x v="6"/>
  </r>
  <r>
    <s v="(AS) Koons Arlington Toyota - New Car (NO TOURS)3"/>
    <x v="2"/>
    <x v="2"/>
    <x v="8"/>
    <x v="1"/>
    <x v="1"/>
    <x v="1"/>
    <s v="https://tools.sig.systems/site/details/334"/>
    <n v="0"/>
    <x v="2"/>
    <m/>
    <x v="0"/>
    <x v="6"/>
    <x v="0"/>
    <x v="0"/>
    <x v="8"/>
    <x v="8"/>
  </r>
  <r>
    <s v="(AS) Koons MB of Catonsville (NO TOURS)3"/>
    <x v="2"/>
    <x v="2"/>
    <x v="16"/>
    <x v="1"/>
    <x v="1"/>
    <x v="1"/>
    <s v="https://tools.sig.systems/site/details/303"/>
    <n v="0"/>
    <x v="0"/>
    <m/>
    <x v="0"/>
    <x v="11"/>
    <x v="3"/>
    <x v="3"/>
    <x v="16"/>
    <x v="16"/>
  </r>
  <r>
    <s v="(AS) Koons Tysons Toyota - Main Dealership (NO TOURS)3"/>
    <x v="2"/>
    <x v="2"/>
    <x v="19"/>
    <x v="1"/>
    <x v="1"/>
    <x v="1"/>
    <s v="https://tools.sig.systems/site/details/344"/>
    <s v="-"/>
    <x v="0"/>
    <m/>
    <x v="0"/>
    <x v="14"/>
    <x v="0"/>
    <x v="0"/>
    <x v="19"/>
    <x v="19"/>
  </r>
  <r>
    <s v="(AS) Koons Volvo Cars White Marsh (NO TOURS)3"/>
    <x v="2"/>
    <x v="2"/>
    <x v="20"/>
    <x v="1"/>
    <x v="1"/>
    <x v="1"/>
    <s v="https://tools.sig.systems/site/details/338"/>
    <n v="0"/>
    <x v="0"/>
    <m/>
    <x v="0"/>
    <x v="15"/>
    <x v="0"/>
    <x v="0"/>
    <x v="20"/>
    <x v="20"/>
  </r>
  <r>
    <s v="(AS) Koons White Marsh Chevrolet (NO TOURS)3"/>
    <x v="2"/>
    <x v="2"/>
    <x v="22"/>
    <x v="1"/>
    <x v="1"/>
    <x v="1"/>
    <s v="https://tools.sig.systems/site/details/339"/>
    <s v="-"/>
    <x v="0"/>
    <m/>
    <x v="10"/>
    <x v="17"/>
    <x v="0"/>
    <x v="0"/>
    <x v="22"/>
    <x v="22"/>
  </r>
  <r>
    <s v="(AS) Koons Woodbridge Ford (NO TOURS)3"/>
    <x v="2"/>
    <x v="2"/>
    <x v="23"/>
    <x v="1"/>
    <x v="1"/>
    <x v="1"/>
    <s v="https://tools.sig.systems/site/details/342"/>
    <n v="0"/>
    <x v="3"/>
    <m/>
    <x v="0"/>
    <x v="18"/>
    <x v="0"/>
    <x v="0"/>
    <x v="23"/>
    <x v="23"/>
  </r>
  <r>
    <s v="(AS) Larry H Miller CDJR Fiat (NO TOURS)3"/>
    <x v="2"/>
    <x v="2"/>
    <x v="27"/>
    <x v="2"/>
    <x v="2"/>
    <x v="2"/>
    <s v="https://tools.sig.systems/site/details/298"/>
    <n v="0"/>
    <x v="0"/>
    <m/>
    <x v="11"/>
    <x v="2"/>
    <x v="0"/>
    <x v="0"/>
    <x v="27"/>
    <x v="27"/>
  </r>
  <r>
    <s v="(AS) Plaza Collision ST Louis (NO TOURS)3"/>
    <x v="2"/>
    <x v="2"/>
    <x v="28"/>
    <x v="0"/>
    <x v="0"/>
    <x v="0"/>
    <s v="https://tools.sig.systems/site/details/350"/>
    <s v="-"/>
    <x v="0"/>
    <m/>
    <x v="12"/>
    <x v="7"/>
    <x v="0"/>
    <x v="0"/>
    <x v="28"/>
    <x v="28"/>
  </r>
  <r>
    <s v="(DT) Arlington3"/>
    <x v="2"/>
    <x v="2"/>
    <x v="32"/>
    <x v="0"/>
    <x v="0"/>
    <x v="0"/>
    <s v="https://tools.sig.systems/site/details/199"/>
    <n v="0"/>
    <x v="0"/>
    <m/>
    <x v="13"/>
    <x v="13"/>
    <x v="0"/>
    <x v="0"/>
    <x v="32"/>
    <x v="32"/>
  </r>
  <r>
    <s v="(DT) Modesto3"/>
    <x v="2"/>
    <x v="2"/>
    <x v="34"/>
    <x v="4"/>
    <x v="3"/>
    <x v="4"/>
    <s v="https://tools.sig.systems/site/details/267"/>
    <n v="0"/>
    <x v="0"/>
    <m/>
    <x v="15"/>
    <x v="23"/>
    <x v="0"/>
    <x v="0"/>
    <x v="34"/>
    <x v="34"/>
  </r>
  <r>
    <s v="(KG) Ken Garff Volkswagen of Gilbert3"/>
    <x v="2"/>
    <x v="2"/>
    <x v="38"/>
    <x v="4"/>
    <x v="4"/>
    <x v="4"/>
    <s v="https://tools.sig.systems/site/details/284"/>
    <s v="https://www.google.com/maps/d/viewer?hl=es&amp;mid=19SU7XE9Cg8jhVFpEI21Vi9Zfgdih9Ds&amp;ll=33.29158262977276%2C-111.75783630000002&amp;z=17"/>
    <x v="5"/>
    <m/>
    <x v="7"/>
    <x v="1"/>
    <x v="0"/>
    <x v="16"/>
    <x v="38"/>
    <x v="38"/>
  </r>
  <r>
    <s v="(LT) Luther Bloomington Hyundai (NO TOURS)3"/>
    <x v="2"/>
    <x v="2"/>
    <x v="40"/>
    <x v="0"/>
    <x v="0"/>
    <x v="0"/>
    <s v="https://tools.sig.systems/site/details/318"/>
    <n v="0"/>
    <x v="0"/>
    <m/>
    <x v="0"/>
    <x v="25"/>
    <x v="6"/>
    <x v="18"/>
    <x v="40"/>
    <x v="40"/>
  </r>
  <r>
    <s v="(LT) Luther Brookdale Toyota3"/>
    <x v="2"/>
    <x v="2"/>
    <x v="43"/>
    <x v="0"/>
    <x v="0"/>
    <x v="1"/>
    <s v="https://tools.sig.systems/site/details/281"/>
    <s v="https://www.google.com/maps/d/viewer?mid=1ot0ILX76JMuvd9yMuqkb4_e0yH1n7TA&amp;ll=45.07815812965141%2C-93.33506855000002&amp;z=17"/>
    <x v="0"/>
    <m/>
    <x v="0"/>
    <x v="28"/>
    <x v="3"/>
    <x v="4"/>
    <x v="43"/>
    <x v="43"/>
  </r>
  <r>
    <s v="(LT) Luther Hopkins Honda (NO TOURS)3"/>
    <x v="2"/>
    <x v="2"/>
    <x v="46"/>
    <x v="0"/>
    <x v="0"/>
    <x v="0"/>
    <s v="https://tools.sig.systems/site/details/288"/>
    <n v="0"/>
    <x v="0"/>
    <m/>
    <x v="0"/>
    <x v="31"/>
    <x v="10"/>
    <x v="21"/>
    <x v="46"/>
    <x v="46"/>
  </r>
  <r>
    <s v="(LT) Luther Landers Recon Center3"/>
    <x v="2"/>
    <x v="2"/>
    <x v="47"/>
    <x v="0"/>
    <x v="0"/>
    <x v="0"/>
    <s v="https://tools.sig.systems/site/details/323"/>
    <s v="https://www.google.com/maps/d/u/1/edit?mid=1-zEzsc6U6nZom08edp0XAd3_HYFvAyk&amp;usp=sharing"/>
    <x v="0"/>
    <m/>
    <x v="21"/>
    <x v="1"/>
    <x v="0"/>
    <x v="0"/>
    <x v="47"/>
    <x v="47"/>
  </r>
  <r>
    <s v="(PE) MB of Greenwich3"/>
    <x v="2"/>
    <x v="2"/>
    <x v="55"/>
    <x v="6"/>
    <x v="1"/>
    <x v="1"/>
    <s v="https://tools.sig.systems/site/details/188"/>
    <s v="https://www.google.com/maps/d/edit?hl=en&amp;mid=1UHmt7tH1ihTa85i0MfQIcTfVvIQg_vM&amp;ll=41.02423447529239%2C-73.63721502222738&amp;z=18"/>
    <x v="0"/>
    <m/>
    <x v="27"/>
    <x v="35"/>
    <x v="0"/>
    <x v="0"/>
    <x v="53"/>
    <x v="55"/>
  </r>
  <r>
    <s v="(AS) 3281 Storage Lot (NO TOURS)4"/>
    <x v="3"/>
    <x v="0"/>
    <x v="0"/>
    <x v="0"/>
    <x v="0"/>
    <x v="0"/>
    <s v="https://tools.sig.systems/site/details/305"/>
    <s v="https://www.google.com/maps/d/edit?hl=es&amp;mid=1uPmsRMsXnp74hPFW2t-sp2totVWF_xY&amp;ll=32.83050137713022%2C-96.83197783061323&amp;z=17"/>
    <x v="0"/>
    <m/>
    <x v="0"/>
    <x v="0"/>
    <x v="0"/>
    <x v="0"/>
    <x v="0"/>
    <x v="0"/>
  </r>
  <r>
    <s v="(AS) Koons Chevrolet Buick GMC - Clarksville (NO TOURS)4"/>
    <x v="3"/>
    <x v="0"/>
    <x v="10"/>
    <x v="1"/>
    <x v="1"/>
    <x v="1"/>
    <s v="https://tools.sig.systems/site/details/306"/>
    <s v="https://www.google.com/maps/d/edit?hl=es&amp;mid=11XB1lTSP7EcDCDvzypdUPWP6bWCNAEI&amp;ll=39.21145022420528%2C-76.94003711910554&amp;z=17"/>
    <x v="2"/>
    <m/>
    <x v="0"/>
    <x v="8"/>
    <x v="0"/>
    <x v="0"/>
    <x v="10"/>
    <x v="10"/>
  </r>
  <r>
    <s v="(AS) Koons Tysons Toyota - Main Dealership (NO TOURS)4"/>
    <x v="3"/>
    <x v="0"/>
    <x v="19"/>
    <x v="1"/>
    <x v="1"/>
    <x v="1"/>
    <s v="https://tools.sig.systems/site/details/344"/>
    <s v="-"/>
    <x v="0"/>
    <m/>
    <x v="0"/>
    <x v="14"/>
    <x v="0"/>
    <x v="0"/>
    <x v="19"/>
    <x v="19"/>
  </r>
  <r>
    <s v="(AS) Koons Annapolis Toyota (NO TOURS)4"/>
    <x v="3"/>
    <x v="0"/>
    <x v="7"/>
    <x v="1"/>
    <x v="1"/>
    <x v="1"/>
    <s v="https://tools.sig.systems/site/details/337"/>
    <n v="0"/>
    <x v="0"/>
    <m/>
    <x v="5"/>
    <x v="5"/>
    <x v="0"/>
    <x v="0"/>
    <x v="7"/>
    <x v="7"/>
  </r>
  <r>
    <s v="(AS) Koons Woodbridge Kia (NO TOURS)4"/>
    <x v="3"/>
    <x v="0"/>
    <x v="26"/>
    <x v="1"/>
    <x v="1"/>
    <x v="1"/>
    <s v="https://tools.sig.systems/site/details/346"/>
    <s v="-"/>
    <x v="2"/>
    <m/>
    <x v="0"/>
    <x v="20"/>
    <x v="0"/>
    <x v="0"/>
    <x v="26"/>
    <x v="26"/>
  </r>
  <r>
    <s v="(AS) Plaza Mercedes Benz West (NO TOURS)4"/>
    <x v="3"/>
    <x v="0"/>
    <x v="29"/>
    <x v="0"/>
    <x v="0"/>
    <x v="0"/>
    <s v="https://tools.sig.systems/site/details/349"/>
    <n v="0"/>
    <x v="0"/>
    <m/>
    <x v="0"/>
    <x v="21"/>
    <x v="0"/>
    <x v="11"/>
    <x v="29"/>
    <x v="29"/>
  </r>
  <r>
    <s v="(BRL) Fort Pierce4"/>
    <x v="3"/>
    <x v="0"/>
    <x v="30"/>
    <x v="3"/>
    <x v="1"/>
    <x v="3"/>
    <s v="https://tools.sig.systems/site/details/326"/>
    <s v="-"/>
    <x v="0"/>
    <m/>
    <x v="0"/>
    <x v="7"/>
    <x v="0"/>
    <x v="1"/>
    <x v="30"/>
    <x v="30"/>
  </r>
  <r>
    <s v="(DT) Charlotte4"/>
    <x v="3"/>
    <x v="0"/>
    <x v="33"/>
    <x v="1"/>
    <x v="1"/>
    <x v="1"/>
    <s v="https://tools.sig.systems/site/details/299"/>
    <n v="0"/>
    <x v="0"/>
    <m/>
    <x v="14"/>
    <x v="1"/>
    <x v="0"/>
    <x v="13"/>
    <x v="33"/>
    <x v="33"/>
  </r>
  <r>
    <s v="(KG) Big Star Hyundai Houston4"/>
    <x v="3"/>
    <x v="0"/>
    <x v="36"/>
    <x v="0"/>
    <x v="0"/>
    <x v="0"/>
    <s v="https://tools.sig.systems/site/details/287"/>
    <s v="https://www.google.com/maps/d/edit?hl=en&amp;mid=1jIRkMUnWNPuTgDjQgDP-f33LClT85NU&amp;ll=29.55731827236326%2C-95.1601644&amp;z=17"/>
    <x v="0"/>
    <m/>
    <x v="17"/>
    <x v="24"/>
    <x v="0"/>
    <x v="14"/>
    <x v="36"/>
    <x v="36"/>
  </r>
  <r>
    <s v="(LT) Luther Brookdale Toyota4"/>
    <x v="3"/>
    <x v="0"/>
    <x v="43"/>
    <x v="0"/>
    <x v="0"/>
    <x v="1"/>
    <s v="https://tools.sig.systems/site/details/281"/>
    <s v="https://www.google.com/maps/d/viewer?mid=1ot0ILX76JMuvd9yMuqkb4_e0yH1n7TA&amp;ll=45.07815812965141%2C-93.33506855000002&amp;z=17"/>
    <x v="0"/>
    <m/>
    <x v="0"/>
    <x v="28"/>
    <x v="3"/>
    <x v="4"/>
    <x v="43"/>
    <x v="43"/>
  </r>
  <r>
    <s v="(LT) Luther Burnsville Hyundai4"/>
    <x v="3"/>
    <x v="0"/>
    <x v="44"/>
    <x v="0"/>
    <x v="0"/>
    <x v="0"/>
    <s v="https://tools.sig.systems/site/details/307"/>
    <n v="0"/>
    <x v="0"/>
    <m/>
    <x v="0"/>
    <x v="29"/>
    <x v="9"/>
    <x v="20"/>
    <x v="44"/>
    <x v="44"/>
  </r>
  <r>
    <s v="(LT) Luther St. Cloud Subaru4"/>
    <x v="3"/>
    <x v="0"/>
    <x v="49"/>
    <x v="0"/>
    <x v="0"/>
    <x v="6"/>
    <s v="https://tools.sig.systems/site/details/295"/>
    <n v="0"/>
    <x v="0"/>
    <m/>
    <x v="22"/>
    <x v="33"/>
    <x v="12"/>
    <x v="22"/>
    <x v="49"/>
    <x v="49"/>
  </r>
  <r>
    <s v="(ML) Joe Machens Hyundai4"/>
    <x v="3"/>
    <x v="0"/>
    <x v="50"/>
    <x v="0"/>
    <x v="0"/>
    <x v="0"/>
    <s v="https://tools.sig.systems/site/details/286"/>
    <s v="https://www.google.com/maps/d/viewer?hl=es&amp;mid=1C1oZdjH3dNvCvqdpIv_Lk0Yn1OCVn-4&amp;ll=38.965368114274455%2C-92.3405954&amp;z=15"/>
    <x v="0"/>
    <m/>
    <x v="0"/>
    <x v="34"/>
    <x v="0"/>
    <x v="11"/>
    <x v="50"/>
    <x v="50"/>
  </r>
  <r>
    <s v="(PE) BMW Service Center (NO TOURS)4"/>
    <x v="3"/>
    <x v="0"/>
    <x v="51"/>
    <x v="6"/>
    <x v="1"/>
    <x v="1"/>
    <s v="https://tools.sig.systems/site/details/184"/>
    <s v="https://www.google.com/maps/d/edit?hl=en&amp;mid=1UHmt7tH1ihTa85i0MfQIcTfVvIQg_vM&amp;ll=41.02423447529239%2C-73.63721502222738&amp;z=18"/>
    <x v="0"/>
    <m/>
    <x v="23"/>
    <x v="1"/>
    <x v="0"/>
    <x v="0"/>
    <x v="51"/>
    <x v="51"/>
  </r>
  <r>
    <s v="(PE) Porsche Audi Fairfield (NO TOURS)4"/>
    <x v="3"/>
    <x v="0"/>
    <x v="56"/>
    <x v="6"/>
    <x v="1"/>
    <x v="1"/>
    <s v="https://tools.sig.systems/site/details/194"/>
    <n v="0"/>
    <x v="0"/>
    <m/>
    <x v="28"/>
    <x v="1"/>
    <x v="0"/>
    <x v="4"/>
    <x v="54"/>
    <x v="56"/>
  </r>
  <r>
    <s v="(TC) Lamborghini South Dade4"/>
    <x v="3"/>
    <x v="0"/>
    <x v="58"/>
    <x v="1"/>
    <x v="1"/>
    <x v="1"/>
    <s v="https://tools.sig.systems/site/details/313"/>
    <n v="0"/>
    <x v="0"/>
    <m/>
    <x v="0"/>
    <x v="37"/>
    <x v="0"/>
    <x v="0"/>
    <x v="15"/>
    <x v="58"/>
  </r>
  <r>
    <s v="(AS) Coggin BMW Ft. Pierce (NO TOURS)4"/>
    <x v="3"/>
    <x v="1"/>
    <x v="1"/>
    <x v="1"/>
    <x v="1"/>
    <x v="1"/>
    <s v="https://tools.sig.systems/site/details/119"/>
    <s v="https://www.google.com/maps/d/viewer?mid=1AyViBuyeq7iwDua1SVudJ2A1BYi3IBA&amp;ll=27.38181516363982%2C-80.32568845000002&amp;z=18"/>
    <x v="0"/>
    <m/>
    <x v="1"/>
    <x v="1"/>
    <x v="0"/>
    <x v="1"/>
    <x v="1"/>
    <x v="1"/>
  </r>
  <r>
    <s v="(AS) Hare Chevrolet (NO TOURS)4"/>
    <x v="3"/>
    <x v="1"/>
    <x v="4"/>
    <x v="1"/>
    <x v="1"/>
    <x v="1"/>
    <s v="https://tools.sig.systems/site/details/301"/>
    <s v="https://www.google.com/maps/d/edit?mid=1hsX5GGrNcCQgAuzDCDz1OWgEkhsAc78&amp;usp=sharing"/>
    <x v="0"/>
    <m/>
    <x v="4"/>
    <x v="2"/>
    <x v="0"/>
    <x v="3"/>
    <x v="4"/>
    <x v="4"/>
  </r>
  <r>
    <s v="(AS) Koons Chevrolet Buick GMC - Clarksville Remote Lot (NO TOURS)4"/>
    <x v="3"/>
    <x v="1"/>
    <x v="11"/>
    <x v="1"/>
    <x v="1"/>
    <x v="1"/>
    <s v="https://tools.sig.systems/site/details/308"/>
    <s v="https://www.google.com/maps/d/edit?hl=es&amp;mid=11XB1lTSP7EcDCDvzypdUPWP6bWCNAEI&amp;ll=39.21145022420528%2C-76.94003711910554&amp;z=21"/>
    <x v="2"/>
    <m/>
    <x v="0"/>
    <x v="3"/>
    <x v="0"/>
    <x v="0"/>
    <x v="11"/>
    <x v="11"/>
  </r>
  <r>
    <s v="(AS) Koons Chevrolet Buick GMC - Tysons (NO TOURS)4"/>
    <x v="3"/>
    <x v="1"/>
    <x v="12"/>
    <x v="1"/>
    <x v="1"/>
    <x v="1"/>
    <s v="https://tools.sig.systems/site/details/352"/>
    <s v="-"/>
    <x v="2"/>
    <m/>
    <x v="7"/>
    <x v="1"/>
    <x v="0"/>
    <x v="6"/>
    <x v="12"/>
    <x v="12"/>
  </r>
  <r>
    <s v="(AS) Koons Falls Church Ford (NO TOURS)4"/>
    <x v="3"/>
    <x v="1"/>
    <x v="15"/>
    <x v="1"/>
    <x v="1"/>
    <x v="1"/>
    <s v="https://tools.sig.systems/site/details/345"/>
    <s v="-"/>
    <x v="2"/>
    <m/>
    <x v="0"/>
    <x v="7"/>
    <x v="0"/>
    <x v="0"/>
    <x v="15"/>
    <x v="15"/>
  </r>
  <r>
    <s v="(AS) Koons Owings Mills Kia (NO TOURS)4"/>
    <x v="3"/>
    <x v="1"/>
    <x v="17"/>
    <x v="1"/>
    <x v="1"/>
    <x v="1"/>
    <s v="https://tools.sig.systems/site/details/336"/>
    <s v="-"/>
    <x v="0"/>
    <m/>
    <x v="31"/>
    <x v="39"/>
    <x v="0"/>
    <x v="0"/>
    <x v="57"/>
    <x v="17"/>
  </r>
  <r>
    <s v="(AS) Koons Westminster Toyota (NO TOURS)4"/>
    <x v="3"/>
    <x v="1"/>
    <x v="21"/>
    <x v="1"/>
    <x v="1"/>
    <x v="1"/>
    <s v="https://tools.sig.systems/site/details/341"/>
    <s v="-"/>
    <x v="0"/>
    <m/>
    <x v="0"/>
    <x v="16"/>
    <x v="0"/>
    <x v="0"/>
    <x v="21"/>
    <x v="21"/>
  </r>
  <r>
    <s v="(AS) Koons Woodbridge GMC (NO TOURS)4"/>
    <x v="3"/>
    <x v="1"/>
    <x v="24"/>
    <x v="1"/>
    <x v="1"/>
    <x v="1"/>
    <s v="https://tools.sig.systems/site/details/343"/>
    <n v="0"/>
    <x v="2"/>
    <m/>
    <x v="0"/>
    <x v="7"/>
    <x v="0"/>
    <x v="10"/>
    <x v="24"/>
    <x v="24"/>
  </r>
  <r>
    <s v="(AS) Koons Woodbridge Hyundai (NO TOURS)4"/>
    <x v="3"/>
    <x v="1"/>
    <x v="25"/>
    <x v="1"/>
    <x v="1"/>
    <x v="1"/>
    <s v="https://tools.sig.systems/site/details/347"/>
    <s v="-"/>
    <x v="4"/>
    <m/>
    <x v="0"/>
    <x v="19"/>
    <x v="0"/>
    <x v="0"/>
    <x v="25"/>
    <x v="25"/>
  </r>
  <r>
    <s v="(BRL) Shoemakersville4"/>
    <x v="3"/>
    <x v="1"/>
    <x v="31"/>
    <x v="3"/>
    <x v="1"/>
    <x v="3"/>
    <s v="https://tools.sig.systems/site/details/302"/>
    <n v="0"/>
    <x v="0"/>
    <m/>
    <x v="0"/>
    <x v="22"/>
    <x v="0"/>
    <x v="12"/>
    <x v="31"/>
    <x v="31"/>
  </r>
  <r>
    <s v="(KG) Big Star Cadillac4"/>
    <x v="3"/>
    <x v="1"/>
    <x v="35"/>
    <x v="0"/>
    <x v="0"/>
    <x v="0"/>
    <s v="https://tools.sig.systems/site/details/316"/>
    <s v="https://www.google.com/maps/d/edit?mid=1jIRkMUnWNPuTgDjQgDP-f33LClT85NU&amp;usp=sharing"/>
    <x v="0"/>
    <m/>
    <x v="16"/>
    <x v="1"/>
    <x v="0"/>
    <x v="0"/>
    <x v="35"/>
    <x v="35"/>
  </r>
  <r>
    <s v="(KG) Ken Garff Kia of Avondale4"/>
    <x v="3"/>
    <x v="1"/>
    <x v="37"/>
    <x v="4"/>
    <x v="4"/>
    <x v="4"/>
    <s v="https://tools.sig.systems/site/details/283"/>
    <s v="https://www.google.com/maps/d/viewer?mid=1bDs0QGFZwL3vEeGKxjVMk_j4azr0-lg&amp;ll=33.4593758581648%2C-112.28793780000001&amp;z=18"/>
    <x v="5"/>
    <m/>
    <x v="18"/>
    <x v="1"/>
    <x v="0"/>
    <x v="15"/>
    <x v="37"/>
    <x v="37"/>
  </r>
  <r>
    <s v="(LT) Luther Brookdale Honda (NO TOURS)4"/>
    <x v="3"/>
    <x v="1"/>
    <x v="42"/>
    <x v="0"/>
    <x v="0"/>
    <x v="0"/>
    <s v="https://tools.sig.systems/site/details/280"/>
    <s v="https://www.google.com/maps/d/viewer?mid=1ot0ILX76JMuvd9yMuqkb4_e0yH1n7TA&amp;ll=45.07815812965141%2C-93.33506855000002&amp;z=17"/>
    <x v="0"/>
    <m/>
    <x v="0"/>
    <x v="27"/>
    <x v="8"/>
    <x v="19"/>
    <x v="42"/>
    <x v="42"/>
  </r>
  <r>
    <s v="(LT) Luther Genesis of Minneapolis4"/>
    <x v="3"/>
    <x v="1"/>
    <x v="45"/>
    <x v="0"/>
    <x v="0"/>
    <x v="0"/>
    <s v="https://tools.sig.systems/site/details/315"/>
    <n v="0"/>
    <x v="0"/>
    <m/>
    <x v="0"/>
    <x v="30"/>
    <x v="0"/>
    <x v="0"/>
    <x v="45"/>
    <x v="45"/>
  </r>
  <r>
    <s v="(PE) JLR Englewood (NO TOURS)4"/>
    <x v="3"/>
    <x v="1"/>
    <x v="53"/>
    <x v="6"/>
    <x v="1"/>
    <x v="1"/>
    <s v="https://tools.sig.systems/site/details/178"/>
    <s v="https://www.google.com/maps/d/viewer?mid=1ubI2iKs1JyYXssuT4oLPnVvFnyLPi_s&amp;ll=40.878808846788026%2C-73.98560655&amp;z=17"/>
    <x v="0"/>
    <m/>
    <x v="25"/>
    <x v="1"/>
    <x v="0"/>
    <x v="0"/>
    <x v="15"/>
    <x v="53"/>
  </r>
  <r>
    <s v="(PE) JLR Paramus (NO TOURS)4"/>
    <x v="3"/>
    <x v="1"/>
    <x v="54"/>
    <x v="6"/>
    <x v="1"/>
    <x v="1"/>
    <s v="https://tools.sig.systems/site/details/177"/>
    <n v="0"/>
    <x v="0"/>
    <m/>
    <x v="26"/>
    <x v="1"/>
    <x v="0"/>
    <x v="0"/>
    <x v="52"/>
    <x v="54"/>
  </r>
  <r>
    <s v="(AS) Coggin Collision Center of Kissimmee (NO TOURS)4"/>
    <x v="3"/>
    <x v="2"/>
    <x v="2"/>
    <x v="1"/>
    <x v="1"/>
    <x v="1"/>
    <s v="https://tools.sig.systems/site/details/331"/>
    <n v="0"/>
    <x v="0"/>
    <m/>
    <x v="2"/>
    <x v="1"/>
    <x v="0"/>
    <x v="0"/>
    <x v="2"/>
    <x v="2"/>
  </r>
  <r>
    <s v="(AS) Hare Truck Center (NO TOURS)4"/>
    <x v="3"/>
    <x v="2"/>
    <x v="5"/>
    <x v="1"/>
    <x v="1"/>
    <x v="1"/>
    <s v="https://tools.sig.systems/site/details/300"/>
    <s v="https://www.google.com/maps/d/edit?mid=1hsX5GGrNcCQgAuzDCDz1OWgEkhsAc78&amp;usp=sharing"/>
    <x v="0"/>
    <m/>
    <x v="0"/>
    <x v="3"/>
    <x v="0"/>
    <x v="0"/>
    <x v="5"/>
    <x v="5"/>
  </r>
  <r>
    <s v="(AS) Koons MB of Catonsville (NO TOURS)4"/>
    <x v="3"/>
    <x v="2"/>
    <x v="16"/>
    <x v="1"/>
    <x v="1"/>
    <x v="1"/>
    <s v="https://tools.sig.systems/site/details/303"/>
    <n v="0"/>
    <x v="0"/>
    <m/>
    <x v="0"/>
    <x v="11"/>
    <x v="3"/>
    <x v="3"/>
    <x v="16"/>
    <x v="16"/>
  </r>
  <r>
    <s v="(AS) Koons Sterling Ford - Main Dealership (NO TOURS)4"/>
    <x v="3"/>
    <x v="2"/>
    <x v="18"/>
    <x v="1"/>
    <x v="1"/>
    <x v="1"/>
    <s v="https://tools.sig.systems/site/details/348"/>
    <s v="-"/>
    <x v="2"/>
    <m/>
    <x v="9"/>
    <x v="13"/>
    <x v="0"/>
    <x v="9"/>
    <x v="18"/>
    <x v="18"/>
  </r>
  <r>
    <s v="(AS) Koons White Marsh Chevrolet (NO TOURS)4"/>
    <x v="3"/>
    <x v="2"/>
    <x v="22"/>
    <x v="1"/>
    <x v="1"/>
    <x v="1"/>
    <s v="https://tools.sig.systems/site/details/339"/>
    <s v="-"/>
    <x v="0"/>
    <m/>
    <x v="10"/>
    <x v="17"/>
    <x v="0"/>
    <x v="0"/>
    <x v="22"/>
    <x v="22"/>
  </r>
  <r>
    <s v="(AS) Koons Woodbridge Ford (NO TOURS)4"/>
    <x v="3"/>
    <x v="2"/>
    <x v="23"/>
    <x v="1"/>
    <x v="1"/>
    <x v="1"/>
    <s v="https://tools.sig.systems/site/details/342"/>
    <n v="0"/>
    <x v="3"/>
    <m/>
    <x v="0"/>
    <x v="18"/>
    <x v="0"/>
    <x v="0"/>
    <x v="23"/>
    <x v="23"/>
  </r>
  <r>
    <s v="(AS) Larry H Miller CDJR Fiat (NO TOURS)4"/>
    <x v="3"/>
    <x v="2"/>
    <x v="27"/>
    <x v="2"/>
    <x v="2"/>
    <x v="2"/>
    <s v="https://tools.sig.systems/site/details/298"/>
    <n v="0"/>
    <x v="0"/>
    <m/>
    <x v="11"/>
    <x v="2"/>
    <x v="0"/>
    <x v="0"/>
    <x v="27"/>
    <x v="27"/>
  </r>
  <r>
    <s v="(AS) Plaza Collision ST Louis (NO TOURS)4"/>
    <x v="3"/>
    <x v="2"/>
    <x v="28"/>
    <x v="0"/>
    <x v="0"/>
    <x v="0"/>
    <s v="https://tools.sig.systems/site/details/350"/>
    <s v="-"/>
    <x v="0"/>
    <m/>
    <x v="12"/>
    <x v="7"/>
    <x v="0"/>
    <x v="0"/>
    <x v="28"/>
    <x v="28"/>
  </r>
  <r>
    <s v="(DT) Arlington4"/>
    <x v="3"/>
    <x v="2"/>
    <x v="32"/>
    <x v="0"/>
    <x v="0"/>
    <x v="0"/>
    <s v="https://tools.sig.systems/site/details/199"/>
    <n v="0"/>
    <x v="0"/>
    <m/>
    <x v="13"/>
    <x v="13"/>
    <x v="0"/>
    <x v="0"/>
    <x v="32"/>
    <x v="32"/>
  </r>
  <r>
    <s v="(KG) Ken Garff Volkswagen of Gilbert4"/>
    <x v="3"/>
    <x v="2"/>
    <x v="38"/>
    <x v="4"/>
    <x v="4"/>
    <x v="4"/>
    <s v="https://tools.sig.systems/site/details/284"/>
    <s v="https://www.google.com/maps/d/viewer?hl=es&amp;mid=19SU7XE9Cg8jhVFpEI21Vi9Zfgdih9Ds&amp;ll=33.29158262977276%2C-111.75783630000002&amp;z=17"/>
    <x v="5"/>
    <m/>
    <x v="7"/>
    <x v="1"/>
    <x v="0"/>
    <x v="16"/>
    <x v="38"/>
    <x v="38"/>
  </r>
  <r>
    <s v="(LT) Luther Bloomington Hyundai (NO TOURS)4"/>
    <x v="3"/>
    <x v="2"/>
    <x v="40"/>
    <x v="0"/>
    <x v="0"/>
    <x v="0"/>
    <s v="https://tools.sig.systems/site/details/318"/>
    <n v="0"/>
    <x v="0"/>
    <m/>
    <x v="0"/>
    <x v="25"/>
    <x v="6"/>
    <x v="18"/>
    <x v="40"/>
    <x v="40"/>
  </r>
  <r>
    <s v="(LT) Luther Hopkins Honda (NO TOURS)4"/>
    <x v="3"/>
    <x v="3"/>
    <x v="46"/>
    <x v="0"/>
    <x v="0"/>
    <x v="0"/>
    <s v="https://tools.sig.systems/site/details/288"/>
    <n v="0"/>
    <x v="0"/>
    <m/>
    <x v="0"/>
    <x v="31"/>
    <x v="10"/>
    <x v="21"/>
    <x v="46"/>
    <x v="46"/>
  </r>
  <r>
    <s v="(LT) Luther Landers Recon Center4"/>
    <x v="3"/>
    <x v="2"/>
    <x v="47"/>
    <x v="0"/>
    <x v="0"/>
    <x v="0"/>
    <s v="https://tools.sig.systems/site/details/323"/>
    <s v="https://www.google.com/maps/d/u/1/edit?mid=1-zEzsc6U6nZom08edp0XAd3_HYFvAyk&amp;usp=sharing"/>
    <x v="0"/>
    <m/>
    <x v="21"/>
    <x v="1"/>
    <x v="0"/>
    <x v="0"/>
    <x v="47"/>
    <x v="47"/>
  </r>
  <r>
    <s v="(PE) JLR Darien (NO TOURS)4"/>
    <x v="3"/>
    <x v="2"/>
    <x v="52"/>
    <x v="6"/>
    <x v="1"/>
    <x v="1"/>
    <s v="https://tools.sig.systems/site/details/189"/>
    <s v="-"/>
    <x v="0"/>
    <m/>
    <x v="24"/>
    <x v="1"/>
    <x v="0"/>
    <x v="0"/>
    <x v="15"/>
    <x v="52"/>
  </r>
  <r>
    <s v="(PE) MB of Greenwich4"/>
    <x v="3"/>
    <x v="2"/>
    <x v="55"/>
    <x v="6"/>
    <x v="1"/>
    <x v="1"/>
    <s v="https://tools.sig.systems/site/details/188"/>
    <s v="https://www.google.com/maps/d/edit?hl=en&amp;mid=1UHmt7tH1ihTa85i0MfQIcTfVvIQg_vM&amp;ll=41.02423447529239%2C-73.63721502222738&amp;z=18"/>
    <x v="0"/>
    <m/>
    <x v="27"/>
    <x v="35"/>
    <x v="0"/>
    <x v="0"/>
    <x v="53"/>
    <x v="55"/>
  </r>
  <r>
    <s v="Mario Residence4"/>
    <x v="3"/>
    <x v="2"/>
    <x v="59"/>
    <x v="3"/>
    <x v="1"/>
    <x v="3"/>
    <s v="https://tools.sig.systems/site/details/148"/>
    <s v="https://www.google.com/maps/d/edit?hl=es&amp;mid=13OmECPqyeB7fXgZmEoM9cnG34HU_v5g&amp;ll=26.046837034777553%2C-80.38753458591658&amp;z=19"/>
    <x v="0"/>
    <m/>
    <x v="30"/>
    <x v="38"/>
    <x v="0"/>
    <x v="0"/>
    <x v="56"/>
    <x v="60"/>
  </r>
  <r>
    <s v="(AS) Coggin Honda of Orlando (NO TOURS)4"/>
    <x v="3"/>
    <x v="3"/>
    <x v="3"/>
    <x v="1"/>
    <x v="1"/>
    <x v="1"/>
    <s v="https://tools.sig.systems/site/details/324"/>
    <n v="0"/>
    <x v="1"/>
    <m/>
    <x v="3"/>
    <x v="1"/>
    <x v="0"/>
    <x v="2"/>
    <x v="3"/>
    <x v="3"/>
  </r>
  <r>
    <s v="(AS) Kahlo CDJR (NO TOURS)4"/>
    <x v="3"/>
    <x v="3"/>
    <x v="6"/>
    <x v="1"/>
    <x v="1"/>
    <x v="1"/>
    <s v="https://tools.sig.systems/site/details/282"/>
    <s v="https://www.google.com/maps/d/edit?mid=1hsX5GGrNcCQgAuzDCDz1OWgEkhsAc78&amp;usp=sharing"/>
    <x v="0"/>
    <m/>
    <x v="0"/>
    <x v="4"/>
    <x v="1"/>
    <x v="4"/>
    <x v="6"/>
    <x v="6"/>
  </r>
  <r>
    <s v="(AS) Koons Arlington Toyota - New Car (NO TOURS)4"/>
    <x v="3"/>
    <x v="3"/>
    <x v="8"/>
    <x v="1"/>
    <x v="1"/>
    <x v="1"/>
    <s v="https://tools.sig.systems/site/details/334"/>
    <n v="0"/>
    <x v="2"/>
    <m/>
    <x v="0"/>
    <x v="6"/>
    <x v="0"/>
    <x v="0"/>
    <x v="8"/>
    <x v="8"/>
  </r>
  <r>
    <s v="(AS) Koons Baltimore Ford - Main Dealership (NO TOURS)4"/>
    <x v="3"/>
    <x v="3"/>
    <x v="9"/>
    <x v="1"/>
    <x v="1"/>
    <x v="1"/>
    <s v="https://tools.sig.systems/site/details/335"/>
    <s v="-"/>
    <x v="0"/>
    <m/>
    <x v="6"/>
    <x v="7"/>
    <x v="0"/>
    <x v="5"/>
    <x v="9"/>
    <x v="9"/>
  </r>
  <r>
    <s v="(AS) Koons Chevrolet Buick GMC - Tysons Remote Lot (NO TOURS)4"/>
    <x v="3"/>
    <x v="3"/>
    <x v="13"/>
    <x v="1"/>
    <x v="1"/>
    <x v="1"/>
    <s v="https://tools.sig.systems/site/details/333"/>
    <s v="-"/>
    <x v="0"/>
    <m/>
    <x v="0"/>
    <x v="9"/>
    <x v="2"/>
    <x v="7"/>
    <x v="13"/>
    <x v="13"/>
  </r>
  <r>
    <s v="(AS) Koons Easton Toyota - Main Dealership (NO TOURS)4"/>
    <x v="3"/>
    <x v="3"/>
    <x v="14"/>
    <x v="1"/>
    <x v="1"/>
    <x v="1"/>
    <s v="https://tools.sig.systems/site/details/340"/>
    <s v="-"/>
    <x v="0"/>
    <m/>
    <x v="0"/>
    <x v="10"/>
    <x v="0"/>
    <x v="0"/>
    <x v="14"/>
    <x v="14"/>
  </r>
  <r>
    <s v="(AS) Koons Volvo Cars White Marsh (NO TOURS)4"/>
    <x v="3"/>
    <x v="3"/>
    <x v="20"/>
    <x v="1"/>
    <x v="1"/>
    <x v="1"/>
    <s v="https://tools.sig.systems/site/details/338"/>
    <n v="0"/>
    <x v="0"/>
    <m/>
    <x v="0"/>
    <x v="15"/>
    <x v="0"/>
    <x v="0"/>
    <x v="20"/>
    <x v="20"/>
  </r>
  <r>
    <s v="(DT) Modesto4"/>
    <x v="3"/>
    <x v="3"/>
    <x v="34"/>
    <x v="4"/>
    <x v="3"/>
    <x v="4"/>
    <s v="https://tools.sig.systems/site/details/267"/>
    <n v="0"/>
    <x v="0"/>
    <m/>
    <x v="15"/>
    <x v="23"/>
    <x v="0"/>
    <x v="0"/>
    <x v="34"/>
    <x v="34"/>
  </r>
  <r>
    <s v="(LT) Landers Kia of Little Rock4"/>
    <x v="3"/>
    <x v="3"/>
    <x v="39"/>
    <x v="0"/>
    <x v="0"/>
    <x v="0"/>
    <s v="https://tools.sig.systems/site/details/322"/>
    <s v="https://www.google.com/maps/d/u/1/edit?mid=1-zEzsc6U6nZom08edp0XAd3_HYFvAyk&amp;usp=sharing"/>
    <x v="0"/>
    <m/>
    <x v="19"/>
    <x v="1"/>
    <x v="5"/>
    <x v="17"/>
    <x v="39"/>
    <x v="39"/>
  </r>
  <r>
    <s v="(LT) Luther Bloomington Subaru - Acura4"/>
    <x v="3"/>
    <x v="3"/>
    <x v="41"/>
    <x v="5"/>
    <x v="0"/>
    <x v="5"/>
    <s v="https://tools.sig.systems/site/details/289"/>
    <n v="0"/>
    <x v="0"/>
    <m/>
    <x v="20"/>
    <x v="26"/>
    <x v="7"/>
    <x v="0"/>
    <x v="41"/>
    <x v="41"/>
  </r>
  <r>
    <s v="(LT) Luther North Country Ford4"/>
    <x v="3"/>
    <x v="3"/>
    <x v="48"/>
    <x v="0"/>
    <x v="0"/>
    <x v="0"/>
    <s v="https://tools.sig.systems/site/details/292"/>
    <n v="0"/>
    <x v="0"/>
    <m/>
    <x v="0"/>
    <x v="32"/>
    <x v="11"/>
    <x v="0"/>
    <x v="48"/>
    <x v="48"/>
  </r>
  <r>
    <s v="(SCH) Schumacher of Delray I &amp; III4"/>
    <x v="3"/>
    <x v="3"/>
    <x v="57"/>
    <x v="1"/>
    <x v="1"/>
    <x v="1"/>
    <s v="https://tools.sig.systems/site/details/159"/>
    <s v="https://www.google.com/maps/d/viewer?mid=1ZLGV-cDM9aCfovhmXHIAXgVOKts0dEI&amp;ll=26.438859950088858%2C-80.07968125000001&amp;z=16"/>
    <x v="1"/>
    <m/>
    <x v="29"/>
    <x v="36"/>
    <x v="0"/>
    <x v="0"/>
    <x v="55"/>
    <x v="57"/>
  </r>
  <r>
    <s v="(AS) Koons Annapolis Toyota (NO TOURS)5"/>
    <x v="4"/>
    <x v="0"/>
    <x v="7"/>
    <x v="1"/>
    <x v="1"/>
    <x v="1"/>
    <s v="https://tools.sig.systems/site/details/337"/>
    <n v="0"/>
    <x v="0"/>
    <m/>
    <x v="5"/>
    <x v="5"/>
    <x v="0"/>
    <x v="0"/>
    <x v="7"/>
    <x v="7"/>
  </r>
  <r>
    <s v="(AS) Koons Chevrolet Buick GMC - Clarksville (NO TOURS)5"/>
    <x v="4"/>
    <x v="0"/>
    <x v="10"/>
    <x v="1"/>
    <x v="1"/>
    <x v="1"/>
    <s v="https://tools.sig.systems/site/details/306"/>
    <s v="https://www.google.com/maps/d/edit?hl=es&amp;mid=11XB1lTSP7EcDCDvzypdUPWP6bWCNAEI&amp;ll=39.21145022420528%2C-76.94003711910554&amp;z=17"/>
    <x v="2"/>
    <m/>
    <x v="0"/>
    <x v="8"/>
    <x v="0"/>
    <x v="0"/>
    <x v="10"/>
    <x v="10"/>
  </r>
  <r>
    <s v="(AS) Koons Sterling Ford - Main Dealership (NO TOURS)5"/>
    <x v="4"/>
    <x v="0"/>
    <x v="18"/>
    <x v="1"/>
    <x v="1"/>
    <x v="1"/>
    <s v="https://tools.sig.systems/site/details/348"/>
    <s v="-"/>
    <x v="2"/>
    <m/>
    <x v="9"/>
    <x v="13"/>
    <x v="0"/>
    <x v="9"/>
    <x v="18"/>
    <x v="18"/>
  </r>
  <r>
    <s v="(AS) Plaza Mercedes Benz West (NO TOURS)5"/>
    <x v="4"/>
    <x v="0"/>
    <x v="29"/>
    <x v="0"/>
    <x v="0"/>
    <x v="0"/>
    <s v="https://tools.sig.systems/site/details/349"/>
    <n v="0"/>
    <x v="0"/>
    <m/>
    <x v="0"/>
    <x v="21"/>
    <x v="0"/>
    <x v="11"/>
    <x v="29"/>
    <x v="29"/>
  </r>
  <r>
    <s v="(BRL) Fort Pierce5"/>
    <x v="4"/>
    <x v="0"/>
    <x v="30"/>
    <x v="3"/>
    <x v="1"/>
    <x v="3"/>
    <s v="https://tools.sig.systems/site/details/326"/>
    <s v="-"/>
    <x v="0"/>
    <m/>
    <x v="0"/>
    <x v="7"/>
    <x v="0"/>
    <x v="1"/>
    <x v="30"/>
    <x v="30"/>
  </r>
  <r>
    <s v="(DT) Charlotte5"/>
    <x v="4"/>
    <x v="0"/>
    <x v="33"/>
    <x v="1"/>
    <x v="1"/>
    <x v="1"/>
    <s v="https://tools.sig.systems/site/details/299"/>
    <n v="0"/>
    <x v="0"/>
    <m/>
    <x v="14"/>
    <x v="1"/>
    <x v="0"/>
    <x v="13"/>
    <x v="33"/>
    <x v="33"/>
  </r>
  <r>
    <s v="(KG) Big Star Hyundai Houston5"/>
    <x v="4"/>
    <x v="0"/>
    <x v="36"/>
    <x v="0"/>
    <x v="0"/>
    <x v="0"/>
    <s v="https://tools.sig.systems/site/details/287"/>
    <s v="https://www.google.com/maps/d/edit?hl=en&amp;mid=1jIRkMUnWNPuTgDjQgDP-f33LClT85NU&amp;ll=29.55731827236326%2C-95.1601644&amp;z=17"/>
    <x v="0"/>
    <m/>
    <x v="17"/>
    <x v="24"/>
    <x v="0"/>
    <x v="14"/>
    <x v="36"/>
    <x v="36"/>
  </r>
  <r>
    <s v="(LT) Luther Brookdale Toyota5"/>
    <x v="4"/>
    <x v="0"/>
    <x v="43"/>
    <x v="0"/>
    <x v="0"/>
    <x v="1"/>
    <s v="https://tools.sig.systems/site/details/281"/>
    <s v="https://www.google.com/maps/d/viewer?mid=1ot0ILX76JMuvd9yMuqkb4_e0yH1n7TA&amp;ll=45.07815812965141%2C-93.33506855000002&amp;z=17"/>
    <x v="0"/>
    <m/>
    <x v="0"/>
    <x v="28"/>
    <x v="3"/>
    <x v="4"/>
    <x v="43"/>
    <x v="43"/>
  </r>
  <r>
    <s v="(LT) Luther Burnsville Hyundai5"/>
    <x v="4"/>
    <x v="0"/>
    <x v="44"/>
    <x v="0"/>
    <x v="0"/>
    <x v="0"/>
    <s v="https://tools.sig.systems/site/details/307"/>
    <n v="0"/>
    <x v="0"/>
    <m/>
    <x v="0"/>
    <x v="29"/>
    <x v="9"/>
    <x v="20"/>
    <x v="44"/>
    <x v="44"/>
  </r>
  <r>
    <s v="(ML) Joe Machens Hyundai5"/>
    <x v="4"/>
    <x v="0"/>
    <x v="50"/>
    <x v="0"/>
    <x v="0"/>
    <x v="0"/>
    <s v="https://tools.sig.systems/site/details/286"/>
    <s v="https://www.google.com/maps/d/viewer?hl=es&amp;mid=1C1oZdjH3dNvCvqdpIv_Lk0Yn1OCVn-4&amp;ll=38.965368114274455%2C-92.3405954&amp;z=15"/>
    <x v="0"/>
    <m/>
    <x v="0"/>
    <x v="34"/>
    <x v="0"/>
    <x v="11"/>
    <x v="50"/>
    <x v="50"/>
  </r>
  <r>
    <s v="(PE) BMW Service Center (NO TOURS)5"/>
    <x v="4"/>
    <x v="0"/>
    <x v="51"/>
    <x v="6"/>
    <x v="1"/>
    <x v="1"/>
    <s v="https://tools.sig.systems/site/details/184"/>
    <s v="https://www.google.com/maps/d/edit?hl=en&amp;mid=1UHmt7tH1ihTa85i0MfQIcTfVvIQg_vM&amp;ll=41.02423447529239%2C-73.63721502222738&amp;z=18"/>
    <x v="0"/>
    <m/>
    <x v="23"/>
    <x v="1"/>
    <x v="0"/>
    <x v="0"/>
    <x v="51"/>
    <x v="51"/>
  </r>
  <r>
    <s v="(PE) JLR Darien (NO TOURS)5"/>
    <x v="4"/>
    <x v="0"/>
    <x v="52"/>
    <x v="6"/>
    <x v="1"/>
    <x v="1"/>
    <s v="https://tools.sig.systems/site/details/189"/>
    <s v="-"/>
    <x v="0"/>
    <m/>
    <x v="24"/>
    <x v="1"/>
    <x v="0"/>
    <x v="0"/>
    <x v="15"/>
    <x v="52"/>
  </r>
  <r>
    <s v="(AS) Coggin BMW Ft. Pierce (NO TOURS)5"/>
    <x v="4"/>
    <x v="1"/>
    <x v="1"/>
    <x v="1"/>
    <x v="1"/>
    <x v="1"/>
    <s v="https://tools.sig.systems/site/details/119"/>
    <s v="https://www.google.com/maps/d/viewer?mid=1AyViBuyeq7iwDua1SVudJ2A1BYi3IBA&amp;ll=27.38181516363982%2C-80.32568845000002&amp;z=18"/>
    <x v="0"/>
    <m/>
    <x v="1"/>
    <x v="1"/>
    <x v="0"/>
    <x v="1"/>
    <x v="1"/>
    <x v="1"/>
  </r>
  <r>
    <s v="(AS) Coggin Collision Center of Kissimmee (NO TOURS)5"/>
    <x v="4"/>
    <x v="1"/>
    <x v="2"/>
    <x v="1"/>
    <x v="1"/>
    <x v="1"/>
    <s v="https://tools.sig.systems/site/details/331"/>
    <n v="0"/>
    <x v="0"/>
    <m/>
    <x v="2"/>
    <x v="1"/>
    <x v="0"/>
    <x v="0"/>
    <x v="2"/>
    <x v="2"/>
  </r>
  <r>
    <s v="(AS) Koons Chevrolet Buick GMC - Clarksville Remote Lot (NO TOURS)5"/>
    <x v="4"/>
    <x v="1"/>
    <x v="11"/>
    <x v="1"/>
    <x v="1"/>
    <x v="1"/>
    <s v="https://tools.sig.systems/site/details/308"/>
    <s v="https://www.google.com/maps/d/edit?hl=es&amp;mid=11XB1lTSP7EcDCDvzypdUPWP6bWCNAEI&amp;ll=39.21145022420528%2C-76.94003711910554&amp;z=21"/>
    <x v="2"/>
    <m/>
    <x v="0"/>
    <x v="3"/>
    <x v="0"/>
    <x v="0"/>
    <x v="11"/>
    <x v="11"/>
  </r>
  <r>
    <s v="(AS) Koons Chevrolet Buick GMC - Tysons (NO TOURS)5"/>
    <x v="4"/>
    <x v="1"/>
    <x v="12"/>
    <x v="1"/>
    <x v="1"/>
    <x v="1"/>
    <s v="https://tools.sig.systems/site/details/352"/>
    <s v="-"/>
    <x v="2"/>
    <m/>
    <x v="7"/>
    <x v="1"/>
    <x v="0"/>
    <x v="6"/>
    <x v="12"/>
    <x v="12"/>
  </r>
  <r>
    <s v="(AS) Koons Falls Church Ford (NO TOURS)5"/>
    <x v="4"/>
    <x v="1"/>
    <x v="15"/>
    <x v="1"/>
    <x v="1"/>
    <x v="1"/>
    <s v="https://tools.sig.systems/site/details/345"/>
    <s v="-"/>
    <x v="2"/>
    <m/>
    <x v="0"/>
    <x v="7"/>
    <x v="0"/>
    <x v="0"/>
    <x v="15"/>
    <x v="15"/>
  </r>
  <r>
    <s v="(AS) Koons Owings Mills Kia (NO TOURS)5"/>
    <x v="4"/>
    <x v="1"/>
    <x v="17"/>
    <x v="1"/>
    <x v="1"/>
    <x v="1"/>
    <s v="https://tools.sig.systems/site/details/336"/>
    <s v="-"/>
    <x v="0"/>
    <m/>
    <x v="31"/>
    <x v="39"/>
    <x v="0"/>
    <x v="0"/>
    <x v="57"/>
    <x v="17"/>
  </r>
  <r>
    <s v="(AS) Koons Westminster Toyota (NO TOURS)5"/>
    <x v="4"/>
    <x v="1"/>
    <x v="21"/>
    <x v="1"/>
    <x v="1"/>
    <x v="1"/>
    <s v="https://tools.sig.systems/site/details/341"/>
    <s v="-"/>
    <x v="0"/>
    <m/>
    <x v="0"/>
    <x v="16"/>
    <x v="0"/>
    <x v="0"/>
    <x v="21"/>
    <x v="21"/>
  </r>
  <r>
    <s v="(AS) Koons Woodbridge GMC (NO TOURS)5"/>
    <x v="4"/>
    <x v="1"/>
    <x v="24"/>
    <x v="1"/>
    <x v="1"/>
    <x v="1"/>
    <s v="https://tools.sig.systems/site/details/343"/>
    <n v="0"/>
    <x v="2"/>
    <m/>
    <x v="0"/>
    <x v="7"/>
    <x v="0"/>
    <x v="10"/>
    <x v="24"/>
    <x v="24"/>
  </r>
  <r>
    <s v="(KG) Big Star Cadillac5"/>
    <x v="4"/>
    <x v="1"/>
    <x v="35"/>
    <x v="0"/>
    <x v="0"/>
    <x v="0"/>
    <s v="https://tools.sig.systems/site/details/316"/>
    <s v="https://www.google.com/maps/d/edit?mid=1jIRkMUnWNPuTgDjQgDP-f33LClT85NU&amp;usp=sharing"/>
    <x v="0"/>
    <m/>
    <x v="16"/>
    <x v="1"/>
    <x v="0"/>
    <x v="0"/>
    <x v="35"/>
    <x v="35"/>
  </r>
  <r>
    <s v="(KG) Ken Garff Kia of Avondale5"/>
    <x v="4"/>
    <x v="1"/>
    <x v="37"/>
    <x v="4"/>
    <x v="4"/>
    <x v="4"/>
    <s v="https://tools.sig.systems/site/details/283"/>
    <s v="https://www.google.com/maps/d/viewer?mid=1bDs0QGFZwL3vEeGKxjVMk_j4azr0-lg&amp;ll=33.4593758581648%2C-112.28793780000001&amp;z=18"/>
    <x v="5"/>
    <m/>
    <x v="18"/>
    <x v="1"/>
    <x v="0"/>
    <x v="15"/>
    <x v="37"/>
    <x v="37"/>
  </r>
  <r>
    <s v="(LT) Luther Brookdale Honda (NO TOURS)5"/>
    <x v="4"/>
    <x v="1"/>
    <x v="42"/>
    <x v="0"/>
    <x v="0"/>
    <x v="0"/>
    <s v="https://tools.sig.systems/site/details/280"/>
    <s v="https://www.google.com/maps/d/viewer?mid=1ot0ILX76JMuvd9yMuqkb4_e0yH1n7TA&amp;ll=45.07815812965141%2C-93.33506855000002&amp;z=17"/>
    <x v="0"/>
    <m/>
    <x v="0"/>
    <x v="27"/>
    <x v="8"/>
    <x v="19"/>
    <x v="42"/>
    <x v="42"/>
  </r>
  <r>
    <s v="(LT) Luther Genesis of Minneapolis5"/>
    <x v="4"/>
    <x v="1"/>
    <x v="45"/>
    <x v="0"/>
    <x v="0"/>
    <x v="0"/>
    <s v="https://tools.sig.systems/site/details/315"/>
    <n v="0"/>
    <x v="0"/>
    <m/>
    <x v="0"/>
    <x v="30"/>
    <x v="0"/>
    <x v="0"/>
    <x v="45"/>
    <x v="45"/>
  </r>
  <r>
    <s v="(PE) JLR Paramus (NO TOURS)5"/>
    <x v="4"/>
    <x v="1"/>
    <x v="54"/>
    <x v="6"/>
    <x v="1"/>
    <x v="1"/>
    <s v="https://tools.sig.systems/site/details/177"/>
    <n v="0"/>
    <x v="0"/>
    <m/>
    <x v="26"/>
    <x v="1"/>
    <x v="0"/>
    <x v="0"/>
    <x v="52"/>
    <x v="54"/>
  </r>
  <r>
    <s v="(PE) Porsche Audi Fairfield (NO TOURS)5"/>
    <x v="4"/>
    <x v="1"/>
    <x v="56"/>
    <x v="6"/>
    <x v="1"/>
    <x v="1"/>
    <s v="https://tools.sig.systems/site/details/194"/>
    <n v="0"/>
    <x v="0"/>
    <m/>
    <x v="28"/>
    <x v="1"/>
    <x v="0"/>
    <x v="4"/>
    <x v="54"/>
    <x v="56"/>
  </r>
  <r>
    <s v="(AS) Hare Truck Center (NO TOURS)5"/>
    <x v="4"/>
    <x v="2"/>
    <x v="5"/>
    <x v="1"/>
    <x v="1"/>
    <x v="1"/>
    <s v="https://tools.sig.systems/site/details/300"/>
    <s v="https://www.google.com/maps/d/edit?mid=1hsX5GGrNcCQgAuzDCDz1OWgEkhsAc78&amp;usp=sharing"/>
    <x v="0"/>
    <m/>
    <x v="0"/>
    <x v="3"/>
    <x v="0"/>
    <x v="0"/>
    <x v="5"/>
    <x v="5"/>
  </r>
  <r>
    <s v="(AS) Koons MB of Catonsville (NO TOURS)5"/>
    <x v="4"/>
    <x v="2"/>
    <x v="16"/>
    <x v="1"/>
    <x v="1"/>
    <x v="1"/>
    <s v="https://tools.sig.systems/site/details/303"/>
    <n v="0"/>
    <x v="0"/>
    <m/>
    <x v="0"/>
    <x v="11"/>
    <x v="3"/>
    <x v="3"/>
    <x v="16"/>
    <x v="16"/>
  </r>
  <r>
    <s v="(AS) Koons Tysons Toyota - Main Dealership (NO TOURS)5"/>
    <x v="4"/>
    <x v="2"/>
    <x v="19"/>
    <x v="1"/>
    <x v="1"/>
    <x v="1"/>
    <s v="https://tools.sig.systems/site/details/344"/>
    <s v="-"/>
    <x v="0"/>
    <m/>
    <x v="0"/>
    <x v="14"/>
    <x v="0"/>
    <x v="0"/>
    <x v="19"/>
    <x v="19"/>
  </r>
  <r>
    <s v="(AS) Koons White Marsh Chevrolet (NO TOURS)5"/>
    <x v="4"/>
    <x v="2"/>
    <x v="22"/>
    <x v="1"/>
    <x v="1"/>
    <x v="1"/>
    <s v="https://tools.sig.systems/site/details/339"/>
    <s v="-"/>
    <x v="0"/>
    <m/>
    <x v="10"/>
    <x v="17"/>
    <x v="0"/>
    <x v="0"/>
    <x v="22"/>
    <x v="22"/>
  </r>
  <r>
    <s v="(AS) Koons Woodbridge Ford (NO TOURS)5"/>
    <x v="4"/>
    <x v="2"/>
    <x v="23"/>
    <x v="1"/>
    <x v="1"/>
    <x v="1"/>
    <s v="https://tools.sig.systems/site/details/342"/>
    <n v="0"/>
    <x v="3"/>
    <m/>
    <x v="0"/>
    <x v="18"/>
    <x v="0"/>
    <x v="0"/>
    <x v="23"/>
    <x v="23"/>
  </r>
  <r>
    <s v="(AS) Larry H Miller CDJR Fiat (NO TOURS)5"/>
    <x v="4"/>
    <x v="2"/>
    <x v="27"/>
    <x v="2"/>
    <x v="2"/>
    <x v="2"/>
    <s v="https://tools.sig.systems/site/details/298"/>
    <n v="0"/>
    <x v="0"/>
    <m/>
    <x v="11"/>
    <x v="2"/>
    <x v="0"/>
    <x v="0"/>
    <x v="27"/>
    <x v="27"/>
  </r>
  <r>
    <s v="(AS) Plaza Collision ST Louis (NO TOURS)5"/>
    <x v="4"/>
    <x v="2"/>
    <x v="28"/>
    <x v="0"/>
    <x v="0"/>
    <x v="0"/>
    <s v="https://tools.sig.systems/site/details/350"/>
    <s v="-"/>
    <x v="0"/>
    <m/>
    <x v="12"/>
    <x v="7"/>
    <x v="0"/>
    <x v="0"/>
    <x v="28"/>
    <x v="28"/>
  </r>
  <r>
    <s v="(KG) Ken Garff Volkswagen of Gilbert5"/>
    <x v="4"/>
    <x v="2"/>
    <x v="38"/>
    <x v="4"/>
    <x v="4"/>
    <x v="4"/>
    <s v="https://tools.sig.systems/site/details/284"/>
    <s v="https://www.google.com/maps/d/viewer?hl=es&amp;mid=19SU7XE9Cg8jhVFpEI21Vi9Zfgdih9Ds&amp;ll=33.29158262977276%2C-111.75783630000002&amp;z=17"/>
    <x v="5"/>
    <m/>
    <x v="7"/>
    <x v="1"/>
    <x v="0"/>
    <x v="16"/>
    <x v="38"/>
    <x v="38"/>
  </r>
  <r>
    <s v="(LT) Luther Hopkins Honda (NO TOURS)5"/>
    <x v="4"/>
    <x v="2"/>
    <x v="46"/>
    <x v="0"/>
    <x v="0"/>
    <x v="0"/>
    <s v="https://tools.sig.systems/site/details/288"/>
    <n v="0"/>
    <x v="0"/>
    <m/>
    <x v="0"/>
    <x v="31"/>
    <x v="10"/>
    <x v="21"/>
    <x v="46"/>
    <x v="46"/>
  </r>
  <r>
    <s v="(PE) MB of Greenwich5"/>
    <x v="4"/>
    <x v="2"/>
    <x v="55"/>
    <x v="6"/>
    <x v="1"/>
    <x v="1"/>
    <s v="https://tools.sig.systems/site/details/188"/>
    <s v="https://www.google.com/maps/d/edit?hl=en&amp;mid=1UHmt7tH1ihTa85i0MfQIcTfVvIQg_vM&amp;ll=41.02423447529239%2C-73.63721502222738&amp;z=18"/>
    <x v="0"/>
    <m/>
    <x v="27"/>
    <x v="35"/>
    <x v="0"/>
    <x v="0"/>
    <x v="53"/>
    <x v="55"/>
  </r>
  <r>
    <s v="Mario Residence5"/>
    <x v="4"/>
    <x v="2"/>
    <x v="59"/>
    <x v="3"/>
    <x v="1"/>
    <x v="3"/>
    <s v="https://tools.sig.systems/site/details/148"/>
    <s v="https://www.google.com/maps/d/edit?hl=es&amp;mid=13OmECPqyeB7fXgZmEoM9cnG34HU_v5g&amp;ll=26.046837034777553%2C-80.38753458591658&amp;z=19"/>
    <x v="0"/>
    <m/>
    <x v="30"/>
    <x v="38"/>
    <x v="0"/>
    <x v="0"/>
    <x v="56"/>
    <x v="60"/>
  </r>
  <r>
    <s v="(AS) Coggin Honda of Orlando (NO TOURS)5"/>
    <x v="4"/>
    <x v="3"/>
    <x v="3"/>
    <x v="1"/>
    <x v="1"/>
    <x v="1"/>
    <s v="https://tools.sig.systems/site/details/324"/>
    <n v="0"/>
    <x v="1"/>
    <m/>
    <x v="3"/>
    <x v="1"/>
    <x v="0"/>
    <x v="2"/>
    <x v="3"/>
    <x v="3"/>
  </r>
  <r>
    <s v="(AS) Kahlo CDJR (NO TOURS)5"/>
    <x v="4"/>
    <x v="3"/>
    <x v="6"/>
    <x v="1"/>
    <x v="1"/>
    <x v="1"/>
    <s v="https://tools.sig.systems/site/details/282"/>
    <s v="https://www.google.com/maps/d/edit?mid=1hsX5GGrNcCQgAuzDCDz1OWgEkhsAc78&amp;usp=sharing"/>
    <x v="0"/>
    <m/>
    <x v="0"/>
    <x v="4"/>
    <x v="1"/>
    <x v="4"/>
    <x v="6"/>
    <x v="6"/>
  </r>
  <r>
    <s v="(AS) Koons Baltimore Ford - Main Dealership (NO TOURS)5"/>
    <x v="4"/>
    <x v="3"/>
    <x v="9"/>
    <x v="1"/>
    <x v="1"/>
    <x v="1"/>
    <s v="https://tools.sig.systems/site/details/335"/>
    <s v="-"/>
    <x v="0"/>
    <m/>
    <x v="6"/>
    <x v="7"/>
    <x v="0"/>
    <x v="5"/>
    <x v="9"/>
    <x v="9"/>
  </r>
  <r>
    <s v="(AS) Koons Easton Toyota - Main Dealership (NO TOURS)5"/>
    <x v="4"/>
    <x v="3"/>
    <x v="14"/>
    <x v="1"/>
    <x v="1"/>
    <x v="1"/>
    <s v="https://tools.sig.systems/site/details/340"/>
    <s v="-"/>
    <x v="0"/>
    <m/>
    <x v="0"/>
    <x v="10"/>
    <x v="0"/>
    <x v="0"/>
    <x v="14"/>
    <x v="14"/>
  </r>
  <r>
    <s v="(AS) Koons Woodbridge Hyundai (NO TOURS)5"/>
    <x v="4"/>
    <x v="3"/>
    <x v="25"/>
    <x v="1"/>
    <x v="1"/>
    <x v="1"/>
    <s v="https://tools.sig.systems/site/details/347"/>
    <s v="-"/>
    <x v="4"/>
    <m/>
    <x v="0"/>
    <x v="19"/>
    <x v="0"/>
    <x v="0"/>
    <x v="25"/>
    <x v="25"/>
  </r>
  <r>
    <s v="(AS) Koons Woodbridge Kia (NO TOURS)5"/>
    <x v="4"/>
    <x v="3"/>
    <x v="26"/>
    <x v="1"/>
    <x v="1"/>
    <x v="1"/>
    <s v="https://tools.sig.systems/site/details/346"/>
    <s v="-"/>
    <x v="2"/>
    <m/>
    <x v="0"/>
    <x v="20"/>
    <x v="0"/>
    <x v="0"/>
    <x v="26"/>
    <x v="26"/>
  </r>
  <r>
    <s v="(DT) Modesto5"/>
    <x v="4"/>
    <x v="3"/>
    <x v="34"/>
    <x v="4"/>
    <x v="3"/>
    <x v="4"/>
    <s v="https://tools.sig.systems/site/details/267"/>
    <n v="0"/>
    <x v="0"/>
    <m/>
    <x v="15"/>
    <x v="23"/>
    <x v="0"/>
    <x v="0"/>
    <x v="34"/>
    <x v="34"/>
  </r>
  <r>
    <s v="(LT) Landers Kia of Little Rock5"/>
    <x v="4"/>
    <x v="3"/>
    <x v="39"/>
    <x v="0"/>
    <x v="0"/>
    <x v="0"/>
    <s v="https://tools.sig.systems/site/details/322"/>
    <s v="https://www.google.com/maps/d/u/1/edit?mid=1-zEzsc6U6nZom08edp0XAd3_HYFvAyk&amp;usp=sharing"/>
    <x v="0"/>
    <m/>
    <x v="19"/>
    <x v="1"/>
    <x v="5"/>
    <x v="17"/>
    <x v="39"/>
    <x v="39"/>
  </r>
  <r>
    <s v="(LT) Luther Bloomington Subaru - Acura5"/>
    <x v="4"/>
    <x v="3"/>
    <x v="41"/>
    <x v="5"/>
    <x v="0"/>
    <x v="5"/>
    <s v="https://tools.sig.systems/site/details/289"/>
    <n v="0"/>
    <x v="0"/>
    <m/>
    <x v="20"/>
    <x v="26"/>
    <x v="7"/>
    <x v="0"/>
    <x v="41"/>
    <x v="41"/>
  </r>
  <r>
    <s v="(LT) Luther North Country Ford5"/>
    <x v="4"/>
    <x v="3"/>
    <x v="48"/>
    <x v="0"/>
    <x v="0"/>
    <x v="0"/>
    <s v="https://tools.sig.systems/site/details/292"/>
    <n v="0"/>
    <x v="0"/>
    <m/>
    <x v="0"/>
    <x v="32"/>
    <x v="11"/>
    <x v="0"/>
    <x v="48"/>
    <x v="48"/>
  </r>
  <r>
    <s v="(PE) JLR Englewood (NO TOURS)5"/>
    <x v="4"/>
    <x v="3"/>
    <x v="53"/>
    <x v="6"/>
    <x v="1"/>
    <x v="1"/>
    <s v="https://tools.sig.systems/site/details/178"/>
    <s v="https://www.google.com/maps/d/viewer?mid=1ubI2iKs1JyYXssuT4oLPnVvFnyLPi_s&amp;ll=40.878808846788026%2C-73.98560655&amp;z=17"/>
    <x v="0"/>
    <m/>
    <x v="25"/>
    <x v="1"/>
    <x v="0"/>
    <x v="0"/>
    <x v="15"/>
    <x v="53"/>
  </r>
  <r>
    <s v="(AS) 3281 Storage Lot (NO TOURS)5"/>
    <x v="4"/>
    <x v="4"/>
    <x v="0"/>
    <x v="0"/>
    <x v="0"/>
    <x v="0"/>
    <s v="https://tools.sig.systems/site/details/305"/>
    <s v="https://www.google.com/maps/d/edit?hl=es&amp;mid=1uPmsRMsXnp74hPFW2t-sp2totVWF_xY&amp;ll=32.83050137713022%2C-96.83197783061323&amp;z=17"/>
    <x v="0"/>
    <m/>
    <x v="0"/>
    <x v="0"/>
    <x v="0"/>
    <x v="0"/>
    <x v="0"/>
    <x v="0"/>
  </r>
  <r>
    <s v="(AS) Hare Chevrolet (NO TOURS)5"/>
    <x v="4"/>
    <x v="4"/>
    <x v="4"/>
    <x v="1"/>
    <x v="1"/>
    <x v="1"/>
    <s v="https://tools.sig.systems/site/details/301"/>
    <s v="https://www.google.com/maps/d/edit?mid=1hsX5GGrNcCQgAuzDCDz1OWgEkhsAc78&amp;usp=sharing"/>
    <x v="0"/>
    <m/>
    <x v="4"/>
    <x v="2"/>
    <x v="0"/>
    <x v="3"/>
    <x v="4"/>
    <x v="4"/>
  </r>
  <r>
    <s v="(AS) Koons Arlington Toyota - New Car (NO TOURS)5"/>
    <x v="4"/>
    <x v="4"/>
    <x v="8"/>
    <x v="1"/>
    <x v="1"/>
    <x v="1"/>
    <s v="https://tools.sig.systems/site/details/334"/>
    <n v="0"/>
    <x v="2"/>
    <m/>
    <x v="0"/>
    <x v="6"/>
    <x v="0"/>
    <x v="0"/>
    <x v="8"/>
    <x v="8"/>
  </r>
  <r>
    <s v="(AS) Koons Chevrolet Buick GMC - Tysons Remote Lot (NO TOURS)5"/>
    <x v="4"/>
    <x v="4"/>
    <x v="13"/>
    <x v="1"/>
    <x v="1"/>
    <x v="1"/>
    <s v="https://tools.sig.systems/site/details/333"/>
    <s v="-"/>
    <x v="0"/>
    <m/>
    <x v="0"/>
    <x v="9"/>
    <x v="2"/>
    <x v="7"/>
    <x v="13"/>
    <x v="13"/>
  </r>
  <r>
    <s v="(AS) Koons Volvo Cars White Marsh (NO TOURS)5"/>
    <x v="4"/>
    <x v="4"/>
    <x v="20"/>
    <x v="1"/>
    <x v="1"/>
    <x v="1"/>
    <s v="https://tools.sig.systems/site/details/338"/>
    <n v="0"/>
    <x v="0"/>
    <m/>
    <x v="0"/>
    <x v="15"/>
    <x v="0"/>
    <x v="0"/>
    <x v="20"/>
    <x v="20"/>
  </r>
  <r>
    <s v="(BRL) Shoemakersville5"/>
    <x v="4"/>
    <x v="4"/>
    <x v="31"/>
    <x v="3"/>
    <x v="1"/>
    <x v="3"/>
    <s v="https://tools.sig.systems/site/details/302"/>
    <n v="0"/>
    <x v="0"/>
    <m/>
    <x v="0"/>
    <x v="22"/>
    <x v="0"/>
    <x v="12"/>
    <x v="31"/>
    <x v="31"/>
  </r>
  <r>
    <s v="(DT) Arlington5"/>
    <x v="4"/>
    <x v="4"/>
    <x v="32"/>
    <x v="0"/>
    <x v="0"/>
    <x v="0"/>
    <s v="https://tools.sig.systems/site/details/199"/>
    <n v="0"/>
    <x v="0"/>
    <m/>
    <x v="13"/>
    <x v="13"/>
    <x v="0"/>
    <x v="0"/>
    <x v="32"/>
    <x v="32"/>
  </r>
  <r>
    <s v="(LT) Luther Bloomington Hyundai (NO TOURS)5"/>
    <x v="4"/>
    <x v="4"/>
    <x v="40"/>
    <x v="0"/>
    <x v="0"/>
    <x v="0"/>
    <s v="https://tools.sig.systems/site/details/318"/>
    <n v="0"/>
    <x v="0"/>
    <m/>
    <x v="0"/>
    <x v="25"/>
    <x v="6"/>
    <x v="18"/>
    <x v="40"/>
    <x v="40"/>
  </r>
  <r>
    <s v="(LT) Luther Landers Recon Center5"/>
    <x v="4"/>
    <x v="4"/>
    <x v="47"/>
    <x v="0"/>
    <x v="0"/>
    <x v="0"/>
    <s v="https://tools.sig.systems/site/details/323"/>
    <s v="https://www.google.com/maps/d/u/1/edit?mid=1-zEzsc6U6nZom08edp0XAd3_HYFvAyk&amp;usp=sharing"/>
    <x v="0"/>
    <m/>
    <x v="21"/>
    <x v="1"/>
    <x v="0"/>
    <x v="0"/>
    <x v="47"/>
    <x v="47"/>
  </r>
  <r>
    <s v="(LT) Luther St. Cloud Subaru5"/>
    <x v="4"/>
    <x v="4"/>
    <x v="49"/>
    <x v="0"/>
    <x v="0"/>
    <x v="6"/>
    <s v="https://tools.sig.systems/site/details/295"/>
    <n v="0"/>
    <x v="0"/>
    <m/>
    <x v="22"/>
    <x v="33"/>
    <x v="12"/>
    <x v="22"/>
    <x v="49"/>
    <x v="49"/>
  </r>
  <r>
    <s v="(SCH) Schumacher of Delray I &amp; III5"/>
    <x v="4"/>
    <x v="4"/>
    <x v="57"/>
    <x v="1"/>
    <x v="1"/>
    <x v="1"/>
    <s v="https://tools.sig.systems/site/details/159"/>
    <s v="https://www.google.com/maps/d/viewer?mid=1ZLGV-cDM9aCfovhmXHIAXgVOKts0dEI&amp;ll=26.438859950088858%2C-80.07968125000001&amp;z=16"/>
    <x v="1"/>
    <m/>
    <x v="29"/>
    <x v="36"/>
    <x v="0"/>
    <x v="0"/>
    <x v="55"/>
    <x v="57"/>
  </r>
  <r>
    <s v="(TC) Lamborghini South Dade5"/>
    <x v="4"/>
    <x v="4"/>
    <x v="58"/>
    <x v="1"/>
    <x v="1"/>
    <x v="1"/>
    <s v="https://tools.sig.systems/site/details/313"/>
    <n v="0"/>
    <x v="0"/>
    <m/>
    <x v="0"/>
    <x v="37"/>
    <x v="0"/>
    <x v="0"/>
    <x v="15"/>
    <x v="58"/>
  </r>
  <r>
    <s v="(AS) 3281 Storage Lot (NO TOURS)6"/>
    <x v="5"/>
    <x v="0"/>
    <x v="0"/>
    <x v="0"/>
    <x v="0"/>
    <x v="0"/>
    <s v="https://tools.sig.systems/site/details/305"/>
    <s v="https://www.google.com/maps/d/edit?hl=es&amp;mid=1uPmsRMsXnp74hPFW2t-sp2totVWF_xY&amp;ll=32.83050137713022%2C-96.83197783061323&amp;z=17"/>
    <x v="0"/>
    <m/>
    <x v="0"/>
    <x v="0"/>
    <x v="0"/>
    <x v="0"/>
    <x v="0"/>
    <x v="0"/>
  </r>
  <r>
    <s v="(AS) Koons Chevrolet Buick GMC - Clarksville (NO TOURS)6"/>
    <x v="5"/>
    <x v="0"/>
    <x v="10"/>
    <x v="1"/>
    <x v="1"/>
    <x v="1"/>
    <s v="https://tools.sig.systems/site/details/306"/>
    <s v="https://www.google.com/maps/d/edit?hl=es&amp;mid=11XB1lTSP7EcDCDvzypdUPWP6bWCNAEI&amp;ll=39.21145022420528%2C-76.94003711910554&amp;z=17"/>
    <x v="2"/>
    <m/>
    <x v="0"/>
    <x v="8"/>
    <x v="0"/>
    <x v="0"/>
    <x v="10"/>
    <x v="10"/>
  </r>
  <r>
    <s v="(AS) Koons Annapolis Toyota (NO TOURS)6"/>
    <x v="5"/>
    <x v="0"/>
    <x v="7"/>
    <x v="1"/>
    <x v="1"/>
    <x v="1"/>
    <s v="https://tools.sig.systems/site/details/337"/>
    <n v="0"/>
    <x v="0"/>
    <m/>
    <x v="5"/>
    <x v="5"/>
    <x v="0"/>
    <x v="0"/>
    <x v="7"/>
    <x v="7"/>
  </r>
  <r>
    <s v="(AS) Koons Sterling Ford - Main Dealership (NO TOURS)6"/>
    <x v="5"/>
    <x v="0"/>
    <x v="18"/>
    <x v="1"/>
    <x v="1"/>
    <x v="1"/>
    <s v="https://tools.sig.systems/site/details/348"/>
    <s v="-"/>
    <x v="2"/>
    <m/>
    <x v="9"/>
    <x v="13"/>
    <x v="0"/>
    <x v="9"/>
    <x v="18"/>
    <x v="18"/>
  </r>
  <r>
    <s v="(AS) Koons Woodbridge Kia (NO TOURS)6"/>
    <x v="5"/>
    <x v="0"/>
    <x v="26"/>
    <x v="1"/>
    <x v="1"/>
    <x v="1"/>
    <s v="https://tools.sig.systems/site/details/346"/>
    <s v="-"/>
    <x v="2"/>
    <m/>
    <x v="0"/>
    <x v="20"/>
    <x v="0"/>
    <x v="0"/>
    <x v="26"/>
    <x v="26"/>
  </r>
  <r>
    <s v="(BRL) Fort Pierce6"/>
    <x v="5"/>
    <x v="0"/>
    <x v="30"/>
    <x v="3"/>
    <x v="1"/>
    <x v="3"/>
    <s v="https://tools.sig.systems/site/details/326"/>
    <s v="-"/>
    <x v="0"/>
    <m/>
    <x v="0"/>
    <x v="7"/>
    <x v="0"/>
    <x v="1"/>
    <x v="30"/>
    <x v="30"/>
  </r>
  <r>
    <s v="(DT) Charlotte6"/>
    <x v="5"/>
    <x v="0"/>
    <x v="33"/>
    <x v="1"/>
    <x v="1"/>
    <x v="1"/>
    <s v="https://tools.sig.systems/site/details/299"/>
    <n v="0"/>
    <x v="0"/>
    <m/>
    <x v="14"/>
    <x v="1"/>
    <x v="0"/>
    <x v="13"/>
    <x v="33"/>
    <x v="33"/>
  </r>
  <r>
    <s v="(LT) Luther Brookdale Toyota6"/>
    <x v="5"/>
    <x v="0"/>
    <x v="43"/>
    <x v="0"/>
    <x v="0"/>
    <x v="1"/>
    <s v="https://tools.sig.systems/site/details/281"/>
    <s v="https://www.google.com/maps/d/viewer?mid=1ot0ILX76JMuvd9yMuqkb4_e0yH1n7TA&amp;ll=45.07815812965141%2C-93.33506855000002&amp;z=17"/>
    <x v="0"/>
    <m/>
    <x v="0"/>
    <x v="28"/>
    <x v="3"/>
    <x v="4"/>
    <x v="43"/>
    <x v="43"/>
  </r>
  <r>
    <s v="(LT) Luther Burnsville Hyundai6"/>
    <x v="5"/>
    <x v="0"/>
    <x v="44"/>
    <x v="0"/>
    <x v="0"/>
    <x v="0"/>
    <s v="https://tools.sig.systems/site/details/307"/>
    <n v="0"/>
    <x v="0"/>
    <m/>
    <x v="0"/>
    <x v="29"/>
    <x v="9"/>
    <x v="20"/>
    <x v="44"/>
    <x v="44"/>
  </r>
  <r>
    <s v="(ML) Joe Machens Hyundai6"/>
    <x v="5"/>
    <x v="0"/>
    <x v="50"/>
    <x v="0"/>
    <x v="0"/>
    <x v="0"/>
    <s v="https://tools.sig.systems/site/details/286"/>
    <s v="https://www.google.com/maps/d/viewer?hl=es&amp;mid=1C1oZdjH3dNvCvqdpIv_Lk0Yn1OCVn-4&amp;ll=38.965368114274455%2C-92.3405954&amp;z=15"/>
    <x v="0"/>
    <m/>
    <x v="0"/>
    <x v="34"/>
    <x v="0"/>
    <x v="11"/>
    <x v="50"/>
    <x v="50"/>
  </r>
  <r>
    <s v="(PE) BMW Service Center (NO TOURS)6"/>
    <x v="5"/>
    <x v="0"/>
    <x v="51"/>
    <x v="6"/>
    <x v="1"/>
    <x v="1"/>
    <s v="https://tools.sig.systems/site/details/184"/>
    <s v="https://www.google.com/maps/d/edit?hl=en&amp;mid=1UHmt7tH1ihTa85i0MfQIcTfVvIQg_vM&amp;ll=41.02423447529239%2C-73.63721502222738&amp;z=18"/>
    <x v="0"/>
    <m/>
    <x v="23"/>
    <x v="1"/>
    <x v="0"/>
    <x v="0"/>
    <x v="51"/>
    <x v="51"/>
  </r>
  <r>
    <s v="(AS) Coggin BMW Ft. Pierce (NO TOURS)6"/>
    <x v="5"/>
    <x v="1"/>
    <x v="1"/>
    <x v="1"/>
    <x v="1"/>
    <x v="1"/>
    <s v="https://tools.sig.systems/site/details/119"/>
    <s v="https://www.google.com/maps/d/viewer?mid=1AyViBuyeq7iwDua1SVudJ2A1BYi3IBA&amp;ll=27.38181516363982%2C-80.32568845000002&amp;z=18"/>
    <x v="0"/>
    <m/>
    <x v="1"/>
    <x v="1"/>
    <x v="0"/>
    <x v="1"/>
    <x v="1"/>
    <x v="1"/>
  </r>
  <r>
    <s v="(AS) Koons Chevrolet Buick GMC - Clarksville Remote Lot (NO TOURS)6"/>
    <x v="5"/>
    <x v="1"/>
    <x v="11"/>
    <x v="1"/>
    <x v="1"/>
    <x v="1"/>
    <s v="https://tools.sig.systems/site/details/308"/>
    <s v="https://www.google.com/maps/d/edit?hl=es&amp;mid=11XB1lTSP7EcDCDvzypdUPWP6bWCNAEI&amp;ll=39.21145022420528%2C-76.94003711910554&amp;z=21"/>
    <x v="2"/>
    <m/>
    <x v="0"/>
    <x v="3"/>
    <x v="0"/>
    <x v="0"/>
    <x v="11"/>
    <x v="11"/>
  </r>
  <r>
    <s v="(AS) Koons Falls Church Ford (NO TOURS)6"/>
    <x v="5"/>
    <x v="1"/>
    <x v="15"/>
    <x v="1"/>
    <x v="1"/>
    <x v="1"/>
    <s v="https://tools.sig.systems/site/details/345"/>
    <s v="-"/>
    <x v="2"/>
    <m/>
    <x v="0"/>
    <x v="7"/>
    <x v="0"/>
    <x v="0"/>
    <x v="15"/>
    <x v="15"/>
  </r>
  <r>
    <s v="(AS) Koons Owings Mills Kia (NO TOURS)6"/>
    <x v="5"/>
    <x v="1"/>
    <x v="17"/>
    <x v="1"/>
    <x v="1"/>
    <x v="1"/>
    <s v="https://tools.sig.systems/site/details/336"/>
    <s v="-"/>
    <x v="0"/>
    <m/>
    <x v="31"/>
    <x v="39"/>
    <x v="0"/>
    <x v="0"/>
    <x v="57"/>
    <x v="17"/>
  </r>
  <r>
    <s v="(AS) Koons Westminster Toyota (NO TOURS)6"/>
    <x v="5"/>
    <x v="1"/>
    <x v="21"/>
    <x v="1"/>
    <x v="1"/>
    <x v="1"/>
    <s v="https://tools.sig.systems/site/details/341"/>
    <s v="-"/>
    <x v="0"/>
    <m/>
    <x v="0"/>
    <x v="16"/>
    <x v="0"/>
    <x v="0"/>
    <x v="21"/>
    <x v="21"/>
  </r>
  <r>
    <s v="(AS) Koons Woodbridge GMC (NO TOURS)6"/>
    <x v="5"/>
    <x v="1"/>
    <x v="24"/>
    <x v="1"/>
    <x v="1"/>
    <x v="1"/>
    <s v="https://tools.sig.systems/site/details/343"/>
    <n v="0"/>
    <x v="2"/>
    <m/>
    <x v="0"/>
    <x v="7"/>
    <x v="0"/>
    <x v="10"/>
    <x v="24"/>
    <x v="24"/>
  </r>
  <r>
    <s v="(KG) Ken Garff Kia of Avondale6"/>
    <x v="5"/>
    <x v="1"/>
    <x v="37"/>
    <x v="4"/>
    <x v="4"/>
    <x v="4"/>
    <s v="https://tools.sig.systems/site/details/283"/>
    <s v="https://www.google.com/maps/d/viewer?mid=1bDs0QGFZwL3vEeGKxjVMk_j4azr0-lg&amp;ll=33.4593758581648%2C-112.28793780000001&amp;z=18"/>
    <x v="5"/>
    <m/>
    <x v="18"/>
    <x v="1"/>
    <x v="0"/>
    <x v="15"/>
    <x v="37"/>
    <x v="37"/>
  </r>
  <r>
    <s v="(LT) Luther Brookdale Honda (NO TOURS)6"/>
    <x v="5"/>
    <x v="1"/>
    <x v="42"/>
    <x v="0"/>
    <x v="0"/>
    <x v="0"/>
    <s v="https://tools.sig.systems/site/details/280"/>
    <s v="https://www.google.com/maps/d/viewer?mid=1ot0ILX76JMuvd9yMuqkb4_e0yH1n7TA&amp;ll=45.07815812965141%2C-93.33506855000002&amp;z=17"/>
    <x v="0"/>
    <m/>
    <x v="0"/>
    <x v="27"/>
    <x v="8"/>
    <x v="19"/>
    <x v="42"/>
    <x v="42"/>
  </r>
  <r>
    <s v="(LT) Luther Genesis of Minneapolis6"/>
    <x v="5"/>
    <x v="1"/>
    <x v="45"/>
    <x v="0"/>
    <x v="0"/>
    <x v="0"/>
    <s v="https://tools.sig.systems/site/details/315"/>
    <n v="0"/>
    <x v="0"/>
    <m/>
    <x v="0"/>
    <x v="30"/>
    <x v="0"/>
    <x v="0"/>
    <x v="45"/>
    <x v="45"/>
  </r>
  <r>
    <s v="(PE) JLR Englewood (NO TOURS)6"/>
    <x v="5"/>
    <x v="1"/>
    <x v="53"/>
    <x v="6"/>
    <x v="1"/>
    <x v="1"/>
    <s v="https://tools.sig.systems/site/details/178"/>
    <s v="https://www.google.com/maps/d/viewer?mid=1ubI2iKs1JyYXssuT4oLPnVvFnyLPi_s&amp;ll=40.878808846788026%2C-73.98560655&amp;z=17"/>
    <x v="0"/>
    <m/>
    <x v="25"/>
    <x v="1"/>
    <x v="0"/>
    <x v="0"/>
    <x v="15"/>
    <x v="53"/>
  </r>
  <r>
    <s v="(PE) JLR Paramus (NO TOURS)6"/>
    <x v="5"/>
    <x v="1"/>
    <x v="54"/>
    <x v="6"/>
    <x v="1"/>
    <x v="1"/>
    <s v="https://tools.sig.systems/site/details/177"/>
    <n v="0"/>
    <x v="0"/>
    <m/>
    <x v="26"/>
    <x v="1"/>
    <x v="0"/>
    <x v="0"/>
    <x v="52"/>
    <x v="54"/>
  </r>
  <r>
    <s v="(PE) Porsche Audi Fairfield (NO TOURS)6"/>
    <x v="5"/>
    <x v="1"/>
    <x v="56"/>
    <x v="6"/>
    <x v="1"/>
    <x v="1"/>
    <s v="https://tools.sig.systems/site/details/194"/>
    <n v="0"/>
    <x v="0"/>
    <m/>
    <x v="28"/>
    <x v="1"/>
    <x v="0"/>
    <x v="4"/>
    <x v="54"/>
    <x v="56"/>
  </r>
  <r>
    <s v="(AS) Koons Chevrolet Buick GMC - Tysons (NO TOURS)6"/>
    <x v="5"/>
    <x v="2"/>
    <x v="12"/>
    <x v="1"/>
    <x v="1"/>
    <x v="1"/>
    <s v="https://tools.sig.systems/site/details/352"/>
    <s v="-"/>
    <x v="2"/>
    <m/>
    <x v="7"/>
    <x v="1"/>
    <x v="0"/>
    <x v="6"/>
    <x v="12"/>
    <x v="12"/>
  </r>
  <r>
    <s v="(AS) Koons Tysons Toyota - Main Dealership (NO TOURS)6"/>
    <x v="5"/>
    <x v="2"/>
    <x v="19"/>
    <x v="1"/>
    <x v="1"/>
    <x v="1"/>
    <s v="https://tools.sig.systems/site/details/344"/>
    <s v="-"/>
    <x v="0"/>
    <m/>
    <x v="0"/>
    <x v="14"/>
    <x v="0"/>
    <x v="0"/>
    <x v="19"/>
    <x v="19"/>
  </r>
  <r>
    <s v="(AS) Koons White Marsh Chevrolet (NO TOURS)6"/>
    <x v="5"/>
    <x v="2"/>
    <x v="22"/>
    <x v="1"/>
    <x v="1"/>
    <x v="1"/>
    <s v="https://tools.sig.systems/site/details/339"/>
    <s v="-"/>
    <x v="0"/>
    <m/>
    <x v="10"/>
    <x v="17"/>
    <x v="0"/>
    <x v="0"/>
    <x v="22"/>
    <x v="22"/>
  </r>
  <r>
    <s v="(AS) Koons Woodbridge Ford (NO TOURS)6"/>
    <x v="5"/>
    <x v="2"/>
    <x v="23"/>
    <x v="1"/>
    <x v="1"/>
    <x v="1"/>
    <s v="https://tools.sig.systems/site/details/342"/>
    <n v="0"/>
    <x v="3"/>
    <m/>
    <x v="0"/>
    <x v="18"/>
    <x v="0"/>
    <x v="0"/>
    <x v="23"/>
    <x v="23"/>
  </r>
  <r>
    <s v="(AS) Larry H Miller CDJR Fiat (NO TOURS)6"/>
    <x v="5"/>
    <x v="2"/>
    <x v="27"/>
    <x v="2"/>
    <x v="2"/>
    <x v="2"/>
    <s v="https://tools.sig.systems/site/details/298"/>
    <n v="0"/>
    <x v="0"/>
    <m/>
    <x v="11"/>
    <x v="2"/>
    <x v="0"/>
    <x v="0"/>
    <x v="27"/>
    <x v="27"/>
  </r>
  <r>
    <s v="(AS) Plaza Collision ST Louis (NO TOURS)6"/>
    <x v="5"/>
    <x v="2"/>
    <x v="28"/>
    <x v="0"/>
    <x v="0"/>
    <x v="0"/>
    <s v="https://tools.sig.systems/site/details/350"/>
    <s v="-"/>
    <x v="0"/>
    <m/>
    <x v="12"/>
    <x v="7"/>
    <x v="0"/>
    <x v="0"/>
    <x v="28"/>
    <x v="28"/>
  </r>
  <r>
    <s v="(KG) Ken Garff Volkswagen of Gilbert6"/>
    <x v="5"/>
    <x v="2"/>
    <x v="38"/>
    <x v="4"/>
    <x v="4"/>
    <x v="4"/>
    <s v="https://tools.sig.systems/site/details/284"/>
    <s v="https://www.google.com/maps/d/viewer?hl=es&amp;mid=19SU7XE9Cg8jhVFpEI21Vi9Zfgdih9Ds&amp;ll=33.29158262977276%2C-111.75783630000002&amp;z=17"/>
    <x v="5"/>
    <m/>
    <x v="7"/>
    <x v="1"/>
    <x v="0"/>
    <x v="16"/>
    <x v="38"/>
    <x v="38"/>
  </r>
  <r>
    <s v="(LT) Luther Hopkins Honda (NO TOURS)6"/>
    <x v="5"/>
    <x v="2"/>
    <x v="46"/>
    <x v="0"/>
    <x v="0"/>
    <x v="0"/>
    <s v="https://tools.sig.systems/site/details/288"/>
    <n v="0"/>
    <x v="0"/>
    <m/>
    <x v="0"/>
    <x v="31"/>
    <x v="10"/>
    <x v="21"/>
    <x v="46"/>
    <x v="46"/>
  </r>
  <r>
    <s v="(PE) MB of Greenwich6"/>
    <x v="5"/>
    <x v="2"/>
    <x v="55"/>
    <x v="6"/>
    <x v="1"/>
    <x v="1"/>
    <s v="https://tools.sig.systems/site/details/188"/>
    <s v="https://www.google.com/maps/d/edit?hl=en&amp;mid=1UHmt7tH1ihTa85i0MfQIcTfVvIQg_vM&amp;ll=41.02423447529239%2C-73.63721502222738&amp;z=18"/>
    <x v="0"/>
    <m/>
    <x v="27"/>
    <x v="35"/>
    <x v="0"/>
    <x v="0"/>
    <x v="53"/>
    <x v="55"/>
  </r>
  <r>
    <s v="Mario Residence6"/>
    <x v="5"/>
    <x v="2"/>
    <x v="59"/>
    <x v="3"/>
    <x v="1"/>
    <x v="3"/>
    <s v="https://tools.sig.systems/site/details/148"/>
    <s v="https://www.google.com/maps/d/edit?hl=es&amp;mid=13OmECPqyeB7fXgZmEoM9cnG34HU_v5g&amp;ll=26.046837034777553%2C-80.38753458591658&amp;z=19"/>
    <x v="0"/>
    <m/>
    <x v="30"/>
    <x v="38"/>
    <x v="0"/>
    <x v="0"/>
    <x v="56"/>
    <x v="60"/>
  </r>
  <r>
    <s v="(AS) Coggin Honda of Orlando (NO TOURS)6"/>
    <x v="5"/>
    <x v="3"/>
    <x v="3"/>
    <x v="1"/>
    <x v="1"/>
    <x v="1"/>
    <s v="https://tools.sig.systems/site/details/324"/>
    <n v="0"/>
    <x v="1"/>
    <m/>
    <x v="3"/>
    <x v="1"/>
    <x v="0"/>
    <x v="2"/>
    <x v="3"/>
    <x v="3"/>
  </r>
  <r>
    <s v="(AS) Kahlo CDJR (NO TOURS)6"/>
    <x v="5"/>
    <x v="3"/>
    <x v="6"/>
    <x v="1"/>
    <x v="1"/>
    <x v="1"/>
    <s v="https://tools.sig.systems/site/details/282"/>
    <s v="https://www.google.com/maps/d/edit?mid=1hsX5GGrNcCQgAuzDCDz1OWgEkhsAc78&amp;usp=sharing"/>
    <x v="0"/>
    <m/>
    <x v="0"/>
    <x v="4"/>
    <x v="1"/>
    <x v="4"/>
    <x v="6"/>
    <x v="6"/>
  </r>
  <r>
    <s v="(AS) Koons Baltimore Ford - Main Dealership (NO TOURS)6"/>
    <x v="5"/>
    <x v="3"/>
    <x v="9"/>
    <x v="1"/>
    <x v="1"/>
    <x v="1"/>
    <s v="https://tools.sig.systems/site/details/335"/>
    <s v="-"/>
    <x v="0"/>
    <m/>
    <x v="6"/>
    <x v="7"/>
    <x v="0"/>
    <x v="5"/>
    <x v="9"/>
    <x v="9"/>
  </r>
  <r>
    <s v="(AS) Koons Easton Toyota - Main Dealership (NO TOURS)6"/>
    <x v="5"/>
    <x v="3"/>
    <x v="14"/>
    <x v="1"/>
    <x v="1"/>
    <x v="1"/>
    <s v="https://tools.sig.systems/site/details/340"/>
    <s v="-"/>
    <x v="0"/>
    <m/>
    <x v="0"/>
    <x v="10"/>
    <x v="0"/>
    <x v="0"/>
    <x v="14"/>
    <x v="14"/>
  </r>
  <r>
    <s v="(AS) Plaza Mercedes Benz West (NO TOURS)6"/>
    <x v="5"/>
    <x v="3"/>
    <x v="29"/>
    <x v="0"/>
    <x v="0"/>
    <x v="0"/>
    <s v="https://tools.sig.systems/site/details/349"/>
    <n v="0"/>
    <x v="0"/>
    <m/>
    <x v="0"/>
    <x v="21"/>
    <x v="0"/>
    <x v="11"/>
    <x v="29"/>
    <x v="29"/>
  </r>
  <r>
    <s v="(LT) Landers Kia of Little Rock6"/>
    <x v="5"/>
    <x v="3"/>
    <x v="39"/>
    <x v="0"/>
    <x v="0"/>
    <x v="0"/>
    <s v="https://tools.sig.systems/site/details/322"/>
    <s v="https://www.google.com/maps/d/u/1/edit?mid=1-zEzsc6U6nZom08edp0XAd3_HYFvAyk&amp;usp=sharing"/>
    <x v="0"/>
    <m/>
    <x v="19"/>
    <x v="1"/>
    <x v="5"/>
    <x v="17"/>
    <x v="39"/>
    <x v="39"/>
  </r>
  <r>
    <s v="(LT) Luther North Country Ford6"/>
    <x v="5"/>
    <x v="3"/>
    <x v="48"/>
    <x v="0"/>
    <x v="0"/>
    <x v="0"/>
    <s v="https://tools.sig.systems/site/details/292"/>
    <n v="0"/>
    <x v="0"/>
    <m/>
    <x v="0"/>
    <x v="32"/>
    <x v="11"/>
    <x v="0"/>
    <x v="48"/>
    <x v="48"/>
  </r>
  <r>
    <s v="(PE) JLR Darien (NO TOURS)6"/>
    <x v="5"/>
    <x v="3"/>
    <x v="52"/>
    <x v="6"/>
    <x v="1"/>
    <x v="1"/>
    <s v="https://tools.sig.systems/site/details/189"/>
    <s v="-"/>
    <x v="0"/>
    <m/>
    <x v="24"/>
    <x v="1"/>
    <x v="0"/>
    <x v="0"/>
    <x v="15"/>
    <x v="52"/>
  </r>
  <r>
    <s v="(AS) Hare Chevrolet (NO TOURS)6"/>
    <x v="5"/>
    <x v="4"/>
    <x v="4"/>
    <x v="1"/>
    <x v="1"/>
    <x v="1"/>
    <s v="https://tools.sig.systems/site/details/301"/>
    <s v="https://www.google.com/maps/d/edit?mid=1hsX5GGrNcCQgAuzDCDz1OWgEkhsAc78&amp;usp=sharing"/>
    <x v="0"/>
    <m/>
    <x v="4"/>
    <x v="2"/>
    <x v="0"/>
    <x v="3"/>
    <x v="4"/>
    <x v="4"/>
  </r>
  <r>
    <s v="(AS) Koons Woodbridge Hyundai (NO TOURS)6"/>
    <x v="5"/>
    <x v="4"/>
    <x v="25"/>
    <x v="1"/>
    <x v="1"/>
    <x v="1"/>
    <s v="https://tools.sig.systems/site/details/347"/>
    <s v="-"/>
    <x v="4"/>
    <m/>
    <x v="0"/>
    <x v="19"/>
    <x v="0"/>
    <x v="0"/>
    <x v="25"/>
    <x v="25"/>
  </r>
  <r>
    <s v="(BRL) Shoemakersville6"/>
    <x v="5"/>
    <x v="4"/>
    <x v="31"/>
    <x v="3"/>
    <x v="1"/>
    <x v="3"/>
    <s v="https://tools.sig.systems/site/details/302"/>
    <n v="0"/>
    <x v="0"/>
    <m/>
    <x v="0"/>
    <x v="22"/>
    <x v="0"/>
    <x v="12"/>
    <x v="31"/>
    <x v="31"/>
  </r>
  <r>
    <s v="(DT) Arlington6"/>
    <x v="5"/>
    <x v="4"/>
    <x v="32"/>
    <x v="0"/>
    <x v="0"/>
    <x v="0"/>
    <s v="https://tools.sig.systems/site/details/199"/>
    <n v="0"/>
    <x v="0"/>
    <m/>
    <x v="13"/>
    <x v="13"/>
    <x v="0"/>
    <x v="0"/>
    <x v="32"/>
    <x v="32"/>
  </r>
  <r>
    <s v="(KG) Big Star Cadillac6"/>
    <x v="5"/>
    <x v="4"/>
    <x v="35"/>
    <x v="0"/>
    <x v="0"/>
    <x v="0"/>
    <s v="https://tools.sig.systems/site/details/316"/>
    <s v="https://www.google.com/maps/d/edit?mid=1jIRkMUnWNPuTgDjQgDP-f33LClT85NU&amp;usp=sharing"/>
    <x v="0"/>
    <m/>
    <x v="16"/>
    <x v="1"/>
    <x v="0"/>
    <x v="0"/>
    <x v="35"/>
    <x v="35"/>
  </r>
  <r>
    <s v="(LT) Luther Bloomington Hyundai (NO TOURS)6"/>
    <x v="5"/>
    <x v="4"/>
    <x v="40"/>
    <x v="0"/>
    <x v="0"/>
    <x v="0"/>
    <s v="https://tools.sig.systems/site/details/318"/>
    <n v="0"/>
    <x v="0"/>
    <m/>
    <x v="0"/>
    <x v="25"/>
    <x v="6"/>
    <x v="18"/>
    <x v="40"/>
    <x v="40"/>
  </r>
  <r>
    <s v="(LT) Luther Landers Recon Center6"/>
    <x v="5"/>
    <x v="4"/>
    <x v="47"/>
    <x v="0"/>
    <x v="0"/>
    <x v="0"/>
    <s v="https://tools.sig.systems/site/details/323"/>
    <s v="https://www.google.com/maps/d/u/1/edit?mid=1-zEzsc6U6nZom08edp0XAd3_HYFvAyk&amp;usp=sharing"/>
    <x v="0"/>
    <m/>
    <x v="21"/>
    <x v="1"/>
    <x v="0"/>
    <x v="0"/>
    <x v="47"/>
    <x v="47"/>
  </r>
  <r>
    <s v="(SCH) Schumacher of Delray I &amp; III6"/>
    <x v="5"/>
    <x v="4"/>
    <x v="57"/>
    <x v="1"/>
    <x v="1"/>
    <x v="1"/>
    <s v="https://tools.sig.systems/site/details/159"/>
    <s v="https://www.google.com/maps/d/viewer?mid=1ZLGV-cDM9aCfovhmXHIAXgVOKts0dEI&amp;ll=26.438859950088858%2C-80.07968125000001&amp;z=16"/>
    <x v="1"/>
    <m/>
    <x v="29"/>
    <x v="36"/>
    <x v="0"/>
    <x v="0"/>
    <x v="55"/>
    <x v="57"/>
  </r>
  <r>
    <s v="(AS) Coggin Collision Center of Kissimmee (NO TOURS)6"/>
    <x v="5"/>
    <x v="5"/>
    <x v="2"/>
    <x v="1"/>
    <x v="1"/>
    <x v="1"/>
    <s v="https://tools.sig.systems/site/details/331"/>
    <n v="0"/>
    <x v="0"/>
    <m/>
    <x v="2"/>
    <x v="1"/>
    <x v="0"/>
    <x v="0"/>
    <x v="2"/>
    <x v="2"/>
  </r>
  <r>
    <s v="(AS) Hare Truck Center (NO TOURS)6"/>
    <x v="5"/>
    <x v="5"/>
    <x v="5"/>
    <x v="1"/>
    <x v="1"/>
    <x v="1"/>
    <s v="https://tools.sig.systems/site/details/300"/>
    <s v="https://www.google.com/maps/d/edit?mid=1hsX5GGrNcCQgAuzDCDz1OWgEkhsAc78&amp;usp=sharing"/>
    <x v="0"/>
    <m/>
    <x v="0"/>
    <x v="3"/>
    <x v="0"/>
    <x v="0"/>
    <x v="5"/>
    <x v="5"/>
  </r>
  <r>
    <s v="(AS) Koons Arlington Toyota - New Car (NO TOURS)6"/>
    <x v="5"/>
    <x v="5"/>
    <x v="8"/>
    <x v="1"/>
    <x v="1"/>
    <x v="1"/>
    <s v="https://tools.sig.systems/site/details/334"/>
    <n v="0"/>
    <x v="2"/>
    <m/>
    <x v="0"/>
    <x v="6"/>
    <x v="0"/>
    <x v="0"/>
    <x v="8"/>
    <x v="8"/>
  </r>
  <r>
    <s v="(AS) Koons Chevrolet Buick GMC - Tysons Remote Lot (NO TOURS)6"/>
    <x v="5"/>
    <x v="5"/>
    <x v="13"/>
    <x v="1"/>
    <x v="1"/>
    <x v="1"/>
    <s v="https://tools.sig.systems/site/details/333"/>
    <s v="-"/>
    <x v="0"/>
    <m/>
    <x v="0"/>
    <x v="9"/>
    <x v="2"/>
    <x v="7"/>
    <x v="13"/>
    <x v="13"/>
  </r>
  <r>
    <s v="(AS) Koons MB of Catonsville (NO TOURS)6"/>
    <x v="5"/>
    <x v="5"/>
    <x v="16"/>
    <x v="1"/>
    <x v="1"/>
    <x v="1"/>
    <s v="https://tools.sig.systems/site/details/303"/>
    <n v="0"/>
    <x v="0"/>
    <m/>
    <x v="0"/>
    <x v="11"/>
    <x v="3"/>
    <x v="3"/>
    <x v="16"/>
    <x v="16"/>
  </r>
  <r>
    <s v="(AS) Koons Volvo Cars White Marsh (NO TOURS)6"/>
    <x v="5"/>
    <x v="5"/>
    <x v="20"/>
    <x v="1"/>
    <x v="1"/>
    <x v="1"/>
    <s v="https://tools.sig.systems/site/details/338"/>
    <n v="0"/>
    <x v="0"/>
    <m/>
    <x v="0"/>
    <x v="15"/>
    <x v="0"/>
    <x v="0"/>
    <x v="20"/>
    <x v="20"/>
  </r>
  <r>
    <s v="(DT) Modesto6"/>
    <x v="5"/>
    <x v="5"/>
    <x v="34"/>
    <x v="4"/>
    <x v="3"/>
    <x v="4"/>
    <s v="https://tools.sig.systems/site/details/267"/>
    <n v="0"/>
    <x v="0"/>
    <m/>
    <x v="15"/>
    <x v="23"/>
    <x v="0"/>
    <x v="0"/>
    <x v="34"/>
    <x v="34"/>
  </r>
  <r>
    <s v="(KG) Big Star Hyundai Houston6"/>
    <x v="5"/>
    <x v="5"/>
    <x v="36"/>
    <x v="0"/>
    <x v="0"/>
    <x v="0"/>
    <s v="https://tools.sig.systems/site/details/287"/>
    <s v="https://www.google.com/maps/d/edit?hl=en&amp;mid=1jIRkMUnWNPuTgDjQgDP-f33LClT85NU&amp;ll=29.55731827236326%2C-95.1601644&amp;z=17"/>
    <x v="0"/>
    <m/>
    <x v="17"/>
    <x v="24"/>
    <x v="0"/>
    <x v="14"/>
    <x v="36"/>
    <x v="36"/>
  </r>
  <r>
    <s v="(LT) Luther Bloomington Subaru - Acura6"/>
    <x v="5"/>
    <x v="5"/>
    <x v="41"/>
    <x v="5"/>
    <x v="0"/>
    <x v="5"/>
    <s v="https://tools.sig.systems/site/details/289"/>
    <n v="0"/>
    <x v="0"/>
    <m/>
    <x v="20"/>
    <x v="26"/>
    <x v="7"/>
    <x v="0"/>
    <x v="41"/>
    <x v="41"/>
  </r>
  <r>
    <s v="(LT) Luther St. Cloud Subaru6"/>
    <x v="5"/>
    <x v="5"/>
    <x v="49"/>
    <x v="0"/>
    <x v="0"/>
    <x v="6"/>
    <s v="https://tools.sig.systems/site/details/295"/>
    <n v="0"/>
    <x v="0"/>
    <m/>
    <x v="22"/>
    <x v="33"/>
    <x v="12"/>
    <x v="22"/>
    <x v="49"/>
    <x v="49"/>
  </r>
  <r>
    <s v="(TC) Lamborghini South Dade6"/>
    <x v="5"/>
    <x v="5"/>
    <x v="58"/>
    <x v="1"/>
    <x v="1"/>
    <x v="1"/>
    <s v="https://tools.sig.systems/site/details/313"/>
    <n v="0"/>
    <x v="0"/>
    <m/>
    <x v="0"/>
    <x v="37"/>
    <x v="0"/>
    <x v="0"/>
    <x v="15"/>
    <x v="58"/>
  </r>
  <r>
    <s v="(AS) 3281 Storage Lot (NO TOURS)7"/>
    <x v="6"/>
    <x v="0"/>
    <x v="0"/>
    <x v="0"/>
    <x v="0"/>
    <x v="0"/>
    <s v="https://tools.sig.systems/site/details/305"/>
    <s v="https://www.google.com/maps/d/edit?hl=es&amp;mid=1uPmsRMsXnp74hPFW2t-sp2totVWF_xY&amp;ll=32.83050137713022%2C-96.83197783061323&amp;z=17"/>
    <x v="0"/>
    <m/>
    <x v="0"/>
    <x v="0"/>
    <x v="0"/>
    <x v="0"/>
    <x v="0"/>
    <x v="0"/>
  </r>
  <r>
    <s v="(AS) Koons Chevrolet Buick GMC - Clarksville (NO TOURS)7"/>
    <x v="6"/>
    <x v="0"/>
    <x v="10"/>
    <x v="1"/>
    <x v="1"/>
    <x v="1"/>
    <s v="https://tools.sig.systems/site/details/306"/>
    <s v="https://www.google.com/maps/d/edit?hl=es&amp;mid=11XB1lTSP7EcDCDvzypdUPWP6bWCNAEI&amp;ll=39.21145022420528%2C-76.94003711910554&amp;z=17"/>
    <x v="2"/>
    <m/>
    <x v="0"/>
    <x v="8"/>
    <x v="0"/>
    <x v="0"/>
    <x v="10"/>
    <x v="10"/>
  </r>
  <r>
    <s v="(AS) Koons Annapolis Toyota (NO TOURS)7"/>
    <x v="6"/>
    <x v="0"/>
    <x v="7"/>
    <x v="1"/>
    <x v="1"/>
    <x v="1"/>
    <s v="https://tools.sig.systems/site/details/337"/>
    <n v="0"/>
    <x v="0"/>
    <m/>
    <x v="5"/>
    <x v="5"/>
    <x v="0"/>
    <x v="0"/>
    <x v="7"/>
    <x v="7"/>
  </r>
  <r>
    <s v="(AS) Koons Woodbridge Kia (NO TOURS)7"/>
    <x v="6"/>
    <x v="0"/>
    <x v="26"/>
    <x v="1"/>
    <x v="1"/>
    <x v="1"/>
    <s v="https://tools.sig.systems/site/details/346"/>
    <s v="-"/>
    <x v="2"/>
    <m/>
    <x v="0"/>
    <x v="20"/>
    <x v="0"/>
    <x v="0"/>
    <x v="26"/>
    <x v="26"/>
  </r>
  <r>
    <s v="(BRL) Fort Pierce7"/>
    <x v="6"/>
    <x v="0"/>
    <x v="30"/>
    <x v="3"/>
    <x v="1"/>
    <x v="3"/>
    <s v="https://tools.sig.systems/site/details/326"/>
    <s v="-"/>
    <x v="0"/>
    <m/>
    <x v="0"/>
    <x v="7"/>
    <x v="0"/>
    <x v="1"/>
    <x v="30"/>
    <x v="30"/>
  </r>
  <r>
    <s v="(DT) Charlotte7"/>
    <x v="6"/>
    <x v="0"/>
    <x v="33"/>
    <x v="1"/>
    <x v="1"/>
    <x v="1"/>
    <s v="https://tools.sig.systems/site/details/299"/>
    <n v="0"/>
    <x v="0"/>
    <m/>
    <x v="14"/>
    <x v="1"/>
    <x v="0"/>
    <x v="13"/>
    <x v="33"/>
    <x v="33"/>
  </r>
  <r>
    <s v="(LT) Luther Brookdale Toyota7"/>
    <x v="6"/>
    <x v="0"/>
    <x v="43"/>
    <x v="0"/>
    <x v="0"/>
    <x v="1"/>
    <s v="https://tools.sig.systems/site/details/281"/>
    <s v="https://www.google.com/maps/d/viewer?mid=1ot0ILX76JMuvd9yMuqkb4_e0yH1n7TA&amp;ll=45.07815812965141%2C-93.33506855000002&amp;z=17"/>
    <x v="0"/>
    <m/>
    <x v="0"/>
    <x v="28"/>
    <x v="3"/>
    <x v="4"/>
    <x v="43"/>
    <x v="43"/>
  </r>
  <r>
    <s v="(LT) Luther Burnsville Hyundai7"/>
    <x v="6"/>
    <x v="0"/>
    <x v="44"/>
    <x v="0"/>
    <x v="0"/>
    <x v="0"/>
    <s v="https://tools.sig.systems/site/details/307"/>
    <n v="0"/>
    <x v="0"/>
    <m/>
    <x v="0"/>
    <x v="29"/>
    <x v="9"/>
    <x v="20"/>
    <x v="44"/>
    <x v="44"/>
  </r>
  <r>
    <s v="(PE) BMW Service Center (NO TOURS)7"/>
    <x v="6"/>
    <x v="0"/>
    <x v="51"/>
    <x v="6"/>
    <x v="1"/>
    <x v="1"/>
    <s v="https://tools.sig.systems/site/details/184"/>
    <s v="https://www.google.com/maps/d/edit?hl=en&amp;mid=1UHmt7tH1ihTa85i0MfQIcTfVvIQg_vM&amp;ll=41.02423447529239%2C-73.63721502222738&amp;z=18"/>
    <x v="0"/>
    <m/>
    <x v="23"/>
    <x v="1"/>
    <x v="0"/>
    <x v="0"/>
    <x v="51"/>
    <x v="51"/>
  </r>
  <r>
    <s v="(PE) Porsche Audi Fairfield (NO TOURS)7"/>
    <x v="6"/>
    <x v="0"/>
    <x v="56"/>
    <x v="6"/>
    <x v="1"/>
    <x v="1"/>
    <s v="https://tools.sig.systems/site/details/194"/>
    <n v="0"/>
    <x v="0"/>
    <m/>
    <x v="28"/>
    <x v="1"/>
    <x v="0"/>
    <x v="4"/>
    <x v="54"/>
    <x v="56"/>
  </r>
  <r>
    <s v="(AS) Coggin BMW Ft. Pierce (NO TOURS)7"/>
    <x v="6"/>
    <x v="1"/>
    <x v="1"/>
    <x v="1"/>
    <x v="1"/>
    <x v="1"/>
    <s v="https://tools.sig.systems/site/details/119"/>
    <s v="https://www.google.com/maps/d/viewer?mid=1AyViBuyeq7iwDua1SVudJ2A1BYi3IBA&amp;ll=27.38181516363982%2C-80.32568845000002&amp;z=18"/>
    <x v="0"/>
    <m/>
    <x v="1"/>
    <x v="1"/>
    <x v="0"/>
    <x v="1"/>
    <x v="1"/>
    <x v="1"/>
  </r>
  <r>
    <s v="(AS) Koons Chevrolet Buick GMC - Clarksville Remote Lot (NO TOURS)7"/>
    <x v="6"/>
    <x v="1"/>
    <x v="11"/>
    <x v="1"/>
    <x v="1"/>
    <x v="1"/>
    <s v="https://tools.sig.systems/site/details/308"/>
    <s v="https://www.google.com/maps/d/edit?hl=es&amp;mid=11XB1lTSP7EcDCDvzypdUPWP6bWCNAEI&amp;ll=39.21145022420528%2C-76.94003711910554&amp;z=21"/>
    <x v="2"/>
    <m/>
    <x v="0"/>
    <x v="3"/>
    <x v="0"/>
    <x v="0"/>
    <x v="11"/>
    <x v="11"/>
  </r>
  <r>
    <s v="(AS) Koons Owings Mills Kia (NO TOURS)7"/>
    <x v="6"/>
    <x v="1"/>
    <x v="17"/>
    <x v="1"/>
    <x v="1"/>
    <x v="1"/>
    <s v="https://tools.sig.systems/site/details/336"/>
    <s v="-"/>
    <x v="0"/>
    <m/>
    <x v="31"/>
    <x v="39"/>
    <x v="0"/>
    <x v="0"/>
    <x v="57"/>
    <x v="17"/>
  </r>
  <r>
    <s v="(AS) Koons Westminster Toyota (NO TOURS)7"/>
    <x v="6"/>
    <x v="1"/>
    <x v="21"/>
    <x v="1"/>
    <x v="1"/>
    <x v="1"/>
    <s v="https://tools.sig.systems/site/details/341"/>
    <s v="-"/>
    <x v="0"/>
    <m/>
    <x v="0"/>
    <x v="16"/>
    <x v="0"/>
    <x v="0"/>
    <x v="21"/>
    <x v="21"/>
  </r>
  <r>
    <s v="(AS) Koons Woodbridge GMC (NO TOURS)7"/>
    <x v="6"/>
    <x v="1"/>
    <x v="24"/>
    <x v="1"/>
    <x v="1"/>
    <x v="1"/>
    <s v="https://tools.sig.systems/site/details/343"/>
    <n v="0"/>
    <x v="2"/>
    <m/>
    <x v="0"/>
    <x v="7"/>
    <x v="0"/>
    <x v="10"/>
    <x v="24"/>
    <x v="24"/>
  </r>
  <r>
    <s v="(AS) Plaza Mercedes Benz West (NO TOURS)7"/>
    <x v="6"/>
    <x v="1"/>
    <x v="29"/>
    <x v="0"/>
    <x v="0"/>
    <x v="0"/>
    <s v="https://tools.sig.systems/site/details/349"/>
    <n v="0"/>
    <x v="0"/>
    <m/>
    <x v="0"/>
    <x v="21"/>
    <x v="0"/>
    <x v="11"/>
    <x v="29"/>
    <x v="29"/>
  </r>
  <r>
    <s v="(KG) Ken Garff Kia of Avondale7"/>
    <x v="6"/>
    <x v="1"/>
    <x v="37"/>
    <x v="4"/>
    <x v="4"/>
    <x v="4"/>
    <s v="https://tools.sig.systems/site/details/283"/>
    <s v="https://www.google.com/maps/d/viewer?mid=1bDs0QGFZwL3vEeGKxjVMk_j4azr0-lg&amp;ll=33.4593758581648%2C-112.28793780000001&amp;z=18"/>
    <x v="5"/>
    <m/>
    <x v="18"/>
    <x v="1"/>
    <x v="0"/>
    <x v="15"/>
    <x v="37"/>
    <x v="37"/>
  </r>
  <r>
    <s v="(LT) Luther Genesis of Minneapolis7"/>
    <x v="6"/>
    <x v="1"/>
    <x v="45"/>
    <x v="0"/>
    <x v="0"/>
    <x v="0"/>
    <s v="https://tools.sig.systems/site/details/315"/>
    <n v="0"/>
    <x v="0"/>
    <m/>
    <x v="0"/>
    <x v="30"/>
    <x v="0"/>
    <x v="0"/>
    <x v="45"/>
    <x v="45"/>
  </r>
  <r>
    <s v="(LT) Luther Hopkins Honda (NO TOURS)7"/>
    <x v="6"/>
    <x v="1"/>
    <x v="46"/>
    <x v="0"/>
    <x v="0"/>
    <x v="0"/>
    <s v="https://tools.sig.systems/site/details/288"/>
    <n v="0"/>
    <x v="0"/>
    <m/>
    <x v="0"/>
    <x v="31"/>
    <x v="10"/>
    <x v="21"/>
    <x v="46"/>
    <x v="46"/>
  </r>
  <r>
    <s v="(PE) JLR Englewood (NO TOURS)7"/>
    <x v="6"/>
    <x v="1"/>
    <x v="53"/>
    <x v="6"/>
    <x v="1"/>
    <x v="1"/>
    <s v="https://tools.sig.systems/site/details/178"/>
    <s v="https://www.google.com/maps/d/viewer?mid=1ubI2iKs1JyYXssuT4oLPnVvFnyLPi_s&amp;ll=40.878808846788026%2C-73.98560655&amp;z=17"/>
    <x v="0"/>
    <m/>
    <x v="25"/>
    <x v="1"/>
    <x v="0"/>
    <x v="0"/>
    <x v="15"/>
    <x v="53"/>
  </r>
  <r>
    <s v="(AS) Koons Chevrolet Buick GMC - Tysons (NO TOURS)7"/>
    <x v="6"/>
    <x v="2"/>
    <x v="12"/>
    <x v="1"/>
    <x v="1"/>
    <x v="1"/>
    <s v="https://tools.sig.systems/site/details/352"/>
    <s v="-"/>
    <x v="2"/>
    <m/>
    <x v="7"/>
    <x v="1"/>
    <x v="0"/>
    <x v="6"/>
    <x v="12"/>
    <x v="12"/>
  </r>
  <r>
    <s v="(AS) Koons MB of Catonsville (NO TOURS)7"/>
    <x v="6"/>
    <x v="2"/>
    <x v="16"/>
    <x v="1"/>
    <x v="1"/>
    <x v="1"/>
    <s v="https://tools.sig.systems/site/details/303"/>
    <n v="0"/>
    <x v="0"/>
    <m/>
    <x v="0"/>
    <x v="11"/>
    <x v="3"/>
    <x v="3"/>
    <x v="16"/>
    <x v="16"/>
  </r>
  <r>
    <s v="(AS) Koons Tysons Toyota - Main Dealership (NO TOURS)7"/>
    <x v="6"/>
    <x v="2"/>
    <x v="19"/>
    <x v="1"/>
    <x v="1"/>
    <x v="1"/>
    <s v="https://tools.sig.systems/site/details/344"/>
    <s v="-"/>
    <x v="0"/>
    <m/>
    <x v="0"/>
    <x v="14"/>
    <x v="0"/>
    <x v="0"/>
    <x v="19"/>
    <x v="19"/>
  </r>
  <r>
    <s v="(AS) Koons White Marsh Chevrolet (NO TOURS)7"/>
    <x v="6"/>
    <x v="2"/>
    <x v="22"/>
    <x v="1"/>
    <x v="1"/>
    <x v="1"/>
    <s v="https://tools.sig.systems/site/details/339"/>
    <s v="-"/>
    <x v="0"/>
    <m/>
    <x v="10"/>
    <x v="17"/>
    <x v="0"/>
    <x v="0"/>
    <x v="22"/>
    <x v="22"/>
  </r>
  <r>
    <s v="(AS) Koons Woodbridge Ford (NO TOURS)7"/>
    <x v="6"/>
    <x v="2"/>
    <x v="23"/>
    <x v="1"/>
    <x v="1"/>
    <x v="1"/>
    <s v="https://tools.sig.systems/site/details/342"/>
    <n v="0"/>
    <x v="3"/>
    <m/>
    <x v="0"/>
    <x v="18"/>
    <x v="0"/>
    <x v="0"/>
    <x v="23"/>
    <x v="23"/>
  </r>
  <r>
    <s v="(AS) Larry H Miller CDJR Fiat (NO TOURS)7"/>
    <x v="6"/>
    <x v="2"/>
    <x v="27"/>
    <x v="2"/>
    <x v="2"/>
    <x v="2"/>
    <s v="https://tools.sig.systems/site/details/298"/>
    <n v="0"/>
    <x v="0"/>
    <m/>
    <x v="11"/>
    <x v="2"/>
    <x v="0"/>
    <x v="0"/>
    <x v="27"/>
    <x v="27"/>
  </r>
  <r>
    <s v="(AS) Plaza Collision ST Louis (NO TOURS)7"/>
    <x v="6"/>
    <x v="2"/>
    <x v="28"/>
    <x v="0"/>
    <x v="0"/>
    <x v="0"/>
    <s v="https://tools.sig.systems/site/details/350"/>
    <s v="-"/>
    <x v="0"/>
    <m/>
    <x v="12"/>
    <x v="7"/>
    <x v="0"/>
    <x v="0"/>
    <x v="28"/>
    <x v="28"/>
  </r>
  <r>
    <s v="(KG) Ken Garff Volkswagen of Gilbert7"/>
    <x v="6"/>
    <x v="2"/>
    <x v="38"/>
    <x v="4"/>
    <x v="4"/>
    <x v="4"/>
    <s v="https://tools.sig.systems/site/details/284"/>
    <s v="https://www.google.com/maps/d/viewer?hl=es&amp;mid=19SU7XE9Cg8jhVFpEI21Vi9Zfgdih9Ds&amp;ll=33.29158262977276%2C-111.75783630000002&amp;z=17"/>
    <x v="5"/>
    <m/>
    <x v="7"/>
    <x v="1"/>
    <x v="0"/>
    <x v="16"/>
    <x v="38"/>
    <x v="38"/>
  </r>
  <r>
    <s v="(AS) Coggin Collision Center of Kissimmee (NO TOURS)7"/>
    <x v="6"/>
    <x v="3"/>
    <x v="2"/>
    <x v="1"/>
    <x v="1"/>
    <x v="1"/>
    <s v="https://tools.sig.systems/site/details/331"/>
    <n v="0"/>
    <x v="0"/>
    <m/>
    <x v="2"/>
    <x v="1"/>
    <x v="0"/>
    <x v="0"/>
    <x v="2"/>
    <x v="2"/>
  </r>
  <r>
    <s v="(AS) Coggin Honda of Orlando (NO TOURS)7"/>
    <x v="6"/>
    <x v="3"/>
    <x v="3"/>
    <x v="1"/>
    <x v="1"/>
    <x v="1"/>
    <s v="https://tools.sig.systems/site/details/324"/>
    <n v="0"/>
    <x v="1"/>
    <m/>
    <x v="3"/>
    <x v="1"/>
    <x v="0"/>
    <x v="2"/>
    <x v="3"/>
    <x v="3"/>
  </r>
  <r>
    <s v="(AS) Koons Baltimore Ford - Main Dealership (NO TOURS)7"/>
    <x v="6"/>
    <x v="3"/>
    <x v="9"/>
    <x v="1"/>
    <x v="1"/>
    <x v="1"/>
    <s v="https://tools.sig.systems/site/details/335"/>
    <s v="-"/>
    <x v="0"/>
    <m/>
    <x v="6"/>
    <x v="7"/>
    <x v="0"/>
    <x v="5"/>
    <x v="9"/>
    <x v="9"/>
  </r>
  <r>
    <s v="(AS) Koons Sterling Ford - Main Dealership (NO TOURS)7"/>
    <x v="6"/>
    <x v="3"/>
    <x v="18"/>
    <x v="1"/>
    <x v="1"/>
    <x v="1"/>
    <s v="https://tools.sig.systems/site/details/348"/>
    <s v="-"/>
    <x v="2"/>
    <m/>
    <x v="9"/>
    <x v="13"/>
    <x v="0"/>
    <x v="9"/>
    <x v="18"/>
    <x v="18"/>
  </r>
  <r>
    <s v="(LT) Landers Kia of Little Rock7"/>
    <x v="6"/>
    <x v="3"/>
    <x v="39"/>
    <x v="0"/>
    <x v="0"/>
    <x v="0"/>
    <s v="https://tools.sig.systems/site/details/322"/>
    <s v="https://www.google.com/maps/d/u/1/edit?mid=1-zEzsc6U6nZom08edp0XAd3_HYFvAyk&amp;usp=sharing"/>
    <x v="0"/>
    <m/>
    <x v="19"/>
    <x v="1"/>
    <x v="5"/>
    <x v="17"/>
    <x v="39"/>
    <x v="39"/>
  </r>
  <r>
    <s v="(LT) Luther North Country Ford7"/>
    <x v="6"/>
    <x v="3"/>
    <x v="48"/>
    <x v="0"/>
    <x v="0"/>
    <x v="0"/>
    <s v="https://tools.sig.systems/site/details/292"/>
    <n v="0"/>
    <x v="0"/>
    <m/>
    <x v="0"/>
    <x v="32"/>
    <x v="11"/>
    <x v="0"/>
    <x v="48"/>
    <x v="48"/>
  </r>
  <r>
    <s v="(PE) JLR Paramus (NO TOURS)7"/>
    <x v="6"/>
    <x v="3"/>
    <x v="54"/>
    <x v="6"/>
    <x v="1"/>
    <x v="1"/>
    <s v="https://tools.sig.systems/site/details/177"/>
    <n v="0"/>
    <x v="0"/>
    <m/>
    <x v="26"/>
    <x v="1"/>
    <x v="0"/>
    <x v="0"/>
    <x v="52"/>
    <x v="54"/>
  </r>
  <r>
    <s v="(AS) Hare Chevrolet (NO TOURS)7"/>
    <x v="6"/>
    <x v="4"/>
    <x v="4"/>
    <x v="1"/>
    <x v="1"/>
    <x v="1"/>
    <s v="https://tools.sig.systems/site/details/301"/>
    <s v="https://www.google.com/maps/d/edit?mid=1hsX5GGrNcCQgAuzDCDz1OWgEkhsAc78&amp;usp=sharing"/>
    <x v="0"/>
    <m/>
    <x v="4"/>
    <x v="2"/>
    <x v="0"/>
    <x v="3"/>
    <x v="4"/>
    <x v="4"/>
  </r>
  <r>
    <s v="(AS) Koons Chevrolet Buick GMC - Tysons Remote Lot (NO TOURS)7"/>
    <x v="6"/>
    <x v="4"/>
    <x v="13"/>
    <x v="1"/>
    <x v="1"/>
    <x v="1"/>
    <s v="https://tools.sig.systems/site/details/333"/>
    <s v="-"/>
    <x v="0"/>
    <m/>
    <x v="0"/>
    <x v="9"/>
    <x v="2"/>
    <x v="7"/>
    <x v="13"/>
    <x v="13"/>
  </r>
  <r>
    <s v="(AS) Koons Easton Toyota - Main Dealership (NO TOURS)7"/>
    <x v="6"/>
    <x v="4"/>
    <x v="14"/>
    <x v="1"/>
    <x v="1"/>
    <x v="1"/>
    <s v="https://tools.sig.systems/site/details/340"/>
    <s v="-"/>
    <x v="0"/>
    <m/>
    <x v="0"/>
    <x v="10"/>
    <x v="0"/>
    <x v="0"/>
    <x v="14"/>
    <x v="14"/>
  </r>
  <r>
    <s v="(BRL) Shoemakersville7"/>
    <x v="6"/>
    <x v="4"/>
    <x v="31"/>
    <x v="3"/>
    <x v="1"/>
    <x v="3"/>
    <s v="https://tools.sig.systems/site/details/302"/>
    <n v="0"/>
    <x v="0"/>
    <m/>
    <x v="0"/>
    <x v="22"/>
    <x v="0"/>
    <x v="12"/>
    <x v="31"/>
    <x v="31"/>
  </r>
  <r>
    <s v="(LT) Luther Bloomington Hyundai (NO TOURS)7"/>
    <x v="6"/>
    <x v="4"/>
    <x v="40"/>
    <x v="0"/>
    <x v="0"/>
    <x v="0"/>
    <s v="https://tools.sig.systems/site/details/318"/>
    <n v="0"/>
    <x v="0"/>
    <m/>
    <x v="0"/>
    <x v="25"/>
    <x v="6"/>
    <x v="18"/>
    <x v="40"/>
    <x v="40"/>
  </r>
  <r>
    <s v="(LT) Luther Landers Recon Center7"/>
    <x v="6"/>
    <x v="4"/>
    <x v="47"/>
    <x v="0"/>
    <x v="0"/>
    <x v="0"/>
    <s v="https://tools.sig.systems/site/details/323"/>
    <s v="https://www.google.com/maps/d/u/1/edit?mid=1-zEzsc6U6nZom08edp0XAd3_HYFvAyk&amp;usp=sharing"/>
    <x v="0"/>
    <m/>
    <x v="21"/>
    <x v="1"/>
    <x v="0"/>
    <x v="0"/>
    <x v="47"/>
    <x v="47"/>
  </r>
  <r>
    <s v="(SCH) Schumacher of Delray I &amp; III7"/>
    <x v="6"/>
    <x v="4"/>
    <x v="57"/>
    <x v="1"/>
    <x v="1"/>
    <x v="1"/>
    <s v="https://tools.sig.systems/site/details/159"/>
    <s v="https://www.google.com/maps/d/viewer?mid=1ZLGV-cDM9aCfovhmXHIAXgVOKts0dEI&amp;ll=26.438859950088858%2C-80.07968125000001&amp;z=16"/>
    <x v="1"/>
    <m/>
    <x v="29"/>
    <x v="36"/>
    <x v="0"/>
    <x v="0"/>
    <x v="55"/>
    <x v="57"/>
  </r>
  <r>
    <s v="(AS) Hare Truck Center (NO TOURS)7"/>
    <x v="6"/>
    <x v="5"/>
    <x v="5"/>
    <x v="1"/>
    <x v="1"/>
    <x v="1"/>
    <s v="https://tools.sig.systems/site/details/300"/>
    <s v="https://www.google.com/maps/d/edit?mid=1hsX5GGrNcCQgAuzDCDz1OWgEkhsAc78&amp;usp=sharing"/>
    <x v="0"/>
    <m/>
    <x v="0"/>
    <x v="3"/>
    <x v="0"/>
    <x v="0"/>
    <x v="5"/>
    <x v="5"/>
  </r>
  <r>
    <s v="(AS) Koons Falls Church Ford (NO TOURS)7"/>
    <x v="6"/>
    <x v="5"/>
    <x v="15"/>
    <x v="1"/>
    <x v="1"/>
    <x v="1"/>
    <s v="https://tools.sig.systems/site/details/345"/>
    <s v="-"/>
    <x v="2"/>
    <m/>
    <x v="0"/>
    <x v="7"/>
    <x v="0"/>
    <x v="0"/>
    <x v="15"/>
    <x v="15"/>
  </r>
  <r>
    <s v="(AS) Koons Woodbridge Hyundai (NO TOURS)7"/>
    <x v="6"/>
    <x v="5"/>
    <x v="25"/>
    <x v="1"/>
    <x v="1"/>
    <x v="1"/>
    <s v="https://tools.sig.systems/site/details/347"/>
    <s v="-"/>
    <x v="4"/>
    <m/>
    <x v="0"/>
    <x v="19"/>
    <x v="0"/>
    <x v="0"/>
    <x v="25"/>
    <x v="25"/>
  </r>
  <r>
    <s v="(DT) Modesto7"/>
    <x v="6"/>
    <x v="5"/>
    <x v="34"/>
    <x v="4"/>
    <x v="3"/>
    <x v="4"/>
    <s v="https://tools.sig.systems/site/details/267"/>
    <n v="0"/>
    <x v="0"/>
    <m/>
    <x v="15"/>
    <x v="23"/>
    <x v="0"/>
    <x v="0"/>
    <x v="34"/>
    <x v="34"/>
  </r>
  <r>
    <s v="(KG) Big Star Hyundai Houston7"/>
    <x v="6"/>
    <x v="5"/>
    <x v="36"/>
    <x v="0"/>
    <x v="0"/>
    <x v="0"/>
    <s v="https://tools.sig.systems/site/details/287"/>
    <s v="https://www.google.com/maps/d/edit?hl=en&amp;mid=1jIRkMUnWNPuTgDjQgDP-f33LClT85NU&amp;ll=29.55731827236326%2C-95.1601644&amp;z=17"/>
    <x v="0"/>
    <m/>
    <x v="17"/>
    <x v="24"/>
    <x v="0"/>
    <x v="14"/>
    <x v="36"/>
    <x v="36"/>
  </r>
  <r>
    <s v="(LT) Luther Bloomington Subaru - Acura7"/>
    <x v="6"/>
    <x v="5"/>
    <x v="41"/>
    <x v="5"/>
    <x v="0"/>
    <x v="5"/>
    <s v="https://tools.sig.systems/site/details/289"/>
    <n v="0"/>
    <x v="0"/>
    <m/>
    <x v="20"/>
    <x v="26"/>
    <x v="7"/>
    <x v="0"/>
    <x v="41"/>
    <x v="41"/>
  </r>
  <r>
    <s v="(LT) Luther St. Cloud Subaru7"/>
    <x v="6"/>
    <x v="5"/>
    <x v="49"/>
    <x v="0"/>
    <x v="0"/>
    <x v="6"/>
    <s v="https://tools.sig.systems/site/details/295"/>
    <n v="0"/>
    <x v="0"/>
    <m/>
    <x v="22"/>
    <x v="33"/>
    <x v="12"/>
    <x v="22"/>
    <x v="49"/>
    <x v="49"/>
  </r>
  <r>
    <s v="(PE) JLR Darien (NO TOURS)7"/>
    <x v="6"/>
    <x v="5"/>
    <x v="52"/>
    <x v="6"/>
    <x v="1"/>
    <x v="1"/>
    <s v="https://tools.sig.systems/site/details/189"/>
    <s v="-"/>
    <x v="0"/>
    <m/>
    <x v="24"/>
    <x v="1"/>
    <x v="0"/>
    <x v="0"/>
    <x v="15"/>
    <x v="52"/>
  </r>
  <r>
    <s v="(TC) Lamborghini South Dade7"/>
    <x v="6"/>
    <x v="5"/>
    <x v="58"/>
    <x v="1"/>
    <x v="1"/>
    <x v="1"/>
    <s v="https://tools.sig.systems/site/details/313"/>
    <n v="0"/>
    <x v="0"/>
    <m/>
    <x v="0"/>
    <x v="37"/>
    <x v="0"/>
    <x v="0"/>
    <x v="15"/>
    <x v="58"/>
  </r>
  <r>
    <s v="(AS) Kahlo CDJR (NO TOURS)7"/>
    <x v="6"/>
    <x v="6"/>
    <x v="6"/>
    <x v="1"/>
    <x v="1"/>
    <x v="1"/>
    <s v="https://tools.sig.systems/site/details/282"/>
    <s v="https://www.google.com/maps/d/edit?mid=1hsX5GGrNcCQgAuzDCDz1OWgEkhsAc78&amp;usp=sharing"/>
    <x v="0"/>
    <m/>
    <x v="0"/>
    <x v="4"/>
    <x v="1"/>
    <x v="4"/>
    <x v="6"/>
    <x v="6"/>
  </r>
  <r>
    <s v="(AS) Koons Arlington Toyota - New Car (NO TOURS)7"/>
    <x v="6"/>
    <x v="6"/>
    <x v="8"/>
    <x v="1"/>
    <x v="1"/>
    <x v="1"/>
    <s v="https://tools.sig.systems/site/details/334"/>
    <n v="0"/>
    <x v="2"/>
    <m/>
    <x v="0"/>
    <x v="6"/>
    <x v="0"/>
    <x v="0"/>
    <x v="8"/>
    <x v="8"/>
  </r>
  <r>
    <s v="(AS) Koons Volvo Cars White Marsh (NO TOURS)7"/>
    <x v="6"/>
    <x v="6"/>
    <x v="20"/>
    <x v="1"/>
    <x v="1"/>
    <x v="1"/>
    <s v="https://tools.sig.systems/site/details/338"/>
    <n v="0"/>
    <x v="0"/>
    <m/>
    <x v="0"/>
    <x v="15"/>
    <x v="0"/>
    <x v="0"/>
    <x v="20"/>
    <x v="20"/>
  </r>
  <r>
    <s v="(DT) Arlington7"/>
    <x v="6"/>
    <x v="6"/>
    <x v="32"/>
    <x v="0"/>
    <x v="0"/>
    <x v="0"/>
    <s v="https://tools.sig.systems/site/details/199"/>
    <n v="0"/>
    <x v="0"/>
    <m/>
    <x v="13"/>
    <x v="13"/>
    <x v="0"/>
    <x v="0"/>
    <x v="32"/>
    <x v="32"/>
  </r>
  <r>
    <s v="(KG) Big Star Cadillac7"/>
    <x v="6"/>
    <x v="6"/>
    <x v="35"/>
    <x v="0"/>
    <x v="0"/>
    <x v="0"/>
    <s v="https://tools.sig.systems/site/details/316"/>
    <s v="https://www.google.com/maps/d/edit?mid=1jIRkMUnWNPuTgDjQgDP-f33LClT85NU&amp;usp=sharing"/>
    <x v="0"/>
    <m/>
    <x v="16"/>
    <x v="1"/>
    <x v="0"/>
    <x v="0"/>
    <x v="35"/>
    <x v="35"/>
  </r>
  <r>
    <s v="(LT) Luther Brookdale Honda (NO TOURS)7"/>
    <x v="6"/>
    <x v="6"/>
    <x v="42"/>
    <x v="0"/>
    <x v="0"/>
    <x v="0"/>
    <s v="https://tools.sig.systems/site/details/280"/>
    <s v="https://www.google.com/maps/d/viewer?mid=1ot0ILX76JMuvd9yMuqkb4_e0yH1n7TA&amp;ll=45.07815812965141%2C-93.33506855000002&amp;z=17"/>
    <x v="0"/>
    <m/>
    <x v="0"/>
    <x v="27"/>
    <x v="8"/>
    <x v="19"/>
    <x v="42"/>
    <x v="42"/>
  </r>
  <r>
    <s v="(ML) Joe Machens Hyundai7"/>
    <x v="6"/>
    <x v="6"/>
    <x v="50"/>
    <x v="0"/>
    <x v="0"/>
    <x v="0"/>
    <s v="https://tools.sig.systems/site/details/286"/>
    <s v="https://www.google.com/maps/d/viewer?hl=es&amp;mid=1C1oZdjH3dNvCvqdpIv_Lk0Yn1OCVn-4&amp;ll=38.965368114274455%2C-92.3405954&amp;z=15"/>
    <x v="0"/>
    <m/>
    <x v="0"/>
    <x v="34"/>
    <x v="0"/>
    <x v="11"/>
    <x v="50"/>
    <x v="50"/>
  </r>
  <r>
    <s v="(PE) MB of Greenwich7"/>
    <x v="6"/>
    <x v="6"/>
    <x v="55"/>
    <x v="6"/>
    <x v="1"/>
    <x v="1"/>
    <s v="https://tools.sig.systems/site/details/188"/>
    <s v="https://www.google.com/maps/d/edit?hl=en&amp;mid=1UHmt7tH1ihTa85i0MfQIcTfVvIQg_vM&amp;ll=41.02423447529239%2C-73.63721502222738&amp;z=18"/>
    <x v="0"/>
    <m/>
    <x v="27"/>
    <x v="35"/>
    <x v="0"/>
    <x v="0"/>
    <x v="53"/>
    <x v="55"/>
  </r>
  <r>
    <s v="Mario Residence7"/>
    <x v="6"/>
    <x v="6"/>
    <x v="59"/>
    <x v="3"/>
    <x v="1"/>
    <x v="3"/>
    <s v="https://tools.sig.systems/site/details/148"/>
    <s v="https://www.google.com/maps/d/edit?hl=es&amp;mid=13OmECPqyeB7fXgZmEoM9cnG34HU_v5g&amp;ll=26.046837034777553%2C-80.38753458591658&amp;z=19"/>
    <x v="0"/>
    <m/>
    <x v="30"/>
    <x v="38"/>
    <x v="0"/>
    <x v="0"/>
    <x v="56"/>
    <x v="60"/>
  </r>
  <r>
    <s v="(AS) 3281 Storage Lot (NO TOURS)8"/>
    <x v="7"/>
    <x v="0"/>
    <x v="0"/>
    <x v="0"/>
    <x v="0"/>
    <x v="0"/>
    <s v="https://tools.sig.systems/site/details/305"/>
    <s v="https://www.google.com/maps/d/edit?hl=es&amp;mid=1uPmsRMsXnp74hPFW2t-sp2totVWF_xY&amp;ll=32.83050137713022%2C-96.83197783061323&amp;z=17"/>
    <x v="0"/>
    <m/>
    <x v="0"/>
    <x v="0"/>
    <x v="0"/>
    <x v="0"/>
    <x v="0"/>
    <x v="0"/>
  </r>
  <r>
    <s v="(AS) Koons Chevrolet Buick GMC - Clarksville (NO TOURS)8"/>
    <x v="7"/>
    <x v="0"/>
    <x v="10"/>
    <x v="1"/>
    <x v="1"/>
    <x v="1"/>
    <s v="https://tools.sig.systems/site/details/306"/>
    <s v="https://www.google.com/maps/d/edit?hl=es&amp;mid=11XB1lTSP7EcDCDvzypdUPWP6bWCNAEI&amp;ll=39.21145022420528%2C-76.94003711910554&amp;z=17"/>
    <x v="2"/>
    <m/>
    <x v="0"/>
    <x v="8"/>
    <x v="0"/>
    <x v="0"/>
    <x v="10"/>
    <x v="10"/>
  </r>
  <r>
    <s v="(AS) Koons Annapolis Toyota (NO TOURS)8"/>
    <x v="7"/>
    <x v="7"/>
    <x v="7"/>
    <x v="1"/>
    <x v="1"/>
    <x v="1"/>
    <s v="https://tools.sig.systems/site/details/337"/>
    <n v="0"/>
    <x v="0"/>
    <m/>
    <x v="5"/>
    <x v="5"/>
    <x v="0"/>
    <x v="0"/>
    <x v="7"/>
    <x v="7"/>
  </r>
  <r>
    <s v="(AS) Koons Easton Toyota - Main Dealership (NO TOURS)8"/>
    <x v="7"/>
    <x v="0"/>
    <x v="14"/>
    <x v="1"/>
    <x v="1"/>
    <x v="1"/>
    <s v="https://tools.sig.systems/site/details/340"/>
    <s v="-"/>
    <x v="0"/>
    <m/>
    <x v="0"/>
    <x v="10"/>
    <x v="0"/>
    <x v="0"/>
    <x v="14"/>
    <x v="14"/>
  </r>
  <r>
    <s v="(AS) Plaza Mercedes Benz West (NO TOURS)8"/>
    <x v="7"/>
    <x v="0"/>
    <x v="29"/>
    <x v="0"/>
    <x v="0"/>
    <x v="0"/>
    <s v="https://tools.sig.systems/site/details/349"/>
    <n v="0"/>
    <x v="0"/>
    <m/>
    <x v="0"/>
    <x v="21"/>
    <x v="0"/>
    <x v="11"/>
    <x v="29"/>
    <x v="29"/>
  </r>
  <r>
    <s v="(DT) Charlotte8"/>
    <x v="7"/>
    <x v="0"/>
    <x v="33"/>
    <x v="1"/>
    <x v="1"/>
    <x v="1"/>
    <s v="https://tools.sig.systems/site/details/299"/>
    <n v="0"/>
    <x v="0"/>
    <m/>
    <x v="14"/>
    <x v="1"/>
    <x v="0"/>
    <x v="13"/>
    <x v="33"/>
    <x v="33"/>
  </r>
  <r>
    <s v="(LT) Luther Brookdale Toyota8"/>
    <x v="7"/>
    <x v="0"/>
    <x v="43"/>
    <x v="0"/>
    <x v="0"/>
    <x v="1"/>
    <s v="https://tools.sig.systems/site/details/281"/>
    <s v="https://www.google.com/maps/d/viewer?mid=1ot0ILX76JMuvd9yMuqkb4_e0yH1n7TA&amp;ll=45.07815812965141%2C-93.33506855000002&amp;z=17"/>
    <x v="0"/>
    <m/>
    <x v="0"/>
    <x v="28"/>
    <x v="3"/>
    <x v="4"/>
    <x v="43"/>
    <x v="43"/>
  </r>
  <r>
    <s v="(LT) Luther Burnsville Hyundai8"/>
    <x v="7"/>
    <x v="0"/>
    <x v="44"/>
    <x v="0"/>
    <x v="0"/>
    <x v="0"/>
    <s v="https://tools.sig.systems/site/details/307"/>
    <n v="0"/>
    <x v="0"/>
    <m/>
    <x v="0"/>
    <x v="29"/>
    <x v="9"/>
    <x v="20"/>
    <x v="44"/>
    <x v="44"/>
  </r>
  <r>
    <s v="(PE) BMW Service Center (NO TOURS)8"/>
    <x v="7"/>
    <x v="0"/>
    <x v="51"/>
    <x v="6"/>
    <x v="1"/>
    <x v="1"/>
    <s v="https://tools.sig.systems/site/details/184"/>
    <s v="https://www.google.com/maps/d/edit?hl=en&amp;mid=1UHmt7tH1ihTa85i0MfQIcTfVvIQg_vM&amp;ll=41.02423447529239%2C-73.63721502222738&amp;z=18"/>
    <x v="0"/>
    <m/>
    <x v="23"/>
    <x v="1"/>
    <x v="0"/>
    <x v="0"/>
    <x v="51"/>
    <x v="51"/>
  </r>
  <r>
    <s v="(AS) Coggin BMW Ft. Pierce (NO TOURS)8"/>
    <x v="7"/>
    <x v="1"/>
    <x v="1"/>
    <x v="1"/>
    <x v="1"/>
    <x v="1"/>
    <s v="https://tools.sig.systems/site/details/119"/>
    <s v="https://www.google.com/maps/d/viewer?mid=1AyViBuyeq7iwDua1SVudJ2A1BYi3IBA&amp;ll=27.38181516363982%2C-80.32568845000002&amp;z=18"/>
    <x v="0"/>
    <m/>
    <x v="1"/>
    <x v="1"/>
    <x v="0"/>
    <x v="1"/>
    <x v="1"/>
    <x v="1"/>
  </r>
  <r>
    <s v="(AS) Koons Chevrolet Buick GMC - Clarksville Remote Lot (NO TOURS)8"/>
    <x v="7"/>
    <x v="1"/>
    <x v="11"/>
    <x v="1"/>
    <x v="1"/>
    <x v="1"/>
    <s v="https://tools.sig.systems/site/details/308"/>
    <s v="https://www.google.com/maps/d/edit?hl=es&amp;mid=11XB1lTSP7EcDCDvzypdUPWP6bWCNAEI&amp;ll=39.21145022420528%2C-76.94003711910554&amp;z=21"/>
    <x v="2"/>
    <m/>
    <x v="0"/>
    <x v="3"/>
    <x v="0"/>
    <x v="0"/>
    <x v="11"/>
    <x v="11"/>
  </r>
  <r>
    <s v="(AS) Koons Owings Mills Kia (NO TOURS)8"/>
    <x v="7"/>
    <x v="1"/>
    <x v="17"/>
    <x v="1"/>
    <x v="1"/>
    <x v="1"/>
    <s v="https://tools.sig.systems/site/details/336"/>
    <s v="-"/>
    <x v="0"/>
    <m/>
    <x v="31"/>
    <x v="39"/>
    <x v="0"/>
    <x v="0"/>
    <x v="57"/>
    <x v="17"/>
  </r>
  <r>
    <s v="(AS) Koons Westminster Toyota (NO TOURS)8"/>
    <x v="7"/>
    <x v="1"/>
    <x v="21"/>
    <x v="1"/>
    <x v="1"/>
    <x v="1"/>
    <s v="https://tools.sig.systems/site/details/341"/>
    <s v="-"/>
    <x v="0"/>
    <m/>
    <x v="0"/>
    <x v="16"/>
    <x v="0"/>
    <x v="0"/>
    <x v="21"/>
    <x v="21"/>
  </r>
  <r>
    <s v="(AS) Koons Woodbridge GMC (NO TOURS)8"/>
    <x v="7"/>
    <x v="1"/>
    <x v="24"/>
    <x v="1"/>
    <x v="1"/>
    <x v="1"/>
    <s v="https://tools.sig.systems/site/details/343"/>
    <n v="0"/>
    <x v="2"/>
    <m/>
    <x v="0"/>
    <x v="7"/>
    <x v="0"/>
    <x v="10"/>
    <x v="24"/>
    <x v="24"/>
  </r>
  <r>
    <s v="(DT) Modesto8"/>
    <x v="7"/>
    <x v="1"/>
    <x v="34"/>
    <x v="4"/>
    <x v="3"/>
    <x v="4"/>
    <s v="https://tools.sig.systems/site/details/267"/>
    <n v="0"/>
    <x v="0"/>
    <m/>
    <x v="15"/>
    <x v="23"/>
    <x v="0"/>
    <x v="0"/>
    <x v="34"/>
    <x v="34"/>
  </r>
  <r>
    <s v="(KG) Ken Garff Kia of Avondale8"/>
    <x v="7"/>
    <x v="1"/>
    <x v="37"/>
    <x v="4"/>
    <x v="4"/>
    <x v="4"/>
    <s v="https://tools.sig.systems/site/details/283"/>
    <s v="https://www.google.com/maps/d/viewer?mid=1bDs0QGFZwL3vEeGKxjVMk_j4azr0-lg&amp;ll=33.4593758581648%2C-112.28793780000001&amp;z=18"/>
    <x v="5"/>
    <m/>
    <x v="18"/>
    <x v="1"/>
    <x v="0"/>
    <x v="15"/>
    <x v="37"/>
    <x v="37"/>
  </r>
  <r>
    <s v="(LT) Landers Kia of Little Rock8"/>
    <x v="7"/>
    <x v="1"/>
    <x v="39"/>
    <x v="0"/>
    <x v="0"/>
    <x v="0"/>
    <s v="https://tools.sig.systems/site/details/322"/>
    <s v="https://www.google.com/maps/d/u/1/edit?mid=1-zEzsc6U6nZom08edp0XAd3_HYFvAyk&amp;usp=sharing"/>
    <x v="0"/>
    <m/>
    <x v="19"/>
    <x v="1"/>
    <x v="5"/>
    <x v="17"/>
    <x v="39"/>
    <x v="39"/>
  </r>
  <r>
    <s v="(LT) Luther Genesis of Minneapolis8"/>
    <x v="7"/>
    <x v="1"/>
    <x v="45"/>
    <x v="0"/>
    <x v="0"/>
    <x v="0"/>
    <s v="https://tools.sig.systems/site/details/315"/>
    <n v="0"/>
    <x v="0"/>
    <m/>
    <x v="0"/>
    <x v="30"/>
    <x v="0"/>
    <x v="0"/>
    <x v="45"/>
    <x v="45"/>
  </r>
  <r>
    <s v="(PE) JLR Englewood (NO TOURS)8"/>
    <x v="7"/>
    <x v="1"/>
    <x v="53"/>
    <x v="6"/>
    <x v="1"/>
    <x v="1"/>
    <s v="https://tools.sig.systems/site/details/178"/>
    <s v="https://www.google.com/maps/d/viewer?mid=1ubI2iKs1JyYXssuT4oLPnVvFnyLPi_s&amp;ll=40.878808846788026%2C-73.98560655&amp;z=17"/>
    <x v="0"/>
    <m/>
    <x v="25"/>
    <x v="1"/>
    <x v="0"/>
    <x v="0"/>
    <x v="15"/>
    <x v="53"/>
  </r>
  <r>
    <s v="(AS) Koons MB of Catonsville (NO TOURS)8"/>
    <x v="7"/>
    <x v="2"/>
    <x v="16"/>
    <x v="1"/>
    <x v="1"/>
    <x v="1"/>
    <s v="https://tools.sig.systems/site/details/303"/>
    <n v="0"/>
    <x v="0"/>
    <m/>
    <x v="0"/>
    <x v="11"/>
    <x v="3"/>
    <x v="3"/>
    <x v="16"/>
    <x v="16"/>
  </r>
  <r>
    <s v="(AS) Koons White Marsh Chevrolet (NO TOURS)8"/>
    <x v="7"/>
    <x v="2"/>
    <x v="22"/>
    <x v="1"/>
    <x v="1"/>
    <x v="1"/>
    <s v="https://tools.sig.systems/site/details/339"/>
    <s v="-"/>
    <x v="0"/>
    <m/>
    <x v="10"/>
    <x v="17"/>
    <x v="0"/>
    <x v="0"/>
    <x v="22"/>
    <x v="22"/>
  </r>
  <r>
    <s v="(AS) Koons Woodbridge Ford (NO TOURS)8"/>
    <x v="7"/>
    <x v="2"/>
    <x v="23"/>
    <x v="1"/>
    <x v="1"/>
    <x v="1"/>
    <s v="https://tools.sig.systems/site/details/342"/>
    <n v="0"/>
    <x v="3"/>
    <m/>
    <x v="0"/>
    <x v="18"/>
    <x v="0"/>
    <x v="0"/>
    <x v="23"/>
    <x v="23"/>
  </r>
  <r>
    <s v="(AS) Plaza Collision ST Louis (NO TOURS)8"/>
    <x v="7"/>
    <x v="2"/>
    <x v="28"/>
    <x v="0"/>
    <x v="0"/>
    <x v="0"/>
    <s v="https://tools.sig.systems/site/details/350"/>
    <s v="-"/>
    <x v="0"/>
    <m/>
    <x v="12"/>
    <x v="7"/>
    <x v="0"/>
    <x v="0"/>
    <x v="28"/>
    <x v="28"/>
  </r>
  <r>
    <s v="(LT) Luther Hopkins Honda (NO TOURS)8"/>
    <x v="7"/>
    <x v="2"/>
    <x v="46"/>
    <x v="0"/>
    <x v="0"/>
    <x v="0"/>
    <s v="https://tools.sig.systems/site/details/288"/>
    <n v="0"/>
    <x v="0"/>
    <m/>
    <x v="0"/>
    <x v="31"/>
    <x v="10"/>
    <x v="21"/>
    <x v="46"/>
    <x v="46"/>
  </r>
  <r>
    <s v="(PE) MB of Greenwich8"/>
    <x v="7"/>
    <x v="2"/>
    <x v="55"/>
    <x v="6"/>
    <x v="1"/>
    <x v="1"/>
    <s v="https://tools.sig.systems/site/details/188"/>
    <s v="https://www.google.com/maps/d/edit?hl=en&amp;mid=1UHmt7tH1ihTa85i0MfQIcTfVvIQg_vM&amp;ll=41.02423447529239%2C-73.63721502222738&amp;z=18"/>
    <x v="0"/>
    <m/>
    <x v="27"/>
    <x v="35"/>
    <x v="0"/>
    <x v="0"/>
    <x v="53"/>
    <x v="55"/>
  </r>
  <r>
    <s v="(AS) Coggin Collision Center of Kissimmee (NO TOURS)8"/>
    <x v="7"/>
    <x v="3"/>
    <x v="2"/>
    <x v="1"/>
    <x v="1"/>
    <x v="1"/>
    <s v="https://tools.sig.systems/site/details/331"/>
    <n v="0"/>
    <x v="0"/>
    <m/>
    <x v="2"/>
    <x v="1"/>
    <x v="0"/>
    <x v="0"/>
    <x v="2"/>
    <x v="2"/>
  </r>
  <r>
    <s v="(AS) Coggin Honda of Orlando (NO TOURS)8"/>
    <x v="7"/>
    <x v="3"/>
    <x v="3"/>
    <x v="1"/>
    <x v="1"/>
    <x v="1"/>
    <s v="https://tools.sig.systems/site/details/324"/>
    <n v="0"/>
    <x v="1"/>
    <m/>
    <x v="3"/>
    <x v="1"/>
    <x v="0"/>
    <x v="2"/>
    <x v="3"/>
    <x v="3"/>
  </r>
  <r>
    <s v="(AS) Koons Baltimore Ford - Main Dealership (NO TOURS)8"/>
    <x v="7"/>
    <x v="3"/>
    <x v="9"/>
    <x v="1"/>
    <x v="1"/>
    <x v="1"/>
    <s v="https://tools.sig.systems/site/details/335"/>
    <s v="-"/>
    <x v="0"/>
    <m/>
    <x v="6"/>
    <x v="7"/>
    <x v="0"/>
    <x v="5"/>
    <x v="9"/>
    <x v="9"/>
  </r>
  <r>
    <s v="(AS) Koons Falls Church Ford (NO TOURS)8"/>
    <x v="7"/>
    <x v="3"/>
    <x v="15"/>
    <x v="1"/>
    <x v="1"/>
    <x v="1"/>
    <s v="https://tools.sig.systems/site/details/345"/>
    <s v="-"/>
    <x v="2"/>
    <m/>
    <x v="0"/>
    <x v="7"/>
    <x v="0"/>
    <x v="0"/>
    <x v="15"/>
    <x v="15"/>
  </r>
  <r>
    <s v="(LT) Luther North Country Ford8"/>
    <x v="7"/>
    <x v="3"/>
    <x v="48"/>
    <x v="0"/>
    <x v="0"/>
    <x v="0"/>
    <s v="https://tools.sig.systems/site/details/292"/>
    <n v="0"/>
    <x v="0"/>
    <m/>
    <x v="0"/>
    <x v="32"/>
    <x v="11"/>
    <x v="0"/>
    <x v="48"/>
    <x v="48"/>
  </r>
  <r>
    <s v="(PE) JLR Paramus (NO TOURS)8"/>
    <x v="7"/>
    <x v="3"/>
    <x v="54"/>
    <x v="6"/>
    <x v="1"/>
    <x v="1"/>
    <s v="https://tools.sig.systems/site/details/177"/>
    <n v="0"/>
    <x v="0"/>
    <m/>
    <x v="26"/>
    <x v="1"/>
    <x v="0"/>
    <x v="0"/>
    <x v="52"/>
    <x v="54"/>
  </r>
  <r>
    <s v="(AS) Hare Chevrolet (NO TOURS)8"/>
    <x v="7"/>
    <x v="4"/>
    <x v="4"/>
    <x v="1"/>
    <x v="1"/>
    <x v="1"/>
    <s v="https://tools.sig.systems/site/details/301"/>
    <s v="https://www.google.com/maps/d/edit?mid=1hsX5GGrNcCQgAuzDCDz1OWgEkhsAc78&amp;usp=sharing"/>
    <x v="0"/>
    <m/>
    <x v="4"/>
    <x v="2"/>
    <x v="0"/>
    <x v="3"/>
    <x v="4"/>
    <x v="4"/>
  </r>
  <r>
    <s v="(BRL) Shoemakersville8"/>
    <x v="7"/>
    <x v="4"/>
    <x v="31"/>
    <x v="3"/>
    <x v="1"/>
    <x v="3"/>
    <s v="https://tools.sig.systems/site/details/302"/>
    <n v="0"/>
    <x v="0"/>
    <m/>
    <x v="0"/>
    <x v="22"/>
    <x v="0"/>
    <x v="12"/>
    <x v="31"/>
    <x v="31"/>
  </r>
  <r>
    <s v="(LT) Luther Bloomington Hyundai (NO TOURS)8"/>
    <x v="7"/>
    <x v="4"/>
    <x v="40"/>
    <x v="0"/>
    <x v="0"/>
    <x v="0"/>
    <s v="https://tools.sig.systems/site/details/318"/>
    <n v="0"/>
    <x v="0"/>
    <m/>
    <x v="0"/>
    <x v="25"/>
    <x v="6"/>
    <x v="18"/>
    <x v="40"/>
    <x v="40"/>
  </r>
  <r>
    <s v="(LT) Luther Landers Recon Center8"/>
    <x v="7"/>
    <x v="4"/>
    <x v="47"/>
    <x v="0"/>
    <x v="0"/>
    <x v="0"/>
    <s v="https://tools.sig.systems/site/details/323"/>
    <s v="https://www.google.com/maps/d/u/1/edit?mid=1-zEzsc6U6nZom08edp0XAd3_HYFvAyk&amp;usp=sharing"/>
    <x v="0"/>
    <m/>
    <x v="21"/>
    <x v="1"/>
    <x v="0"/>
    <x v="0"/>
    <x v="47"/>
    <x v="47"/>
  </r>
  <r>
    <s v="(SCH) Schumacher of Delray I &amp; III8"/>
    <x v="7"/>
    <x v="4"/>
    <x v="57"/>
    <x v="1"/>
    <x v="1"/>
    <x v="1"/>
    <s v="https://tools.sig.systems/site/details/159"/>
    <s v="https://www.google.com/maps/d/viewer?mid=1ZLGV-cDM9aCfovhmXHIAXgVOKts0dEI&amp;ll=26.438859950088858%2C-80.07968125000001&amp;z=16"/>
    <x v="1"/>
    <m/>
    <x v="29"/>
    <x v="36"/>
    <x v="0"/>
    <x v="0"/>
    <x v="55"/>
    <x v="57"/>
  </r>
  <r>
    <s v="(AS) Hare Truck Center (NO TOURS)8"/>
    <x v="7"/>
    <x v="5"/>
    <x v="5"/>
    <x v="1"/>
    <x v="1"/>
    <x v="1"/>
    <s v="https://tools.sig.systems/site/details/300"/>
    <s v="https://www.google.com/maps/d/edit?mid=1hsX5GGrNcCQgAuzDCDz1OWgEkhsAc78&amp;usp=sharing"/>
    <x v="0"/>
    <m/>
    <x v="0"/>
    <x v="3"/>
    <x v="0"/>
    <x v="0"/>
    <x v="5"/>
    <x v="5"/>
  </r>
  <r>
    <s v="(AS) Koons Woodbridge Hyundai (NO TOURS)8"/>
    <x v="7"/>
    <x v="5"/>
    <x v="25"/>
    <x v="1"/>
    <x v="1"/>
    <x v="1"/>
    <s v="https://tools.sig.systems/site/details/347"/>
    <s v="-"/>
    <x v="4"/>
    <m/>
    <x v="0"/>
    <x v="19"/>
    <x v="0"/>
    <x v="0"/>
    <x v="25"/>
    <x v="25"/>
  </r>
  <r>
    <s v="(KG) Big Star Hyundai Houston8"/>
    <x v="7"/>
    <x v="5"/>
    <x v="36"/>
    <x v="0"/>
    <x v="0"/>
    <x v="0"/>
    <s v="https://tools.sig.systems/site/details/287"/>
    <s v="https://www.google.com/maps/d/edit?hl=en&amp;mid=1jIRkMUnWNPuTgDjQgDP-f33LClT85NU&amp;ll=29.55731827236326%2C-95.1601644&amp;z=17"/>
    <x v="0"/>
    <m/>
    <x v="17"/>
    <x v="24"/>
    <x v="0"/>
    <x v="14"/>
    <x v="36"/>
    <x v="36"/>
  </r>
  <r>
    <s v="(KG) Ken Garff Volkswagen of Gilbert8"/>
    <x v="7"/>
    <x v="5"/>
    <x v="38"/>
    <x v="4"/>
    <x v="4"/>
    <x v="4"/>
    <s v="https://tools.sig.systems/site/details/284"/>
    <s v="https://www.google.com/maps/d/viewer?hl=es&amp;mid=19SU7XE9Cg8jhVFpEI21Vi9Zfgdih9Ds&amp;ll=33.29158262977276%2C-111.75783630000002&amp;z=17"/>
    <x v="5"/>
    <m/>
    <x v="7"/>
    <x v="1"/>
    <x v="0"/>
    <x v="16"/>
    <x v="38"/>
    <x v="38"/>
  </r>
  <r>
    <s v="(LT) Luther Bloomington Subaru - Acura8"/>
    <x v="7"/>
    <x v="5"/>
    <x v="41"/>
    <x v="5"/>
    <x v="0"/>
    <x v="5"/>
    <s v="https://tools.sig.systems/site/details/289"/>
    <n v="0"/>
    <x v="0"/>
    <m/>
    <x v="20"/>
    <x v="26"/>
    <x v="7"/>
    <x v="0"/>
    <x v="41"/>
    <x v="41"/>
  </r>
  <r>
    <s v="(LT) Luther St. Cloud Subaru8"/>
    <x v="7"/>
    <x v="5"/>
    <x v="49"/>
    <x v="0"/>
    <x v="0"/>
    <x v="6"/>
    <s v="https://tools.sig.systems/site/details/295"/>
    <n v="0"/>
    <x v="0"/>
    <m/>
    <x v="22"/>
    <x v="33"/>
    <x v="12"/>
    <x v="22"/>
    <x v="49"/>
    <x v="49"/>
  </r>
  <r>
    <s v="(PE) Porsche Audi Fairfield (NO TOURS)8"/>
    <x v="7"/>
    <x v="5"/>
    <x v="56"/>
    <x v="6"/>
    <x v="1"/>
    <x v="1"/>
    <s v="https://tools.sig.systems/site/details/194"/>
    <n v="0"/>
    <x v="0"/>
    <m/>
    <x v="28"/>
    <x v="1"/>
    <x v="0"/>
    <x v="4"/>
    <x v="54"/>
    <x v="56"/>
  </r>
  <r>
    <s v="(TC) Lamborghini South Dade8"/>
    <x v="7"/>
    <x v="5"/>
    <x v="58"/>
    <x v="1"/>
    <x v="1"/>
    <x v="1"/>
    <s v="https://tools.sig.systems/site/details/313"/>
    <n v="0"/>
    <x v="0"/>
    <m/>
    <x v="0"/>
    <x v="37"/>
    <x v="0"/>
    <x v="0"/>
    <x v="15"/>
    <x v="58"/>
  </r>
  <r>
    <s v="(AS) Kahlo CDJR (NO TOURS)8"/>
    <x v="7"/>
    <x v="6"/>
    <x v="6"/>
    <x v="1"/>
    <x v="1"/>
    <x v="1"/>
    <s v="https://tools.sig.systems/site/details/282"/>
    <s v="https://www.google.com/maps/d/edit?mid=1hsX5GGrNcCQgAuzDCDz1OWgEkhsAc78&amp;usp=sharing"/>
    <x v="0"/>
    <m/>
    <x v="0"/>
    <x v="4"/>
    <x v="1"/>
    <x v="4"/>
    <x v="6"/>
    <x v="6"/>
  </r>
  <r>
    <s v="(AS) Koons Chevrolet Buick GMC - Tysons (NO TOURS)8"/>
    <x v="7"/>
    <x v="6"/>
    <x v="12"/>
    <x v="1"/>
    <x v="1"/>
    <x v="1"/>
    <s v="https://tools.sig.systems/site/details/352"/>
    <s v="-"/>
    <x v="2"/>
    <m/>
    <x v="7"/>
    <x v="1"/>
    <x v="0"/>
    <x v="6"/>
    <x v="12"/>
    <x v="12"/>
  </r>
  <r>
    <s v="(AS) Koons Tysons Toyota - Main Dealership (NO TOURS)8"/>
    <x v="7"/>
    <x v="6"/>
    <x v="19"/>
    <x v="1"/>
    <x v="1"/>
    <x v="1"/>
    <s v="https://tools.sig.systems/site/details/344"/>
    <s v="-"/>
    <x v="0"/>
    <m/>
    <x v="0"/>
    <x v="14"/>
    <x v="0"/>
    <x v="0"/>
    <x v="19"/>
    <x v="19"/>
  </r>
  <r>
    <s v="(AS) Koons Woodbridge Kia (NO TOURS)8"/>
    <x v="7"/>
    <x v="6"/>
    <x v="26"/>
    <x v="1"/>
    <x v="1"/>
    <x v="1"/>
    <s v="https://tools.sig.systems/site/details/346"/>
    <s v="-"/>
    <x v="2"/>
    <m/>
    <x v="0"/>
    <x v="20"/>
    <x v="0"/>
    <x v="0"/>
    <x v="26"/>
    <x v="26"/>
  </r>
  <r>
    <s v="(AS) Larry H Miller CDJR Fiat (NO TOURS)8"/>
    <x v="7"/>
    <x v="6"/>
    <x v="27"/>
    <x v="2"/>
    <x v="2"/>
    <x v="2"/>
    <s v="https://tools.sig.systems/site/details/298"/>
    <n v="0"/>
    <x v="0"/>
    <m/>
    <x v="11"/>
    <x v="2"/>
    <x v="0"/>
    <x v="0"/>
    <x v="27"/>
    <x v="27"/>
  </r>
  <r>
    <s v="(KG) Big Star Cadillac8"/>
    <x v="7"/>
    <x v="6"/>
    <x v="35"/>
    <x v="0"/>
    <x v="0"/>
    <x v="0"/>
    <s v="https://tools.sig.systems/site/details/316"/>
    <s v="https://www.google.com/maps/d/edit?mid=1jIRkMUnWNPuTgDjQgDP-f33LClT85NU&amp;usp=sharing"/>
    <x v="0"/>
    <m/>
    <x v="16"/>
    <x v="1"/>
    <x v="0"/>
    <x v="0"/>
    <x v="35"/>
    <x v="35"/>
  </r>
  <r>
    <s v="(ML) Joe Machens Hyundai8"/>
    <x v="7"/>
    <x v="6"/>
    <x v="50"/>
    <x v="0"/>
    <x v="0"/>
    <x v="0"/>
    <s v="https://tools.sig.systems/site/details/286"/>
    <s v="https://www.google.com/maps/d/viewer?hl=es&amp;mid=1C1oZdjH3dNvCvqdpIv_Lk0Yn1OCVn-4&amp;ll=38.965368114274455%2C-92.3405954&amp;z=15"/>
    <x v="0"/>
    <m/>
    <x v="0"/>
    <x v="34"/>
    <x v="0"/>
    <x v="11"/>
    <x v="50"/>
    <x v="50"/>
  </r>
  <r>
    <s v="Mario Residence8"/>
    <x v="7"/>
    <x v="6"/>
    <x v="59"/>
    <x v="3"/>
    <x v="1"/>
    <x v="3"/>
    <s v="https://tools.sig.systems/site/details/148"/>
    <s v="https://www.google.com/maps/d/edit?hl=es&amp;mid=13OmECPqyeB7fXgZmEoM9cnG34HU_v5g&amp;ll=26.046837034777553%2C-80.38753458591658&amp;z=19"/>
    <x v="0"/>
    <m/>
    <x v="30"/>
    <x v="38"/>
    <x v="0"/>
    <x v="0"/>
    <x v="56"/>
    <x v="60"/>
  </r>
  <r>
    <s v="(AS) Koons Arlington Toyota - New Car (NO TOURS)8"/>
    <x v="7"/>
    <x v="7"/>
    <x v="8"/>
    <x v="1"/>
    <x v="1"/>
    <x v="1"/>
    <s v="https://tools.sig.systems/site/details/334"/>
    <n v="0"/>
    <x v="2"/>
    <m/>
    <x v="0"/>
    <x v="6"/>
    <x v="0"/>
    <x v="0"/>
    <x v="8"/>
    <x v="8"/>
  </r>
  <r>
    <s v="(AS) Koons Chevrolet Buick GMC - Tysons Remote Lot (NO TOURS)8"/>
    <x v="7"/>
    <x v="7"/>
    <x v="13"/>
    <x v="1"/>
    <x v="1"/>
    <x v="1"/>
    <s v="https://tools.sig.systems/site/details/333"/>
    <s v="-"/>
    <x v="0"/>
    <m/>
    <x v="0"/>
    <x v="9"/>
    <x v="2"/>
    <x v="7"/>
    <x v="13"/>
    <x v="13"/>
  </r>
  <r>
    <s v="(AS) Koons Sterling Ford - Main Dealership (NO TOURS)8"/>
    <x v="7"/>
    <x v="7"/>
    <x v="18"/>
    <x v="1"/>
    <x v="1"/>
    <x v="1"/>
    <s v="https://tools.sig.systems/site/details/348"/>
    <s v="-"/>
    <x v="2"/>
    <m/>
    <x v="9"/>
    <x v="13"/>
    <x v="0"/>
    <x v="9"/>
    <x v="18"/>
    <x v="18"/>
  </r>
  <r>
    <s v="(AS) Koons Volvo Cars White Marsh (NO TOURS)8"/>
    <x v="7"/>
    <x v="7"/>
    <x v="20"/>
    <x v="1"/>
    <x v="1"/>
    <x v="1"/>
    <s v="https://tools.sig.systems/site/details/338"/>
    <n v="0"/>
    <x v="0"/>
    <m/>
    <x v="0"/>
    <x v="15"/>
    <x v="0"/>
    <x v="0"/>
    <x v="20"/>
    <x v="20"/>
  </r>
  <r>
    <s v="(BRL) Fort Pierce8"/>
    <x v="7"/>
    <x v="7"/>
    <x v="30"/>
    <x v="3"/>
    <x v="1"/>
    <x v="3"/>
    <s v="https://tools.sig.systems/site/details/326"/>
    <s v="-"/>
    <x v="0"/>
    <m/>
    <x v="0"/>
    <x v="7"/>
    <x v="0"/>
    <x v="1"/>
    <x v="30"/>
    <x v="30"/>
  </r>
  <r>
    <s v="(DT) Arlington8"/>
    <x v="7"/>
    <x v="7"/>
    <x v="32"/>
    <x v="0"/>
    <x v="0"/>
    <x v="0"/>
    <s v="https://tools.sig.systems/site/details/199"/>
    <n v="0"/>
    <x v="0"/>
    <m/>
    <x v="13"/>
    <x v="13"/>
    <x v="0"/>
    <x v="0"/>
    <x v="32"/>
    <x v="32"/>
  </r>
  <r>
    <s v="(LT) Luther Brookdale Honda (NO TOURS)8"/>
    <x v="7"/>
    <x v="7"/>
    <x v="42"/>
    <x v="0"/>
    <x v="0"/>
    <x v="0"/>
    <s v="https://tools.sig.systems/site/details/280"/>
    <s v="https://www.google.com/maps/d/viewer?mid=1ot0ILX76JMuvd9yMuqkb4_e0yH1n7TA&amp;ll=45.07815812965141%2C-93.33506855000002&amp;z=17"/>
    <x v="0"/>
    <m/>
    <x v="0"/>
    <x v="27"/>
    <x v="8"/>
    <x v="19"/>
    <x v="42"/>
    <x v="42"/>
  </r>
  <r>
    <s v="(PE) JLR Darien (NO TOURS)8"/>
    <x v="7"/>
    <x v="7"/>
    <x v="52"/>
    <x v="6"/>
    <x v="1"/>
    <x v="1"/>
    <s v="https://tools.sig.systems/site/details/189"/>
    <s v="-"/>
    <x v="0"/>
    <m/>
    <x v="24"/>
    <x v="1"/>
    <x v="0"/>
    <x v="0"/>
    <x v="15"/>
    <x v="52"/>
  </r>
  <r>
    <s v="(AS) 3281 Storage Lot (NO TOURS)9"/>
    <x v="8"/>
    <x v="0"/>
    <x v="0"/>
    <x v="0"/>
    <x v="0"/>
    <x v="0"/>
    <s v="https://tools.sig.systems/site/details/305"/>
    <s v="https://www.google.com/maps/d/edit?hl=es&amp;mid=1uPmsRMsXnp74hPFW2t-sp2totVWF_xY&amp;ll=32.83050137713022%2C-96.83197783061323&amp;z=17"/>
    <x v="0"/>
    <m/>
    <x v="0"/>
    <x v="0"/>
    <x v="0"/>
    <x v="0"/>
    <x v="0"/>
    <x v="0"/>
  </r>
  <r>
    <s v="(AS) Koons Annapolis Toyota (NO TOURS)9"/>
    <x v="8"/>
    <x v="7"/>
    <x v="7"/>
    <x v="1"/>
    <x v="1"/>
    <x v="1"/>
    <s v="https://tools.sig.systems/site/details/337"/>
    <n v="0"/>
    <x v="0"/>
    <m/>
    <x v="5"/>
    <x v="5"/>
    <x v="0"/>
    <x v="0"/>
    <x v="7"/>
    <x v="7"/>
  </r>
  <r>
    <s v="(AS) Koons Chevrolet Buick GMC - Clarksville (NO TOURS)9"/>
    <x v="8"/>
    <x v="0"/>
    <x v="10"/>
    <x v="1"/>
    <x v="1"/>
    <x v="1"/>
    <s v="https://tools.sig.systems/site/details/306"/>
    <s v="https://www.google.com/maps/d/edit?hl=es&amp;mid=11XB1lTSP7EcDCDvzypdUPWP6bWCNAEI&amp;ll=39.21145022420528%2C-76.94003711910554&amp;z=17"/>
    <x v="2"/>
    <m/>
    <x v="0"/>
    <x v="8"/>
    <x v="0"/>
    <x v="0"/>
    <x v="10"/>
    <x v="10"/>
  </r>
  <r>
    <s v="(DT) Charlotte9"/>
    <x v="8"/>
    <x v="0"/>
    <x v="33"/>
    <x v="1"/>
    <x v="1"/>
    <x v="1"/>
    <s v="https://tools.sig.systems/site/details/299"/>
    <n v="0"/>
    <x v="0"/>
    <m/>
    <x v="14"/>
    <x v="1"/>
    <x v="0"/>
    <x v="13"/>
    <x v="33"/>
    <x v="33"/>
  </r>
  <r>
    <s v="(LT) Luther Brookdale Toyota9"/>
    <x v="8"/>
    <x v="0"/>
    <x v="43"/>
    <x v="0"/>
    <x v="0"/>
    <x v="1"/>
    <s v="https://tools.sig.systems/site/details/281"/>
    <s v="https://www.google.com/maps/d/viewer?mid=1ot0ILX76JMuvd9yMuqkb4_e0yH1n7TA&amp;ll=45.07815812965141%2C-93.33506855000002&amp;z=17"/>
    <x v="0"/>
    <m/>
    <x v="0"/>
    <x v="28"/>
    <x v="3"/>
    <x v="4"/>
    <x v="43"/>
    <x v="43"/>
  </r>
  <r>
    <s v="(LT) Luther Burnsville Hyundai9"/>
    <x v="8"/>
    <x v="0"/>
    <x v="44"/>
    <x v="0"/>
    <x v="0"/>
    <x v="0"/>
    <s v="https://tools.sig.systems/site/details/307"/>
    <n v="0"/>
    <x v="0"/>
    <m/>
    <x v="0"/>
    <x v="29"/>
    <x v="9"/>
    <x v="20"/>
    <x v="44"/>
    <x v="44"/>
  </r>
  <r>
    <s v="(PE) BMW Service Center (NO TOURS)9"/>
    <x v="8"/>
    <x v="0"/>
    <x v="51"/>
    <x v="6"/>
    <x v="1"/>
    <x v="1"/>
    <s v="https://tools.sig.systems/site/details/184"/>
    <s v="https://www.google.com/maps/d/edit?hl=en&amp;mid=1UHmt7tH1ihTa85i0MfQIcTfVvIQg_vM&amp;ll=41.02423447529239%2C-73.63721502222738&amp;z=18"/>
    <x v="0"/>
    <m/>
    <x v="23"/>
    <x v="1"/>
    <x v="0"/>
    <x v="0"/>
    <x v="51"/>
    <x v="51"/>
  </r>
  <r>
    <s v="(PE) MB of Greenwich9"/>
    <x v="8"/>
    <x v="0"/>
    <x v="55"/>
    <x v="6"/>
    <x v="1"/>
    <x v="1"/>
    <s v="https://tools.sig.systems/site/details/188"/>
    <s v="https://www.google.com/maps/d/edit?hl=en&amp;mid=1UHmt7tH1ihTa85i0MfQIcTfVvIQg_vM&amp;ll=41.02423447529239%2C-73.63721502222738&amp;z=18"/>
    <x v="0"/>
    <m/>
    <x v="27"/>
    <x v="35"/>
    <x v="0"/>
    <x v="0"/>
    <x v="53"/>
    <x v="55"/>
  </r>
  <r>
    <s v="(AS) Coggin BMW Ft. Pierce (NO TOURS)9"/>
    <x v="8"/>
    <x v="1"/>
    <x v="1"/>
    <x v="1"/>
    <x v="1"/>
    <x v="1"/>
    <s v="https://tools.sig.systems/site/details/119"/>
    <s v="https://www.google.com/maps/d/viewer?mid=1AyViBuyeq7iwDua1SVudJ2A1BYi3IBA&amp;ll=27.38181516363982%2C-80.32568845000002&amp;z=18"/>
    <x v="0"/>
    <m/>
    <x v="1"/>
    <x v="1"/>
    <x v="0"/>
    <x v="1"/>
    <x v="1"/>
    <x v="1"/>
  </r>
  <r>
    <s v="(AS) Koons Baltimore Ford - Main Dealership (NO TOURS)9"/>
    <x v="8"/>
    <x v="1"/>
    <x v="9"/>
    <x v="1"/>
    <x v="1"/>
    <x v="1"/>
    <s v="https://tools.sig.systems/site/details/335"/>
    <s v="-"/>
    <x v="0"/>
    <m/>
    <x v="6"/>
    <x v="7"/>
    <x v="0"/>
    <x v="5"/>
    <x v="9"/>
    <x v="61"/>
  </r>
  <r>
    <s v="(AS) Koons Chevrolet Buick GMC - Clarksville Remote Lot (NO TOURS)9"/>
    <x v="8"/>
    <x v="1"/>
    <x v="11"/>
    <x v="1"/>
    <x v="1"/>
    <x v="1"/>
    <s v="https://tools.sig.systems/site/details/308"/>
    <s v="https://www.google.com/maps/d/edit?hl=es&amp;mid=11XB1lTSP7EcDCDvzypdUPWP6bWCNAEI&amp;ll=39.21145022420528%2C-76.94003711910554&amp;z=21"/>
    <x v="2"/>
    <m/>
    <x v="0"/>
    <x v="3"/>
    <x v="0"/>
    <x v="0"/>
    <x v="11"/>
    <x v="11"/>
  </r>
  <r>
    <s v="(AS) Koons Westminster Toyota (NO TOURS)9"/>
    <x v="8"/>
    <x v="1"/>
    <x v="21"/>
    <x v="1"/>
    <x v="1"/>
    <x v="1"/>
    <s v="https://tools.sig.systems/site/details/341"/>
    <s v="-"/>
    <x v="0"/>
    <m/>
    <x v="0"/>
    <x v="16"/>
    <x v="0"/>
    <x v="0"/>
    <x v="21"/>
    <x v="21"/>
  </r>
  <r>
    <s v="(AS) Koons Woodbridge GMC (NO TOURS)9"/>
    <x v="8"/>
    <x v="1"/>
    <x v="24"/>
    <x v="1"/>
    <x v="1"/>
    <x v="1"/>
    <s v="https://tools.sig.systems/site/details/343"/>
    <n v="0"/>
    <x v="2"/>
    <m/>
    <x v="0"/>
    <x v="7"/>
    <x v="0"/>
    <x v="10"/>
    <x v="24"/>
    <x v="24"/>
  </r>
  <r>
    <s v="(DT) Modesto9"/>
    <x v="8"/>
    <x v="1"/>
    <x v="34"/>
    <x v="4"/>
    <x v="3"/>
    <x v="4"/>
    <s v="https://tools.sig.systems/site/details/267"/>
    <n v="0"/>
    <x v="0"/>
    <m/>
    <x v="15"/>
    <x v="23"/>
    <x v="0"/>
    <x v="0"/>
    <x v="34"/>
    <x v="34"/>
  </r>
  <r>
    <s v="(KG) Ken Garff Kia of Avondale9"/>
    <x v="8"/>
    <x v="1"/>
    <x v="37"/>
    <x v="4"/>
    <x v="4"/>
    <x v="4"/>
    <s v="https://tools.sig.systems/site/details/283"/>
    <s v="https://www.google.com/maps/d/viewer?mid=1bDs0QGFZwL3vEeGKxjVMk_j4azr0-lg&amp;ll=33.4593758581648%2C-112.28793780000001&amp;z=18"/>
    <x v="5"/>
    <m/>
    <x v="18"/>
    <x v="1"/>
    <x v="0"/>
    <x v="15"/>
    <x v="37"/>
    <x v="37"/>
  </r>
  <r>
    <s v="(LT) Luther Genesis of Minneapolis9"/>
    <x v="8"/>
    <x v="1"/>
    <x v="45"/>
    <x v="0"/>
    <x v="0"/>
    <x v="0"/>
    <s v="https://tools.sig.systems/site/details/315"/>
    <n v="0"/>
    <x v="0"/>
    <m/>
    <x v="0"/>
    <x v="30"/>
    <x v="0"/>
    <x v="0"/>
    <x v="45"/>
    <x v="45"/>
  </r>
  <r>
    <s v="(AS) Koons MB of Catonsville (NO TOURS)9"/>
    <x v="8"/>
    <x v="2"/>
    <x v="16"/>
    <x v="1"/>
    <x v="1"/>
    <x v="1"/>
    <s v="https://tools.sig.systems/site/details/303"/>
    <n v="0"/>
    <x v="0"/>
    <m/>
    <x v="0"/>
    <x v="11"/>
    <x v="3"/>
    <x v="3"/>
    <x v="16"/>
    <x v="16"/>
  </r>
  <r>
    <s v="(AS) Koons Tysons Toyota - Main Dealership (NO TOURS)9"/>
    <x v="8"/>
    <x v="2"/>
    <x v="19"/>
    <x v="1"/>
    <x v="1"/>
    <x v="1"/>
    <s v="https://tools.sig.systems/site/details/344"/>
    <s v="-"/>
    <x v="0"/>
    <m/>
    <x v="0"/>
    <x v="14"/>
    <x v="0"/>
    <x v="0"/>
    <x v="19"/>
    <x v="19"/>
  </r>
  <r>
    <s v="(AS) Koons White Marsh Chevrolet (NO TOURS)9"/>
    <x v="8"/>
    <x v="2"/>
    <x v="22"/>
    <x v="1"/>
    <x v="1"/>
    <x v="1"/>
    <s v="https://tools.sig.systems/site/details/339"/>
    <s v="-"/>
    <x v="0"/>
    <m/>
    <x v="10"/>
    <x v="17"/>
    <x v="0"/>
    <x v="0"/>
    <x v="22"/>
    <x v="22"/>
  </r>
  <r>
    <s v="(AS) Plaza Collision ST Louis (NO TOURS)9"/>
    <x v="8"/>
    <x v="2"/>
    <x v="28"/>
    <x v="0"/>
    <x v="0"/>
    <x v="0"/>
    <s v="https://tools.sig.systems/site/details/350"/>
    <s v="-"/>
    <x v="0"/>
    <m/>
    <x v="12"/>
    <x v="7"/>
    <x v="0"/>
    <x v="0"/>
    <x v="28"/>
    <x v="28"/>
  </r>
  <r>
    <s v="(LT) Luther Hopkins Honda (NO TOURS)9"/>
    <x v="8"/>
    <x v="2"/>
    <x v="46"/>
    <x v="0"/>
    <x v="0"/>
    <x v="0"/>
    <s v="https://tools.sig.systems/site/details/288"/>
    <n v="0"/>
    <x v="0"/>
    <m/>
    <x v="0"/>
    <x v="31"/>
    <x v="10"/>
    <x v="21"/>
    <x v="46"/>
    <x v="46"/>
  </r>
  <r>
    <s v="(AS) Coggin Honda of Orlando (NO TOURS)9"/>
    <x v="8"/>
    <x v="3"/>
    <x v="3"/>
    <x v="1"/>
    <x v="1"/>
    <x v="1"/>
    <s v="https://tools.sig.systems/site/details/324"/>
    <n v="0"/>
    <x v="1"/>
    <m/>
    <x v="3"/>
    <x v="1"/>
    <x v="0"/>
    <x v="2"/>
    <x v="3"/>
    <x v="3"/>
  </r>
  <r>
    <s v="(AS) Koons Easton Toyota - Main Dealership (NO TOURS)9"/>
    <x v="8"/>
    <x v="3"/>
    <x v="14"/>
    <x v="1"/>
    <x v="1"/>
    <x v="1"/>
    <s v="https://tools.sig.systems/site/details/340"/>
    <s v="-"/>
    <x v="0"/>
    <m/>
    <x v="0"/>
    <x v="10"/>
    <x v="0"/>
    <x v="0"/>
    <x v="14"/>
    <x v="14"/>
  </r>
  <r>
    <s v="(AS) Koons Falls Church Ford (NO TOURS)9"/>
    <x v="8"/>
    <x v="3"/>
    <x v="15"/>
    <x v="1"/>
    <x v="1"/>
    <x v="1"/>
    <s v="https://tools.sig.systems/site/details/345"/>
    <s v="-"/>
    <x v="2"/>
    <m/>
    <x v="0"/>
    <x v="7"/>
    <x v="0"/>
    <x v="0"/>
    <x v="15"/>
    <x v="15"/>
  </r>
  <r>
    <s v="(AS) Koons Owings Mills Kia (NO TOURS)9"/>
    <x v="8"/>
    <x v="3"/>
    <x v="17"/>
    <x v="1"/>
    <x v="1"/>
    <x v="1"/>
    <s v="https://tools.sig.systems/site/details/336"/>
    <s v="-"/>
    <x v="0"/>
    <m/>
    <x v="31"/>
    <x v="39"/>
    <x v="0"/>
    <x v="0"/>
    <x v="57"/>
    <x v="17"/>
  </r>
  <r>
    <s v="(LT) Landers Kia of Little Rock9"/>
    <x v="8"/>
    <x v="3"/>
    <x v="39"/>
    <x v="0"/>
    <x v="0"/>
    <x v="0"/>
    <s v="https://tools.sig.systems/site/details/322"/>
    <s v="https://www.google.com/maps/d/u/1/edit?mid=1-zEzsc6U6nZom08edp0XAd3_HYFvAyk&amp;usp=sharing"/>
    <x v="0"/>
    <m/>
    <x v="19"/>
    <x v="1"/>
    <x v="5"/>
    <x v="17"/>
    <x v="39"/>
    <x v="39"/>
  </r>
  <r>
    <s v="(PE) JLR Englewood (NO TOURS)9"/>
    <x v="8"/>
    <x v="3"/>
    <x v="53"/>
    <x v="6"/>
    <x v="1"/>
    <x v="1"/>
    <s v="https://tools.sig.systems/site/details/178"/>
    <s v="https://www.google.com/maps/d/viewer?mid=1ubI2iKs1JyYXssuT4oLPnVvFnyLPi_s&amp;ll=40.878808846788026%2C-73.98560655&amp;z=17"/>
    <x v="0"/>
    <m/>
    <x v="25"/>
    <x v="1"/>
    <x v="0"/>
    <x v="0"/>
    <x v="15"/>
    <x v="53"/>
  </r>
  <r>
    <s v="(AS) Hare Chevrolet (NO TOURS)9"/>
    <x v="8"/>
    <x v="4"/>
    <x v="4"/>
    <x v="1"/>
    <x v="1"/>
    <x v="1"/>
    <s v="https://tools.sig.systems/site/details/301"/>
    <s v="https://www.google.com/maps/d/edit?mid=1hsX5GGrNcCQgAuzDCDz1OWgEkhsAc78&amp;usp=sharing"/>
    <x v="0"/>
    <m/>
    <x v="4"/>
    <x v="2"/>
    <x v="0"/>
    <x v="3"/>
    <x v="4"/>
    <x v="4"/>
  </r>
  <r>
    <s v="(LT) Luther Bloomington Hyundai (NO TOURS)9"/>
    <x v="8"/>
    <x v="4"/>
    <x v="40"/>
    <x v="0"/>
    <x v="0"/>
    <x v="0"/>
    <s v="https://tools.sig.systems/site/details/318"/>
    <n v="0"/>
    <x v="0"/>
    <m/>
    <x v="0"/>
    <x v="25"/>
    <x v="6"/>
    <x v="18"/>
    <x v="40"/>
    <x v="40"/>
  </r>
  <r>
    <s v="(LT) Luther Landers Recon Center9"/>
    <x v="8"/>
    <x v="4"/>
    <x v="47"/>
    <x v="0"/>
    <x v="0"/>
    <x v="0"/>
    <s v="https://tools.sig.systems/site/details/323"/>
    <s v="https://www.google.com/maps/d/u/1/edit?mid=1-zEzsc6U6nZom08edp0XAd3_HYFvAyk&amp;usp=sharing"/>
    <x v="0"/>
    <m/>
    <x v="21"/>
    <x v="1"/>
    <x v="0"/>
    <x v="0"/>
    <x v="47"/>
    <x v="47"/>
  </r>
  <r>
    <s v="(SCH) Schumacher of Delray I &amp; III9"/>
    <x v="8"/>
    <x v="4"/>
    <x v="57"/>
    <x v="1"/>
    <x v="1"/>
    <x v="1"/>
    <s v="https://tools.sig.systems/site/details/159"/>
    <s v="https://www.google.com/maps/d/viewer?mid=1ZLGV-cDM9aCfovhmXHIAXgVOKts0dEI&amp;ll=26.438859950088858%2C-80.07968125000001&amp;z=16"/>
    <x v="1"/>
    <m/>
    <x v="29"/>
    <x v="36"/>
    <x v="0"/>
    <x v="0"/>
    <x v="55"/>
    <x v="57"/>
  </r>
  <r>
    <s v="(AS) Hare Truck Center (NO TOURS)9"/>
    <x v="8"/>
    <x v="5"/>
    <x v="5"/>
    <x v="1"/>
    <x v="1"/>
    <x v="1"/>
    <s v="https://tools.sig.systems/site/details/300"/>
    <s v="https://www.google.com/maps/d/edit?mid=1hsX5GGrNcCQgAuzDCDz1OWgEkhsAc78&amp;usp=sharing"/>
    <x v="0"/>
    <m/>
    <x v="0"/>
    <x v="3"/>
    <x v="0"/>
    <x v="0"/>
    <x v="5"/>
    <x v="5"/>
  </r>
  <r>
    <s v="(AS) Koons Sterling Ford - Main Dealership (NO TOURS)9"/>
    <x v="8"/>
    <x v="5"/>
    <x v="18"/>
    <x v="1"/>
    <x v="1"/>
    <x v="1"/>
    <s v="https://tools.sig.systems/site/details/348"/>
    <s v="-"/>
    <x v="2"/>
    <m/>
    <x v="9"/>
    <x v="13"/>
    <x v="0"/>
    <x v="9"/>
    <x v="18"/>
    <x v="18"/>
  </r>
  <r>
    <s v="(KG) Big Star Hyundai Houston9"/>
    <x v="8"/>
    <x v="5"/>
    <x v="36"/>
    <x v="0"/>
    <x v="0"/>
    <x v="0"/>
    <s v="https://tools.sig.systems/site/details/287"/>
    <s v="https://www.google.com/maps/d/edit?hl=en&amp;mid=1jIRkMUnWNPuTgDjQgDP-f33LClT85NU&amp;ll=29.55731827236326%2C-95.1601644&amp;z=17"/>
    <x v="0"/>
    <m/>
    <x v="17"/>
    <x v="24"/>
    <x v="0"/>
    <x v="14"/>
    <x v="36"/>
    <x v="36"/>
  </r>
  <r>
    <s v="(LT) Luther Bloomington Subaru - Acura9"/>
    <x v="8"/>
    <x v="5"/>
    <x v="41"/>
    <x v="5"/>
    <x v="0"/>
    <x v="5"/>
    <s v="https://tools.sig.systems/site/details/289"/>
    <n v="0"/>
    <x v="0"/>
    <m/>
    <x v="20"/>
    <x v="26"/>
    <x v="7"/>
    <x v="0"/>
    <x v="41"/>
    <x v="41"/>
  </r>
  <r>
    <s v="(LT) Luther St. Cloud Subaru9"/>
    <x v="8"/>
    <x v="5"/>
    <x v="49"/>
    <x v="0"/>
    <x v="0"/>
    <x v="6"/>
    <s v="https://tools.sig.systems/site/details/295"/>
    <n v="0"/>
    <x v="0"/>
    <m/>
    <x v="22"/>
    <x v="33"/>
    <x v="12"/>
    <x v="22"/>
    <x v="49"/>
    <x v="49"/>
  </r>
  <r>
    <s v="(TC) Lamborghini South Dade9"/>
    <x v="8"/>
    <x v="5"/>
    <x v="58"/>
    <x v="1"/>
    <x v="1"/>
    <x v="1"/>
    <s v="https://tools.sig.systems/site/details/313"/>
    <n v="0"/>
    <x v="0"/>
    <m/>
    <x v="0"/>
    <x v="37"/>
    <x v="0"/>
    <x v="0"/>
    <x v="15"/>
    <x v="58"/>
  </r>
  <r>
    <s v="(AS) Kahlo CDJR (NO TOURS)9"/>
    <x v="8"/>
    <x v="6"/>
    <x v="6"/>
    <x v="1"/>
    <x v="1"/>
    <x v="1"/>
    <s v="https://tools.sig.systems/site/details/282"/>
    <s v="https://www.google.com/maps/d/edit?mid=1hsX5GGrNcCQgAuzDCDz1OWgEkhsAc78&amp;usp=sharing"/>
    <x v="0"/>
    <m/>
    <x v="0"/>
    <x v="4"/>
    <x v="1"/>
    <x v="4"/>
    <x v="6"/>
    <x v="6"/>
  </r>
  <r>
    <s v="(AS) Koons Chevrolet Buick GMC - Tysons (NO TOURS)9"/>
    <x v="8"/>
    <x v="6"/>
    <x v="12"/>
    <x v="1"/>
    <x v="1"/>
    <x v="1"/>
    <s v="https://tools.sig.systems/site/details/352"/>
    <s v="-"/>
    <x v="2"/>
    <m/>
    <x v="7"/>
    <x v="1"/>
    <x v="0"/>
    <x v="6"/>
    <x v="12"/>
    <x v="12"/>
  </r>
  <r>
    <s v="(AS) Koons Woodbridge Kia (NO TOURS)9"/>
    <x v="8"/>
    <x v="6"/>
    <x v="26"/>
    <x v="1"/>
    <x v="1"/>
    <x v="1"/>
    <s v="https://tools.sig.systems/site/details/346"/>
    <s v="-"/>
    <x v="2"/>
    <m/>
    <x v="0"/>
    <x v="20"/>
    <x v="0"/>
    <x v="0"/>
    <x v="26"/>
    <x v="26"/>
  </r>
  <r>
    <s v="(KG) Big Star Cadillac9"/>
    <x v="8"/>
    <x v="6"/>
    <x v="35"/>
    <x v="0"/>
    <x v="0"/>
    <x v="0"/>
    <s v="https://tools.sig.systems/site/details/316"/>
    <s v="https://www.google.com/maps/d/edit?mid=1jIRkMUnWNPuTgDjQgDP-f33LClT85NU&amp;usp=sharing"/>
    <x v="0"/>
    <m/>
    <x v="16"/>
    <x v="1"/>
    <x v="0"/>
    <x v="0"/>
    <x v="35"/>
    <x v="35"/>
  </r>
  <r>
    <s v="(LT) Luther Brookdale Honda (NO TOURS)9"/>
    <x v="8"/>
    <x v="6"/>
    <x v="42"/>
    <x v="0"/>
    <x v="0"/>
    <x v="0"/>
    <s v="https://tools.sig.systems/site/details/280"/>
    <s v="https://www.google.com/maps/d/viewer?mid=1ot0ILX76JMuvd9yMuqkb4_e0yH1n7TA&amp;ll=45.07815812965141%2C-93.33506855000002&amp;z=17"/>
    <x v="0"/>
    <m/>
    <x v="0"/>
    <x v="27"/>
    <x v="8"/>
    <x v="19"/>
    <x v="42"/>
    <x v="42"/>
  </r>
  <r>
    <s v="(ML) Joe Machens Hyundai9"/>
    <x v="8"/>
    <x v="6"/>
    <x v="50"/>
    <x v="0"/>
    <x v="0"/>
    <x v="0"/>
    <s v="https://tools.sig.systems/site/details/286"/>
    <s v="https://www.google.com/maps/d/viewer?hl=es&amp;mid=1C1oZdjH3dNvCvqdpIv_Lk0Yn1OCVn-4&amp;ll=38.965368114274455%2C-92.3405954&amp;z=15"/>
    <x v="0"/>
    <m/>
    <x v="0"/>
    <x v="34"/>
    <x v="0"/>
    <x v="11"/>
    <x v="50"/>
    <x v="50"/>
  </r>
  <r>
    <s v="Mario Residence9"/>
    <x v="8"/>
    <x v="6"/>
    <x v="59"/>
    <x v="3"/>
    <x v="1"/>
    <x v="3"/>
    <s v="https://tools.sig.systems/site/details/148"/>
    <s v="https://www.google.com/maps/d/edit?hl=es&amp;mid=13OmECPqyeB7fXgZmEoM9cnG34HU_v5g&amp;ll=26.046837034777553%2C-80.38753458591658&amp;z=19"/>
    <x v="0"/>
    <m/>
    <x v="30"/>
    <x v="38"/>
    <x v="0"/>
    <x v="0"/>
    <x v="56"/>
    <x v="59"/>
  </r>
  <r>
    <s v="(AS) Koons Arlington Toyota - New Car (NO TOURS)9"/>
    <x v="8"/>
    <x v="7"/>
    <x v="8"/>
    <x v="1"/>
    <x v="1"/>
    <x v="1"/>
    <s v="https://tools.sig.systems/site/details/334"/>
    <n v="0"/>
    <x v="2"/>
    <m/>
    <x v="0"/>
    <x v="6"/>
    <x v="0"/>
    <x v="0"/>
    <x v="8"/>
    <x v="8"/>
  </r>
  <r>
    <s v="(AS) Koons Chevrolet Buick GMC - Tysons Remote Lot (NO TOURS)9"/>
    <x v="8"/>
    <x v="7"/>
    <x v="13"/>
    <x v="1"/>
    <x v="1"/>
    <x v="1"/>
    <s v="https://tools.sig.systems/site/details/333"/>
    <s v="-"/>
    <x v="0"/>
    <m/>
    <x v="0"/>
    <x v="9"/>
    <x v="2"/>
    <x v="7"/>
    <x v="13"/>
    <x v="13"/>
  </r>
  <r>
    <s v="(AS) Koons Volvo Cars White Marsh (NO TOURS)9"/>
    <x v="8"/>
    <x v="7"/>
    <x v="20"/>
    <x v="1"/>
    <x v="1"/>
    <x v="1"/>
    <s v="https://tools.sig.systems/site/details/338"/>
    <n v="0"/>
    <x v="0"/>
    <m/>
    <x v="0"/>
    <x v="15"/>
    <x v="0"/>
    <x v="0"/>
    <x v="20"/>
    <x v="20"/>
  </r>
  <r>
    <s v="(AS) Larry H Miller CDJR Fiat (NO TOURS)9"/>
    <x v="8"/>
    <x v="7"/>
    <x v="27"/>
    <x v="2"/>
    <x v="2"/>
    <x v="2"/>
    <s v="https://tools.sig.systems/site/details/298"/>
    <n v="0"/>
    <x v="0"/>
    <m/>
    <x v="11"/>
    <x v="2"/>
    <x v="0"/>
    <x v="0"/>
    <x v="27"/>
    <x v="27"/>
  </r>
  <r>
    <s v="(BRL) Fort Pierce9"/>
    <x v="8"/>
    <x v="7"/>
    <x v="30"/>
    <x v="3"/>
    <x v="1"/>
    <x v="3"/>
    <s v="https://tools.sig.systems/site/details/326"/>
    <s v="-"/>
    <x v="0"/>
    <m/>
    <x v="0"/>
    <x v="7"/>
    <x v="0"/>
    <x v="1"/>
    <x v="30"/>
    <x v="30"/>
  </r>
  <r>
    <s v="(DT) Arlington9"/>
    <x v="8"/>
    <x v="7"/>
    <x v="32"/>
    <x v="0"/>
    <x v="0"/>
    <x v="0"/>
    <s v="https://tools.sig.systems/site/details/199"/>
    <n v="0"/>
    <x v="0"/>
    <m/>
    <x v="13"/>
    <x v="13"/>
    <x v="0"/>
    <x v="0"/>
    <x v="32"/>
    <x v="62"/>
  </r>
  <r>
    <s v="(KG) Ken Garff Volkswagen of Gilbert9"/>
    <x v="8"/>
    <x v="7"/>
    <x v="38"/>
    <x v="4"/>
    <x v="4"/>
    <x v="4"/>
    <s v="https://tools.sig.systems/site/details/284"/>
    <s v="https://www.google.com/maps/d/viewer?hl=es&amp;mid=19SU7XE9Cg8jhVFpEI21Vi9Zfgdih9Ds&amp;ll=33.29158262977276%2C-111.75783630000002&amp;z=17"/>
    <x v="5"/>
    <m/>
    <x v="7"/>
    <x v="1"/>
    <x v="0"/>
    <x v="16"/>
    <x v="38"/>
    <x v="38"/>
  </r>
  <r>
    <s v="(PE) JLR Darien (NO TOURS)9"/>
    <x v="8"/>
    <x v="7"/>
    <x v="52"/>
    <x v="6"/>
    <x v="1"/>
    <x v="1"/>
    <s v="https://tools.sig.systems/site/details/189"/>
    <s v="-"/>
    <x v="0"/>
    <m/>
    <x v="24"/>
    <x v="1"/>
    <x v="0"/>
    <x v="0"/>
    <x v="15"/>
    <x v="52"/>
  </r>
  <r>
    <s v="(PE) JLR Paramus (NO TOURS)9"/>
    <x v="8"/>
    <x v="7"/>
    <x v="54"/>
    <x v="6"/>
    <x v="1"/>
    <x v="1"/>
    <s v="https://tools.sig.systems/site/details/177"/>
    <n v="0"/>
    <x v="0"/>
    <m/>
    <x v="26"/>
    <x v="1"/>
    <x v="0"/>
    <x v="0"/>
    <x v="52"/>
    <x v="54"/>
  </r>
  <r>
    <s v="(AS) Coggin Collision Center of Kissimmee (NO TOURS)9"/>
    <x v="8"/>
    <x v="8"/>
    <x v="2"/>
    <x v="1"/>
    <x v="1"/>
    <x v="1"/>
    <s v="https://tools.sig.systems/site/details/331"/>
    <n v="0"/>
    <x v="0"/>
    <m/>
    <x v="2"/>
    <x v="1"/>
    <x v="0"/>
    <x v="0"/>
    <x v="2"/>
    <x v="2"/>
  </r>
  <r>
    <s v="(AS) Koons Woodbridge Ford (NO TOURS)9"/>
    <x v="8"/>
    <x v="8"/>
    <x v="23"/>
    <x v="1"/>
    <x v="1"/>
    <x v="1"/>
    <s v="https://tools.sig.systems/site/details/342"/>
    <n v="0"/>
    <x v="3"/>
    <m/>
    <x v="0"/>
    <x v="18"/>
    <x v="0"/>
    <x v="0"/>
    <x v="23"/>
    <x v="23"/>
  </r>
  <r>
    <s v="(AS) Koons Woodbridge Hyundai (NO TOURS)9"/>
    <x v="8"/>
    <x v="8"/>
    <x v="25"/>
    <x v="1"/>
    <x v="1"/>
    <x v="1"/>
    <s v="https://tools.sig.systems/site/details/347"/>
    <s v="-"/>
    <x v="4"/>
    <m/>
    <x v="0"/>
    <x v="19"/>
    <x v="0"/>
    <x v="0"/>
    <x v="25"/>
    <x v="25"/>
  </r>
  <r>
    <s v="(AS) Plaza Mercedes Benz West (NO TOURS)9"/>
    <x v="8"/>
    <x v="8"/>
    <x v="29"/>
    <x v="0"/>
    <x v="0"/>
    <x v="0"/>
    <s v="https://tools.sig.systems/site/details/349"/>
    <n v="0"/>
    <x v="0"/>
    <m/>
    <x v="0"/>
    <x v="21"/>
    <x v="0"/>
    <x v="11"/>
    <x v="29"/>
    <x v="29"/>
  </r>
  <r>
    <s v="(BRL) Shoemakersville9"/>
    <x v="8"/>
    <x v="8"/>
    <x v="31"/>
    <x v="3"/>
    <x v="1"/>
    <x v="3"/>
    <s v="https://tools.sig.systems/site/details/302"/>
    <n v="0"/>
    <x v="0"/>
    <m/>
    <x v="0"/>
    <x v="22"/>
    <x v="0"/>
    <x v="12"/>
    <x v="31"/>
    <x v="31"/>
  </r>
  <r>
    <s v="(LT) Luther North Country Ford9"/>
    <x v="8"/>
    <x v="8"/>
    <x v="48"/>
    <x v="0"/>
    <x v="0"/>
    <x v="0"/>
    <s v="https://tools.sig.systems/site/details/292"/>
    <n v="0"/>
    <x v="0"/>
    <m/>
    <x v="0"/>
    <x v="32"/>
    <x v="11"/>
    <x v="0"/>
    <x v="48"/>
    <x v="48"/>
  </r>
  <r>
    <s v="(PE) Porsche Audi Fairfield (NO TOURS)9"/>
    <x v="8"/>
    <x v="8"/>
    <x v="56"/>
    <x v="6"/>
    <x v="1"/>
    <x v="1"/>
    <s v="https://tools.sig.systems/site/details/194"/>
    <n v="0"/>
    <x v="0"/>
    <m/>
    <x v="28"/>
    <x v="1"/>
    <x v="0"/>
    <x v="4"/>
    <x v="54"/>
    <x v="56"/>
  </r>
  <r>
    <s v="(AS) Koons Tysons Toyota - UC Recon (NO TOURS)1"/>
    <x v="0"/>
    <x v="0"/>
    <x v="60"/>
    <x v="1"/>
    <x v="1"/>
    <x v="1"/>
    <s v="https://tools.sig.systems/site/details/355"/>
    <s v="-"/>
    <x v="0"/>
    <m/>
    <x v="0"/>
    <x v="40"/>
    <x v="0"/>
    <x v="0"/>
    <x v="15"/>
    <x v="63"/>
  </r>
  <r>
    <s v="(AS) Koons Tysons Toyota - UC Recon (NO TOURS)2"/>
    <x v="1"/>
    <x v="1"/>
    <x v="60"/>
    <x v="1"/>
    <x v="1"/>
    <x v="1"/>
    <s v="https://tools.sig.systems/site/details/355"/>
    <s v="-"/>
    <x v="0"/>
    <m/>
    <x v="0"/>
    <x v="40"/>
    <x v="0"/>
    <x v="0"/>
    <x v="15"/>
    <x v="63"/>
  </r>
  <r>
    <s v="(AS) Koons Tysons Toyota - UC Recon (NO TOURS)3"/>
    <x v="2"/>
    <x v="2"/>
    <x v="60"/>
    <x v="1"/>
    <x v="1"/>
    <x v="1"/>
    <s v="https://tools.sig.systems/site/details/355"/>
    <s v="-"/>
    <x v="0"/>
    <m/>
    <x v="0"/>
    <x v="40"/>
    <x v="0"/>
    <x v="0"/>
    <x v="15"/>
    <x v="63"/>
  </r>
  <r>
    <s v="(AS) Koons Tysons Toyota - UC Recon (NO TOURS)4"/>
    <x v="3"/>
    <x v="0"/>
    <x v="60"/>
    <x v="1"/>
    <x v="1"/>
    <x v="1"/>
    <s v="https://tools.sig.systems/site/details/355"/>
    <s v="-"/>
    <x v="0"/>
    <m/>
    <x v="0"/>
    <x v="40"/>
    <x v="0"/>
    <x v="0"/>
    <x v="15"/>
    <x v="63"/>
  </r>
  <r>
    <s v="(AS) Koons Tysons Toyota - UC Recon (NO TOURS)5"/>
    <x v="4"/>
    <x v="2"/>
    <x v="60"/>
    <x v="1"/>
    <x v="1"/>
    <x v="1"/>
    <s v="https://tools.sig.systems/site/details/355"/>
    <s v="-"/>
    <x v="0"/>
    <m/>
    <x v="0"/>
    <x v="40"/>
    <x v="0"/>
    <x v="0"/>
    <x v="15"/>
    <x v="63"/>
  </r>
  <r>
    <s v="(AS) Koons Tysons Toyota - UC Recon (NO TOURS)6"/>
    <x v="5"/>
    <x v="2"/>
    <x v="60"/>
    <x v="1"/>
    <x v="1"/>
    <x v="1"/>
    <s v="https://tools.sig.systems/site/details/355"/>
    <s v="-"/>
    <x v="0"/>
    <m/>
    <x v="0"/>
    <x v="40"/>
    <x v="0"/>
    <x v="0"/>
    <x v="15"/>
    <x v="63"/>
  </r>
  <r>
    <s v="(AS) Koons Tysons Toyota - UC Recon (NO TOURS)7"/>
    <x v="6"/>
    <x v="2"/>
    <x v="60"/>
    <x v="1"/>
    <x v="1"/>
    <x v="1"/>
    <s v="https://tools.sig.systems/site/details/355"/>
    <s v="-"/>
    <x v="0"/>
    <m/>
    <x v="0"/>
    <x v="40"/>
    <x v="0"/>
    <x v="0"/>
    <x v="15"/>
    <x v="63"/>
  </r>
  <r>
    <s v="(AS) Koons Tysons Toyota - UC Recon (NO TOURS)8"/>
    <x v="7"/>
    <x v="6"/>
    <x v="60"/>
    <x v="1"/>
    <x v="1"/>
    <x v="1"/>
    <s v="https://tools.sig.systems/site/details/355"/>
    <s v="-"/>
    <x v="0"/>
    <m/>
    <x v="0"/>
    <x v="40"/>
    <x v="0"/>
    <x v="0"/>
    <x v="15"/>
    <x v="63"/>
  </r>
  <r>
    <s v="(AS) Koons Tysons Toyota - UC Recon (NO TOURS)9"/>
    <x v="8"/>
    <x v="2"/>
    <x v="60"/>
    <x v="1"/>
    <x v="1"/>
    <x v="1"/>
    <s v="https://tools.sig.systems/site/details/355"/>
    <s v="-"/>
    <x v="0"/>
    <m/>
    <x v="0"/>
    <x v="40"/>
    <x v="0"/>
    <x v="0"/>
    <x v="15"/>
    <x v="63"/>
  </r>
  <r>
    <s v=""/>
    <x v="9"/>
    <x v="9"/>
    <x v="61"/>
    <x v="7"/>
    <x v="5"/>
    <x v="7"/>
    <e v="#N/A"/>
    <e v="#N/A"/>
    <x v="6"/>
    <m/>
    <x v="32"/>
    <x v="41"/>
    <x v="13"/>
    <x v="23"/>
    <x v="58"/>
    <x v="64"/>
  </r>
  <r>
    <s v=""/>
    <x v="9"/>
    <x v="9"/>
    <x v="61"/>
    <x v="7"/>
    <x v="5"/>
    <x v="7"/>
    <e v="#N/A"/>
    <e v="#N/A"/>
    <x v="6"/>
    <m/>
    <x v="32"/>
    <x v="41"/>
    <x v="13"/>
    <x v="23"/>
    <x v="58"/>
    <x v="64"/>
  </r>
  <r>
    <s v=""/>
    <x v="9"/>
    <x v="9"/>
    <x v="61"/>
    <x v="7"/>
    <x v="5"/>
    <x v="7"/>
    <e v="#N/A"/>
    <e v="#N/A"/>
    <x v="6"/>
    <m/>
    <x v="32"/>
    <x v="41"/>
    <x v="13"/>
    <x v="23"/>
    <x v="58"/>
    <x v="64"/>
  </r>
  <r>
    <s v=""/>
    <x v="9"/>
    <x v="9"/>
    <x v="61"/>
    <x v="7"/>
    <x v="5"/>
    <x v="7"/>
    <e v="#N/A"/>
    <e v="#N/A"/>
    <x v="6"/>
    <m/>
    <x v="32"/>
    <x v="41"/>
    <x v="13"/>
    <x v="23"/>
    <x v="58"/>
    <x v="64"/>
  </r>
  <r>
    <s v=""/>
    <x v="9"/>
    <x v="9"/>
    <x v="61"/>
    <x v="7"/>
    <x v="5"/>
    <x v="7"/>
    <e v="#N/A"/>
    <e v="#N/A"/>
    <x v="6"/>
    <m/>
    <x v="32"/>
    <x v="41"/>
    <x v="13"/>
    <x v="23"/>
    <x v="58"/>
    <x v="64"/>
  </r>
  <r>
    <s v=""/>
    <x v="9"/>
    <x v="9"/>
    <x v="61"/>
    <x v="7"/>
    <x v="5"/>
    <x v="7"/>
    <e v="#N/A"/>
    <e v="#N/A"/>
    <x v="6"/>
    <m/>
    <x v="32"/>
    <x v="41"/>
    <x v="13"/>
    <x v="23"/>
    <x v="58"/>
    <x v="64"/>
  </r>
  <r>
    <s v=""/>
    <x v="9"/>
    <x v="9"/>
    <x v="61"/>
    <x v="7"/>
    <x v="5"/>
    <x v="7"/>
    <e v="#N/A"/>
    <e v="#N/A"/>
    <x v="6"/>
    <m/>
    <x v="32"/>
    <x v="41"/>
    <x v="13"/>
    <x v="23"/>
    <x v="58"/>
    <x v="64"/>
  </r>
  <r>
    <s v=""/>
    <x v="9"/>
    <x v="9"/>
    <x v="61"/>
    <x v="7"/>
    <x v="5"/>
    <x v="7"/>
    <e v="#N/A"/>
    <e v="#N/A"/>
    <x v="6"/>
    <m/>
    <x v="32"/>
    <x v="41"/>
    <x v="13"/>
    <x v="23"/>
    <x v="58"/>
    <x v="64"/>
  </r>
  <r>
    <s v=""/>
    <x v="9"/>
    <x v="9"/>
    <x v="61"/>
    <x v="7"/>
    <x v="5"/>
    <x v="7"/>
    <e v="#N/A"/>
    <e v="#N/A"/>
    <x v="6"/>
    <m/>
    <x v="32"/>
    <x v="41"/>
    <x v="13"/>
    <x v="23"/>
    <x v="58"/>
    <x v="6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x v="0"/>
    <x v="0"/>
    <x v="0"/>
    <x v="0"/>
    <x v="0"/>
    <x v="0"/>
    <x v="0"/>
    <m/>
  </r>
  <r>
    <x v="1"/>
    <x v="0"/>
    <x v="0"/>
    <x v="0"/>
    <x v="0"/>
    <x v="0"/>
    <x v="0"/>
    <m/>
  </r>
  <r>
    <x v="2"/>
    <x v="0"/>
    <x v="0"/>
    <x v="0"/>
    <x v="0"/>
    <x v="0"/>
    <x v="0"/>
    <m/>
  </r>
  <r>
    <x v="3"/>
    <x v="0"/>
    <x v="0"/>
    <x v="0"/>
    <x v="0"/>
    <x v="0"/>
    <x v="0"/>
    <m/>
  </r>
  <r>
    <x v="3"/>
    <x v="1"/>
    <x v="0"/>
    <x v="0"/>
    <x v="1"/>
    <x v="0"/>
    <x v="1"/>
    <m/>
  </r>
  <r>
    <x v="1"/>
    <x v="0"/>
    <x v="0"/>
    <x v="0"/>
    <x v="2"/>
    <x v="0"/>
    <x v="1"/>
    <m/>
  </r>
  <r>
    <x v="2"/>
    <x v="0"/>
    <x v="0"/>
    <x v="0"/>
    <x v="2"/>
    <x v="0"/>
    <x v="1"/>
    <m/>
  </r>
  <r>
    <x v="3"/>
    <x v="0"/>
    <x v="0"/>
    <x v="0"/>
    <x v="2"/>
    <x v="0"/>
    <x v="1"/>
    <m/>
  </r>
  <r>
    <x v="3"/>
    <x v="1"/>
    <x v="0"/>
    <x v="0"/>
    <x v="3"/>
    <x v="0"/>
    <x v="0"/>
    <m/>
  </r>
  <r>
    <x v="2"/>
    <x v="2"/>
    <x v="0"/>
    <x v="0"/>
    <x v="4"/>
    <x v="0"/>
    <x v="0"/>
    <m/>
  </r>
  <r>
    <x v="3"/>
    <x v="2"/>
    <x v="0"/>
    <x v="0"/>
    <x v="4"/>
    <x v="0"/>
    <x v="0"/>
    <m/>
  </r>
  <r>
    <x v="0"/>
    <x v="0"/>
    <x v="0"/>
    <x v="0"/>
    <x v="5"/>
    <x v="0"/>
    <x v="2"/>
    <m/>
  </r>
  <r>
    <x v="1"/>
    <x v="0"/>
    <x v="0"/>
    <x v="0"/>
    <x v="5"/>
    <x v="0"/>
    <x v="2"/>
    <m/>
  </r>
  <r>
    <x v="2"/>
    <x v="0"/>
    <x v="0"/>
    <x v="0"/>
    <x v="5"/>
    <x v="0"/>
    <x v="2"/>
    <m/>
  </r>
  <r>
    <x v="3"/>
    <x v="0"/>
    <x v="0"/>
    <x v="0"/>
    <x v="5"/>
    <x v="0"/>
    <x v="2"/>
    <m/>
  </r>
  <r>
    <x v="2"/>
    <x v="3"/>
    <x v="0"/>
    <x v="0"/>
    <x v="6"/>
    <x v="0"/>
    <x v="0"/>
    <m/>
  </r>
  <r>
    <x v="3"/>
    <x v="3"/>
    <x v="0"/>
    <x v="0"/>
    <x v="6"/>
    <x v="0"/>
    <x v="0"/>
    <m/>
  </r>
  <r>
    <x v="2"/>
    <x v="2"/>
    <x v="1"/>
    <x v="0"/>
    <x v="7"/>
    <x v="0"/>
    <x v="0"/>
    <m/>
  </r>
  <r>
    <x v="3"/>
    <x v="2"/>
    <x v="1"/>
    <x v="0"/>
    <x v="7"/>
    <x v="0"/>
    <x v="0"/>
    <m/>
  </r>
  <r>
    <x v="3"/>
    <x v="1"/>
    <x v="1"/>
    <x v="0"/>
    <x v="8"/>
    <x v="0"/>
    <x v="0"/>
    <m/>
  </r>
  <r>
    <x v="1"/>
    <x v="2"/>
    <x v="1"/>
    <x v="0"/>
    <x v="9"/>
    <x v="0"/>
    <x v="0"/>
    <m/>
  </r>
  <r>
    <x v="2"/>
    <x v="2"/>
    <x v="1"/>
    <x v="0"/>
    <x v="9"/>
    <x v="0"/>
    <x v="0"/>
    <m/>
  </r>
  <r>
    <x v="3"/>
    <x v="2"/>
    <x v="1"/>
    <x v="0"/>
    <x v="9"/>
    <x v="0"/>
    <x v="0"/>
    <m/>
  </r>
  <r>
    <x v="2"/>
    <x v="3"/>
    <x v="0"/>
    <x v="0"/>
    <x v="10"/>
    <x v="0"/>
    <x v="2"/>
    <m/>
  </r>
  <r>
    <x v="3"/>
    <x v="3"/>
    <x v="0"/>
    <x v="0"/>
    <x v="10"/>
    <x v="0"/>
    <x v="2"/>
    <m/>
  </r>
  <r>
    <x v="3"/>
    <x v="1"/>
    <x v="0"/>
    <x v="0"/>
    <x v="11"/>
    <x v="0"/>
    <x v="0"/>
    <m/>
  </r>
  <r>
    <x v="1"/>
    <x v="2"/>
    <x v="2"/>
    <x v="1"/>
    <x v="12"/>
    <x v="1"/>
    <x v="0"/>
    <m/>
  </r>
  <r>
    <x v="2"/>
    <x v="2"/>
    <x v="2"/>
    <x v="1"/>
    <x v="12"/>
    <x v="1"/>
    <x v="0"/>
    <m/>
  </r>
  <r>
    <x v="3"/>
    <x v="2"/>
    <x v="2"/>
    <x v="1"/>
    <x v="12"/>
    <x v="1"/>
    <x v="0"/>
    <m/>
  </r>
  <r>
    <x v="1"/>
    <x v="2"/>
    <x v="2"/>
    <x v="1"/>
    <x v="13"/>
    <x v="1"/>
    <x v="0"/>
    <m/>
  </r>
  <r>
    <x v="2"/>
    <x v="2"/>
    <x v="2"/>
    <x v="1"/>
    <x v="13"/>
    <x v="1"/>
    <x v="0"/>
    <m/>
  </r>
  <r>
    <x v="3"/>
    <x v="2"/>
    <x v="2"/>
    <x v="1"/>
    <x v="13"/>
    <x v="1"/>
    <x v="0"/>
    <m/>
  </r>
  <r>
    <x v="1"/>
    <x v="2"/>
    <x v="2"/>
    <x v="1"/>
    <x v="14"/>
    <x v="1"/>
    <x v="0"/>
    <m/>
  </r>
  <r>
    <x v="2"/>
    <x v="2"/>
    <x v="2"/>
    <x v="1"/>
    <x v="14"/>
    <x v="1"/>
    <x v="0"/>
    <m/>
  </r>
  <r>
    <x v="3"/>
    <x v="2"/>
    <x v="2"/>
    <x v="1"/>
    <x v="14"/>
    <x v="1"/>
    <x v="0"/>
    <m/>
  </r>
  <r>
    <x v="1"/>
    <x v="0"/>
    <x v="2"/>
    <x v="1"/>
    <x v="15"/>
    <x v="1"/>
    <x v="0"/>
    <m/>
  </r>
  <r>
    <x v="2"/>
    <x v="0"/>
    <x v="2"/>
    <x v="1"/>
    <x v="15"/>
    <x v="1"/>
    <x v="0"/>
    <m/>
  </r>
  <r>
    <x v="3"/>
    <x v="0"/>
    <x v="2"/>
    <x v="1"/>
    <x v="15"/>
    <x v="1"/>
    <x v="0"/>
    <m/>
  </r>
  <r>
    <x v="1"/>
    <x v="0"/>
    <x v="2"/>
    <x v="1"/>
    <x v="16"/>
    <x v="1"/>
    <x v="0"/>
    <m/>
  </r>
  <r>
    <x v="2"/>
    <x v="2"/>
    <x v="2"/>
    <x v="1"/>
    <x v="17"/>
    <x v="1"/>
    <x v="0"/>
    <m/>
  </r>
  <r>
    <x v="3"/>
    <x v="2"/>
    <x v="2"/>
    <x v="1"/>
    <x v="17"/>
    <x v="1"/>
    <x v="0"/>
    <m/>
  </r>
  <r>
    <x v="3"/>
    <x v="1"/>
    <x v="2"/>
    <x v="1"/>
    <x v="18"/>
    <x v="1"/>
    <x v="0"/>
    <m/>
  </r>
  <r>
    <x v="3"/>
    <x v="1"/>
    <x v="2"/>
    <x v="1"/>
    <x v="19"/>
    <x v="1"/>
    <x v="0"/>
    <m/>
  </r>
  <r>
    <x v="2"/>
    <x v="2"/>
    <x v="2"/>
    <x v="1"/>
    <x v="20"/>
    <x v="1"/>
    <x v="0"/>
    <m/>
  </r>
  <r>
    <x v="3"/>
    <x v="2"/>
    <x v="2"/>
    <x v="1"/>
    <x v="20"/>
    <x v="1"/>
    <x v="0"/>
    <m/>
  </r>
  <r>
    <x v="0"/>
    <x v="0"/>
    <x v="3"/>
    <x v="1"/>
    <x v="21"/>
    <x v="1"/>
    <x v="0"/>
    <m/>
  </r>
  <r>
    <x v="0"/>
    <x v="0"/>
    <x v="3"/>
    <x v="1"/>
    <x v="22"/>
    <x v="1"/>
    <x v="0"/>
    <m/>
  </r>
  <r>
    <x v="3"/>
    <x v="1"/>
    <x v="2"/>
    <x v="1"/>
    <x v="23"/>
    <x v="1"/>
    <x v="0"/>
    <m/>
  </r>
  <r>
    <x v="2"/>
    <x v="3"/>
    <x v="2"/>
    <x v="1"/>
    <x v="24"/>
    <x v="1"/>
    <x v="0"/>
    <m/>
  </r>
  <r>
    <x v="3"/>
    <x v="3"/>
    <x v="2"/>
    <x v="1"/>
    <x v="24"/>
    <x v="1"/>
    <x v="0"/>
    <m/>
  </r>
  <r>
    <x v="1"/>
    <x v="2"/>
    <x v="2"/>
    <x v="1"/>
    <x v="25"/>
    <x v="1"/>
    <x v="0"/>
    <m/>
  </r>
  <r>
    <x v="2"/>
    <x v="2"/>
    <x v="2"/>
    <x v="1"/>
    <x v="25"/>
    <x v="1"/>
    <x v="0"/>
    <m/>
  </r>
  <r>
    <x v="3"/>
    <x v="2"/>
    <x v="2"/>
    <x v="1"/>
    <x v="25"/>
    <x v="1"/>
    <x v="0"/>
    <m/>
  </r>
  <r>
    <x v="0"/>
    <x v="0"/>
    <x v="2"/>
    <x v="1"/>
    <x v="25"/>
    <x v="1"/>
    <x v="0"/>
    <m/>
  </r>
  <r>
    <x v="3"/>
    <x v="1"/>
    <x v="2"/>
    <x v="1"/>
    <x v="26"/>
    <x v="1"/>
    <x v="0"/>
    <m/>
  </r>
  <r>
    <x v="3"/>
    <x v="1"/>
    <x v="0"/>
    <x v="0"/>
    <x v="27"/>
    <x v="1"/>
    <x v="3"/>
    <m/>
  </r>
  <r>
    <x v="3"/>
    <x v="1"/>
    <x v="4"/>
    <x v="2"/>
    <x v="28"/>
    <x v="2"/>
    <x v="0"/>
    <m/>
  </r>
  <r>
    <x v="2"/>
    <x v="0"/>
    <x v="3"/>
    <x v="2"/>
    <x v="29"/>
    <x v="2"/>
    <x v="0"/>
    <m/>
  </r>
  <r>
    <x v="3"/>
    <x v="0"/>
    <x v="3"/>
    <x v="2"/>
    <x v="29"/>
    <x v="2"/>
    <x v="0"/>
    <m/>
  </r>
  <r>
    <x v="2"/>
    <x v="2"/>
    <x v="3"/>
    <x v="2"/>
    <x v="30"/>
    <x v="2"/>
    <x v="0"/>
    <m/>
  </r>
  <r>
    <x v="3"/>
    <x v="2"/>
    <x v="3"/>
    <x v="2"/>
    <x v="30"/>
    <x v="2"/>
    <x v="0"/>
    <m/>
  </r>
  <r>
    <x v="0"/>
    <x v="0"/>
    <x v="5"/>
    <x v="2"/>
    <x v="31"/>
    <x v="2"/>
    <x v="0"/>
    <m/>
  </r>
  <r>
    <x v="1"/>
    <x v="0"/>
    <x v="5"/>
    <x v="2"/>
    <x v="31"/>
    <x v="2"/>
    <x v="0"/>
    <m/>
  </r>
  <r>
    <x v="2"/>
    <x v="0"/>
    <x v="5"/>
    <x v="2"/>
    <x v="31"/>
    <x v="2"/>
    <x v="0"/>
    <m/>
  </r>
  <r>
    <x v="3"/>
    <x v="0"/>
    <x v="5"/>
    <x v="2"/>
    <x v="31"/>
    <x v="2"/>
    <x v="0"/>
    <m/>
  </r>
  <r>
    <x v="3"/>
    <x v="1"/>
    <x v="5"/>
    <x v="2"/>
    <x v="32"/>
    <x v="2"/>
    <x v="0"/>
    <m/>
  </r>
  <r>
    <x v="2"/>
    <x v="3"/>
    <x v="5"/>
    <x v="3"/>
    <x v="33"/>
    <x v="3"/>
    <x v="0"/>
    <m/>
  </r>
  <r>
    <x v="3"/>
    <x v="3"/>
    <x v="5"/>
    <x v="3"/>
    <x v="33"/>
    <x v="3"/>
    <x v="0"/>
    <m/>
  </r>
  <r>
    <x v="2"/>
    <x v="0"/>
    <x v="5"/>
    <x v="3"/>
    <x v="34"/>
    <x v="3"/>
    <x v="0"/>
    <m/>
  </r>
  <r>
    <x v="3"/>
    <x v="0"/>
    <x v="5"/>
    <x v="3"/>
    <x v="34"/>
    <x v="3"/>
    <x v="0"/>
    <m/>
  </r>
  <r>
    <x v="0"/>
    <x v="0"/>
    <x v="6"/>
    <x v="2"/>
    <x v="35"/>
    <x v="4"/>
    <x v="0"/>
    <m/>
  </r>
  <r>
    <x v="1"/>
    <x v="2"/>
    <x v="6"/>
    <x v="3"/>
    <x v="35"/>
    <x v="4"/>
    <x v="0"/>
    <m/>
  </r>
  <r>
    <x v="2"/>
    <x v="2"/>
    <x v="6"/>
    <x v="3"/>
    <x v="35"/>
    <x v="4"/>
    <x v="0"/>
    <m/>
  </r>
  <r>
    <x v="3"/>
    <x v="2"/>
    <x v="6"/>
    <x v="3"/>
    <x v="35"/>
    <x v="4"/>
    <x v="0"/>
    <m/>
  </r>
  <r>
    <x v="0"/>
    <x v="0"/>
    <x v="6"/>
    <x v="0"/>
    <x v="36"/>
    <x v="4"/>
    <x v="0"/>
    <m/>
  </r>
  <r>
    <x v="1"/>
    <x v="0"/>
    <x v="6"/>
    <x v="0"/>
    <x v="36"/>
    <x v="4"/>
    <x v="0"/>
    <m/>
  </r>
  <r>
    <x v="2"/>
    <x v="0"/>
    <x v="6"/>
    <x v="0"/>
    <x v="36"/>
    <x v="4"/>
    <x v="0"/>
    <m/>
  </r>
  <r>
    <x v="3"/>
    <x v="0"/>
    <x v="6"/>
    <x v="0"/>
    <x v="36"/>
    <x v="4"/>
    <x v="0"/>
    <m/>
  </r>
  <r>
    <x v="0"/>
    <x v="0"/>
    <x v="6"/>
    <x v="0"/>
    <x v="37"/>
    <x v="4"/>
    <x v="0"/>
    <m/>
  </r>
  <r>
    <x v="1"/>
    <x v="0"/>
    <x v="6"/>
    <x v="0"/>
    <x v="37"/>
    <x v="4"/>
    <x v="0"/>
    <m/>
  </r>
  <r>
    <x v="2"/>
    <x v="0"/>
    <x v="6"/>
    <x v="0"/>
    <x v="37"/>
    <x v="4"/>
    <x v="0"/>
    <m/>
  </r>
  <r>
    <x v="3"/>
    <x v="0"/>
    <x v="6"/>
    <x v="0"/>
    <x v="37"/>
    <x v="4"/>
    <x v="0"/>
    <m/>
  </r>
  <r>
    <x v="0"/>
    <x v="0"/>
    <x v="6"/>
    <x v="0"/>
    <x v="38"/>
    <x v="4"/>
    <x v="0"/>
    <m/>
  </r>
  <r>
    <x v="1"/>
    <x v="2"/>
    <x v="6"/>
    <x v="0"/>
    <x v="38"/>
    <x v="4"/>
    <x v="0"/>
    <m/>
  </r>
  <r>
    <x v="2"/>
    <x v="3"/>
    <x v="6"/>
    <x v="0"/>
    <x v="38"/>
    <x v="4"/>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63362C-FAE2-4451-8F2B-C9EB415EAC85}" name="Buscador" cacheId="43"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N5:N6" firstHeaderRow="1" firstDataRow="1" firstDataCol="0" rowPageCount="1" colPageCount="1"/>
  <pivotFields count="17">
    <pivotField showAll="0"/>
    <pivotField multipleItemSelectionAllowed="1" showAll="0">
      <items count="11">
        <item h="1" x="0"/>
        <item h="1" x="1"/>
        <item h="1" x="2"/>
        <item h="1" x="3"/>
        <item x="4"/>
        <item h="1" x="5"/>
        <item h="1" x="6"/>
        <item h="1" x="7"/>
        <item h="1" x="8"/>
        <item h="1" x="9"/>
        <item t="default"/>
      </items>
    </pivotField>
    <pivotField dataField="1" multipleItemSelectionAllowed="1" showAll="0"/>
    <pivotField name="Serached Site:" axis="axisPage" showAll="0">
      <items count="63">
        <item x="34"/>
        <item x="51"/>
        <item x="53"/>
        <item x="54"/>
        <item x="50"/>
        <item x="59"/>
        <item x="35"/>
        <item x="31"/>
        <item x="55"/>
        <item x="1"/>
        <item x="41"/>
        <item x="43"/>
        <item x="48"/>
        <item x="49"/>
        <item x="38"/>
        <item x="33"/>
        <item x="27"/>
        <item x="16"/>
        <item x="58"/>
        <item x="39"/>
        <item x="47"/>
        <item x="45"/>
        <item x="42"/>
        <item x="44"/>
        <item x="2"/>
        <item x="37"/>
        <item x="46"/>
        <item x="32"/>
        <item x="30"/>
        <item x="9"/>
        <item x="56"/>
        <item x="52"/>
        <item x="0"/>
        <item x="3"/>
        <item x="4"/>
        <item x="5"/>
        <item x="6"/>
        <item x="8"/>
        <item x="10"/>
        <item x="13"/>
        <item x="20"/>
        <item x="23"/>
        <item x="24"/>
        <item x="12"/>
        <item x="57"/>
        <item x="36"/>
        <item x="15"/>
        <item x="22"/>
        <item x="29"/>
        <item x="25"/>
        <item x="26"/>
        <item x="18"/>
        <item x="61"/>
        <item x="11"/>
        <item x="17"/>
        <item x="21"/>
        <item x="14"/>
        <item x="19"/>
        <item x="28"/>
        <item x="7"/>
        <item x="60"/>
        <item x="40"/>
        <item t="default"/>
      </items>
    </pivotField>
    <pivotField showAll="0"/>
    <pivotField showAll="0"/>
    <pivotField showAll="0" includeNewItemsInFilter="1"/>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3" item="61" hier="-1"/>
  </pageFields>
  <dataFields count="1">
    <dataField name="Station " fld="2" baseField="0" baseItem="0"/>
  </dataFields>
  <formats count="7">
    <format dxfId="769">
      <pivotArea dataOnly="0" labelOnly="1" outline="0" axis="axisValues" fieldPosition="0"/>
    </format>
    <format dxfId="768">
      <pivotArea outline="0" collapsedLevelsAreSubtotals="1" fieldPosition="0"/>
    </format>
    <format dxfId="767">
      <pivotArea outline="0" collapsedLevelsAreSubtotals="1" fieldPosition="0"/>
    </format>
    <format dxfId="766">
      <pivotArea type="all" dataOnly="0" outline="0" fieldPosition="0"/>
    </format>
    <format dxfId="765">
      <pivotArea field="3" type="button" dataOnly="0" labelOnly="1" outline="0" axis="axisPage" fieldPosition="0"/>
    </format>
    <format dxfId="764">
      <pivotArea dataOnly="0" labelOnly="1" outline="0" axis="axisValues" fieldPosition="0"/>
    </format>
    <format dxfId="7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56D754-E1B2-4CC8-AB32-C8A711EF8BCB}" name="Total sites 1" cacheId="43"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C15:C16" firstHeaderRow="1" firstDataRow="1" firstDataCol="0"/>
  <pivotFields count="17">
    <pivotField showAll="0"/>
    <pivotField showAll="0">
      <items count="11">
        <item h="1" x="0"/>
        <item h="1" x="1"/>
        <item h="1" x="2"/>
        <item h="1" x="3"/>
        <item x="4"/>
        <item h="1" x="5"/>
        <item h="1" x="6"/>
        <item h="1" x="7"/>
        <item h="1" x="8"/>
        <item h="1" x="9"/>
        <item t="default"/>
      </items>
    </pivotField>
    <pivotField showAll="0">
      <items count="11">
        <item h="1" x="0"/>
        <item h="1" x="1"/>
        <item h="1" x="2"/>
        <item h="1" x="3"/>
        <item x="4"/>
        <item h="1" x="5"/>
        <item h="1" x="6"/>
        <item h="1" x="7"/>
        <item h="1" x="8"/>
        <item h="1" x="9"/>
        <item t="default"/>
      </items>
    </pivotField>
    <pivotField dataField="1" showAll="0">
      <items count="63">
        <item x="34"/>
        <item x="51"/>
        <item x="53"/>
        <item x="54"/>
        <item x="50"/>
        <item x="59"/>
        <item x="35"/>
        <item x="31"/>
        <item x="55"/>
        <item x="1"/>
        <item x="41"/>
        <item x="43"/>
        <item x="48"/>
        <item x="49"/>
        <item x="38"/>
        <item x="33"/>
        <item x="27"/>
        <item x="16"/>
        <item x="58"/>
        <item x="39"/>
        <item x="47"/>
        <item x="45"/>
        <item x="42"/>
        <item x="44"/>
        <item x="2"/>
        <item x="37"/>
        <item x="46"/>
        <item x="32"/>
        <item x="30"/>
        <item x="9"/>
        <item x="56"/>
        <item x="52"/>
        <item x="0"/>
        <item x="3"/>
        <item x="4"/>
        <item x="5"/>
        <item x="6"/>
        <item x="8"/>
        <item x="10"/>
        <item x="13"/>
        <item x="20"/>
        <item x="23"/>
        <item x="24"/>
        <item x="12"/>
        <item x="57"/>
        <item x="36"/>
        <item x="15"/>
        <item x="22"/>
        <item x="29"/>
        <item x="25"/>
        <item x="26"/>
        <item x="18"/>
        <item x="61"/>
        <item x="11"/>
        <item x="17"/>
        <item x="21"/>
        <item x="14"/>
        <item x="19"/>
        <item x="28"/>
        <item x="7"/>
        <item x="60"/>
        <item x="40"/>
        <item t="default"/>
      </items>
    </pivotField>
    <pivotField showAll="0"/>
    <pivotField showAll="0"/>
    <pivotField showAll="0" includeNewItemsInFilter="1"/>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Sites" fld="3" subtotal="count" baseField="0" baseItem="0"/>
  </dataFields>
  <formats count="15">
    <format dxfId="784">
      <pivotArea field="3" type="button" dataOnly="0" labelOnly="1" outline="0"/>
    </format>
    <format dxfId="783">
      <pivotArea dataOnly="0" labelOnly="1" outline="0" axis="axisValues" fieldPosition="0"/>
    </format>
    <format dxfId="782">
      <pivotArea outline="0" collapsedLevelsAreSubtotals="1" fieldPosition="0"/>
    </format>
    <format dxfId="781">
      <pivotArea outline="0" collapsedLevelsAreSubtotals="1" fieldPosition="0"/>
    </format>
    <format dxfId="780">
      <pivotArea type="all" dataOnly="0" outline="0" fieldPosition="0"/>
    </format>
    <format dxfId="779">
      <pivotArea outline="0" collapsedLevelsAreSubtotals="1" fieldPosition="0"/>
    </format>
    <format dxfId="778">
      <pivotArea dataOnly="0" labelOnly="1" outline="0" axis="axisValues" fieldPosition="0"/>
    </format>
    <format dxfId="777">
      <pivotArea type="all" dataOnly="0" outline="0" fieldPosition="0"/>
    </format>
    <format dxfId="776">
      <pivotArea outline="0" collapsedLevelsAreSubtotals="1" fieldPosition="0"/>
    </format>
    <format dxfId="775">
      <pivotArea dataOnly="0" labelOnly="1" outline="0" axis="axisValues" fieldPosition="0"/>
    </format>
    <format dxfId="774">
      <pivotArea type="all" dataOnly="0" outline="0" fieldPosition="0"/>
    </format>
    <format dxfId="773">
      <pivotArea outline="0" collapsedLevelsAreSubtotals="1" fieldPosition="0"/>
    </format>
    <format dxfId="772">
      <pivotArea dataOnly="0" labelOnly="1" outline="0" axis="axisValues" fieldPosition="0"/>
    </format>
    <format dxfId="771">
      <pivotArea dataOnly="0" labelOnly="1" outline="0" axis="axisValues" fieldPosition="0"/>
    </format>
    <format dxfId="77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F2293B-1279-4754-9F92-85E5AAA7021A}" name="Split Principal" cacheId="43"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A18:G30" firstHeaderRow="1" firstDataRow="1" firstDataCol="6"/>
  <pivotFields count="17">
    <pivotField compact="0" outline="0" showAll="0"/>
    <pivotField axis="axisRow" compact="0" outline="0" showAll="0" defaultSubtotal="0">
      <items count="10">
        <item x="4"/>
        <item h="1" x="5"/>
        <item h="1" x="6"/>
        <item h="1" x="3"/>
        <item h="1" x="0"/>
        <item h="1" x="1"/>
        <item h="1" x="2"/>
        <item h="1" x="7"/>
        <item h="1" x="8"/>
        <item h="1" x="9"/>
      </items>
    </pivotField>
    <pivotField dataField="1" compact="0" outline="0" showAll="0" defaultSubtotal="0">
      <items count="10">
        <item h="1" x="0"/>
        <item h="1" x="1"/>
        <item h="1" x="2"/>
        <item h="1" x="3"/>
        <item x="4"/>
        <item h="1" x="5"/>
        <item h="1" x="6"/>
        <item h="1" x="7"/>
        <item h="1" x="8"/>
        <item h="1" x="9"/>
      </items>
    </pivotField>
    <pivotField name="Sites" axis="axisRow" compact="0" outline="0" showAll="0" nonAutoSortDefault="1" defaultSubtotal="0">
      <items count="62">
        <item x="34"/>
        <item x="50"/>
        <item x="51"/>
        <item x="53"/>
        <item x="59"/>
        <item x="54"/>
        <item x="35"/>
        <item x="31"/>
        <item x="55"/>
        <item x="1"/>
        <item x="41"/>
        <item x="43"/>
        <item x="48"/>
        <item x="49"/>
        <item x="38"/>
        <item x="33"/>
        <item x="27"/>
        <item x="16"/>
        <item x="58"/>
        <item x="39"/>
        <item x="47"/>
        <item x="45"/>
        <item x="42"/>
        <item x="44"/>
        <item x="2"/>
        <item x="37"/>
        <item x="46"/>
        <item x="32"/>
        <item x="30"/>
        <item x="9"/>
        <item x="56"/>
        <item x="52"/>
        <item x="0"/>
        <item x="3"/>
        <item x="4"/>
        <item x="5"/>
        <item x="6"/>
        <item x="8"/>
        <item x="10"/>
        <item x="13"/>
        <item x="20"/>
        <item x="23"/>
        <item x="24"/>
        <item x="12"/>
        <item x="57"/>
        <item x="36"/>
        <item x="15"/>
        <item x="22"/>
        <item x="29"/>
        <item x="25"/>
        <item x="26"/>
        <item x="18"/>
        <item x="61"/>
        <item x="11"/>
        <item x="17"/>
        <item x="21"/>
        <item x="14"/>
        <item x="19"/>
        <item x="28"/>
        <item x="7"/>
        <item x="60"/>
        <item x="40"/>
      </items>
    </pivotField>
    <pivotField name="Log Time" axis="axisRow" compact="0" outline="0" showAll="0" defaultSubtotal="0">
      <items count="8">
        <item x="3"/>
        <item x="6"/>
        <item x="1"/>
        <item x="5"/>
        <item x="0"/>
        <item x="2"/>
        <item x="4"/>
        <item x="7"/>
      </items>
    </pivotField>
    <pivotField axis="axisRow" compact="0" outline="0" showAll="0" defaultSubtotal="0">
      <items count="6">
        <item x="0"/>
        <item x="1"/>
        <item x="2"/>
        <item x="3"/>
        <item x="4"/>
        <item x="5"/>
      </items>
    </pivotField>
    <pivotField axis="axisRow" compact="0" outline="0" showAll="0" includeNewItemsInFilter="1" defaultSubtotal="0">
      <items count="8">
        <item x="1"/>
        <item x="0"/>
        <item x="2"/>
        <item x="4"/>
        <item x="3"/>
        <item x="5"/>
        <item x="6"/>
        <item x="7"/>
      </items>
    </pivotField>
    <pivotField compact="0" outline="0" showAll="0" defaultSubtotal="0"/>
    <pivotField compact="0" outline="0" showAll="0"/>
    <pivotField compact="0" outline="0" showAll="0" defaultSubtotal="0">
      <items count="7">
        <item x="2"/>
        <item x="1"/>
        <item x="5"/>
        <item x="0"/>
        <item x="3"/>
        <item x="4"/>
        <item x="6"/>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6">
        <item x="0"/>
        <item x="1"/>
        <item x="59"/>
        <item x="57"/>
        <item x="54"/>
        <item x="53"/>
        <item x="51"/>
        <item x="55"/>
        <item x="34"/>
        <item x="42"/>
        <item x="43"/>
        <item x="6"/>
        <item x="38"/>
        <item x="50"/>
        <item x="41"/>
        <item x="48"/>
        <item x="49"/>
        <item x="27"/>
        <item x="33"/>
        <item x="5"/>
        <item x="4"/>
        <item x="31"/>
        <item x="16"/>
        <item x="10"/>
        <item x="44"/>
        <item x="11"/>
        <item x="58"/>
        <item x="45"/>
        <item x="35"/>
        <item x="40"/>
        <item x="39"/>
        <item x="47"/>
        <item x="3"/>
        <item x="2"/>
        <item x="37"/>
        <item x="46"/>
        <item x="24"/>
        <item x="23"/>
        <item x="60"/>
        <item x="13"/>
        <item x="30"/>
        <item x="32"/>
        <item x="9"/>
        <item x="8"/>
        <item x="20"/>
        <item x="56"/>
        <item x="12"/>
        <item x="52"/>
        <item x="36"/>
        <item x="15"/>
        <item x="22"/>
        <item x="29"/>
        <item x="61"/>
        <item x="62"/>
        <item x="25"/>
        <item x="26"/>
        <item x="18"/>
        <item x="17"/>
        <item x="64"/>
        <item x="21"/>
        <item x="14"/>
        <item x="19"/>
        <item x="28"/>
        <item x="7"/>
        <item x="63"/>
        <item t="default"/>
      </items>
    </pivotField>
  </pivotFields>
  <rowFields count="6">
    <field x="1"/>
    <field x="4"/>
    <field x="3"/>
    <field x="6"/>
    <field x="5"/>
    <field x="16"/>
  </rowFields>
  <rowItems count="12">
    <i>
      <x/>
      <x/>
      <x v="7"/>
      <x v="4"/>
      <x v="1"/>
      <x v="21"/>
    </i>
    <i r="1">
      <x v="2"/>
      <x v="18"/>
      <x/>
      <x v="1"/>
      <x v="26"/>
    </i>
    <i r="2">
      <x v="34"/>
      <x/>
      <x v="1"/>
      <x v="20"/>
    </i>
    <i r="2">
      <x v="37"/>
      <x/>
      <x v="1"/>
      <x v="43"/>
    </i>
    <i r="2">
      <x v="39"/>
      <x/>
      <x v="1"/>
      <x v="39"/>
    </i>
    <i r="2">
      <x v="40"/>
      <x/>
      <x v="1"/>
      <x v="44"/>
    </i>
    <i r="2">
      <x v="44"/>
      <x/>
      <x v="1"/>
      <x v="3"/>
    </i>
    <i r="1">
      <x v="4"/>
      <x v="13"/>
      <x v="6"/>
      <x/>
      <x v="16"/>
    </i>
    <i r="2">
      <x v="20"/>
      <x v="1"/>
      <x/>
      <x v="31"/>
    </i>
    <i r="2">
      <x v="27"/>
      <x v="1"/>
      <x/>
      <x v="41"/>
    </i>
    <i r="2">
      <x v="32"/>
      <x v="1"/>
      <x/>
      <x/>
    </i>
    <i r="2">
      <x v="61"/>
      <x v="1"/>
      <x/>
      <x v="29"/>
    </i>
  </rowItems>
  <colItems count="1">
    <i/>
  </colItems>
  <dataFields count="1">
    <dataField name="Suma de Station" fld="2" baseField="0" baseItem="0"/>
  </dataFields>
  <formats count="407">
    <format dxfId="1191">
      <pivotArea field="3" type="button" dataOnly="0" labelOnly="1" outline="0" axis="axisRow" fieldPosition="2"/>
    </format>
    <format dxfId="1190">
      <pivotArea field="3" type="button" dataOnly="0" labelOnly="1" outline="0" axis="axisRow" fieldPosition="2"/>
    </format>
    <format dxfId="1189">
      <pivotArea field="5" type="button" dataOnly="0" labelOnly="1" outline="0" axis="axisRow" fieldPosition="4"/>
    </format>
    <format dxfId="1188">
      <pivotArea field="4" type="button" dataOnly="0" labelOnly="1" outline="0" axis="axisRow" fieldPosition="1"/>
    </format>
    <format dxfId="1187">
      <pivotArea field="1" type="button" dataOnly="0" labelOnly="1" outline="0" axis="axisRow" fieldPosition="0"/>
    </format>
    <format dxfId="1186">
      <pivotArea field="6" type="button" dataOnly="0" labelOnly="1" outline="0" axis="axisRow" fieldPosition="3"/>
    </format>
    <format dxfId="1185">
      <pivotArea field="9" type="button" dataOnly="0" labelOnly="1" outline="0"/>
    </format>
    <format dxfId="1184">
      <pivotArea dataOnly="0" labelOnly="1" outline="0" fieldPosition="0">
        <references count="1">
          <reference field="1" count="0"/>
        </references>
      </pivotArea>
    </format>
    <format dxfId="1183">
      <pivotArea dataOnly="0" labelOnly="1" outline="0" fieldPosition="0">
        <references count="2">
          <reference field="1" count="0" selected="0"/>
          <reference field="4" count="1">
            <x v="1"/>
          </reference>
        </references>
      </pivotArea>
    </format>
    <format dxfId="1182">
      <pivotArea dataOnly="0" labelOnly="1" outline="0" fieldPosition="0">
        <references count="2">
          <reference field="1" count="0" selected="0"/>
          <reference field="4" count="1">
            <x v="2"/>
          </reference>
        </references>
      </pivotArea>
    </format>
    <format dxfId="1181">
      <pivotArea dataOnly="0" labelOnly="1" outline="0" fieldPosition="0">
        <references count="2">
          <reference field="1" count="0" selected="0"/>
          <reference field="4" count="1">
            <x v="4"/>
          </reference>
        </references>
      </pivotArea>
    </format>
    <format dxfId="1180">
      <pivotArea dataOnly="0" labelOnly="1" outline="0" fieldPosition="0">
        <references count="2">
          <reference field="1" count="0" selected="0"/>
          <reference field="4" count="1">
            <x v="5"/>
          </reference>
        </references>
      </pivotArea>
    </format>
    <format dxfId="1179">
      <pivotArea dataOnly="0" labelOnly="1" outline="0" fieldPosition="0">
        <references count="2">
          <reference field="1" count="0" selected="0"/>
          <reference field="4" count="1">
            <x v="6"/>
          </reference>
        </references>
      </pivotArea>
    </format>
    <format dxfId="1178">
      <pivotArea dataOnly="0" labelOnly="1" outline="0" fieldPosition="0">
        <references count="2">
          <reference field="1" count="0" selected="0"/>
          <reference field="4" count="0"/>
        </references>
      </pivotArea>
    </format>
    <format dxfId="1177">
      <pivotArea dataOnly="0" labelOnly="1" outline="0" fieldPosition="0">
        <references count="2">
          <reference field="1" count="0" selected="0"/>
          <reference field="4" count="5">
            <x v="1"/>
            <x v="2"/>
            <x v="4"/>
            <x v="5"/>
            <x v="6"/>
          </reference>
        </references>
      </pivotArea>
    </format>
    <format dxfId="1176">
      <pivotArea dataOnly="0" labelOnly="1" outline="0" fieldPosition="0">
        <references count="1">
          <reference field="1" count="4">
            <x v="0"/>
            <x v="1"/>
            <x v="2"/>
            <x v="3"/>
          </reference>
        </references>
      </pivotArea>
    </format>
    <format dxfId="1175">
      <pivotArea dataOnly="0" labelOnly="1" outline="0" fieldPosition="0">
        <references count="2">
          <reference field="1" count="1" selected="0">
            <x v="3"/>
          </reference>
          <reference field="4" count="0"/>
        </references>
      </pivotArea>
    </format>
    <format dxfId="1174">
      <pivotArea dataOnly="0" labelOnly="1" outline="0" fieldPosition="0">
        <references count="2">
          <reference field="1" count="1" selected="0">
            <x v="0"/>
          </reference>
          <reference field="4" count="0"/>
        </references>
      </pivotArea>
    </format>
    <format dxfId="1173">
      <pivotArea dataOnly="0" labelOnly="1" outline="0" fieldPosition="0">
        <references count="2">
          <reference field="1" count="1" selected="0">
            <x v="1"/>
          </reference>
          <reference field="4" count="0"/>
        </references>
      </pivotArea>
    </format>
    <format dxfId="1172">
      <pivotArea dataOnly="0" labelOnly="1" outline="0" fieldPosition="0">
        <references count="2">
          <reference field="1" count="1" selected="0">
            <x v="2"/>
          </reference>
          <reference field="4" count="0"/>
        </references>
      </pivotArea>
    </format>
    <format dxfId="1171">
      <pivotArea dataOnly="0" labelOnly="1" outline="0" fieldPosition="0">
        <references count="2">
          <reference field="1" count="0" selected="0"/>
          <reference field="4" count="1">
            <x v="1"/>
          </reference>
        </references>
      </pivotArea>
    </format>
    <format dxfId="1170">
      <pivotArea dataOnly="0" labelOnly="1" outline="0" fieldPosition="0">
        <references count="2">
          <reference field="1" count="0" selected="0"/>
          <reference field="4" count="1">
            <x v="2"/>
          </reference>
        </references>
      </pivotArea>
    </format>
    <format dxfId="1169">
      <pivotArea dataOnly="0" labelOnly="1" outline="0" offset="IV2:IV256" fieldPosition="0">
        <references count="1">
          <reference field="1" count="0"/>
        </references>
      </pivotArea>
    </format>
    <format dxfId="1168">
      <pivotArea dataOnly="0" labelOnly="1" outline="0" fieldPosition="0">
        <references count="2">
          <reference field="1" count="0" selected="0"/>
          <reference field="4" count="1">
            <x v="4"/>
          </reference>
        </references>
      </pivotArea>
    </format>
    <format dxfId="1167">
      <pivotArea dataOnly="0" labelOnly="1" outline="0" fieldPosition="0">
        <references count="2">
          <reference field="1" count="0" selected="0"/>
          <reference field="4" count="1">
            <x v="5"/>
          </reference>
        </references>
      </pivotArea>
    </format>
    <format dxfId="1166">
      <pivotArea dataOnly="0" labelOnly="1" outline="0" fieldPosition="0">
        <references count="2">
          <reference field="1" count="0" selected="0"/>
          <reference field="4" count="1">
            <x v="6"/>
          </reference>
        </references>
      </pivotArea>
    </format>
    <format dxfId="1165">
      <pivotArea dataOnly="0" labelOnly="1" outline="0" offset="IV1" fieldPosition="0">
        <references count="1">
          <reference field="1" count="0"/>
        </references>
      </pivotArea>
    </format>
    <format dxfId="1164">
      <pivotArea dataOnly="0" labelOnly="1" outline="0" offset="IV1" fieldPosition="0">
        <references count="1">
          <reference field="1" count="0"/>
        </references>
      </pivotArea>
    </format>
    <format dxfId="1163">
      <pivotArea field="3" type="button" dataOnly="0" labelOnly="1" outline="0" axis="axisRow" fieldPosition="2"/>
    </format>
    <format dxfId="1162">
      <pivotArea dataOnly="0" labelOnly="1" outline="0" fieldPosition="0">
        <references count="1">
          <reference field="1" count="0"/>
        </references>
      </pivotArea>
    </format>
    <format dxfId="1161">
      <pivotArea dataOnly="0" labelOnly="1" outline="0" fieldPosition="0">
        <references count="3">
          <reference field="1" count="1" selected="0">
            <x v="3"/>
          </reference>
          <reference field="3" count="3">
            <x v="2"/>
            <x v="3"/>
            <x v="5"/>
          </reference>
          <reference field="4" count="1" selected="0">
            <x v="1"/>
          </reference>
        </references>
      </pivotArea>
    </format>
    <format dxfId="1160">
      <pivotArea dataOnly="0" labelOnly="1" outline="0" fieldPosition="0">
        <references count="3">
          <reference field="1" count="1" selected="0">
            <x v="3"/>
          </reference>
          <reference field="3" count="1">
            <x v="1"/>
          </reference>
          <reference field="4" count="1" selected="0">
            <x v="4"/>
          </reference>
        </references>
      </pivotArea>
    </format>
    <format dxfId="1159">
      <pivotArea dataOnly="0" labelOnly="1" outline="0" fieldPosition="0">
        <references count="3">
          <reference field="1" count="1" selected="0">
            <x v="3"/>
          </reference>
          <reference field="3" count="1">
            <x v="0"/>
          </reference>
          <reference field="4" count="1" selected="0">
            <x v="6"/>
          </reference>
        </references>
      </pivotArea>
    </format>
    <format dxfId="1158">
      <pivotArea dataOnly="0" labelOnly="1" outline="0" fieldPosition="0">
        <references count="3">
          <reference field="1" count="1" selected="0">
            <x v="0"/>
          </reference>
          <reference field="3" count="3">
            <x v="2"/>
            <x v="3"/>
            <x v="5"/>
          </reference>
          <reference field="4" count="1" selected="0">
            <x v="1"/>
          </reference>
        </references>
      </pivotArea>
    </format>
    <format dxfId="1157">
      <pivotArea dataOnly="0" labelOnly="1" outline="0" fieldPosition="0">
        <references count="3">
          <reference field="1" count="1" selected="0">
            <x v="0"/>
          </reference>
          <reference field="3" count="1">
            <x v="1"/>
          </reference>
          <reference field="4" count="1" selected="0">
            <x v="4"/>
          </reference>
        </references>
      </pivotArea>
    </format>
    <format dxfId="1156">
      <pivotArea dataOnly="0" labelOnly="1" outline="0" fieldPosition="0">
        <references count="3">
          <reference field="1" count="1" selected="0">
            <x v="0"/>
          </reference>
          <reference field="3" count="1">
            <x v="0"/>
          </reference>
          <reference field="4" count="1" selected="0">
            <x v="6"/>
          </reference>
        </references>
      </pivotArea>
    </format>
    <format dxfId="1155">
      <pivotArea dataOnly="0" labelOnly="1" outline="0" fieldPosition="0">
        <references count="3">
          <reference field="1" count="1" selected="0">
            <x v="1"/>
          </reference>
          <reference field="3" count="3">
            <x v="2"/>
            <x v="3"/>
            <x v="5"/>
          </reference>
          <reference field="4" count="1" selected="0">
            <x v="1"/>
          </reference>
        </references>
      </pivotArea>
    </format>
    <format dxfId="1154">
      <pivotArea dataOnly="0" labelOnly="1" outline="0" fieldPosition="0">
        <references count="3">
          <reference field="1" count="1" selected="0">
            <x v="1"/>
          </reference>
          <reference field="3" count="1">
            <x v="1"/>
          </reference>
          <reference field="4" count="1" selected="0">
            <x v="4"/>
          </reference>
        </references>
      </pivotArea>
    </format>
    <format dxfId="1153">
      <pivotArea dataOnly="0" labelOnly="1" outline="0" fieldPosition="0">
        <references count="3">
          <reference field="1" count="1" selected="0">
            <x v="1"/>
          </reference>
          <reference field="3" count="1">
            <x v="0"/>
          </reference>
          <reference field="4" count="1" selected="0">
            <x v="6"/>
          </reference>
        </references>
      </pivotArea>
    </format>
    <format dxfId="1152">
      <pivotArea dataOnly="0" labelOnly="1" outline="0" fieldPosition="0">
        <references count="3">
          <reference field="1" count="1" selected="0">
            <x v="2"/>
          </reference>
          <reference field="3" count="3">
            <x v="2"/>
            <x v="3"/>
            <x v="5"/>
          </reference>
          <reference field="4" count="1" selected="0">
            <x v="1"/>
          </reference>
        </references>
      </pivotArea>
    </format>
    <format dxfId="1151">
      <pivotArea dataOnly="0" labelOnly="1" outline="0" fieldPosition="0">
        <references count="3">
          <reference field="1" count="1" selected="0">
            <x v="2"/>
          </reference>
          <reference field="3" count="1">
            <x v="1"/>
          </reference>
          <reference field="4" count="1" selected="0">
            <x v="4"/>
          </reference>
        </references>
      </pivotArea>
    </format>
    <format dxfId="1150">
      <pivotArea dataOnly="0" labelOnly="1" outline="0" fieldPosition="0">
        <references count="3">
          <reference field="1" count="1" selected="0">
            <x v="2"/>
          </reference>
          <reference field="3" count="1">
            <x v="0"/>
          </reference>
          <reference field="4" count="1" selected="0">
            <x v="6"/>
          </reference>
        </references>
      </pivotArea>
    </format>
    <format dxfId="1149">
      <pivotArea field="1" type="button" dataOnly="0" labelOnly="1" outline="0" axis="axisRow" fieldPosition="0"/>
    </format>
    <format dxfId="1148">
      <pivotArea field="4" type="button" dataOnly="0" labelOnly="1" outline="0" axis="axisRow" fieldPosition="1"/>
    </format>
    <format dxfId="1147">
      <pivotArea field="3" type="button" dataOnly="0" labelOnly="1" outline="0" axis="axisRow" fieldPosition="2"/>
    </format>
    <format dxfId="1146">
      <pivotArea dataOnly="0" labelOnly="1" outline="0" axis="axisValues" fieldPosition="0"/>
    </format>
    <format dxfId="1145">
      <pivotArea dataOnly="0" labelOnly="1" outline="0" fieldPosition="0">
        <references count="2">
          <reference field="1" count="0" selected="0"/>
          <reference field="4" count="0"/>
        </references>
      </pivotArea>
    </format>
    <format dxfId="1144">
      <pivotArea dataOnly="0" labelOnly="1" outline="0" fieldPosition="0">
        <references count="3">
          <reference field="1" count="0" selected="0"/>
          <reference field="3" count="1">
            <x v="3"/>
          </reference>
          <reference field="4" count="1" selected="0">
            <x v="1"/>
          </reference>
        </references>
      </pivotArea>
    </format>
    <format dxfId="1143">
      <pivotArea outline="0" fieldPosition="0">
        <references count="3">
          <reference field="1" count="0" selected="0"/>
          <reference field="3" count="2" selected="0">
            <x v="0"/>
            <x v="5"/>
          </reference>
          <reference field="4" count="5" selected="0">
            <x v="1"/>
            <x v="2"/>
            <x v="4"/>
            <x v="5"/>
            <x v="6"/>
          </reference>
        </references>
      </pivotArea>
    </format>
    <format dxfId="1142">
      <pivotArea dataOnly="0" labelOnly="1" outline="0" fieldPosition="0">
        <references count="3">
          <reference field="1" count="0" selected="0"/>
          <reference field="3" count="1">
            <x v="5"/>
          </reference>
          <reference field="4" count="1" selected="0">
            <x v="1"/>
          </reference>
        </references>
      </pivotArea>
    </format>
    <format dxfId="1141">
      <pivotArea dataOnly="0" labelOnly="1" outline="0" fieldPosition="0">
        <references count="3">
          <reference field="1" count="0" selected="0"/>
          <reference field="3" count="1">
            <x v="0"/>
          </reference>
          <reference field="4" count="1" selected="0">
            <x v="6"/>
          </reference>
        </references>
      </pivotArea>
    </format>
    <format dxfId="1140">
      <pivotArea dataOnly="0" labelOnly="1" outline="0" fieldPosition="0">
        <references count="2">
          <reference field="1" count="0" selected="0"/>
          <reference field="4" count="5">
            <x v="1"/>
            <x v="2"/>
            <x v="4"/>
            <x v="5"/>
            <x v="6"/>
          </reference>
        </references>
      </pivotArea>
    </format>
    <format dxfId="1139">
      <pivotArea dataOnly="0" labelOnly="1" outline="0" fieldPosition="0">
        <references count="3">
          <reference field="1" count="0" selected="0"/>
          <reference field="3" count="1">
            <x v="2"/>
          </reference>
          <reference field="4" count="1" selected="0">
            <x v="1"/>
          </reference>
        </references>
      </pivotArea>
    </format>
    <format dxfId="1138">
      <pivotArea dataOnly="0" labelOnly="1" outline="0" fieldPosition="0">
        <references count="3">
          <reference field="1" count="0" selected="0"/>
          <reference field="3" count="1">
            <x v="1"/>
          </reference>
          <reference field="4" count="1" selected="0">
            <x v="4"/>
          </reference>
        </references>
      </pivotArea>
    </format>
    <format dxfId="1137">
      <pivotArea outline="0" collapsedLevelsAreSubtotals="1" fieldPosition="0"/>
    </format>
    <format dxfId="1136">
      <pivotArea dataOnly="0" labelOnly="1" outline="0" fieldPosition="0">
        <references count="2">
          <reference field="1" count="0" selected="0"/>
          <reference field="4" count="5">
            <x v="1"/>
            <x v="2"/>
            <x v="4"/>
            <x v="5"/>
            <x v="6"/>
          </reference>
        </references>
      </pivotArea>
    </format>
    <format dxfId="1135">
      <pivotArea dataOnly="0" labelOnly="1" outline="0" fieldPosition="0">
        <references count="3">
          <reference field="1" count="0" selected="0"/>
          <reference field="3" count="1">
            <x v="2"/>
          </reference>
          <reference field="4" count="1" selected="0">
            <x v="1"/>
          </reference>
        </references>
      </pivotArea>
    </format>
    <format dxfId="1134">
      <pivotArea dataOnly="0" labelOnly="1" outline="0" fieldPosition="0">
        <references count="2">
          <reference field="1" count="1" selected="0">
            <x v="3"/>
          </reference>
          <reference field="4" count="0"/>
        </references>
      </pivotArea>
    </format>
    <format dxfId="1133">
      <pivotArea dataOnly="0" labelOnly="1" outline="0" fieldPosition="0">
        <references count="2">
          <reference field="1" count="1" selected="0">
            <x v="0"/>
          </reference>
          <reference field="4" count="0"/>
        </references>
      </pivotArea>
    </format>
    <format dxfId="1132">
      <pivotArea dataOnly="0" labelOnly="1" outline="0" fieldPosition="0">
        <references count="2">
          <reference field="1" count="1" selected="0">
            <x v="1"/>
          </reference>
          <reference field="4" count="0"/>
        </references>
      </pivotArea>
    </format>
    <format dxfId="1131">
      <pivotArea dataOnly="0" labelOnly="1" outline="0" fieldPosition="0">
        <references count="2">
          <reference field="1" count="1" selected="0">
            <x v="2"/>
          </reference>
          <reference field="4" count="0"/>
        </references>
      </pivotArea>
    </format>
    <format dxfId="1130">
      <pivotArea dataOnly="0" outline="0" fieldPosition="0">
        <references count="1">
          <reference field="4" count="1">
            <x v="1"/>
          </reference>
        </references>
      </pivotArea>
    </format>
    <format dxfId="1129">
      <pivotArea dataOnly="0" labelOnly="1" outline="0" fieldPosition="0">
        <references count="3">
          <reference field="1" count="0" selected="0"/>
          <reference field="3" count="2">
            <x v="2"/>
            <x v="3"/>
          </reference>
          <reference field="4" count="1" selected="0">
            <x v="2"/>
          </reference>
        </references>
      </pivotArea>
    </format>
    <format dxfId="1128">
      <pivotArea dataOnly="0" labelOnly="1" outline="0" fieldPosition="0">
        <references count="3">
          <reference field="1" count="0" selected="0"/>
          <reference field="3" count="1">
            <x v="5"/>
          </reference>
          <reference field="4" count="1" selected="0">
            <x v="2"/>
          </reference>
        </references>
      </pivotArea>
    </format>
    <format dxfId="1127">
      <pivotArea dataOnly="0" labelOnly="1" outline="0" fieldPosition="0">
        <references count="3">
          <reference field="1" count="0" selected="0"/>
          <reference field="3" count="1">
            <x v="6"/>
          </reference>
          <reference field="4" count="1" selected="0">
            <x v="5"/>
          </reference>
        </references>
      </pivotArea>
    </format>
    <format dxfId="1126">
      <pivotArea dataOnly="0" labelOnly="1" outline="0" fieldPosition="0">
        <references count="3">
          <reference field="1" count="0" selected="0"/>
          <reference field="3" count="1">
            <x v="6"/>
          </reference>
          <reference field="4" count="1" selected="0">
            <x v="4"/>
          </reference>
        </references>
      </pivotArea>
    </format>
    <format dxfId="1125">
      <pivotArea field="1" type="button" dataOnly="0" labelOnly="1" outline="0" axis="axisRow" fieldPosition="0"/>
    </format>
    <format dxfId="1124">
      <pivotArea field="4" type="button" dataOnly="0" labelOnly="1" outline="0" axis="axisRow" fieldPosition="1"/>
    </format>
    <format dxfId="1123">
      <pivotArea field="3" type="button" dataOnly="0" labelOnly="1" outline="0" axis="axisRow" fieldPosition="2"/>
    </format>
    <format dxfId="1122">
      <pivotArea dataOnly="0" labelOnly="1" outline="0" axis="axisValues" fieldPosition="0"/>
    </format>
    <format dxfId="1121">
      <pivotArea dataOnly="0" labelOnly="1" outline="0" fieldPosition="0">
        <references count="3">
          <reference field="1" count="0" selected="0"/>
          <reference field="3" count="3">
            <x v="7"/>
            <x v="8"/>
            <x v="9"/>
          </reference>
          <reference field="4" count="1" selected="0">
            <x v="4"/>
          </reference>
        </references>
      </pivotArea>
    </format>
    <format dxfId="1120">
      <pivotArea dataOnly="0" labelOnly="1" outline="0" fieldPosition="0">
        <references count="1">
          <reference field="3" count="0"/>
        </references>
      </pivotArea>
    </format>
    <format dxfId="1119">
      <pivotArea dataOnly="0" labelOnly="1" outline="0" offset="IV1" fieldPosition="0">
        <references count="2">
          <reference field="1" count="0" selected="0"/>
          <reference field="4" count="1">
            <x v="0"/>
          </reference>
        </references>
      </pivotArea>
    </format>
    <format dxfId="1118">
      <pivotArea dataOnly="0" labelOnly="1" outline="0" fieldPosition="0">
        <references count="2">
          <reference field="1" count="0" selected="0"/>
          <reference field="4" count="1">
            <x v="0"/>
          </reference>
        </references>
      </pivotArea>
    </format>
    <format dxfId="1117">
      <pivotArea dataOnly="0" labelOnly="1" outline="0" fieldPosition="0">
        <references count="1">
          <reference field="1" count="0"/>
        </references>
      </pivotArea>
    </format>
    <format dxfId="1116">
      <pivotArea dataOnly="0" labelOnly="1" outline="0" fieldPosition="0">
        <references count="3">
          <reference field="1" count="0" selected="0"/>
          <reference field="3" count="2">
            <x v="4"/>
            <x v="7"/>
          </reference>
          <reference field="4" count="1" selected="0">
            <x v="0"/>
          </reference>
        </references>
      </pivotArea>
    </format>
    <format dxfId="1115">
      <pivotArea dataOnly="0" labelOnly="1" outline="0" fieldPosition="0">
        <references count="3">
          <reference field="1" count="0" selected="0"/>
          <reference field="3" count="1">
            <x v="8"/>
          </reference>
          <reference field="4" count="1" selected="0">
            <x v="1"/>
          </reference>
        </references>
      </pivotArea>
    </format>
    <format dxfId="1114">
      <pivotArea dataOnly="0" labelOnly="1" outline="0" fieldPosition="0">
        <references count="3">
          <reference field="1" count="0" selected="0"/>
          <reference field="3" count="1">
            <x v="9"/>
          </reference>
          <reference field="4" count="1" selected="0">
            <x v="2"/>
          </reference>
        </references>
      </pivotArea>
    </format>
    <format dxfId="1113">
      <pivotArea dataOnly="0" labelOnly="1" outline="0" fieldPosition="0">
        <references count="3">
          <reference field="1" count="0" selected="0"/>
          <reference field="3" count="4">
            <x v="1"/>
            <x v="11"/>
            <x v="12"/>
            <x v="13"/>
          </reference>
          <reference field="4" count="1" selected="0">
            <x v="4"/>
          </reference>
        </references>
      </pivotArea>
    </format>
    <format dxfId="1112">
      <pivotArea dataOnly="0" labelOnly="1" outline="0" fieldPosition="0">
        <references count="3">
          <reference field="1" count="0" selected="0"/>
          <reference field="3" count="1">
            <x v="14"/>
          </reference>
          <reference field="4" count="1" selected="0">
            <x v="6"/>
          </reference>
        </references>
      </pivotArea>
    </format>
    <format dxfId="1111">
      <pivotArea dataOnly="0" labelOnly="1" outline="0" fieldPosition="0">
        <references count="3">
          <reference field="1" count="0" selected="0"/>
          <reference field="3" count="2">
            <x v="4"/>
            <x v="7"/>
          </reference>
          <reference field="4" count="1" selected="0">
            <x v="0"/>
          </reference>
        </references>
      </pivotArea>
    </format>
    <format dxfId="1110">
      <pivotArea dataOnly="0" labelOnly="1" outline="0" fieldPosition="0">
        <references count="3">
          <reference field="1" count="0" selected="0"/>
          <reference field="3" count="1">
            <x v="8"/>
          </reference>
          <reference field="4" count="1" selected="0">
            <x v="1"/>
          </reference>
        </references>
      </pivotArea>
    </format>
    <format dxfId="1109">
      <pivotArea dataOnly="0" labelOnly="1" outline="0" fieldPosition="0">
        <references count="3">
          <reference field="1" count="0" selected="0"/>
          <reference field="3" count="1">
            <x v="9"/>
          </reference>
          <reference field="4" count="1" selected="0">
            <x v="2"/>
          </reference>
        </references>
      </pivotArea>
    </format>
    <format dxfId="1108">
      <pivotArea dataOnly="0" labelOnly="1" outline="0" fieldPosition="0">
        <references count="3">
          <reference field="1" count="0" selected="0"/>
          <reference field="3" count="4">
            <x v="1"/>
            <x v="11"/>
            <x v="12"/>
            <x v="13"/>
          </reference>
          <reference field="4" count="1" selected="0">
            <x v="4"/>
          </reference>
        </references>
      </pivotArea>
    </format>
    <format dxfId="1107">
      <pivotArea dataOnly="0" labelOnly="1" outline="0" fieldPosition="0">
        <references count="3">
          <reference field="1" count="0" selected="0"/>
          <reference field="3" count="1">
            <x v="14"/>
          </reference>
          <reference field="4" count="1" selected="0">
            <x v="6"/>
          </reference>
        </references>
      </pivotArea>
    </format>
    <format dxfId="1106">
      <pivotArea outline="0" collapsedLevelsAreSubtotals="1" fieldPosition="0"/>
    </format>
    <format dxfId="1105">
      <pivotArea outline="0" fieldPosition="0">
        <references count="2">
          <reference field="1" count="0" selected="0"/>
          <reference field="4" count="1" selected="0">
            <x v="6"/>
          </reference>
        </references>
      </pivotArea>
    </format>
    <format dxfId="1104">
      <pivotArea field="6" type="button" dataOnly="0" labelOnly="1" outline="0" axis="axisRow" fieldPosition="3"/>
    </format>
    <format dxfId="1103">
      <pivotArea dataOnly="0" labelOnly="1" outline="0" fieldPosition="0">
        <references count="2">
          <reference field="1" count="0" selected="0"/>
          <reference field="4" count="4">
            <x v="0"/>
            <x v="1"/>
            <x v="2"/>
            <x v="4"/>
          </reference>
        </references>
      </pivotArea>
    </format>
    <format dxfId="1102">
      <pivotArea dataOnly="0" labelOnly="1" outline="0" fieldPosition="0">
        <references count="2">
          <reference field="1" count="0" selected="0"/>
          <reference field="4" count="3">
            <x v="4"/>
            <x v="5"/>
            <x v="6"/>
          </reference>
        </references>
      </pivotArea>
    </format>
    <format dxfId="1101">
      <pivotArea dataOnly="0" labelOnly="1" outline="0" fieldPosition="0">
        <references count="2">
          <reference field="1" count="0" selected="0"/>
          <reference field="4" count="1">
            <x v="0"/>
          </reference>
        </references>
      </pivotArea>
    </format>
    <format dxfId="1100">
      <pivotArea dataOnly="0" labelOnly="1" outline="0" fieldPosition="0">
        <references count="2">
          <reference field="1" count="0" selected="0"/>
          <reference field="4" count="1">
            <x v="0"/>
          </reference>
        </references>
      </pivotArea>
    </format>
    <format dxfId="1099">
      <pivotArea dataOnly="0" labelOnly="1" outline="0" fieldPosition="0">
        <references count="3">
          <reference field="1" count="0" selected="0"/>
          <reference field="3" count="2">
            <x v="4"/>
            <x v="7"/>
          </reference>
          <reference field="4" count="1" selected="0">
            <x v="0"/>
          </reference>
        </references>
      </pivotArea>
    </format>
    <format dxfId="1098">
      <pivotArea dataOnly="0" labelOnly="1" outline="0" fieldPosition="0">
        <references count="3">
          <reference field="1" count="0" selected="0"/>
          <reference field="3" count="1">
            <x v="8"/>
          </reference>
          <reference field="4" count="1" selected="0">
            <x v="1"/>
          </reference>
        </references>
      </pivotArea>
    </format>
    <format dxfId="1097">
      <pivotArea dataOnly="0" labelOnly="1" outline="0" fieldPosition="0">
        <references count="3">
          <reference field="1" count="0" selected="0"/>
          <reference field="3" count="1">
            <x v="9"/>
          </reference>
          <reference field="4" count="1" selected="0">
            <x v="2"/>
          </reference>
        </references>
      </pivotArea>
    </format>
    <format dxfId="1096">
      <pivotArea dataOnly="0" labelOnly="1" outline="0" fieldPosition="0">
        <references count="3">
          <reference field="1" count="0" selected="0"/>
          <reference field="3" count="4">
            <x v="1"/>
            <x v="11"/>
            <x v="12"/>
            <x v="13"/>
          </reference>
          <reference field="4" count="1" selected="0">
            <x v="4"/>
          </reference>
        </references>
      </pivotArea>
    </format>
    <format dxfId="1095">
      <pivotArea dataOnly="0" labelOnly="1" outline="0" fieldPosition="0">
        <references count="3">
          <reference field="1" count="0" selected="0"/>
          <reference field="3" count="1">
            <x v="14"/>
          </reference>
          <reference field="4" count="1" selected="0">
            <x v="6"/>
          </reference>
        </references>
      </pivotArea>
    </format>
    <format dxfId="1094">
      <pivotArea dataOnly="0" labelOnly="1" outline="0" fieldPosition="0">
        <references count="2">
          <reference field="1" count="0" selected="0"/>
          <reference field="4" count="0"/>
        </references>
      </pivotArea>
    </format>
    <format dxfId="1093">
      <pivotArea dataOnly="0" labelOnly="1" outline="0" fieldPosition="0">
        <references count="2">
          <reference field="1" count="0" selected="0"/>
          <reference field="4" count="1">
            <x v="0"/>
          </reference>
        </references>
      </pivotArea>
    </format>
    <format dxfId="1092">
      <pivotArea dataOnly="0" labelOnly="1" outline="0" fieldPosition="0">
        <references count="2">
          <reference field="1" count="0" selected="0"/>
          <reference field="4" count="1">
            <x v="0"/>
          </reference>
        </references>
      </pivotArea>
    </format>
    <format dxfId="1091">
      <pivotArea type="all" dataOnly="0" outline="0" fieldPosition="0"/>
    </format>
    <format dxfId="1090">
      <pivotArea outline="0" collapsedLevelsAreSubtotals="1" fieldPosition="0"/>
    </format>
    <format dxfId="1089">
      <pivotArea field="1" type="button" dataOnly="0" labelOnly="1" outline="0" axis="axisRow" fieldPosition="0"/>
    </format>
    <format dxfId="1088">
      <pivotArea field="4" type="button" dataOnly="0" labelOnly="1" outline="0" axis="axisRow" fieldPosition="1"/>
    </format>
    <format dxfId="1087">
      <pivotArea field="3" type="button" dataOnly="0" labelOnly="1" outline="0" axis="axisRow" fieldPosition="2"/>
    </format>
    <format dxfId="1086">
      <pivotArea field="6" type="button" dataOnly="0" labelOnly="1" outline="0" axis="axisRow" fieldPosition="3"/>
    </format>
    <format dxfId="1085">
      <pivotArea dataOnly="0" labelOnly="1" outline="0" fieldPosition="0">
        <references count="1">
          <reference field="1" count="0"/>
        </references>
      </pivotArea>
    </format>
    <format dxfId="1084">
      <pivotArea dataOnly="0" labelOnly="1" outline="0" fieldPosition="0">
        <references count="2">
          <reference field="1" count="0" selected="0"/>
          <reference field="4" count="6">
            <x v="0"/>
            <x v="1"/>
            <x v="2"/>
            <x v="4"/>
            <x v="5"/>
            <x v="6"/>
          </reference>
        </references>
      </pivotArea>
    </format>
    <format dxfId="1083">
      <pivotArea dataOnly="0" labelOnly="1" outline="0" fieldPosition="0">
        <references count="3">
          <reference field="1" count="0" selected="0"/>
          <reference field="3" count="2">
            <x v="4"/>
            <x v="7"/>
          </reference>
          <reference field="4" count="1" selected="0">
            <x v="0"/>
          </reference>
        </references>
      </pivotArea>
    </format>
    <format dxfId="1082">
      <pivotArea dataOnly="0" labelOnly="1" outline="0" fieldPosition="0">
        <references count="3">
          <reference field="1" count="0" selected="0"/>
          <reference field="3" count="1">
            <x v="8"/>
          </reference>
          <reference field="4" count="1" selected="0">
            <x v="1"/>
          </reference>
        </references>
      </pivotArea>
    </format>
    <format dxfId="1081">
      <pivotArea dataOnly="0" labelOnly="1" outline="0" fieldPosition="0">
        <references count="3">
          <reference field="1" count="0" selected="0"/>
          <reference field="3" count="1">
            <x v="9"/>
          </reference>
          <reference field="4" count="1" selected="0">
            <x v="2"/>
          </reference>
        </references>
      </pivotArea>
    </format>
    <format dxfId="1080">
      <pivotArea dataOnly="0" labelOnly="1" outline="0" fieldPosition="0">
        <references count="3">
          <reference field="1" count="0" selected="0"/>
          <reference field="3" count="4">
            <x v="1"/>
            <x v="11"/>
            <x v="12"/>
            <x v="13"/>
          </reference>
          <reference field="4" count="1" selected="0">
            <x v="4"/>
          </reference>
        </references>
      </pivotArea>
    </format>
    <format dxfId="1079">
      <pivotArea dataOnly="0" labelOnly="1" outline="0" fieldPosition="0">
        <references count="3">
          <reference field="1" count="0" selected="0"/>
          <reference field="3" count="1">
            <x v="14"/>
          </reference>
          <reference field="4" count="1" selected="0">
            <x v="6"/>
          </reference>
        </references>
      </pivotArea>
    </format>
    <format dxfId="1078">
      <pivotArea dataOnly="0" labelOnly="1" outline="0" axis="axisValues" fieldPosition="0"/>
    </format>
    <format dxfId="1077">
      <pivotArea type="all" dataOnly="0" outline="0" fieldPosition="0"/>
    </format>
    <format dxfId="1076">
      <pivotArea outline="0" collapsedLevelsAreSubtotals="1" fieldPosition="0"/>
    </format>
    <format dxfId="1075">
      <pivotArea field="1" type="button" dataOnly="0" labelOnly="1" outline="0" axis="axisRow" fieldPosition="0"/>
    </format>
    <format dxfId="1074">
      <pivotArea field="4" type="button" dataOnly="0" labelOnly="1" outline="0" axis="axisRow" fieldPosition="1"/>
    </format>
    <format dxfId="1073">
      <pivotArea field="3" type="button" dataOnly="0" labelOnly="1" outline="0" axis="axisRow" fieldPosition="2"/>
    </format>
    <format dxfId="1072">
      <pivotArea field="6" type="button" dataOnly="0" labelOnly="1" outline="0" axis="axisRow" fieldPosition="3"/>
    </format>
    <format dxfId="1071">
      <pivotArea dataOnly="0" labelOnly="1" outline="0" fieldPosition="0">
        <references count="1">
          <reference field="1" count="0"/>
        </references>
      </pivotArea>
    </format>
    <format dxfId="1070">
      <pivotArea dataOnly="0" labelOnly="1" outline="0" fieldPosition="0">
        <references count="2">
          <reference field="1" count="0" selected="0"/>
          <reference field="4" count="0"/>
        </references>
      </pivotArea>
    </format>
    <format dxfId="1069">
      <pivotArea dataOnly="0" labelOnly="1" outline="0" fieldPosition="0">
        <references count="3">
          <reference field="1" count="0" selected="0"/>
          <reference field="3" count="2">
            <x v="4"/>
            <x v="7"/>
          </reference>
          <reference field="4" count="1" selected="0">
            <x v="0"/>
          </reference>
        </references>
      </pivotArea>
    </format>
    <format dxfId="1068">
      <pivotArea dataOnly="0" labelOnly="1" outline="0" fieldPosition="0">
        <references count="3">
          <reference field="1" count="0" selected="0"/>
          <reference field="3" count="1">
            <x v="8"/>
          </reference>
          <reference field="4" count="1" selected="0">
            <x v="1"/>
          </reference>
        </references>
      </pivotArea>
    </format>
    <format dxfId="1067">
      <pivotArea dataOnly="0" labelOnly="1" outline="0" fieldPosition="0">
        <references count="3">
          <reference field="1" count="0" selected="0"/>
          <reference field="3" count="1">
            <x v="9"/>
          </reference>
          <reference field="4" count="1" selected="0">
            <x v="2"/>
          </reference>
        </references>
      </pivotArea>
    </format>
    <format dxfId="1066">
      <pivotArea dataOnly="0" labelOnly="1" outline="0" fieldPosition="0">
        <references count="3">
          <reference field="1" count="0" selected="0"/>
          <reference field="3" count="4">
            <x v="1"/>
            <x v="11"/>
            <x v="12"/>
            <x v="13"/>
          </reference>
          <reference field="4" count="1" selected="0">
            <x v="4"/>
          </reference>
        </references>
      </pivotArea>
    </format>
    <format dxfId="1065">
      <pivotArea dataOnly="0" labelOnly="1" outline="0" fieldPosition="0">
        <references count="3">
          <reference field="1" count="0" selected="0"/>
          <reference field="3" count="1">
            <x v="14"/>
          </reference>
          <reference field="4" count="1" selected="0">
            <x v="6"/>
          </reference>
        </references>
      </pivotArea>
    </format>
    <format dxfId="1064">
      <pivotArea dataOnly="0" labelOnly="1" outline="0" axis="axisValues" fieldPosition="0"/>
    </format>
    <format dxfId="1063">
      <pivotArea type="all" dataOnly="0" outline="0" fieldPosition="0"/>
    </format>
    <format dxfId="1062">
      <pivotArea outline="0" collapsedLevelsAreSubtotals="1" fieldPosition="0"/>
    </format>
    <format dxfId="1061">
      <pivotArea field="1" type="button" dataOnly="0" labelOnly="1" outline="0" axis="axisRow" fieldPosition="0"/>
    </format>
    <format dxfId="1060">
      <pivotArea field="4" type="button" dataOnly="0" labelOnly="1" outline="0" axis="axisRow" fieldPosition="1"/>
    </format>
    <format dxfId="1059">
      <pivotArea field="3" type="button" dataOnly="0" labelOnly="1" outline="0" axis="axisRow" fieldPosition="2"/>
    </format>
    <format dxfId="1058">
      <pivotArea field="6" type="button" dataOnly="0" labelOnly="1" outline="0" axis="axisRow" fieldPosition="3"/>
    </format>
    <format dxfId="1057">
      <pivotArea dataOnly="0" labelOnly="1" outline="0" fieldPosition="0">
        <references count="1">
          <reference field="1" count="0"/>
        </references>
      </pivotArea>
    </format>
    <format dxfId="1056">
      <pivotArea dataOnly="0" labelOnly="1" outline="0" fieldPosition="0">
        <references count="2">
          <reference field="1" count="0" selected="0"/>
          <reference field="4" count="0"/>
        </references>
      </pivotArea>
    </format>
    <format dxfId="1055">
      <pivotArea dataOnly="0" labelOnly="1" outline="0" fieldPosition="0">
        <references count="3">
          <reference field="1" count="0" selected="0"/>
          <reference field="3" count="2">
            <x v="4"/>
            <x v="7"/>
          </reference>
          <reference field="4" count="1" selected="0">
            <x v="0"/>
          </reference>
        </references>
      </pivotArea>
    </format>
    <format dxfId="1054">
      <pivotArea dataOnly="0" labelOnly="1" outline="0" fieldPosition="0">
        <references count="3">
          <reference field="1" count="0" selected="0"/>
          <reference field="3" count="1">
            <x v="8"/>
          </reference>
          <reference field="4" count="1" selected="0">
            <x v="1"/>
          </reference>
        </references>
      </pivotArea>
    </format>
    <format dxfId="1053">
      <pivotArea dataOnly="0" labelOnly="1" outline="0" fieldPosition="0">
        <references count="3">
          <reference field="1" count="0" selected="0"/>
          <reference field="3" count="1">
            <x v="9"/>
          </reference>
          <reference field="4" count="1" selected="0">
            <x v="2"/>
          </reference>
        </references>
      </pivotArea>
    </format>
    <format dxfId="1052">
      <pivotArea dataOnly="0" labelOnly="1" outline="0" fieldPosition="0">
        <references count="3">
          <reference field="1" count="0" selected="0"/>
          <reference field="3" count="4">
            <x v="1"/>
            <x v="11"/>
            <x v="12"/>
            <x v="13"/>
          </reference>
          <reference field="4" count="1" selected="0">
            <x v="4"/>
          </reference>
        </references>
      </pivotArea>
    </format>
    <format dxfId="1051">
      <pivotArea dataOnly="0" labelOnly="1" outline="0" fieldPosition="0">
        <references count="3">
          <reference field="1" count="0" selected="0"/>
          <reference field="3" count="1">
            <x v="14"/>
          </reference>
          <reference field="4" count="1" selected="0">
            <x v="6"/>
          </reference>
        </references>
      </pivotArea>
    </format>
    <format dxfId="1050">
      <pivotArea dataOnly="0" labelOnly="1" outline="0" axis="axisValues" fieldPosition="0"/>
    </format>
    <format dxfId="1049">
      <pivotArea dataOnly="0" labelOnly="1" outline="0" fieldPosition="0">
        <references count="2">
          <reference field="1" count="0" selected="0"/>
          <reference field="4" count="1">
            <x v="1"/>
          </reference>
        </references>
      </pivotArea>
    </format>
    <format dxfId="1048">
      <pivotArea dataOnly="0" labelOnly="1" outline="0" fieldPosition="0">
        <references count="2">
          <reference field="1" count="0" selected="0"/>
          <reference field="4" count="1">
            <x v="2"/>
          </reference>
        </references>
      </pivotArea>
    </format>
    <format dxfId="1047">
      <pivotArea field="16" type="button" dataOnly="0" labelOnly="1" outline="0" axis="axisRow" fieldPosition="5"/>
    </format>
    <format dxfId="1046">
      <pivotArea dataOnly="0" labelOnly="1" outline="0" offset="IV1" fieldPosition="0">
        <references count="2">
          <reference field="1" count="0" selected="0"/>
          <reference field="4" count="1">
            <x v="4"/>
          </reference>
        </references>
      </pivotArea>
    </format>
    <format dxfId="1045">
      <pivotArea dataOnly="0" labelOnly="1" outline="0" fieldPosition="0">
        <references count="5">
          <reference field="1" count="0" selected="0"/>
          <reference field="3" count="1" selected="0">
            <x v="4"/>
          </reference>
          <reference field="4" count="1" selected="0">
            <x v="0"/>
          </reference>
          <reference field="6" count="1" selected="0">
            <x v="4"/>
          </reference>
          <reference field="16" count="1">
            <x v="2"/>
          </reference>
        </references>
      </pivotArea>
    </format>
    <format dxfId="1044">
      <pivotArea dataOnly="0" labelOnly="1" outline="0" fieldPosition="0">
        <references count="5">
          <reference field="1" count="0" selected="0"/>
          <reference field="3" count="1" selected="0">
            <x v="7"/>
          </reference>
          <reference field="4" count="1" selected="0">
            <x v="0"/>
          </reference>
          <reference field="6" count="1" selected="0">
            <x v="4"/>
          </reference>
          <reference field="16" count="1">
            <x v="21"/>
          </reference>
        </references>
      </pivotArea>
    </format>
    <format dxfId="1043">
      <pivotArea dataOnly="0" labelOnly="1" outline="0" fieldPosition="0">
        <references count="5">
          <reference field="1" count="0" selected="0"/>
          <reference field="3" count="1" selected="0">
            <x v="28"/>
          </reference>
          <reference field="4" count="1" selected="0">
            <x v="0"/>
          </reference>
          <reference field="6" count="1" selected="0">
            <x v="4"/>
          </reference>
          <reference field="16" count="1">
            <x v="40"/>
          </reference>
        </references>
      </pivotArea>
    </format>
    <format dxfId="1042">
      <pivotArea dataOnly="0" labelOnly="1" outline="0" fieldPosition="0">
        <references count="5">
          <reference field="1" count="0" selected="0"/>
          <reference field="3" count="1" selected="0">
            <x v="2"/>
          </reference>
          <reference field="4" count="1" selected="0">
            <x v="1"/>
          </reference>
          <reference field="6" count="1" selected="0">
            <x v="0"/>
          </reference>
          <reference field="16" count="1">
            <x v="6"/>
          </reference>
        </references>
      </pivotArea>
    </format>
    <format dxfId="1041">
      <pivotArea dataOnly="0" labelOnly="1" outline="0" fieldPosition="0">
        <references count="5">
          <reference field="1" count="0" selected="0"/>
          <reference field="3" count="1" selected="0">
            <x v="3"/>
          </reference>
          <reference field="4" count="1" selected="0">
            <x v="1"/>
          </reference>
          <reference field="6" count="1" selected="0">
            <x v="0"/>
          </reference>
          <reference field="16" count="1">
            <x v="5"/>
          </reference>
        </references>
      </pivotArea>
    </format>
    <format dxfId="1040">
      <pivotArea dataOnly="0" labelOnly="1" outline="0" fieldPosition="0">
        <references count="5">
          <reference field="1" count="0" selected="0"/>
          <reference field="3" count="1" selected="0">
            <x v="5"/>
          </reference>
          <reference field="4" count="1" selected="0">
            <x v="1"/>
          </reference>
          <reference field="6" count="1" selected="0">
            <x v="0"/>
          </reference>
          <reference field="16" count="1">
            <x v="4"/>
          </reference>
        </references>
      </pivotArea>
    </format>
    <format dxfId="1039">
      <pivotArea dataOnly="0" labelOnly="1" outline="0" fieldPosition="0">
        <references count="5">
          <reference field="1" count="0" selected="0"/>
          <reference field="3" count="1" selected="0">
            <x v="8"/>
          </reference>
          <reference field="4" count="1" selected="0">
            <x v="1"/>
          </reference>
          <reference field="6" count="1" selected="0">
            <x v="0"/>
          </reference>
          <reference field="16" count="1">
            <x v="7"/>
          </reference>
        </references>
      </pivotArea>
    </format>
    <format dxfId="1038">
      <pivotArea dataOnly="0" labelOnly="1" outline="0" fieldPosition="0">
        <references count="5">
          <reference field="1" count="0" selected="0"/>
          <reference field="3" count="1" selected="0">
            <x v="30"/>
          </reference>
          <reference field="4" count="1" selected="0">
            <x v="1"/>
          </reference>
          <reference field="6" count="1" selected="0">
            <x v="0"/>
          </reference>
          <reference field="16" count="1">
            <x v="45"/>
          </reference>
        </references>
      </pivotArea>
    </format>
    <format dxfId="1037">
      <pivotArea dataOnly="0" labelOnly="1" outline="0" fieldPosition="0">
        <references count="5">
          <reference field="1" count="0" selected="0"/>
          <reference field="3" count="1" selected="0">
            <x v="31"/>
          </reference>
          <reference field="4" count="1" selected="0">
            <x v="1"/>
          </reference>
          <reference field="6" count="1" selected="0">
            <x v="0"/>
          </reference>
          <reference field="16" count="1">
            <x v="47"/>
          </reference>
        </references>
      </pivotArea>
    </format>
    <format dxfId="1036">
      <pivotArea dataOnly="0" labelOnly="1" outline="0" fieldPosition="0">
        <references count="5">
          <reference field="1" count="0" selected="0"/>
          <reference field="3" count="1" selected="0">
            <x v="9"/>
          </reference>
          <reference field="4" count="1" selected="0">
            <x v="2"/>
          </reference>
          <reference field="6" count="1" selected="0">
            <x v="0"/>
          </reference>
          <reference field="16" count="1">
            <x v="1"/>
          </reference>
        </references>
      </pivotArea>
    </format>
    <format dxfId="1035">
      <pivotArea dataOnly="0" labelOnly="1" outline="0" fieldPosition="0">
        <references count="5">
          <reference field="1" count="0" selected="0"/>
          <reference field="3" count="1" selected="0">
            <x v="15"/>
          </reference>
          <reference field="4" count="1" selected="0">
            <x v="2"/>
          </reference>
          <reference field="6" count="1" selected="0">
            <x v="0"/>
          </reference>
          <reference field="16" count="1">
            <x v="18"/>
          </reference>
        </references>
      </pivotArea>
    </format>
    <format dxfId="1034">
      <pivotArea dataOnly="0" labelOnly="1" outline="0" fieldPosition="0">
        <references count="5">
          <reference field="1" count="0" selected="0"/>
          <reference field="3" count="1" selected="0">
            <x v="17"/>
          </reference>
          <reference field="4" count="1" selected="0">
            <x v="2"/>
          </reference>
          <reference field="6" count="1" selected="0">
            <x v="0"/>
          </reference>
          <reference field="16" count="1">
            <x v="22"/>
          </reference>
        </references>
      </pivotArea>
    </format>
    <format dxfId="1033">
      <pivotArea dataOnly="0" labelOnly="1" outline="0" fieldPosition="0">
        <references count="5">
          <reference field="1" count="0" selected="0"/>
          <reference field="3" count="1" selected="0">
            <x v="18"/>
          </reference>
          <reference field="4" count="1" selected="0">
            <x v="2"/>
          </reference>
          <reference field="6" count="1" selected="0">
            <x v="0"/>
          </reference>
          <reference field="16" count="1">
            <x v="26"/>
          </reference>
        </references>
      </pivotArea>
    </format>
    <format dxfId="1032">
      <pivotArea dataOnly="0" labelOnly="1" outline="0" fieldPosition="0">
        <references count="5">
          <reference field="1" count="0" selected="0"/>
          <reference field="3" count="1" selected="0">
            <x v="24"/>
          </reference>
          <reference field="4" count="1" selected="0">
            <x v="2"/>
          </reference>
          <reference field="6" count="1" selected="0">
            <x v="0"/>
          </reference>
          <reference field="16" count="1">
            <x v="33"/>
          </reference>
        </references>
      </pivotArea>
    </format>
    <format dxfId="1031">
      <pivotArea dataOnly="0" labelOnly="1" outline="0" fieldPosition="0">
        <references count="5">
          <reference field="1" count="0" selected="0"/>
          <reference field="3" count="1" selected="0">
            <x v="29"/>
          </reference>
          <reference field="4" count="1" selected="0">
            <x v="2"/>
          </reference>
          <reference field="6" count="1" selected="0">
            <x v="0"/>
          </reference>
          <reference field="16" count="1">
            <x v="42"/>
          </reference>
        </references>
      </pivotArea>
    </format>
    <format dxfId="1030">
      <pivotArea dataOnly="0" labelOnly="1" outline="0" fieldPosition="0">
        <references count="5">
          <reference field="1" count="0" selected="0"/>
          <reference field="3" count="1" selected="0">
            <x v="33"/>
          </reference>
          <reference field="4" count="1" selected="0">
            <x v="2"/>
          </reference>
          <reference field="6" count="1" selected="0">
            <x v="0"/>
          </reference>
          <reference field="16" count="1">
            <x v="32"/>
          </reference>
        </references>
      </pivotArea>
    </format>
    <format dxfId="1029">
      <pivotArea dataOnly="0" labelOnly="1" outline="0" fieldPosition="0">
        <references count="5">
          <reference field="1" count="0" selected="0"/>
          <reference field="3" count="1" selected="0">
            <x v="34"/>
          </reference>
          <reference field="4" count="1" selected="0">
            <x v="2"/>
          </reference>
          <reference field="6" count="1" selected="0">
            <x v="0"/>
          </reference>
          <reference field="16" count="1">
            <x v="20"/>
          </reference>
        </references>
      </pivotArea>
    </format>
    <format dxfId="1028">
      <pivotArea dataOnly="0" labelOnly="1" outline="0" fieldPosition="0">
        <references count="5">
          <reference field="1" count="0" selected="0"/>
          <reference field="3" count="1" selected="0">
            <x v="35"/>
          </reference>
          <reference field="4" count="1" selected="0">
            <x v="2"/>
          </reference>
          <reference field="6" count="1" selected="0">
            <x v="0"/>
          </reference>
          <reference field="16" count="1">
            <x v="19"/>
          </reference>
        </references>
      </pivotArea>
    </format>
    <format dxfId="1027">
      <pivotArea dataOnly="0" labelOnly="1" outline="0" fieldPosition="0">
        <references count="5">
          <reference field="1" count="0" selected="0"/>
          <reference field="3" count="1" selected="0">
            <x v="36"/>
          </reference>
          <reference field="4" count="1" selected="0">
            <x v="2"/>
          </reference>
          <reference field="6" count="1" selected="0">
            <x v="0"/>
          </reference>
          <reference field="16" count="1">
            <x v="11"/>
          </reference>
        </references>
      </pivotArea>
    </format>
    <format dxfId="1026">
      <pivotArea dataOnly="0" labelOnly="1" outline="0" fieldPosition="0">
        <references count="5">
          <reference field="1" count="0" selected="0"/>
          <reference field="3" count="1" selected="0">
            <x v="37"/>
          </reference>
          <reference field="4" count="1" selected="0">
            <x v="2"/>
          </reference>
          <reference field="6" count="1" selected="0">
            <x v="0"/>
          </reference>
          <reference field="16" count="1">
            <x v="43"/>
          </reference>
        </references>
      </pivotArea>
    </format>
    <format dxfId="1025">
      <pivotArea dataOnly="0" labelOnly="1" outline="0" fieldPosition="0">
        <references count="5">
          <reference field="1" count="0" selected="0"/>
          <reference field="3" count="1" selected="0">
            <x v="38"/>
          </reference>
          <reference field="4" count="1" selected="0">
            <x v="2"/>
          </reference>
          <reference field="6" count="1" selected="0">
            <x v="0"/>
          </reference>
          <reference field="16" count="1">
            <x v="23"/>
          </reference>
        </references>
      </pivotArea>
    </format>
    <format dxfId="1024">
      <pivotArea dataOnly="0" labelOnly="1" outline="0" fieldPosition="0">
        <references count="5">
          <reference field="1" count="0" selected="0"/>
          <reference field="3" count="1" selected="0">
            <x v="39"/>
          </reference>
          <reference field="4" count="1" selected="0">
            <x v="2"/>
          </reference>
          <reference field="6" count="1" selected="0">
            <x v="0"/>
          </reference>
          <reference field="16" count="1">
            <x v="39"/>
          </reference>
        </references>
      </pivotArea>
    </format>
    <format dxfId="1023">
      <pivotArea dataOnly="0" labelOnly="1" outline="0" fieldPosition="0">
        <references count="5">
          <reference field="1" count="0" selected="0"/>
          <reference field="3" count="1" selected="0">
            <x v="40"/>
          </reference>
          <reference field="4" count="1" selected="0">
            <x v="2"/>
          </reference>
          <reference field="6" count="1" selected="0">
            <x v="0"/>
          </reference>
          <reference field="16" count="1">
            <x v="44"/>
          </reference>
        </references>
      </pivotArea>
    </format>
    <format dxfId="1022">
      <pivotArea dataOnly="0" labelOnly="1" outline="0" fieldPosition="0">
        <references count="5">
          <reference field="1" count="0" selected="0"/>
          <reference field="3" count="1" selected="0">
            <x v="41"/>
          </reference>
          <reference field="4" count="1" selected="0">
            <x v="2"/>
          </reference>
          <reference field="6" count="1" selected="0">
            <x v="0"/>
          </reference>
          <reference field="16" count="1">
            <x v="37"/>
          </reference>
        </references>
      </pivotArea>
    </format>
    <format dxfId="1021">
      <pivotArea dataOnly="0" labelOnly="1" outline="0" fieldPosition="0">
        <references count="5">
          <reference field="1" count="0" selected="0"/>
          <reference field="3" count="1" selected="0">
            <x v="42"/>
          </reference>
          <reference field="4" count="1" selected="0">
            <x v="2"/>
          </reference>
          <reference field="6" count="1" selected="0">
            <x v="0"/>
          </reference>
          <reference field="16" count="1">
            <x v="36"/>
          </reference>
        </references>
      </pivotArea>
    </format>
    <format dxfId="1020">
      <pivotArea dataOnly="0" labelOnly="1" outline="0" fieldPosition="0">
        <references count="5">
          <reference field="1" count="0" selected="0"/>
          <reference field="3" count="1" selected="0">
            <x v="43"/>
          </reference>
          <reference field="4" count="1" selected="0">
            <x v="2"/>
          </reference>
          <reference field="6" count="1" selected="0">
            <x v="0"/>
          </reference>
          <reference field="16" count="1">
            <x v="46"/>
          </reference>
        </references>
      </pivotArea>
    </format>
    <format dxfId="1019">
      <pivotArea dataOnly="0" labelOnly="1" outline="0" fieldPosition="0">
        <references count="5">
          <reference field="1" count="0" selected="0"/>
          <reference field="3" count="1" selected="0">
            <x v="10"/>
          </reference>
          <reference field="4" count="1" selected="0">
            <x v="3"/>
          </reference>
          <reference field="6" count="1" selected="0">
            <x v="5"/>
          </reference>
          <reference field="16" count="1">
            <x v="14"/>
          </reference>
        </references>
      </pivotArea>
    </format>
    <format dxfId="1018">
      <pivotArea dataOnly="0" labelOnly="1" outline="0" fieldPosition="0">
        <references count="5">
          <reference field="1" count="0" selected="0"/>
          <reference field="3" count="1" selected="0">
            <x v="1"/>
          </reference>
          <reference field="4" count="1" selected="0">
            <x v="4"/>
          </reference>
          <reference field="6" count="1" selected="0">
            <x v="1"/>
          </reference>
          <reference field="16" count="1">
            <x v="13"/>
          </reference>
        </references>
      </pivotArea>
    </format>
    <format dxfId="1017">
      <pivotArea dataOnly="0" labelOnly="1" outline="0" fieldPosition="0">
        <references count="5">
          <reference field="1" count="0" selected="0"/>
          <reference field="3" count="1" selected="0">
            <x v="6"/>
          </reference>
          <reference field="4" count="1" selected="0">
            <x v="4"/>
          </reference>
          <reference field="6" count="1" selected="0">
            <x v="1"/>
          </reference>
          <reference field="16" count="1">
            <x v="28"/>
          </reference>
        </references>
      </pivotArea>
    </format>
    <format dxfId="1016">
      <pivotArea dataOnly="0" labelOnly="1" outline="0" fieldPosition="0">
        <references count="5">
          <reference field="1" count="0" selected="0"/>
          <reference field="3" count="1" selected="0">
            <x v="11"/>
          </reference>
          <reference field="4" count="1" selected="0">
            <x v="4"/>
          </reference>
          <reference field="6" count="1" selected="0">
            <x v="0"/>
          </reference>
          <reference field="16" count="1">
            <x v="10"/>
          </reference>
        </references>
      </pivotArea>
    </format>
    <format dxfId="1015">
      <pivotArea dataOnly="0" labelOnly="1" outline="0" fieldPosition="0">
        <references count="5">
          <reference field="1" count="0" selected="0"/>
          <reference field="3" count="1" selected="0">
            <x v="12"/>
          </reference>
          <reference field="4" count="1" selected="0">
            <x v="4"/>
          </reference>
          <reference field="6" count="1" selected="0">
            <x v="1"/>
          </reference>
          <reference field="16" count="1">
            <x v="15"/>
          </reference>
        </references>
      </pivotArea>
    </format>
    <format dxfId="1014">
      <pivotArea dataOnly="0" labelOnly="1" outline="0" fieldPosition="0">
        <references count="5">
          <reference field="1" count="0" selected="0"/>
          <reference field="3" count="1" selected="0">
            <x v="13"/>
          </reference>
          <reference field="4" count="1" selected="0">
            <x v="4"/>
          </reference>
          <reference field="6" count="1" selected="0">
            <x v="6"/>
          </reference>
          <reference field="16" count="1">
            <x v="16"/>
          </reference>
        </references>
      </pivotArea>
    </format>
    <format dxfId="1013">
      <pivotArea dataOnly="0" labelOnly="1" outline="0" fieldPosition="0">
        <references count="5">
          <reference field="1" count="0" selected="0"/>
          <reference field="3" count="1" selected="0">
            <x v="19"/>
          </reference>
          <reference field="4" count="1" selected="0">
            <x v="4"/>
          </reference>
          <reference field="6" count="1" selected="0">
            <x v="1"/>
          </reference>
          <reference field="16" count="1">
            <x v="30"/>
          </reference>
        </references>
      </pivotArea>
    </format>
    <format dxfId="1012">
      <pivotArea dataOnly="0" labelOnly="1" outline="0" fieldPosition="0">
        <references count="5">
          <reference field="1" count="0" selected="0"/>
          <reference field="3" count="1" selected="0">
            <x v="20"/>
          </reference>
          <reference field="4" count="1" selected="0">
            <x v="4"/>
          </reference>
          <reference field="6" count="1" selected="0">
            <x v="1"/>
          </reference>
          <reference field="16" count="1">
            <x v="31"/>
          </reference>
        </references>
      </pivotArea>
    </format>
    <format dxfId="1011">
      <pivotArea dataOnly="0" labelOnly="1" outline="0" fieldPosition="0">
        <references count="5">
          <reference field="1" count="0" selected="0"/>
          <reference field="3" count="1" selected="0">
            <x v="21"/>
          </reference>
          <reference field="4" count="1" selected="0">
            <x v="4"/>
          </reference>
          <reference field="6" count="1" selected="0">
            <x v="1"/>
          </reference>
          <reference field="16" count="1">
            <x v="27"/>
          </reference>
        </references>
      </pivotArea>
    </format>
    <format dxfId="1010">
      <pivotArea dataOnly="0" labelOnly="1" outline="0" fieldPosition="0">
        <references count="5">
          <reference field="1" count="0" selected="0"/>
          <reference field="3" count="1" selected="0">
            <x v="22"/>
          </reference>
          <reference field="4" count="1" selected="0">
            <x v="4"/>
          </reference>
          <reference field="6" count="1" selected="0">
            <x v="1"/>
          </reference>
          <reference field="16" count="1">
            <x v="9"/>
          </reference>
        </references>
      </pivotArea>
    </format>
    <format dxfId="1009">
      <pivotArea dataOnly="0" labelOnly="1" outline="0" fieldPosition="0">
        <references count="5">
          <reference field="1" count="0" selected="0"/>
          <reference field="3" count="1" selected="0">
            <x v="23"/>
          </reference>
          <reference field="4" count="1" selected="0">
            <x v="4"/>
          </reference>
          <reference field="6" count="1" selected="0">
            <x v="1"/>
          </reference>
          <reference field="16" count="1">
            <x v="24"/>
          </reference>
        </references>
      </pivotArea>
    </format>
    <format dxfId="1008">
      <pivotArea dataOnly="0" labelOnly="1" outline="0" fieldPosition="0">
        <references count="5">
          <reference field="1" count="0" selected="0"/>
          <reference field="3" count="1" selected="0">
            <x v="26"/>
          </reference>
          <reference field="4" count="1" selected="0">
            <x v="4"/>
          </reference>
          <reference field="6" count="1" selected="0">
            <x v="1"/>
          </reference>
          <reference field="16" count="1">
            <x v="35"/>
          </reference>
        </references>
      </pivotArea>
    </format>
    <format dxfId="1007">
      <pivotArea dataOnly="0" labelOnly="1" outline="0" fieldPosition="0">
        <references count="5">
          <reference field="1" count="0" selected="0"/>
          <reference field="3" count="1" selected="0">
            <x v="27"/>
          </reference>
          <reference field="4" count="1" selected="0">
            <x v="4"/>
          </reference>
          <reference field="6" count="1" selected="0">
            <x v="1"/>
          </reference>
          <reference field="16" count="1">
            <x v="41"/>
          </reference>
        </references>
      </pivotArea>
    </format>
    <format dxfId="1006">
      <pivotArea dataOnly="0" labelOnly="1" outline="0" fieldPosition="0">
        <references count="5">
          <reference field="1" count="0" selected="0"/>
          <reference field="3" count="1" selected="0">
            <x v="32"/>
          </reference>
          <reference field="4" count="1" selected="0">
            <x v="4"/>
          </reference>
          <reference field="6" count="1" selected="0">
            <x v="1"/>
          </reference>
          <reference field="16" count="1">
            <x v="0"/>
          </reference>
        </references>
      </pivotArea>
    </format>
    <format dxfId="1005">
      <pivotArea dataOnly="0" labelOnly="1" outline="0" fieldPosition="0">
        <references count="5">
          <reference field="1" count="0" selected="0"/>
          <reference field="3" count="1" selected="0">
            <x v="16"/>
          </reference>
          <reference field="4" count="1" selected="0">
            <x v="5"/>
          </reference>
          <reference field="6" count="1" selected="0">
            <x v="2"/>
          </reference>
          <reference field="16" count="1">
            <x v="17"/>
          </reference>
        </references>
      </pivotArea>
    </format>
    <format dxfId="1004">
      <pivotArea dataOnly="0" labelOnly="1" outline="0" fieldPosition="0">
        <references count="5">
          <reference field="1" count="0" selected="0"/>
          <reference field="3" count="1" selected="0">
            <x v="0"/>
          </reference>
          <reference field="4" count="1" selected="0">
            <x v="6"/>
          </reference>
          <reference field="6" count="1" selected="0">
            <x v="3"/>
          </reference>
          <reference field="16" count="1">
            <x v="8"/>
          </reference>
        </references>
      </pivotArea>
    </format>
    <format dxfId="1003">
      <pivotArea dataOnly="0" labelOnly="1" outline="0" fieldPosition="0">
        <references count="5">
          <reference field="1" count="0" selected="0"/>
          <reference field="3" count="1" selected="0">
            <x v="14"/>
          </reference>
          <reference field="4" count="1" selected="0">
            <x v="6"/>
          </reference>
          <reference field="6" count="1" selected="0">
            <x v="3"/>
          </reference>
          <reference field="16" count="1">
            <x v="12"/>
          </reference>
        </references>
      </pivotArea>
    </format>
    <format dxfId="1002">
      <pivotArea dataOnly="0" labelOnly="1" outline="0" fieldPosition="0">
        <references count="5">
          <reference field="1" count="0" selected="0"/>
          <reference field="3" count="1" selected="0">
            <x v="25"/>
          </reference>
          <reference field="4" count="1" selected="0">
            <x v="6"/>
          </reference>
          <reference field="6" count="1" selected="0">
            <x v="3"/>
          </reference>
          <reference field="16" count="1">
            <x v="34"/>
          </reference>
        </references>
      </pivotArea>
    </format>
    <format dxfId="1001">
      <pivotArea dataOnly="0" labelOnly="1" outline="0" fieldPosition="0">
        <references count="5">
          <reference field="1" count="0" selected="0"/>
          <reference field="3" count="1" selected="0">
            <x v="4"/>
          </reference>
          <reference field="4" count="1" selected="0">
            <x v="0"/>
          </reference>
          <reference field="6" count="1" selected="0">
            <x v="4"/>
          </reference>
          <reference field="16" count="1">
            <x v="2"/>
          </reference>
        </references>
      </pivotArea>
    </format>
    <format dxfId="1000">
      <pivotArea dataOnly="0" labelOnly="1" outline="0" fieldPosition="0">
        <references count="5">
          <reference field="1" count="0" selected="0"/>
          <reference field="3" count="1" selected="0">
            <x v="7"/>
          </reference>
          <reference field="4" count="1" selected="0">
            <x v="0"/>
          </reference>
          <reference field="6" count="1" selected="0">
            <x v="4"/>
          </reference>
          <reference field="16" count="1">
            <x v="21"/>
          </reference>
        </references>
      </pivotArea>
    </format>
    <format dxfId="999">
      <pivotArea dataOnly="0" labelOnly="1" outline="0" fieldPosition="0">
        <references count="5">
          <reference field="1" count="0" selected="0"/>
          <reference field="3" count="1" selected="0">
            <x v="28"/>
          </reference>
          <reference field="4" count="1" selected="0">
            <x v="0"/>
          </reference>
          <reference field="6" count="1" selected="0">
            <x v="4"/>
          </reference>
          <reference field="16" count="1">
            <x v="40"/>
          </reference>
        </references>
      </pivotArea>
    </format>
    <format dxfId="998">
      <pivotArea dataOnly="0" labelOnly="1" outline="0" fieldPosition="0">
        <references count="5">
          <reference field="1" count="0" selected="0"/>
          <reference field="3" count="1" selected="0">
            <x v="2"/>
          </reference>
          <reference field="4" count="1" selected="0">
            <x v="1"/>
          </reference>
          <reference field="6" count="1" selected="0">
            <x v="0"/>
          </reference>
          <reference field="16" count="1">
            <x v="6"/>
          </reference>
        </references>
      </pivotArea>
    </format>
    <format dxfId="997">
      <pivotArea dataOnly="0" labelOnly="1" outline="0" fieldPosition="0">
        <references count="5">
          <reference field="1" count="0" selected="0"/>
          <reference field="3" count="1" selected="0">
            <x v="3"/>
          </reference>
          <reference field="4" count="1" selected="0">
            <x v="1"/>
          </reference>
          <reference field="6" count="1" selected="0">
            <x v="0"/>
          </reference>
          <reference field="16" count="1">
            <x v="5"/>
          </reference>
        </references>
      </pivotArea>
    </format>
    <format dxfId="996">
      <pivotArea dataOnly="0" labelOnly="1" outline="0" fieldPosition="0">
        <references count="5">
          <reference field="1" count="0" selected="0"/>
          <reference field="3" count="1" selected="0">
            <x v="5"/>
          </reference>
          <reference field="4" count="1" selected="0">
            <x v="1"/>
          </reference>
          <reference field="6" count="1" selected="0">
            <x v="0"/>
          </reference>
          <reference field="16" count="1">
            <x v="4"/>
          </reference>
        </references>
      </pivotArea>
    </format>
    <format dxfId="995">
      <pivotArea dataOnly="0" labelOnly="1" outline="0" fieldPosition="0">
        <references count="5">
          <reference field="1" count="0" selected="0"/>
          <reference field="3" count="1" selected="0">
            <x v="8"/>
          </reference>
          <reference field="4" count="1" selected="0">
            <x v="1"/>
          </reference>
          <reference field="6" count="1" selected="0">
            <x v="0"/>
          </reference>
          <reference field="16" count="1">
            <x v="7"/>
          </reference>
        </references>
      </pivotArea>
    </format>
    <format dxfId="994">
      <pivotArea dataOnly="0" labelOnly="1" outline="0" fieldPosition="0">
        <references count="5">
          <reference field="1" count="0" selected="0"/>
          <reference field="3" count="1" selected="0">
            <x v="30"/>
          </reference>
          <reference field="4" count="1" selected="0">
            <x v="1"/>
          </reference>
          <reference field="6" count="1" selected="0">
            <x v="0"/>
          </reference>
          <reference field="16" count="1">
            <x v="45"/>
          </reference>
        </references>
      </pivotArea>
    </format>
    <format dxfId="993">
      <pivotArea dataOnly="0" labelOnly="1" outline="0" fieldPosition="0">
        <references count="5">
          <reference field="1" count="0" selected="0"/>
          <reference field="3" count="1" selected="0">
            <x v="31"/>
          </reference>
          <reference field="4" count="1" selected="0">
            <x v="1"/>
          </reference>
          <reference field="6" count="1" selected="0">
            <x v="0"/>
          </reference>
          <reference field="16" count="1">
            <x v="47"/>
          </reference>
        </references>
      </pivotArea>
    </format>
    <format dxfId="992">
      <pivotArea dataOnly="0" labelOnly="1" outline="0" fieldPosition="0">
        <references count="5">
          <reference field="1" count="0" selected="0"/>
          <reference field="3" count="1" selected="0">
            <x v="9"/>
          </reference>
          <reference field="4" count="1" selected="0">
            <x v="2"/>
          </reference>
          <reference field="6" count="1" selected="0">
            <x v="0"/>
          </reference>
          <reference field="16" count="1">
            <x v="1"/>
          </reference>
        </references>
      </pivotArea>
    </format>
    <format dxfId="991">
      <pivotArea dataOnly="0" labelOnly="1" outline="0" fieldPosition="0">
        <references count="5">
          <reference field="1" count="0" selected="0"/>
          <reference field="3" count="1" selected="0">
            <x v="15"/>
          </reference>
          <reference field="4" count="1" selected="0">
            <x v="2"/>
          </reference>
          <reference field="6" count="1" selected="0">
            <x v="0"/>
          </reference>
          <reference field="16" count="1">
            <x v="18"/>
          </reference>
        </references>
      </pivotArea>
    </format>
    <format dxfId="990">
      <pivotArea dataOnly="0" labelOnly="1" outline="0" fieldPosition="0">
        <references count="5">
          <reference field="1" count="0" selected="0"/>
          <reference field="3" count="1" selected="0">
            <x v="17"/>
          </reference>
          <reference field="4" count="1" selected="0">
            <x v="2"/>
          </reference>
          <reference field="6" count="1" selected="0">
            <x v="0"/>
          </reference>
          <reference field="16" count="1">
            <x v="22"/>
          </reference>
        </references>
      </pivotArea>
    </format>
    <format dxfId="989">
      <pivotArea dataOnly="0" labelOnly="1" outline="0" fieldPosition="0">
        <references count="5">
          <reference field="1" count="0" selected="0"/>
          <reference field="3" count="1" selected="0">
            <x v="18"/>
          </reference>
          <reference field="4" count="1" selected="0">
            <x v="2"/>
          </reference>
          <reference field="6" count="1" selected="0">
            <x v="0"/>
          </reference>
          <reference field="16" count="1">
            <x v="26"/>
          </reference>
        </references>
      </pivotArea>
    </format>
    <format dxfId="988">
      <pivotArea dataOnly="0" labelOnly="1" outline="0" fieldPosition="0">
        <references count="5">
          <reference field="1" count="0" selected="0"/>
          <reference field="3" count="1" selected="0">
            <x v="24"/>
          </reference>
          <reference field="4" count="1" selected="0">
            <x v="2"/>
          </reference>
          <reference field="6" count="1" selected="0">
            <x v="0"/>
          </reference>
          <reference field="16" count="1">
            <x v="33"/>
          </reference>
        </references>
      </pivotArea>
    </format>
    <format dxfId="987">
      <pivotArea dataOnly="0" labelOnly="1" outline="0" fieldPosition="0">
        <references count="5">
          <reference field="1" count="0" selected="0"/>
          <reference field="3" count="1" selected="0">
            <x v="29"/>
          </reference>
          <reference field="4" count="1" selected="0">
            <x v="2"/>
          </reference>
          <reference field="6" count="1" selected="0">
            <x v="0"/>
          </reference>
          <reference field="16" count="1">
            <x v="42"/>
          </reference>
        </references>
      </pivotArea>
    </format>
    <format dxfId="986">
      <pivotArea dataOnly="0" labelOnly="1" outline="0" fieldPosition="0">
        <references count="5">
          <reference field="1" count="0" selected="0"/>
          <reference field="3" count="1" selected="0">
            <x v="33"/>
          </reference>
          <reference field="4" count="1" selected="0">
            <x v="2"/>
          </reference>
          <reference field="6" count="1" selected="0">
            <x v="0"/>
          </reference>
          <reference field="16" count="1">
            <x v="32"/>
          </reference>
        </references>
      </pivotArea>
    </format>
    <format dxfId="985">
      <pivotArea dataOnly="0" labelOnly="1" outline="0" fieldPosition="0">
        <references count="5">
          <reference field="1" count="0" selected="0"/>
          <reference field="3" count="1" selected="0">
            <x v="34"/>
          </reference>
          <reference field="4" count="1" selected="0">
            <x v="2"/>
          </reference>
          <reference field="6" count="1" selected="0">
            <x v="0"/>
          </reference>
          <reference field="16" count="1">
            <x v="20"/>
          </reference>
        </references>
      </pivotArea>
    </format>
    <format dxfId="984">
      <pivotArea dataOnly="0" labelOnly="1" outline="0" fieldPosition="0">
        <references count="5">
          <reference field="1" count="0" selected="0"/>
          <reference field="3" count="1" selected="0">
            <x v="35"/>
          </reference>
          <reference field="4" count="1" selected="0">
            <x v="2"/>
          </reference>
          <reference field="6" count="1" selected="0">
            <x v="0"/>
          </reference>
          <reference field="16" count="1">
            <x v="19"/>
          </reference>
        </references>
      </pivotArea>
    </format>
    <format dxfId="983">
      <pivotArea dataOnly="0" labelOnly="1" outline="0" fieldPosition="0">
        <references count="5">
          <reference field="1" count="0" selected="0"/>
          <reference field="3" count="1" selected="0">
            <x v="36"/>
          </reference>
          <reference field="4" count="1" selected="0">
            <x v="2"/>
          </reference>
          <reference field="6" count="1" selected="0">
            <x v="0"/>
          </reference>
          <reference field="16" count="1">
            <x v="11"/>
          </reference>
        </references>
      </pivotArea>
    </format>
    <format dxfId="982">
      <pivotArea dataOnly="0" labelOnly="1" outline="0" fieldPosition="0">
        <references count="5">
          <reference field="1" count="0" selected="0"/>
          <reference field="3" count="1" selected="0">
            <x v="37"/>
          </reference>
          <reference field="4" count="1" selected="0">
            <x v="2"/>
          </reference>
          <reference field="6" count="1" selected="0">
            <x v="0"/>
          </reference>
          <reference field="16" count="1">
            <x v="43"/>
          </reference>
        </references>
      </pivotArea>
    </format>
    <format dxfId="981">
      <pivotArea dataOnly="0" labelOnly="1" outline="0" fieldPosition="0">
        <references count="5">
          <reference field="1" count="0" selected="0"/>
          <reference field="3" count="1" selected="0">
            <x v="38"/>
          </reference>
          <reference field="4" count="1" selected="0">
            <x v="2"/>
          </reference>
          <reference field="6" count="1" selected="0">
            <x v="0"/>
          </reference>
          <reference field="16" count="1">
            <x v="23"/>
          </reference>
        </references>
      </pivotArea>
    </format>
    <format dxfId="980">
      <pivotArea dataOnly="0" labelOnly="1" outline="0" fieldPosition="0">
        <references count="5">
          <reference field="1" count="0" selected="0"/>
          <reference field="3" count="1" selected="0">
            <x v="39"/>
          </reference>
          <reference field="4" count="1" selected="0">
            <x v="2"/>
          </reference>
          <reference field="6" count="1" selected="0">
            <x v="0"/>
          </reference>
          <reference field="16" count="1">
            <x v="39"/>
          </reference>
        </references>
      </pivotArea>
    </format>
    <format dxfId="979">
      <pivotArea dataOnly="0" labelOnly="1" outline="0" fieldPosition="0">
        <references count="5">
          <reference field="1" count="0" selected="0"/>
          <reference field="3" count="1" selected="0">
            <x v="40"/>
          </reference>
          <reference field="4" count="1" selected="0">
            <x v="2"/>
          </reference>
          <reference field="6" count="1" selected="0">
            <x v="0"/>
          </reference>
          <reference field="16" count="1">
            <x v="44"/>
          </reference>
        </references>
      </pivotArea>
    </format>
    <format dxfId="978">
      <pivotArea dataOnly="0" labelOnly="1" outline="0" fieldPosition="0">
        <references count="5">
          <reference field="1" count="0" selected="0"/>
          <reference field="3" count="1" selected="0">
            <x v="41"/>
          </reference>
          <reference field="4" count="1" selected="0">
            <x v="2"/>
          </reference>
          <reference field="6" count="1" selected="0">
            <x v="0"/>
          </reference>
          <reference field="16" count="1">
            <x v="37"/>
          </reference>
        </references>
      </pivotArea>
    </format>
    <format dxfId="977">
      <pivotArea dataOnly="0" labelOnly="1" outline="0" fieldPosition="0">
        <references count="5">
          <reference field="1" count="0" selected="0"/>
          <reference field="3" count="1" selected="0">
            <x v="42"/>
          </reference>
          <reference field="4" count="1" selected="0">
            <x v="2"/>
          </reference>
          <reference field="6" count="1" selected="0">
            <x v="0"/>
          </reference>
          <reference field="16" count="1">
            <x v="36"/>
          </reference>
        </references>
      </pivotArea>
    </format>
    <format dxfId="976">
      <pivotArea dataOnly="0" labelOnly="1" outline="0" fieldPosition="0">
        <references count="5">
          <reference field="1" count="0" selected="0"/>
          <reference field="3" count="1" selected="0">
            <x v="43"/>
          </reference>
          <reference field="4" count="1" selected="0">
            <x v="2"/>
          </reference>
          <reference field="6" count="1" selected="0">
            <x v="0"/>
          </reference>
          <reference field="16" count="1">
            <x v="46"/>
          </reference>
        </references>
      </pivotArea>
    </format>
    <format dxfId="975">
      <pivotArea dataOnly="0" labelOnly="1" outline="0" fieldPosition="0">
        <references count="5">
          <reference field="1" count="0" selected="0"/>
          <reference field="3" count="1" selected="0">
            <x v="10"/>
          </reference>
          <reference field="4" count="1" selected="0">
            <x v="3"/>
          </reference>
          <reference field="6" count="1" selected="0">
            <x v="5"/>
          </reference>
          <reference field="16" count="1">
            <x v="14"/>
          </reference>
        </references>
      </pivotArea>
    </format>
    <format dxfId="974">
      <pivotArea dataOnly="0" labelOnly="1" outline="0" fieldPosition="0">
        <references count="5">
          <reference field="1" count="0" selected="0"/>
          <reference field="3" count="1" selected="0">
            <x v="1"/>
          </reference>
          <reference field="4" count="1" selected="0">
            <x v="4"/>
          </reference>
          <reference field="6" count="1" selected="0">
            <x v="1"/>
          </reference>
          <reference field="16" count="1">
            <x v="13"/>
          </reference>
        </references>
      </pivotArea>
    </format>
    <format dxfId="973">
      <pivotArea dataOnly="0" labelOnly="1" outline="0" fieldPosition="0">
        <references count="5">
          <reference field="1" count="0" selected="0"/>
          <reference field="3" count="1" selected="0">
            <x v="6"/>
          </reference>
          <reference field="4" count="1" selected="0">
            <x v="4"/>
          </reference>
          <reference field="6" count="1" selected="0">
            <x v="1"/>
          </reference>
          <reference field="16" count="1">
            <x v="28"/>
          </reference>
        </references>
      </pivotArea>
    </format>
    <format dxfId="972">
      <pivotArea dataOnly="0" labelOnly="1" outline="0" fieldPosition="0">
        <references count="5">
          <reference field="1" count="0" selected="0"/>
          <reference field="3" count="1" selected="0">
            <x v="11"/>
          </reference>
          <reference field="4" count="1" selected="0">
            <x v="4"/>
          </reference>
          <reference field="6" count="1" selected="0">
            <x v="0"/>
          </reference>
          <reference field="16" count="1">
            <x v="10"/>
          </reference>
        </references>
      </pivotArea>
    </format>
    <format dxfId="971">
      <pivotArea dataOnly="0" labelOnly="1" outline="0" fieldPosition="0">
        <references count="5">
          <reference field="1" count="0" selected="0"/>
          <reference field="3" count="1" selected="0">
            <x v="12"/>
          </reference>
          <reference field="4" count="1" selected="0">
            <x v="4"/>
          </reference>
          <reference field="6" count="1" selected="0">
            <x v="1"/>
          </reference>
          <reference field="16" count="1">
            <x v="15"/>
          </reference>
        </references>
      </pivotArea>
    </format>
    <format dxfId="970">
      <pivotArea dataOnly="0" labelOnly="1" outline="0" fieldPosition="0">
        <references count="5">
          <reference field="1" count="0" selected="0"/>
          <reference field="3" count="1" selected="0">
            <x v="13"/>
          </reference>
          <reference field="4" count="1" selected="0">
            <x v="4"/>
          </reference>
          <reference field="6" count="1" selected="0">
            <x v="6"/>
          </reference>
          <reference field="16" count="1">
            <x v="16"/>
          </reference>
        </references>
      </pivotArea>
    </format>
    <format dxfId="969">
      <pivotArea dataOnly="0" labelOnly="1" outline="0" fieldPosition="0">
        <references count="5">
          <reference field="1" count="0" selected="0"/>
          <reference field="3" count="1" selected="0">
            <x v="19"/>
          </reference>
          <reference field="4" count="1" selected="0">
            <x v="4"/>
          </reference>
          <reference field="6" count="1" selected="0">
            <x v="1"/>
          </reference>
          <reference field="16" count="1">
            <x v="30"/>
          </reference>
        </references>
      </pivotArea>
    </format>
    <format dxfId="968">
      <pivotArea dataOnly="0" labelOnly="1" outline="0" fieldPosition="0">
        <references count="5">
          <reference field="1" count="0" selected="0"/>
          <reference field="3" count="1" selected="0">
            <x v="20"/>
          </reference>
          <reference field="4" count="1" selected="0">
            <x v="4"/>
          </reference>
          <reference field="6" count="1" selected="0">
            <x v="1"/>
          </reference>
          <reference field="16" count="1">
            <x v="31"/>
          </reference>
        </references>
      </pivotArea>
    </format>
    <format dxfId="967">
      <pivotArea dataOnly="0" labelOnly="1" outline="0" fieldPosition="0">
        <references count="5">
          <reference field="1" count="0" selected="0"/>
          <reference field="3" count="1" selected="0">
            <x v="21"/>
          </reference>
          <reference field="4" count="1" selected="0">
            <x v="4"/>
          </reference>
          <reference field="6" count="1" selected="0">
            <x v="1"/>
          </reference>
          <reference field="16" count="1">
            <x v="27"/>
          </reference>
        </references>
      </pivotArea>
    </format>
    <format dxfId="966">
      <pivotArea dataOnly="0" labelOnly="1" outline="0" fieldPosition="0">
        <references count="5">
          <reference field="1" count="0" selected="0"/>
          <reference field="3" count="1" selected="0">
            <x v="22"/>
          </reference>
          <reference field="4" count="1" selected="0">
            <x v="4"/>
          </reference>
          <reference field="6" count="1" selected="0">
            <x v="1"/>
          </reference>
          <reference field="16" count="1">
            <x v="9"/>
          </reference>
        </references>
      </pivotArea>
    </format>
    <format dxfId="965">
      <pivotArea dataOnly="0" labelOnly="1" outline="0" fieldPosition="0">
        <references count="5">
          <reference field="1" count="0" selected="0"/>
          <reference field="3" count="1" selected="0">
            <x v="23"/>
          </reference>
          <reference field="4" count="1" selected="0">
            <x v="4"/>
          </reference>
          <reference field="6" count="1" selected="0">
            <x v="1"/>
          </reference>
          <reference field="16" count="1">
            <x v="24"/>
          </reference>
        </references>
      </pivotArea>
    </format>
    <format dxfId="964">
      <pivotArea dataOnly="0" labelOnly="1" outline="0" fieldPosition="0">
        <references count="5">
          <reference field="1" count="0" selected="0"/>
          <reference field="3" count="1" selected="0">
            <x v="26"/>
          </reference>
          <reference field="4" count="1" selected="0">
            <x v="4"/>
          </reference>
          <reference field="6" count="1" selected="0">
            <x v="1"/>
          </reference>
          <reference field="16" count="1">
            <x v="35"/>
          </reference>
        </references>
      </pivotArea>
    </format>
    <format dxfId="963">
      <pivotArea dataOnly="0" labelOnly="1" outline="0" fieldPosition="0">
        <references count="5">
          <reference field="1" count="0" selected="0"/>
          <reference field="3" count="1" selected="0">
            <x v="27"/>
          </reference>
          <reference field="4" count="1" selected="0">
            <x v="4"/>
          </reference>
          <reference field="6" count="1" selected="0">
            <x v="1"/>
          </reference>
          <reference field="16" count="1">
            <x v="41"/>
          </reference>
        </references>
      </pivotArea>
    </format>
    <format dxfId="962">
      <pivotArea dataOnly="0" labelOnly="1" outline="0" fieldPosition="0">
        <references count="5">
          <reference field="1" count="0" selected="0"/>
          <reference field="3" count="1" selected="0">
            <x v="32"/>
          </reference>
          <reference field="4" count="1" selected="0">
            <x v="4"/>
          </reference>
          <reference field="6" count="1" selected="0">
            <x v="1"/>
          </reference>
          <reference field="16" count="1">
            <x v="0"/>
          </reference>
        </references>
      </pivotArea>
    </format>
    <format dxfId="961">
      <pivotArea dataOnly="0" labelOnly="1" outline="0" fieldPosition="0">
        <references count="5">
          <reference field="1" count="0" selected="0"/>
          <reference field="3" count="1" selected="0">
            <x v="16"/>
          </reference>
          <reference field="4" count="1" selected="0">
            <x v="5"/>
          </reference>
          <reference field="6" count="1" selected="0">
            <x v="2"/>
          </reference>
          <reference field="16" count="1">
            <x v="17"/>
          </reference>
        </references>
      </pivotArea>
    </format>
    <format dxfId="960">
      <pivotArea dataOnly="0" labelOnly="1" outline="0" fieldPosition="0">
        <references count="5">
          <reference field="1" count="0" selected="0"/>
          <reference field="3" count="1" selected="0">
            <x v="0"/>
          </reference>
          <reference field="4" count="1" selected="0">
            <x v="6"/>
          </reference>
          <reference field="6" count="1" selected="0">
            <x v="3"/>
          </reference>
          <reference field="16" count="1">
            <x v="8"/>
          </reference>
        </references>
      </pivotArea>
    </format>
    <format dxfId="959">
      <pivotArea dataOnly="0" labelOnly="1" outline="0" fieldPosition="0">
        <references count="5">
          <reference field="1" count="0" selected="0"/>
          <reference field="3" count="1" selected="0">
            <x v="14"/>
          </reference>
          <reference field="4" count="1" selected="0">
            <x v="6"/>
          </reference>
          <reference field="6" count="1" selected="0">
            <x v="3"/>
          </reference>
          <reference field="16" count="1">
            <x v="12"/>
          </reference>
        </references>
      </pivotArea>
    </format>
    <format dxfId="958">
      <pivotArea dataOnly="0" labelOnly="1" outline="0" fieldPosition="0">
        <references count="5">
          <reference field="1" count="0" selected="0"/>
          <reference field="3" count="1" selected="0">
            <x v="25"/>
          </reference>
          <reference field="4" count="1" selected="0">
            <x v="6"/>
          </reference>
          <reference field="6" count="1" selected="0">
            <x v="3"/>
          </reference>
          <reference field="16" count="1">
            <x v="34"/>
          </reference>
        </references>
      </pivotArea>
    </format>
    <format dxfId="957">
      <pivotArea dataOnly="0" labelOnly="1" outline="0" fieldPosition="0">
        <references count="5">
          <reference field="1" count="0" selected="0"/>
          <reference field="3" count="1" selected="0">
            <x v="44"/>
          </reference>
          <reference field="4" count="1" selected="0">
            <x v="2"/>
          </reference>
          <reference field="6" count="1" selected="0">
            <x v="0"/>
          </reference>
          <reference field="16" count="1">
            <x v="3"/>
          </reference>
        </references>
      </pivotArea>
    </format>
    <format dxfId="956">
      <pivotArea dataOnly="0" labelOnly="1" outline="0" fieldPosition="0">
        <references count="5">
          <reference field="1" count="0" selected="0"/>
          <reference field="3" count="1" selected="0">
            <x v="18"/>
          </reference>
          <reference field="4" count="1" selected="0">
            <x v="2"/>
          </reference>
          <reference field="5" count="1">
            <x v="1"/>
          </reference>
          <reference field="6" count="1" selected="0">
            <x v="0"/>
          </reference>
        </references>
      </pivotArea>
    </format>
    <format dxfId="955">
      <pivotArea dataOnly="0" labelOnly="1" outline="0" fieldPosition="0">
        <references count="4">
          <reference field="1" count="0" selected="0"/>
          <reference field="3" count="1" selected="0">
            <x v="19"/>
          </reference>
          <reference field="4" count="1" selected="0">
            <x v="4"/>
          </reference>
          <reference field="6" count="1">
            <x v="1"/>
          </reference>
        </references>
      </pivotArea>
    </format>
    <format dxfId="954">
      <pivotArea dataOnly="0" labelOnly="1" outline="0" fieldPosition="0">
        <references count="5">
          <reference field="1" count="0" selected="0"/>
          <reference field="3" count="1" selected="0">
            <x v="2"/>
          </reference>
          <reference field="4" count="1" selected="0">
            <x v="1"/>
          </reference>
          <reference field="5" count="1">
            <x v="1"/>
          </reference>
          <reference field="6" count="1" selected="0">
            <x v="0"/>
          </reference>
        </references>
      </pivotArea>
    </format>
    <format dxfId="953">
      <pivotArea dataOnly="0" labelOnly="1" outline="0" fieldPosition="0">
        <references count="5">
          <reference field="1" count="0" selected="0"/>
          <reference field="3" count="1" selected="0">
            <x v="11"/>
          </reference>
          <reference field="4" count="1" selected="0">
            <x v="4"/>
          </reference>
          <reference field="5" count="1">
            <x v="0"/>
          </reference>
          <reference field="6" count="1" selected="0">
            <x v="0"/>
          </reference>
        </references>
      </pivotArea>
    </format>
    <format dxfId="952">
      <pivotArea dataOnly="0" labelOnly="1" outline="0" fieldPosition="0">
        <references count="4">
          <reference field="1" count="0" selected="0"/>
          <reference field="3" count="1" selected="0">
            <x v="21"/>
          </reference>
          <reference field="4" count="1" selected="0">
            <x v="4"/>
          </reference>
          <reference field="6" count="1">
            <x v="1"/>
          </reference>
        </references>
      </pivotArea>
    </format>
    <format dxfId="951">
      <pivotArea dataOnly="0" labelOnly="1" outline="0" fieldPosition="0">
        <references count="5">
          <reference field="1" count="0" selected="0"/>
          <reference field="3" count="1" selected="0">
            <x v="21"/>
          </reference>
          <reference field="4" count="1" selected="0">
            <x v="4"/>
          </reference>
          <reference field="5" count="1">
            <x v="0"/>
          </reference>
          <reference field="6" count="1" selected="0">
            <x v="1"/>
          </reference>
        </references>
      </pivotArea>
    </format>
    <format dxfId="950">
      <pivotArea dataOnly="0" labelOnly="1" outline="0" fieldPosition="0">
        <references count="5">
          <reference field="1" count="0" selected="0"/>
          <reference field="3" count="1" selected="0">
            <x v="3"/>
          </reference>
          <reference field="4" count="1" selected="0">
            <x v="1"/>
          </reference>
          <reference field="5" count="1">
            <x v="1"/>
          </reference>
          <reference field="6" count="1" selected="0">
            <x v="0"/>
          </reference>
        </references>
      </pivotArea>
    </format>
    <format dxfId="949">
      <pivotArea dataOnly="0" labelOnly="1" outline="0" fieldPosition="0">
        <references count="5">
          <reference field="1" count="0" selected="0"/>
          <reference field="3" count="1" selected="0">
            <x v="6"/>
          </reference>
          <reference field="4" count="1" selected="0">
            <x v="4"/>
          </reference>
          <reference field="5" count="1">
            <x v="0"/>
          </reference>
          <reference field="6" count="1" selected="0">
            <x v="1"/>
          </reference>
        </references>
      </pivotArea>
    </format>
    <format dxfId="948">
      <pivotArea dataOnly="0" labelOnly="1" outline="0" fieldPosition="0">
        <references count="5">
          <reference field="1" count="0" selected="0"/>
          <reference field="3" count="1" selected="0">
            <x v="26"/>
          </reference>
          <reference field="4" count="1" selected="0">
            <x v="4"/>
          </reference>
          <reference field="5" count="1">
            <x v="0"/>
          </reference>
          <reference field="6" count="1" selected="0">
            <x v="1"/>
          </reference>
        </references>
      </pivotArea>
    </format>
    <format dxfId="947">
      <pivotArea dataOnly="0" labelOnly="1" outline="0" fieldPosition="0">
        <references count="5">
          <reference field="1" count="0" selected="0"/>
          <reference field="3" count="1" selected="0">
            <x v="5"/>
          </reference>
          <reference field="4" count="1" selected="0">
            <x v="1"/>
          </reference>
          <reference field="5" count="1">
            <x v="1"/>
          </reference>
          <reference field="6" count="1" selected="0">
            <x v="0"/>
          </reference>
        </references>
      </pivotArea>
    </format>
    <format dxfId="946">
      <pivotArea dataOnly="0" labelOnly="1" outline="0" fieldPosition="0">
        <references count="5">
          <reference field="1" count="0" selected="0"/>
          <reference field="3" count="1" selected="0">
            <x v="13"/>
          </reference>
          <reference field="4" count="1" selected="0">
            <x v="4"/>
          </reference>
          <reference field="5" count="1">
            <x v="0"/>
          </reference>
          <reference field="6" count="1" selected="0">
            <x v="6"/>
          </reference>
        </references>
      </pivotArea>
    </format>
    <format dxfId="945">
      <pivotArea dataOnly="0" labelOnly="1" outline="0" fieldPosition="0">
        <references count="4">
          <reference field="1" count="0" selected="0"/>
          <reference field="3" count="1" selected="0">
            <x v="28"/>
          </reference>
          <reference field="4" count="1" selected="0">
            <x v="0"/>
          </reference>
          <reference field="6" count="1">
            <x v="4"/>
          </reference>
        </references>
      </pivotArea>
    </format>
    <format dxfId="944">
      <pivotArea dataOnly="0" labelOnly="1" outline="0" fieldPosition="0">
        <references count="4">
          <reference field="1" count="0" selected="0"/>
          <reference field="3" count="1" selected="0">
            <x v="23"/>
          </reference>
          <reference field="4" count="1" selected="0">
            <x v="4"/>
          </reference>
          <reference field="6" count="1">
            <x v="1"/>
          </reference>
        </references>
      </pivotArea>
    </format>
    <format dxfId="943">
      <pivotArea dataOnly="0" labelOnly="1" outline="0" fieldPosition="0">
        <references count="5">
          <reference field="1" count="0" selected="0"/>
          <reference field="3" count="1" selected="0">
            <x v="28"/>
          </reference>
          <reference field="4" count="1" selected="0">
            <x v="0"/>
          </reference>
          <reference field="5" count="1">
            <x v="1"/>
          </reference>
          <reference field="6" count="1" selected="0">
            <x v="4"/>
          </reference>
        </references>
      </pivotArea>
    </format>
    <format dxfId="942">
      <pivotArea dataOnly="0" labelOnly="1" outline="0" fieldPosition="0">
        <references count="5">
          <reference field="1" count="0" selected="0"/>
          <reference field="3" count="1" selected="0">
            <x v="1"/>
          </reference>
          <reference field="4" count="1" selected="0">
            <x v="4"/>
          </reference>
          <reference field="5" count="1">
            <x v="0"/>
          </reference>
          <reference field="6" count="1" selected="0">
            <x v="1"/>
          </reference>
        </references>
      </pivotArea>
    </format>
    <format dxfId="941">
      <pivotArea dataOnly="0" labelOnly="1" outline="0" fieldPosition="0">
        <references count="4">
          <reference field="1" count="0" selected="0"/>
          <reference field="3" count="1" selected="0">
            <x v="7"/>
          </reference>
          <reference field="4" count="1" selected="0">
            <x v="0"/>
          </reference>
          <reference field="6" count="1">
            <x v="4"/>
          </reference>
        </references>
      </pivotArea>
    </format>
    <format dxfId="940">
      <pivotArea dataOnly="0" labelOnly="1" outline="0" fieldPosition="0">
        <references count="4">
          <reference field="1" count="0" selected="0"/>
          <reference field="3" count="1" selected="0">
            <x v="3"/>
          </reference>
          <reference field="4" count="1" selected="0">
            <x v="1"/>
          </reference>
          <reference field="6" count="1">
            <x v="0"/>
          </reference>
        </references>
      </pivotArea>
    </format>
    <format dxfId="939">
      <pivotArea dataOnly="0" labelOnly="1" outline="0" fieldPosition="0">
        <references count="4">
          <reference field="1" count="0" selected="0"/>
          <reference field="3" count="1" selected="0">
            <x v="6"/>
          </reference>
          <reference field="4" count="1" selected="0">
            <x v="4"/>
          </reference>
          <reference field="6" count="1">
            <x v="1"/>
          </reference>
        </references>
      </pivotArea>
    </format>
    <format dxfId="938">
      <pivotArea dataOnly="0" labelOnly="1" outline="0" fieldPosition="0">
        <references count="4">
          <reference field="1" count="0" selected="0"/>
          <reference field="3" count="1" selected="0">
            <x v="25"/>
          </reference>
          <reference field="4" count="1" selected="0">
            <x v="6"/>
          </reference>
          <reference field="6" count="1">
            <x v="3"/>
          </reference>
        </references>
      </pivotArea>
    </format>
    <format dxfId="937">
      <pivotArea dataOnly="0" labelOnly="1" outline="0" fieldPosition="0">
        <references count="5">
          <reference field="1" count="0" selected="0"/>
          <reference field="3" count="1" selected="0">
            <x v="7"/>
          </reference>
          <reference field="4" count="1" selected="0">
            <x v="0"/>
          </reference>
          <reference field="5" count="1">
            <x v="1"/>
          </reference>
          <reference field="6" count="1" selected="0">
            <x v="4"/>
          </reference>
        </references>
      </pivotArea>
    </format>
    <format dxfId="936">
      <pivotArea dataOnly="0" labelOnly="1" outline="0" fieldPosition="0">
        <references count="5">
          <reference field="1" count="0" selected="0"/>
          <reference field="3" count="1" selected="0">
            <x v="25"/>
          </reference>
          <reference field="4" count="1" selected="0">
            <x v="6"/>
          </reference>
          <reference field="5" count="1">
            <x v="4"/>
          </reference>
          <reference field="6" count="1" selected="0">
            <x v="3"/>
          </reference>
        </references>
      </pivotArea>
    </format>
    <format dxfId="935">
      <pivotArea dataOnly="0" labelOnly="1" outline="0" fieldPosition="0">
        <references count="6">
          <reference field="1" count="0" selected="0"/>
          <reference field="3" count="1" selected="0">
            <x v="54"/>
          </reference>
          <reference field="4" count="1" selected="0">
            <x v="4"/>
          </reference>
          <reference field="5" count="1" selected="0">
            <x v="0"/>
          </reference>
          <reference field="6" count="1" selected="0">
            <x v="1"/>
          </reference>
          <reference field="16" count="1">
            <x v="57"/>
          </reference>
        </references>
      </pivotArea>
    </format>
    <format dxfId="934">
      <pivotArea field="6" type="button" dataOnly="0" labelOnly="1" outline="0" axis="axisRow" fieldPosition="3"/>
    </format>
    <format dxfId="933">
      <pivotArea field="5" type="button" dataOnly="0" labelOnly="1" outline="0" axis="axisRow" fieldPosition="4"/>
    </format>
    <format dxfId="932">
      <pivotArea field="16" type="button" dataOnly="0" labelOnly="1" outline="0" axis="axisRow" fieldPosition="5"/>
    </format>
    <format dxfId="931">
      <pivotArea dataOnly="0" labelOnly="1" outline="0" fieldPosition="0">
        <references count="4">
          <reference field="1" count="0" selected="0"/>
          <reference field="3" count="1" selected="0">
            <x v="4"/>
          </reference>
          <reference field="4" count="1" selected="0">
            <x v="0"/>
          </reference>
          <reference field="6" count="1">
            <x v="4"/>
          </reference>
        </references>
      </pivotArea>
    </format>
    <format dxfId="930">
      <pivotArea dataOnly="0" labelOnly="1" outline="0" fieldPosition="0">
        <references count="4">
          <reference field="1" count="0" selected="0"/>
          <reference field="3" count="1" selected="0">
            <x v="2"/>
          </reference>
          <reference field="4" count="1" selected="0">
            <x v="1"/>
          </reference>
          <reference field="6" count="1">
            <x v="0"/>
          </reference>
        </references>
      </pivotArea>
    </format>
    <format dxfId="929">
      <pivotArea dataOnly="0" labelOnly="1" outline="0" fieldPosition="0">
        <references count="4">
          <reference field="1" count="0" selected="0"/>
          <reference field="3" count="1" selected="0">
            <x v="10"/>
          </reference>
          <reference field="4" count="1" selected="0">
            <x v="3"/>
          </reference>
          <reference field="6" count="1">
            <x v="5"/>
          </reference>
        </references>
      </pivotArea>
    </format>
    <format dxfId="928">
      <pivotArea dataOnly="0" labelOnly="1" outline="0" fieldPosition="0">
        <references count="4">
          <reference field="1" count="0" selected="0"/>
          <reference field="3" count="1" selected="0">
            <x v="1"/>
          </reference>
          <reference field="4" count="1" selected="0">
            <x v="4"/>
          </reference>
          <reference field="6" count="1">
            <x v="1"/>
          </reference>
        </references>
      </pivotArea>
    </format>
    <format dxfId="927">
      <pivotArea dataOnly="0" labelOnly="1" outline="0" fieldPosition="0">
        <references count="4">
          <reference field="1" count="0" selected="0"/>
          <reference field="3" count="1" selected="0">
            <x v="11"/>
          </reference>
          <reference field="4" count="1" selected="0">
            <x v="4"/>
          </reference>
          <reference field="6" count="1">
            <x v="0"/>
          </reference>
        </references>
      </pivotArea>
    </format>
    <format dxfId="926">
      <pivotArea dataOnly="0" labelOnly="1" outline="0" fieldPosition="0">
        <references count="4">
          <reference field="1" count="0" selected="0"/>
          <reference field="3" count="1" selected="0">
            <x v="12"/>
          </reference>
          <reference field="4" count="1" selected="0">
            <x v="4"/>
          </reference>
          <reference field="6" count="1">
            <x v="1"/>
          </reference>
        </references>
      </pivotArea>
    </format>
    <format dxfId="925">
      <pivotArea dataOnly="0" labelOnly="1" outline="0" fieldPosition="0">
        <references count="4">
          <reference field="1" count="0" selected="0"/>
          <reference field="3" count="1" selected="0">
            <x v="13"/>
          </reference>
          <reference field="4" count="1" selected="0">
            <x v="4"/>
          </reference>
          <reference field="6" count="1">
            <x v="6"/>
          </reference>
        </references>
      </pivotArea>
    </format>
    <format dxfId="924">
      <pivotArea dataOnly="0" labelOnly="1" outline="0" fieldPosition="0">
        <references count="4">
          <reference field="1" count="0" selected="0"/>
          <reference field="3" count="1" selected="0">
            <x v="16"/>
          </reference>
          <reference field="4" count="1" selected="0">
            <x v="5"/>
          </reference>
          <reference field="6" count="1">
            <x v="2"/>
          </reference>
        </references>
      </pivotArea>
    </format>
    <format dxfId="923">
      <pivotArea dataOnly="0" labelOnly="1" outline="0" fieldPosition="0">
        <references count="4">
          <reference field="1" count="0" selected="0"/>
          <reference field="3" count="1" selected="0">
            <x v="0"/>
          </reference>
          <reference field="4" count="1" selected="0">
            <x v="6"/>
          </reference>
          <reference field="6" count="1">
            <x v="3"/>
          </reference>
        </references>
      </pivotArea>
    </format>
    <format dxfId="922">
      <pivotArea dataOnly="0" labelOnly="1" outline="0" fieldPosition="0">
        <references count="5">
          <reference field="1" count="0" selected="0"/>
          <reference field="3" count="1" selected="0">
            <x v="4"/>
          </reference>
          <reference field="4" count="1" selected="0">
            <x v="0"/>
          </reference>
          <reference field="5" count="1">
            <x v="1"/>
          </reference>
          <reference field="6" count="1" selected="0">
            <x v="4"/>
          </reference>
        </references>
      </pivotArea>
    </format>
    <format dxfId="921">
      <pivotArea dataOnly="0" labelOnly="1" outline="0" fieldPosition="0">
        <references count="5">
          <reference field="1" count="0" selected="0"/>
          <reference field="3" count="1" selected="0">
            <x v="10"/>
          </reference>
          <reference field="4" count="1" selected="0">
            <x v="3"/>
          </reference>
          <reference field="5" count="1">
            <x v="0"/>
          </reference>
          <reference field="6" count="1" selected="0">
            <x v="5"/>
          </reference>
        </references>
      </pivotArea>
    </format>
    <format dxfId="920">
      <pivotArea dataOnly="0" labelOnly="1" outline="0" fieldPosition="0">
        <references count="5">
          <reference field="1" count="0" selected="0"/>
          <reference field="3" count="1" selected="0">
            <x v="16"/>
          </reference>
          <reference field="4" count="1" selected="0">
            <x v="5"/>
          </reference>
          <reference field="5" count="1">
            <x v="2"/>
          </reference>
          <reference field="6" count="1" selected="0">
            <x v="2"/>
          </reference>
        </references>
      </pivotArea>
    </format>
    <format dxfId="919">
      <pivotArea dataOnly="0" labelOnly="1" outline="0" fieldPosition="0">
        <references count="5">
          <reference field="1" count="0" selected="0"/>
          <reference field="3" count="1" selected="0">
            <x v="0"/>
          </reference>
          <reference field="4" count="1" selected="0">
            <x v="6"/>
          </reference>
          <reference field="5" count="1">
            <x v="3"/>
          </reference>
          <reference field="6" count="1" selected="0">
            <x v="3"/>
          </reference>
        </references>
      </pivotArea>
    </format>
    <format dxfId="918">
      <pivotArea dataOnly="0" labelOnly="1" outline="0" fieldPosition="0">
        <references count="5">
          <reference field="1" count="0" selected="0"/>
          <reference field="3" count="1" selected="0">
            <x v="14"/>
          </reference>
          <reference field="4" count="1" selected="0">
            <x v="6"/>
          </reference>
          <reference field="5" count="1">
            <x v="4"/>
          </reference>
          <reference field="6" count="1" selected="0">
            <x v="3"/>
          </reference>
        </references>
      </pivotArea>
    </format>
    <format dxfId="917">
      <pivotArea dataOnly="0" labelOnly="1" outline="0" fieldPosition="0">
        <references count="6">
          <reference field="1" count="0" selected="0"/>
          <reference field="3" count="1" selected="0">
            <x v="4"/>
          </reference>
          <reference field="4" count="1" selected="0">
            <x v="0"/>
          </reference>
          <reference field="5" count="1" selected="0">
            <x v="1"/>
          </reference>
          <reference field="6" count="1" selected="0">
            <x v="4"/>
          </reference>
          <reference field="16" count="1">
            <x v="2"/>
          </reference>
        </references>
      </pivotArea>
    </format>
    <format dxfId="916">
      <pivotArea dataOnly="0" labelOnly="1" outline="0" fieldPosition="0">
        <references count="6">
          <reference field="1" count="0" selected="0"/>
          <reference field="3" count="1" selected="0">
            <x v="7"/>
          </reference>
          <reference field="4" count="1" selected="0">
            <x v="0"/>
          </reference>
          <reference field="5" count="1" selected="0">
            <x v="1"/>
          </reference>
          <reference field="6" count="1" selected="0">
            <x v="4"/>
          </reference>
          <reference field="16" count="1">
            <x v="21"/>
          </reference>
        </references>
      </pivotArea>
    </format>
    <format dxfId="915">
      <pivotArea dataOnly="0" labelOnly="1" outline="0" fieldPosition="0">
        <references count="6">
          <reference field="1" count="0" selected="0"/>
          <reference field="3" count="1" selected="0">
            <x v="28"/>
          </reference>
          <reference field="4" count="1" selected="0">
            <x v="0"/>
          </reference>
          <reference field="5" count="1" selected="0">
            <x v="1"/>
          </reference>
          <reference field="6" count="1" selected="0">
            <x v="4"/>
          </reference>
          <reference field="16" count="1">
            <x v="40"/>
          </reference>
        </references>
      </pivotArea>
    </format>
    <format dxfId="914">
      <pivotArea dataOnly="0" labelOnly="1" outline="0" fieldPosition="0">
        <references count="6">
          <reference field="1" count="0" selected="0"/>
          <reference field="3" count="1" selected="0">
            <x v="2"/>
          </reference>
          <reference field="4" count="1" selected="0">
            <x v="1"/>
          </reference>
          <reference field="5" count="1" selected="0">
            <x v="1"/>
          </reference>
          <reference field="6" count="1" selected="0">
            <x v="0"/>
          </reference>
          <reference field="16" count="1">
            <x v="6"/>
          </reference>
        </references>
      </pivotArea>
    </format>
    <format dxfId="913">
      <pivotArea dataOnly="0" labelOnly="1" outline="0" fieldPosition="0">
        <references count="6">
          <reference field="1" count="0" selected="0"/>
          <reference field="3" count="1" selected="0">
            <x v="3"/>
          </reference>
          <reference field="4" count="1" selected="0">
            <x v="1"/>
          </reference>
          <reference field="5" count="1" selected="0">
            <x v="1"/>
          </reference>
          <reference field="6" count="1" selected="0">
            <x v="0"/>
          </reference>
          <reference field="16" count="1">
            <x v="5"/>
          </reference>
        </references>
      </pivotArea>
    </format>
    <format dxfId="912">
      <pivotArea dataOnly="0" labelOnly="1" outline="0" fieldPosition="0">
        <references count="6">
          <reference field="1" count="0" selected="0"/>
          <reference field="3" count="1" selected="0">
            <x v="5"/>
          </reference>
          <reference field="4" count="1" selected="0">
            <x v="1"/>
          </reference>
          <reference field="5" count="1" selected="0">
            <x v="1"/>
          </reference>
          <reference field="6" count="1" selected="0">
            <x v="0"/>
          </reference>
          <reference field="16" count="1">
            <x v="4"/>
          </reference>
        </references>
      </pivotArea>
    </format>
    <format dxfId="911">
      <pivotArea dataOnly="0" labelOnly="1" outline="0" fieldPosition="0">
        <references count="6">
          <reference field="1" count="0" selected="0"/>
          <reference field="3" count="1" selected="0">
            <x v="8"/>
          </reference>
          <reference field="4" count="1" selected="0">
            <x v="1"/>
          </reference>
          <reference field="5" count="1" selected="0">
            <x v="1"/>
          </reference>
          <reference field="6" count="1" selected="0">
            <x v="0"/>
          </reference>
          <reference field="16" count="1">
            <x v="7"/>
          </reference>
        </references>
      </pivotArea>
    </format>
    <format dxfId="910">
      <pivotArea dataOnly="0" labelOnly="1" outline="0" fieldPosition="0">
        <references count="6">
          <reference field="1" count="0" selected="0"/>
          <reference field="3" count="1" selected="0">
            <x v="30"/>
          </reference>
          <reference field="4" count="1" selected="0">
            <x v="1"/>
          </reference>
          <reference field="5" count="1" selected="0">
            <x v="1"/>
          </reference>
          <reference field="6" count="1" selected="0">
            <x v="0"/>
          </reference>
          <reference field="16" count="1">
            <x v="45"/>
          </reference>
        </references>
      </pivotArea>
    </format>
    <format dxfId="909">
      <pivotArea dataOnly="0" labelOnly="1" outline="0" fieldPosition="0">
        <references count="6">
          <reference field="1" count="0" selected="0"/>
          <reference field="3" count="1" selected="0">
            <x v="31"/>
          </reference>
          <reference field="4" count="1" selected="0">
            <x v="1"/>
          </reference>
          <reference field="5" count="1" selected="0">
            <x v="1"/>
          </reference>
          <reference field="6" count="1" selected="0">
            <x v="0"/>
          </reference>
          <reference field="16" count="1">
            <x v="47"/>
          </reference>
        </references>
      </pivotArea>
    </format>
    <format dxfId="908">
      <pivotArea dataOnly="0" labelOnly="1" outline="0" fieldPosition="0">
        <references count="6">
          <reference field="1" count="0" selected="0"/>
          <reference field="3" count="1" selected="0">
            <x v="9"/>
          </reference>
          <reference field="4" count="1" selected="0">
            <x v="2"/>
          </reference>
          <reference field="5" count="1" selected="0">
            <x v="1"/>
          </reference>
          <reference field="6" count="1" selected="0">
            <x v="0"/>
          </reference>
          <reference field="16" count="1">
            <x v="1"/>
          </reference>
        </references>
      </pivotArea>
    </format>
    <format dxfId="907">
      <pivotArea dataOnly="0" labelOnly="1" outline="0" fieldPosition="0">
        <references count="6">
          <reference field="1" count="0" selected="0"/>
          <reference field="3" count="1" selected="0">
            <x v="15"/>
          </reference>
          <reference field="4" count="1" selected="0">
            <x v="2"/>
          </reference>
          <reference field="5" count="1" selected="0">
            <x v="1"/>
          </reference>
          <reference field="6" count="1" selected="0">
            <x v="0"/>
          </reference>
          <reference field="16" count="1">
            <x v="18"/>
          </reference>
        </references>
      </pivotArea>
    </format>
    <format dxfId="906">
      <pivotArea dataOnly="0" labelOnly="1" outline="0" fieldPosition="0">
        <references count="6">
          <reference field="1" count="0" selected="0"/>
          <reference field="3" count="1" selected="0">
            <x v="17"/>
          </reference>
          <reference field="4" count="1" selected="0">
            <x v="2"/>
          </reference>
          <reference field="5" count="1" selected="0">
            <x v="1"/>
          </reference>
          <reference field="6" count="1" selected="0">
            <x v="0"/>
          </reference>
          <reference field="16" count="1">
            <x v="22"/>
          </reference>
        </references>
      </pivotArea>
    </format>
    <format dxfId="905">
      <pivotArea dataOnly="0" labelOnly="1" outline="0" fieldPosition="0">
        <references count="6">
          <reference field="1" count="0" selected="0"/>
          <reference field="3" count="1" selected="0">
            <x v="18"/>
          </reference>
          <reference field="4" count="1" selected="0">
            <x v="2"/>
          </reference>
          <reference field="5" count="1" selected="0">
            <x v="1"/>
          </reference>
          <reference field="6" count="1" selected="0">
            <x v="0"/>
          </reference>
          <reference field="16" count="1">
            <x v="26"/>
          </reference>
        </references>
      </pivotArea>
    </format>
    <format dxfId="904">
      <pivotArea dataOnly="0" labelOnly="1" outline="0" fieldPosition="0">
        <references count="6">
          <reference field="1" count="0" selected="0"/>
          <reference field="3" count="1" selected="0">
            <x v="24"/>
          </reference>
          <reference field="4" count="1" selected="0">
            <x v="2"/>
          </reference>
          <reference field="5" count="1" selected="0">
            <x v="1"/>
          </reference>
          <reference field="6" count="1" selected="0">
            <x v="0"/>
          </reference>
          <reference field="16" count="1">
            <x v="33"/>
          </reference>
        </references>
      </pivotArea>
    </format>
    <format dxfId="903">
      <pivotArea dataOnly="0" labelOnly="1" outline="0" fieldPosition="0">
        <references count="6">
          <reference field="1" count="0" selected="0"/>
          <reference field="3" count="1" selected="0">
            <x v="29"/>
          </reference>
          <reference field="4" count="1" selected="0">
            <x v="2"/>
          </reference>
          <reference field="5" count="1" selected="0">
            <x v="1"/>
          </reference>
          <reference field="6" count="1" selected="0">
            <x v="0"/>
          </reference>
          <reference field="16" count="1">
            <x v="42"/>
          </reference>
        </references>
      </pivotArea>
    </format>
    <format dxfId="902">
      <pivotArea dataOnly="0" labelOnly="1" outline="0" fieldPosition="0">
        <references count="6">
          <reference field="1" count="0" selected="0"/>
          <reference field="3" count="1" selected="0">
            <x v="33"/>
          </reference>
          <reference field="4" count="1" selected="0">
            <x v="2"/>
          </reference>
          <reference field="5" count="1" selected="0">
            <x v="1"/>
          </reference>
          <reference field="6" count="1" selected="0">
            <x v="0"/>
          </reference>
          <reference field="16" count="1">
            <x v="32"/>
          </reference>
        </references>
      </pivotArea>
    </format>
    <format dxfId="901">
      <pivotArea dataOnly="0" labelOnly="1" outline="0" fieldPosition="0">
        <references count="6">
          <reference field="1" count="0" selected="0"/>
          <reference field="3" count="1" selected="0">
            <x v="34"/>
          </reference>
          <reference field="4" count="1" selected="0">
            <x v="2"/>
          </reference>
          <reference field="5" count="1" selected="0">
            <x v="1"/>
          </reference>
          <reference field="6" count="1" selected="0">
            <x v="0"/>
          </reference>
          <reference field="16" count="1">
            <x v="20"/>
          </reference>
        </references>
      </pivotArea>
    </format>
    <format dxfId="900">
      <pivotArea dataOnly="0" labelOnly="1" outline="0" fieldPosition="0">
        <references count="6">
          <reference field="1" count="0" selected="0"/>
          <reference field="3" count="1" selected="0">
            <x v="35"/>
          </reference>
          <reference field="4" count="1" selected="0">
            <x v="2"/>
          </reference>
          <reference field="5" count="1" selected="0">
            <x v="1"/>
          </reference>
          <reference field="6" count="1" selected="0">
            <x v="0"/>
          </reference>
          <reference field="16" count="1">
            <x v="19"/>
          </reference>
        </references>
      </pivotArea>
    </format>
    <format dxfId="899">
      <pivotArea dataOnly="0" labelOnly="1" outline="0" fieldPosition="0">
        <references count="6">
          <reference field="1" count="0" selected="0"/>
          <reference field="3" count="1" selected="0">
            <x v="36"/>
          </reference>
          <reference field="4" count="1" selected="0">
            <x v="2"/>
          </reference>
          <reference field="5" count="1" selected="0">
            <x v="1"/>
          </reference>
          <reference field="6" count="1" selected="0">
            <x v="0"/>
          </reference>
          <reference field="16" count="1">
            <x v="11"/>
          </reference>
        </references>
      </pivotArea>
    </format>
    <format dxfId="898">
      <pivotArea dataOnly="0" labelOnly="1" outline="0" fieldPosition="0">
        <references count="6">
          <reference field="1" count="0" selected="0"/>
          <reference field="3" count="1" selected="0">
            <x v="37"/>
          </reference>
          <reference field="4" count="1" selected="0">
            <x v="2"/>
          </reference>
          <reference field="5" count="1" selected="0">
            <x v="1"/>
          </reference>
          <reference field="6" count="1" selected="0">
            <x v="0"/>
          </reference>
          <reference field="16" count="1">
            <x v="43"/>
          </reference>
        </references>
      </pivotArea>
    </format>
    <format dxfId="897">
      <pivotArea dataOnly="0" labelOnly="1" outline="0" fieldPosition="0">
        <references count="6">
          <reference field="1" count="0" selected="0"/>
          <reference field="3" count="1" selected="0">
            <x v="38"/>
          </reference>
          <reference field="4" count="1" selected="0">
            <x v="2"/>
          </reference>
          <reference field="5" count="1" selected="0">
            <x v="1"/>
          </reference>
          <reference field="6" count="1" selected="0">
            <x v="0"/>
          </reference>
          <reference field="16" count="1">
            <x v="23"/>
          </reference>
        </references>
      </pivotArea>
    </format>
    <format dxfId="896">
      <pivotArea dataOnly="0" labelOnly="1" outline="0" fieldPosition="0">
        <references count="6">
          <reference field="1" count="0" selected="0"/>
          <reference field="3" count="1" selected="0">
            <x v="39"/>
          </reference>
          <reference field="4" count="1" selected="0">
            <x v="2"/>
          </reference>
          <reference field="5" count="1" selected="0">
            <x v="1"/>
          </reference>
          <reference field="6" count="1" selected="0">
            <x v="0"/>
          </reference>
          <reference field="16" count="1">
            <x v="39"/>
          </reference>
        </references>
      </pivotArea>
    </format>
    <format dxfId="895">
      <pivotArea dataOnly="0" labelOnly="1" outline="0" fieldPosition="0">
        <references count="6">
          <reference field="1" count="0" selected="0"/>
          <reference field="3" count="1" selected="0">
            <x v="40"/>
          </reference>
          <reference field="4" count="1" selected="0">
            <x v="2"/>
          </reference>
          <reference field="5" count="1" selected="0">
            <x v="1"/>
          </reference>
          <reference field="6" count="1" selected="0">
            <x v="0"/>
          </reference>
          <reference field="16" count="1">
            <x v="44"/>
          </reference>
        </references>
      </pivotArea>
    </format>
    <format dxfId="894">
      <pivotArea dataOnly="0" labelOnly="1" outline="0" fieldPosition="0">
        <references count="6">
          <reference field="1" count="0" selected="0"/>
          <reference field="3" count="1" selected="0">
            <x v="41"/>
          </reference>
          <reference field="4" count="1" selected="0">
            <x v="2"/>
          </reference>
          <reference field="5" count="1" selected="0">
            <x v="1"/>
          </reference>
          <reference field="6" count="1" selected="0">
            <x v="0"/>
          </reference>
          <reference field="16" count="1">
            <x v="37"/>
          </reference>
        </references>
      </pivotArea>
    </format>
    <format dxfId="893">
      <pivotArea dataOnly="0" labelOnly="1" outline="0" fieldPosition="0">
        <references count="6">
          <reference field="1" count="0" selected="0"/>
          <reference field="3" count="1" selected="0">
            <x v="42"/>
          </reference>
          <reference field="4" count="1" selected="0">
            <x v="2"/>
          </reference>
          <reference field="5" count="1" selected="0">
            <x v="1"/>
          </reference>
          <reference field="6" count="1" selected="0">
            <x v="0"/>
          </reference>
          <reference field="16" count="1">
            <x v="36"/>
          </reference>
        </references>
      </pivotArea>
    </format>
    <format dxfId="892">
      <pivotArea dataOnly="0" labelOnly="1" outline="0" fieldPosition="0">
        <references count="6">
          <reference field="1" count="0" selected="0"/>
          <reference field="3" count="1" selected="0">
            <x v="43"/>
          </reference>
          <reference field="4" count="1" selected="0">
            <x v="2"/>
          </reference>
          <reference field="5" count="1" selected="0">
            <x v="1"/>
          </reference>
          <reference field="6" count="1" selected="0">
            <x v="0"/>
          </reference>
          <reference field="16" count="1">
            <x v="46"/>
          </reference>
        </references>
      </pivotArea>
    </format>
    <format dxfId="891">
      <pivotArea dataOnly="0" labelOnly="1" outline="0" fieldPosition="0">
        <references count="6">
          <reference field="1" count="0" selected="0"/>
          <reference field="3" count="1" selected="0">
            <x v="44"/>
          </reference>
          <reference field="4" count="1" selected="0">
            <x v="2"/>
          </reference>
          <reference field="5" count="1" selected="0">
            <x v="1"/>
          </reference>
          <reference field="6" count="1" selected="0">
            <x v="0"/>
          </reference>
          <reference field="16" count="1">
            <x v="3"/>
          </reference>
        </references>
      </pivotArea>
    </format>
    <format dxfId="890">
      <pivotArea dataOnly="0" labelOnly="1" outline="0" fieldPosition="0">
        <references count="6">
          <reference field="1" count="0" selected="0"/>
          <reference field="3" count="1" selected="0">
            <x v="46"/>
          </reference>
          <reference field="4" count="1" selected="0">
            <x v="2"/>
          </reference>
          <reference field="5" count="1" selected="0">
            <x v="1"/>
          </reference>
          <reference field="6" count="1" selected="0">
            <x v="0"/>
          </reference>
          <reference field="16" count="1">
            <x v="49"/>
          </reference>
        </references>
      </pivotArea>
    </format>
    <format dxfId="889">
      <pivotArea dataOnly="0" labelOnly="1" outline="0" fieldPosition="0">
        <references count="6">
          <reference field="1" count="0" selected="0"/>
          <reference field="3" count="1" selected="0">
            <x v="47"/>
          </reference>
          <reference field="4" count="1" selected="0">
            <x v="2"/>
          </reference>
          <reference field="5" count="1" selected="0">
            <x v="1"/>
          </reference>
          <reference field="6" count="1" selected="0">
            <x v="0"/>
          </reference>
          <reference field="16" count="1">
            <x v="50"/>
          </reference>
        </references>
      </pivotArea>
    </format>
    <format dxfId="888">
      <pivotArea dataOnly="0" labelOnly="1" outline="0" fieldPosition="0">
        <references count="6">
          <reference field="1" count="0" selected="0"/>
          <reference field="3" count="1" selected="0">
            <x v="49"/>
          </reference>
          <reference field="4" count="1" selected="0">
            <x v="2"/>
          </reference>
          <reference field="5" count="1" selected="0">
            <x v="1"/>
          </reference>
          <reference field="6" count="1" selected="0">
            <x v="0"/>
          </reference>
          <reference field="16" count="1">
            <x v="54"/>
          </reference>
        </references>
      </pivotArea>
    </format>
    <format dxfId="887">
      <pivotArea dataOnly="0" labelOnly="1" outline="0" fieldPosition="0">
        <references count="6">
          <reference field="1" count="0" selected="0"/>
          <reference field="3" count="1" selected="0">
            <x v="50"/>
          </reference>
          <reference field="4" count="1" selected="0">
            <x v="2"/>
          </reference>
          <reference field="5" count="1" selected="0">
            <x v="1"/>
          </reference>
          <reference field="6" count="1" selected="0">
            <x v="0"/>
          </reference>
          <reference field="16" count="1">
            <x v="55"/>
          </reference>
        </references>
      </pivotArea>
    </format>
    <format dxfId="886">
      <pivotArea dataOnly="0" labelOnly="1" outline="0" fieldPosition="0">
        <references count="6">
          <reference field="1" count="0" selected="0"/>
          <reference field="3" count="1" selected="0">
            <x v="51"/>
          </reference>
          <reference field="4" count="1" selected="0">
            <x v="2"/>
          </reference>
          <reference field="5" count="1" selected="0">
            <x v="1"/>
          </reference>
          <reference field="6" count="1" selected="0">
            <x v="0"/>
          </reference>
          <reference field="16" count="1">
            <x v="56"/>
          </reference>
        </references>
      </pivotArea>
    </format>
    <format dxfId="885">
      <pivotArea dataOnly="0" labelOnly="1" outline="0" fieldPosition="0">
        <references count="6">
          <reference field="1" count="0" selected="0"/>
          <reference field="3" count="1" selected="0">
            <x v="53"/>
          </reference>
          <reference field="4" count="1" selected="0">
            <x v="2"/>
          </reference>
          <reference field="5" count="1" selected="0">
            <x v="1"/>
          </reference>
          <reference field="6" count="1" selected="0">
            <x v="0"/>
          </reference>
          <reference field="16" count="1">
            <x v="25"/>
          </reference>
        </references>
      </pivotArea>
    </format>
    <format dxfId="884">
      <pivotArea dataOnly="0" labelOnly="1" outline="0" fieldPosition="0">
        <references count="6">
          <reference field="1" count="0" selected="0"/>
          <reference field="3" count="1" selected="0">
            <x v="54"/>
          </reference>
          <reference field="4" count="1" selected="0">
            <x v="2"/>
          </reference>
          <reference field="5" count="1" selected="0">
            <x v="1"/>
          </reference>
          <reference field="6" count="1" selected="0">
            <x v="0"/>
          </reference>
          <reference field="16" count="1">
            <x v="57"/>
          </reference>
        </references>
      </pivotArea>
    </format>
    <format dxfId="883">
      <pivotArea dataOnly="0" labelOnly="1" outline="0" fieldPosition="0">
        <references count="6">
          <reference field="1" count="0" selected="0"/>
          <reference field="3" count="1" selected="0">
            <x v="55"/>
          </reference>
          <reference field="4" count="1" selected="0">
            <x v="2"/>
          </reference>
          <reference field="5" count="1" selected="0">
            <x v="1"/>
          </reference>
          <reference field="6" count="1" selected="0">
            <x v="0"/>
          </reference>
          <reference field="16" count="1">
            <x v="59"/>
          </reference>
        </references>
      </pivotArea>
    </format>
    <format dxfId="882">
      <pivotArea dataOnly="0" labelOnly="1" outline="0" fieldPosition="0">
        <references count="6">
          <reference field="1" count="0" selected="0"/>
          <reference field="3" count="1" selected="0">
            <x v="56"/>
          </reference>
          <reference field="4" count="1" selected="0">
            <x v="2"/>
          </reference>
          <reference field="5" count="1" selected="0">
            <x v="1"/>
          </reference>
          <reference field="6" count="1" selected="0">
            <x v="0"/>
          </reference>
          <reference field="16" count="1">
            <x v="60"/>
          </reference>
        </references>
      </pivotArea>
    </format>
    <format dxfId="881">
      <pivotArea dataOnly="0" labelOnly="1" outline="0" fieldPosition="0">
        <references count="6">
          <reference field="1" count="0" selected="0"/>
          <reference field="3" count="1" selected="0">
            <x v="57"/>
          </reference>
          <reference field="4" count="1" selected="0">
            <x v="2"/>
          </reference>
          <reference field="5" count="1" selected="0">
            <x v="1"/>
          </reference>
          <reference field="6" count="1" selected="0">
            <x v="0"/>
          </reference>
          <reference field="16" count="1">
            <x v="61"/>
          </reference>
        </references>
      </pivotArea>
    </format>
    <format dxfId="880">
      <pivotArea dataOnly="0" labelOnly="1" outline="0" fieldPosition="0">
        <references count="6">
          <reference field="1" count="0" selected="0"/>
          <reference field="3" count="1" selected="0">
            <x v="10"/>
          </reference>
          <reference field="4" count="1" selected="0">
            <x v="3"/>
          </reference>
          <reference field="5" count="1" selected="0">
            <x v="0"/>
          </reference>
          <reference field="6" count="1" selected="0">
            <x v="5"/>
          </reference>
          <reference field="16" count="1">
            <x v="14"/>
          </reference>
        </references>
      </pivotArea>
    </format>
    <format dxfId="879">
      <pivotArea dataOnly="0" labelOnly="1" outline="0" fieldPosition="0">
        <references count="6">
          <reference field="1" count="0" selected="0"/>
          <reference field="3" count="1" selected="0">
            <x v="1"/>
          </reference>
          <reference field="4" count="1" selected="0">
            <x v="4"/>
          </reference>
          <reference field="5" count="1" selected="0">
            <x v="0"/>
          </reference>
          <reference field="6" count="1" selected="0">
            <x v="1"/>
          </reference>
          <reference field="16" count="1">
            <x v="13"/>
          </reference>
        </references>
      </pivotArea>
    </format>
    <format dxfId="878">
      <pivotArea dataOnly="0" labelOnly="1" outline="0" fieldPosition="0">
        <references count="6">
          <reference field="1" count="0" selected="0"/>
          <reference field="3" count="1" selected="0">
            <x v="6"/>
          </reference>
          <reference field="4" count="1" selected="0">
            <x v="4"/>
          </reference>
          <reference field="5" count="1" selected="0">
            <x v="0"/>
          </reference>
          <reference field="6" count="1" selected="0">
            <x v="1"/>
          </reference>
          <reference field="16" count="1">
            <x v="28"/>
          </reference>
        </references>
      </pivotArea>
    </format>
    <format dxfId="877">
      <pivotArea dataOnly="0" labelOnly="1" outline="0" fieldPosition="0">
        <references count="6">
          <reference field="1" count="0" selected="0"/>
          <reference field="3" count="1" selected="0">
            <x v="11"/>
          </reference>
          <reference field="4" count="1" selected="0">
            <x v="4"/>
          </reference>
          <reference field="5" count="1" selected="0">
            <x v="0"/>
          </reference>
          <reference field="6" count="1" selected="0">
            <x v="0"/>
          </reference>
          <reference field="16" count="1">
            <x v="10"/>
          </reference>
        </references>
      </pivotArea>
    </format>
    <format dxfId="876">
      <pivotArea dataOnly="0" labelOnly="1" outline="0" fieldPosition="0">
        <references count="6">
          <reference field="1" count="0" selected="0"/>
          <reference field="3" count="1" selected="0">
            <x v="12"/>
          </reference>
          <reference field="4" count="1" selected="0">
            <x v="4"/>
          </reference>
          <reference field="5" count="1" selected="0">
            <x v="0"/>
          </reference>
          <reference field="6" count="1" selected="0">
            <x v="1"/>
          </reference>
          <reference field="16" count="1">
            <x v="15"/>
          </reference>
        </references>
      </pivotArea>
    </format>
    <format dxfId="875">
      <pivotArea dataOnly="0" labelOnly="1" outline="0" fieldPosition="0">
        <references count="6">
          <reference field="1" count="0" selected="0"/>
          <reference field="3" count="1" selected="0">
            <x v="13"/>
          </reference>
          <reference field="4" count="1" selected="0">
            <x v="4"/>
          </reference>
          <reference field="5" count="1" selected="0">
            <x v="0"/>
          </reference>
          <reference field="6" count="1" selected="0">
            <x v="6"/>
          </reference>
          <reference field="16" count="1">
            <x v="16"/>
          </reference>
        </references>
      </pivotArea>
    </format>
    <format dxfId="874">
      <pivotArea dataOnly="0" labelOnly="1" outline="0" fieldPosition="0">
        <references count="6">
          <reference field="1" count="0" selected="0"/>
          <reference field="3" count="1" selected="0">
            <x v="19"/>
          </reference>
          <reference field="4" count="1" selected="0">
            <x v="4"/>
          </reference>
          <reference field="5" count="1" selected="0">
            <x v="0"/>
          </reference>
          <reference field="6" count="1" selected="0">
            <x v="1"/>
          </reference>
          <reference field="16" count="1">
            <x v="30"/>
          </reference>
        </references>
      </pivotArea>
    </format>
    <format dxfId="873">
      <pivotArea dataOnly="0" labelOnly="1" outline="0" fieldPosition="0">
        <references count="6">
          <reference field="1" count="0" selected="0"/>
          <reference field="3" count="1" selected="0">
            <x v="20"/>
          </reference>
          <reference field="4" count="1" selected="0">
            <x v="4"/>
          </reference>
          <reference field="5" count="1" selected="0">
            <x v="0"/>
          </reference>
          <reference field="6" count="1" selected="0">
            <x v="1"/>
          </reference>
          <reference field="16" count="1">
            <x v="31"/>
          </reference>
        </references>
      </pivotArea>
    </format>
    <format dxfId="872">
      <pivotArea dataOnly="0" labelOnly="1" outline="0" fieldPosition="0">
        <references count="6">
          <reference field="1" count="0" selected="0"/>
          <reference field="3" count="1" selected="0">
            <x v="21"/>
          </reference>
          <reference field="4" count="1" selected="0">
            <x v="4"/>
          </reference>
          <reference field="5" count="1" selected="0">
            <x v="0"/>
          </reference>
          <reference field="6" count="1" selected="0">
            <x v="1"/>
          </reference>
          <reference field="16" count="1">
            <x v="27"/>
          </reference>
        </references>
      </pivotArea>
    </format>
    <format dxfId="871">
      <pivotArea dataOnly="0" labelOnly="1" outline="0" fieldPosition="0">
        <references count="6">
          <reference field="1" count="0" selected="0"/>
          <reference field="3" count="1" selected="0">
            <x v="22"/>
          </reference>
          <reference field="4" count="1" selected="0">
            <x v="4"/>
          </reference>
          <reference field="5" count="1" selected="0">
            <x v="0"/>
          </reference>
          <reference field="6" count="1" selected="0">
            <x v="1"/>
          </reference>
          <reference field="16" count="1">
            <x v="9"/>
          </reference>
        </references>
      </pivotArea>
    </format>
    <format dxfId="870">
      <pivotArea dataOnly="0" labelOnly="1" outline="0" fieldPosition="0">
        <references count="6">
          <reference field="1" count="0" selected="0"/>
          <reference field="3" count="1" selected="0">
            <x v="23"/>
          </reference>
          <reference field="4" count="1" selected="0">
            <x v="4"/>
          </reference>
          <reference field="5" count="1" selected="0">
            <x v="0"/>
          </reference>
          <reference field="6" count="1" selected="0">
            <x v="1"/>
          </reference>
          <reference field="16" count="1">
            <x v="24"/>
          </reference>
        </references>
      </pivotArea>
    </format>
    <format dxfId="869">
      <pivotArea dataOnly="0" labelOnly="1" outline="0" fieldPosition="0">
        <references count="6">
          <reference field="1" count="0" selected="0"/>
          <reference field="3" count="1" selected="0">
            <x v="26"/>
          </reference>
          <reference field="4" count="1" selected="0">
            <x v="4"/>
          </reference>
          <reference field="5" count="1" selected="0">
            <x v="0"/>
          </reference>
          <reference field="6" count="1" selected="0">
            <x v="1"/>
          </reference>
          <reference field="16" count="1">
            <x v="35"/>
          </reference>
        </references>
      </pivotArea>
    </format>
    <format dxfId="868">
      <pivotArea dataOnly="0" labelOnly="1" outline="0" fieldPosition="0">
        <references count="6">
          <reference field="1" count="0" selected="0"/>
          <reference field="3" count="1" selected="0">
            <x v="27"/>
          </reference>
          <reference field="4" count="1" selected="0">
            <x v="4"/>
          </reference>
          <reference field="5" count="1" selected="0">
            <x v="0"/>
          </reference>
          <reference field="6" count="1" selected="0">
            <x v="1"/>
          </reference>
          <reference field="16" count="1">
            <x v="41"/>
          </reference>
        </references>
      </pivotArea>
    </format>
    <format dxfId="867">
      <pivotArea dataOnly="0" labelOnly="1" outline="0" fieldPosition="0">
        <references count="6">
          <reference field="1" count="0" selected="0"/>
          <reference field="3" count="1" selected="0">
            <x v="32"/>
          </reference>
          <reference field="4" count="1" selected="0">
            <x v="4"/>
          </reference>
          <reference field="5" count="1" selected="0">
            <x v="0"/>
          </reference>
          <reference field="6" count="1" selected="0">
            <x v="1"/>
          </reference>
          <reference field="16" count="1">
            <x v="0"/>
          </reference>
        </references>
      </pivotArea>
    </format>
    <format dxfId="866">
      <pivotArea dataOnly="0" labelOnly="1" outline="0" fieldPosition="0">
        <references count="6">
          <reference field="1" count="0" selected="0"/>
          <reference field="3" count="1" selected="0">
            <x v="45"/>
          </reference>
          <reference field="4" count="1" selected="0">
            <x v="4"/>
          </reference>
          <reference field="5" count="1" selected="0">
            <x v="0"/>
          </reference>
          <reference field="6" count="1" selected="0">
            <x v="1"/>
          </reference>
          <reference field="16" count="1">
            <x v="48"/>
          </reference>
        </references>
      </pivotArea>
    </format>
    <format dxfId="865">
      <pivotArea dataOnly="0" labelOnly="1" outline="0" fieldPosition="0">
        <references count="6">
          <reference field="1" count="0" selected="0"/>
          <reference field="3" count="1" selected="0">
            <x v="48"/>
          </reference>
          <reference field="4" count="1" selected="0">
            <x v="4"/>
          </reference>
          <reference field="5" count="1" selected="0">
            <x v="0"/>
          </reference>
          <reference field="6" count="1" selected="0">
            <x v="1"/>
          </reference>
          <reference field="16" count="1">
            <x v="51"/>
          </reference>
        </references>
      </pivotArea>
    </format>
    <format dxfId="864">
      <pivotArea dataOnly="0" labelOnly="1" outline="0" fieldPosition="0">
        <references count="6">
          <reference field="1" count="0" selected="0"/>
          <reference field="3" count="1" selected="0">
            <x v="58"/>
          </reference>
          <reference field="4" count="1" selected="0">
            <x v="4"/>
          </reference>
          <reference field="5" count="1" selected="0">
            <x v="0"/>
          </reference>
          <reference field="6" count="1" selected="0">
            <x v="1"/>
          </reference>
          <reference field="16" count="1">
            <x v="62"/>
          </reference>
        </references>
      </pivotArea>
    </format>
    <format dxfId="863">
      <pivotArea dataOnly="0" labelOnly="1" outline="0" fieldPosition="0">
        <references count="6">
          <reference field="1" count="0" selected="0"/>
          <reference field="3" count="1" selected="0">
            <x v="16"/>
          </reference>
          <reference field="4" count="1" selected="0">
            <x v="5"/>
          </reference>
          <reference field="5" count="1" selected="0">
            <x v="2"/>
          </reference>
          <reference field="6" count="1" selected="0">
            <x v="2"/>
          </reference>
          <reference field="16" count="1">
            <x v="17"/>
          </reference>
        </references>
      </pivotArea>
    </format>
    <format dxfId="862">
      <pivotArea dataOnly="0" labelOnly="1" outline="0" fieldPosition="0">
        <references count="6">
          <reference field="1" count="0" selected="0"/>
          <reference field="3" count="1" selected="0">
            <x v="0"/>
          </reference>
          <reference field="4" count="1" selected="0">
            <x v="6"/>
          </reference>
          <reference field="5" count="1" selected="0">
            <x v="3"/>
          </reference>
          <reference field="6" count="1" selected="0">
            <x v="3"/>
          </reference>
          <reference field="16" count="1">
            <x v="8"/>
          </reference>
        </references>
      </pivotArea>
    </format>
    <format dxfId="861">
      <pivotArea dataOnly="0" labelOnly="1" outline="0" fieldPosition="0">
        <references count="6">
          <reference field="1" count="0" selected="0"/>
          <reference field="3" count="1" selected="0">
            <x v="14"/>
          </reference>
          <reference field="4" count="1" selected="0">
            <x v="6"/>
          </reference>
          <reference field="5" count="1" selected="0">
            <x v="4"/>
          </reference>
          <reference field="6" count="1" selected="0">
            <x v="3"/>
          </reference>
          <reference field="16" count="1">
            <x v="12"/>
          </reference>
        </references>
      </pivotArea>
    </format>
    <format dxfId="860">
      <pivotArea dataOnly="0" labelOnly="1" outline="0" fieldPosition="0">
        <references count="6">
          <reference field="1" count="0" selected="0"/>
          <reference field="3" count="1" selected="0">
            <x v="25"/>
          </reference>
          <reference field="4" count="1" selected="0">
            <x v="6"/>
          </reference>
          <reference field="5" count="1" selected="0">
            <x v="4"/>
          </reference>
          <reference field="6" count="1" selected="0">
            <x v="3"/>
          </reference>
          <reference field="16" count="1">
            <x v="34"/>
          </reference>
        </references>
      </pivotArea>
    </format>
    <format dxfId="859">
      <pivotArea field="6" type="button" dataOnly="0" labelOnly="1" outline="0" axis="axisRow" fieldPosition="3"/>
    </format>
    <format dxfId="858">
      <pivotArea field="5" type="button" dataOnly="0" labelOnly="1" outline="0" axis="axisRow" fieldPosition="4"/>
    </format>
    <format dxfId="857">
      <pivotArea field="16" type="button" dataOnly="0" labelOnly="1" outline="0" axis="axisRow" fieldPosition="5"/>
    </format>
    <format dxfId="856">
      <pivotArea dataOnly="0" labelOnly="1" outline="0" fieldPosition="0">
        <references count="4">
          <reference field="1" count="0" selected="0"/>
          <reference field="3" count="1" selected="0">
            <x v="4"/>
          </reference>
          <reference field="4" count="1" selected="0">
            <x v="0"/>
          </reference>
          <reference field="6" count="1">
            <x v="4"/>
          </reference>
        </references>
      </pivotArea>
    </format>
    <format dxfId="855">
      <pivotArea dataOnly="0" labelOnly="1" outline="0" fieldPosition="0">
        <references count="4">
          <reference field="1" count="0" selected="0"/>
          <reference field="3" count="1" selected="0">
            <x v="2"/>
          </reference>
          <reference field="4" count="1" selected="0">
            <x v="1"/>
          </reference>
          <reference field="6" count="1">
            <x v="0"/>
          </reference>
        </references>
      </pivotArea>
    </format>
    <format dxfId="854">
      <pivotArea dataOnly="0" labelOnly="1" outline="0" fieldPosition="0">
        <references count="4">
          <reference field="1" count="0" selected="0"/>
          <reference field="3" count="1" selected="0">
            <x v="10"/>
          </reference>
          <reference field="4" count="1" selected="0">
            <x v="3"/>
          </reference>
          <reference field="6" count="1">
            <x v="5"/>
          </reference>
        </references>
      </pivotArea>
    </format>
    <format dxfId="853">
      <pivotArea dataOnly="0" labelOnly="1" outline="0" fieldPosition="0">
        <references count="4">
          <reference field="1" count="0" selected="0"/>
          <reference field="3" count="1" selected="0">
            <x v="1"/>
          </reference>
          <reference field="4" count="1" selected="0">
            <x v="4"/>
          </reference>
          <reference field="6" count="1">
            <x v="1"/>
          </reference>
        </references>
      </pivotArea>
    </format>
    <format dxfId="852">
      <pivotArea dataOnly="0" labelOnly="1" outline="0" fieldPosition="0">
        <references count="4">
          <reference field="1" count="0" selected="0"/>
          <reference field="3" count="1" selected="0">
            <x v="11"/>
          </reference>
          <reference field="4" count="1" selected="0">
            <x v="4"/>
          </reference>
          <reference field="6" count="1">
            <x v="0"/>
          </reference>
        </references>
      </pivotArea>
    </format>
    <format dxfId="851">
      <pivotArea dataOnly="0" labelOnly="1" outline="0" fieldPosition="0">
        <references count="4">
          <reference field="1" count="0" selected="0"/>
          <reference field="3" count="1" selected="0">
            <x v="12"/>
          </reference>
          <reference field="4" count="1" selected="0">
            <x v="4"/>
          </reference>
          <reference field="6" count="1">
            <x v="1"/>
          </reference>
        </references>
      </pivotArea>
    </format>
    <format dxfId="850">
      <pivotArea dataOnly="0" labelOnly="1" outline="0" fieldPosition="0">
        <references count="4">
          <reference field="1" count="0" selected="0"/>
          <reference field="3" count="1" selected="0">
            <x v="13"/>
          </reference>
          <reference field="4" count="1" selected="0">
            <x v="4"/>
          </reference>
          <reference field="6" count="1">
            <x v="6"/>
          </reference>
        </references>
      </pivotArea>
    </format>
    <format dxfId="849">
      <pivotArea dataOnly="0" labelOnly="1" outline="0" fieldPosition="0">
        <references count="4">
          <reference field="1" count="0" selected="0"/>
          <reference field="3" count="1" selected="0">
            <x v="16"/>
          </reference>
          <reference field="4" count="1" selected="0">
            <x v="5"/>
          </reference>
          <reference field="6" count="1">
            <x v="2"/>
          </reference>
        </references>
      </pivotArea>
    </format>
    <format dxfId="848">
      <pivotArea dataOnly="0" labelOnly="1" outline="0" fieldPosition="0">
        <references count="4">
          <reference field="1" count="0" selected="0"/>
          <reference field="3" count="1" selected="0">
            <x v="0"/>
          </reference>
          <reference field="4" count="1" selected="0">
            <x v="6"/>
          </reference>
          <reference field="6" count="1">
            <x v="3"/>
          </reference>
        </references>
      </pivotArea>
    </format>
    <format dxfId="847">
      <pivotArea dataOnly="0" labelOnly="1" outline="0" fieldPosition="0">
        <references count="5">
          <reference field="1" count="0" selected="0"/>
          <reference field="3" count="1" selected="0">
            <x v="4"/>
          </reference>
          <reference field="4" count="1" selected="0">
            <x v="0"/>
          </reference>
          <reference field="5" count="1">
            <x v="1"/>
          </reference>
          <reference field="6" count="1" selected="0">
            <x v="4"/>
          </reference>
        </references>
      </pivotArea>
    </format>
    <format dxfId="846">
      <pivotArea dataOnly="0" labelOnly="1" outline="0" fieldPosition="0">
        <references count="5">
          <reference field="1" count="0" selected="0"/>
          <reference field="3" count="1" selected="0">
            <x v="10"/>
          </reference>
          <reference field="4" count="1" selected="0">
            <x v="3"/>
          </reference>
          <reference field="5" count="1">
            <x v="0"/>
          </reference>
          <reference field="6" count="1" selected="0">
            <x v="5"/>
          </reference>
        </references>
      </pivotArea>
    </format>
    <format dxfId="845">
      <pivotArea dataOnly="0" labelOnly="1" outline="0" fieldPosition="0">
        <references count="5">
          <reference field="1" count="0" selected="0"/>
          <reference field="3" count="1" selected="0">
            <x v="16"/>
          </reference>
          <reference field="4" count="1" selected="0">
            <x v="5"/>
          </reference>
          <reference field="5" count="1">
            <x v="2"/>
          </reference>
          <reference field="6" count="1" selected="0">
            <x v="2"/>
          </reference>
        </references>
      </pivotArea>
    </format>
    <format dxfId="844">
      <pivotArea dataOnly="0" labelOnly="1" outline="0" fieldPosition="0">
        <references count="5">
          <reference field="1" count="0" selected="0"/>
          <reference field="3" count="1" selected="0">
            <x v="0"/>
          </reference>
          <reference field="4" count="1" selected="0">
            <x v="6"/>
          </reference>
          <reference field="5" count="1">
            <x v="3"/>
          </reference>
          <reference field="6" count="1" selected="0">
            <x v="3"/>
          </reference>
        </references>
      </pivotArea>
    </format>
    <format dxfId="843">
      <pivotArea dataOnly="0" labelOnly="1" outline="0" fieldPosition="0">
        <references count="5">
          <reference field="1" count="0" selected="0"/>
          <reference field="3" count="1" selected="0">
            <x v="14"/>
          </reference>
          <reference field="4" count="1" selected="0">
            <x v="6"/>
          </reference>
          <reference field="5" count="1">
            <x v="4"/>
          </reference>
          <reference field="6" count="1" selected="0">
            <x v="3"/>
          </reference>
        </references>
      </pivotArea>
    </format>
    <format dxfId="842">
      <pivotArea dataOnly="0" labelOnly="1" outline="0" fieldPosition="0">
        <references count="6">
          <reference field="1" count="0" selected="0"/>
          <reference field="3" count="1" selected="0">
            <x v="4"/>
          </reference>
          <reference field="4" count="1" selected="0">
            <x v="0"/>
          </reference>
          <reference field="5" count="1" selected="0">
            <x v="1"/>
          </reference>
          <reference field="6" count="1" selected="0">
            <x v="4"/>
          </reference>
          <reference field="16" count="1">
            <x v="2"/>
          </reference>
        </references>
      </pivotArea>
    </format>
    <format dxfId="841">
      <pivotArea dataOnly="0" labelOnly="1" outline="0" fieldPosition="0">
        <references count="6">
          <reference field="1" count="0" selected="0"/>
          <reference field="3" count="1" selected="0">
            <x v="7"/>
          </reference>
          <reference field="4" count="1" selected="0">
            <x v="0"/>
          </reference>
          <reference field="5" count="1" selected="0">
            <x v="1"/>
          </reference>
          <reference field="6" count="1" selected="0">
            <x v="4"/>
          </reference>
          <reference field="16" count="1">
            <x v="21"/>
          </reference>
        </references>
      </pivotArea>
    </format>
    <format dxfId="840">
      <pivotArea dataOnly="0" labelOnly="1" outline="0" fieldPosition="0">
        <references count="6">
          <reference field="1" count="0" selected="0"/>
          <reference field="3" count="1" selected="0">
            <x v="28"/>
          </reference>
          <reference field="4" count="1" selected="0">
            <x v="0"/>
          </reference>
          <reference field="5" count="1" selected="0">
            <x v="1"/>
          </reference>
          <reference field="6" count="1" selected="0">
            <x v="4"/>
          </reference>
          <reference field="16" count="1">
            <x v="40"/>
          </reference>
        </references>
      </pivotArea>
    </format>
    <format dxfId="839">
      <pivotArea dataOnly="0" labelOnly="1" outline="0" fieldPosition="0">
        <references count="6">
          <reference field="1" count="0" selected="0"/>
          <reference field="3" count="1" selected="0">
            <x v="2"/>
          </reference>
          <reference field="4" count="1" selected="0">
            <x v="1"/>
          </reference>
          <reference field="5" count="1" selected="0">
            <x v="1"/>
          </reference>
          <reference field="6" count="1" selected="0">
            <x v="0"/>
          </reference>
          <reference field="16" count="1">
            <x v="6"/>
          </reference>
        </references>
      </pivotArea>
    </format>
    <format dxfId="838">
      <pivotArea dataOnly="0" labelOnly="1" outline="0" fieldPosition="0">
        <references count="6">
          <reference field="1" count="0" selected="0"/>
          <reference field="3" count="1" selected="0">
            <x v="3"/>
          </reference>
          <reference field="4" count="1" selected="0">
            <x v="1"/>
          </reference>
          <reference field="5" count="1" selected="0">
            <x v="1"/>
          </reference>
          <reference field="6" count="1" selected="0">
            <x v="0"/>
          </reference>
          <reference field="16" count="1">
            <x v="5"/>
          </reference>
        </references>
      </pivotArea>
    </format>
    <format dxfId="837">
      <pivotArea dataOnly="0" labelOnly="1" outline="0" fieldPosition="0">
        <references count="6">
          <reference field="1" count="0" selected="0"/>
          <reference field="3" count="1" selected="0">
            <x v="5"/>
          </reference>
          <reference field="4" count="1" selected="0">
            <x v="1"/>
          </reference>
          <reference field="5" count="1" selected="0">
            <x v="1"/>
          </reference>
          <reference field="6" count="1" selected="0">
            <x v="0"/>
          </reference>
          <reference field="16" count="1">
            <x v="4"/>
          </reference>
        </references>
      </pivotArea>
    </format>
    <format dxfId="836">
      <pivotArea dataOnly="0" labelOnly="1" outline="0" fieldPosition="0">
        <references count="6">
          <reference field="1" count="0" selected="0"/>
          <reference field="3" count="1" selected="0">
            <x v="8"/>
          </reference>
          <reference field="4" count="1" selected="0">
            <x v="1"/>
          </reference>
          <reference field="5" count="1" selected="0">
            <x v="1"/>
          </reference>
          <reference field="6" count="1" selected="0">
            <x v="0"/>
          </reference>
          <reference field="16" count="1">
            <x v="7"/>
          </reference>
        </references>
      </pivotArea>
    </format>
    <format dxfId="835">
      <pivotArea dataOnly="0" labelOnly="1" outline="0" fieldPosition="0">
        <references count="6">
          <reference field="1" count="0" selected="0"/>
          <reference field="3" count="1" selected="0">
            <x v="30"/>
          </reference>
          <reference field="4" count="1" selected="0">
            <x v="1"/>
          </reference>
          <reference field="5" count="1" selected="0">
            <x v="1"/>
          </reference>
          <reference field="6" count="1" selected="0">
            <x v="0"/>
          </reference>
          <reference field="16" count="1">
            <x v="45"/>
          </reference>
        </references>
      </pivotArea>
    </format>
    <format dxfId="834">
      <pivotArea dataOnly="0" labelOnly="1" outline="0" fieldPosition="0">
        <references count="6">
          <reference field="1" count="0" selected="0"/>
          <reference field="3" count="1" selected="0">
            <x v="31"/>
          </reference>
          <reference field="4" count="1" selected="0">
            <x v="1"/>
          </reference>
          <reference field="5" count="1" selected="0">
            <x v="1"/>
          </reference>
          <reference field="6" count="1" selected="0">
            <x v="0"/>
          </reference>
          <reference field="16" count="1">
            <x v="47"/>
          </reference>
        </references>
      </pivotArea>
    </format>
    <format dxfId="833">
      <pivotArea dataOnly="0" labelOnly="1" outline="0" fieldPosition="0">
        <references count="6">
          <reference field="1" count="0" selected="0"/>
          <reference field="3" count="1" selected="0">
            <x v="9"/>
          </reference>
          <reference field="4" count="1" selected="0">
            <x v="2"/>
          </reference>
          <reference field="5" count="1" selected="0">
            <x v="1"/>
          </reference>
          <reference field="6" count="1" selected="0">
            <x v="0"/>
          </reference>
          <reference field="16" count="1">
            <x v="1"/>
          </reference>
        </references>
      </pivotArea>
    </format>
    <format dxfId="832">
      <pivotArea dataOnly="0" labelOnly="1" outline="0" fieldPosition="0">
        <references count="6">
          <reference field="1" count="0" selected="0"/>
          <reference field="3" count="1" selected="0">
            <x v="15"/>
          </reference>
          <reference field="4" count="1" selected="0">
            <x v="2"/>
          </reference>
          <reference field="5" count="1" selected="0">
            <x v="1"/>
          </reference>
          <reference field="6" count="1" selected="0">
            <x v="0"/>
          </reference>
          <reference field="16" count="1">
            <x v="18"/>
          </reference>
        </references>
      </pivotArea>
    </format>
    <format dxfId="831">
      <pivotArea dataOnly="0" labelOnly="1" outline="0" fieldPosition="0">
        <references count="6">
          <reference field="1" count="0" selected="0"/>
          <reference field="3" count="1" selected="0">
            <x v="17"/>
          </reference>
          <reference field="4" count="1" selected="0">
            <x v="2"/>
          </reference>
          <reference field="5" count="1" selected="0">
            <x v="1"/>
          </reference>
          <reference field="6" count="1" selected="0">
            <x v="0"/>
          </reference>
          <reference field="16" count="1">
            <x v="22"/>
          </reference>
        </references>
      </pivotArea>
    </format>
    <format dxfId="830">
      <pivotArea dataOnly="0" labelOnly="1" outline="0" fieldPosition="0">
        <references count="6">
          <reference field="1" count="0" selected="0"/>
          <reference field="3" count="1" selected="0">
            <x v="18"/>
          </reference>
          <reference field="4" count="1" selected="0">
            <x v="2"/>
          </reference>
          <reference field="5" count="1" selected="0">
            <x v="1"/>
          </reference>
          <reference field="6" count="1" selected="0">
            <x v="0"/>
          </reference>
          <reference field="16" count="1">
            <x v="26"/>
          </reference>
        </references>
      </pivotArea>
    </format>
    <format dxfId="829">
      <pivotArea dataOnly="0" labelOnly="1" outline="0" fieldPosition="0">
        <references count="6">
          <reference field="1" count="0" selected="0"/>
          <reference field="3" count="1" selected="0">
            <x v="24"/>
          </reference>
          <reference field="4" count="1" selected="0">
            <x v="2"/>
          </reference>
          <reference field="5" count="1" selected="0">
            <x v="1"/>
          </reference>
          <reference field="6" count="1" selected="0">
            <x v="0"/>
          </reference>
          <reference field="16" count="1">
            <x v="33"/>
          </reference>
        </references>
      </pivotArea>
    </format>
    <format dxfId="828">
      <pivotArea dataOnly="0" labelOnly="1" outline="0" fieldPosition="0">
        <references count="6">
          <reference field="1" count="0" selected="0"/>
          <reference field="3" count="1" selected="0">
            <x v="29"/>
          </reference>
          <reference field="4" count="1" selected="0">
            <x v="2"/>
          </reference>
          <reference field="5" count="1" selected="0">
            <x v="1"/>
          </reference>
          <reference field="6" count="1" selected="0">
            <x v="0"/>
          </reference>
          <reference field="16" count="1">
            <x v="42"/>
          </reference>
        </references>
      </pivotArea>
    </format>
    <format dxfId="827">
      <pivotArea dataOnly="0" labelOnly="1" outline="0" fieldPosition="0">
        <references count="6">
          <reference field="1" count="0" selected="0"/>
          <reference field="3" count="1" selected="0">
            <x v="33"/>
          </reference>
          <reference field="4" count="1" selected="0">
            <x v="2"/>
          </reference>
          <reference field="5" count="1" selected="0">
            <x v="1"/>
          </reference>
          <reference field="6" count="1" selected="0">
            <x v="0"/>
          </reference>
          <reference field="16" count="1">
            <x v="32"/>
          </reference>
        </references>
      </pivotArea>
    </format>
    <format dxfId="826">
      <pivotArea dataOnly="0" labelOnly="1" outline="0" fieldPosition="0">
        <references count="6">
          <reference field="1" count="0" selected="0"/>
          <reference field="3" count="1" selected="0">
            <x v="34"/>
          </reference>
          <reference field="4" count="1" selected="0">
            <x v="2"/>
          </reference>
          <reference field="5" count="1" selected="0">
            <x v="1"/>
          </reference>
          <reference field="6" count="1" selected="0">
            <x v="0"/>
          </reference>
          <reference field="16" count="1">
            <x v="20"/>
          </reference>
        </references>
      </pivotArea>
    </format>
    <format dxfId="825">
      <pivotArea dataOnly="0" labelOnly="1" outline="0" fieldPosition="0">
        <references count="6">
          <reference field="1" count="0" selected="0"/>
          <reference field="3" count="1" selected="0">
            <x v="35"/>
          </reference>
          <reference field="4" count="1" selected="0">
            <x v="2"/>
          </reference>
          <reference field="5" count="1" selected="0">
            <x v="1"/>
          </reference>
          <reference field="6" count="1" selected="0">
            <x v="0"/>
          </reference>
          <reference field="16" count="1">
            <x v="19"/>
          </reference>
        </references>
      </pivotArea>
    </format>
    <format dxfId="824">
      <pivotArea dataOnly="0" labelOnly="1" outline="0" fieldPosition="0">
        <references count="6">
          <reference field="1" count="0" selected="0"/>
          <reference field="3" count="1" selected="0">
            <x v="36"/>
          </reference>
          <reference field="4" count="1" selected="0">
            <x v="2"/>
          </reference>
          <reference field="5" count="1" selected="0">
            <x v="1"/>
          </reference>
          <reference field="6" count="1" selected="0">
            <x v="0"/>
          </reference>
          <reference field="16" count="1">
            <x v="11"/>
          </reference>
        </references>
      </pivotArea>
    </format>
    <format dxfId="823">
      <pivotArea dataOnly="0" labelOnly="1" outline="0" fieldPosition="0">
        <references count="6">
          <reference field="1" count="0" selected="0"/>
          <reference field="3" count="1" selected="0">
            <x v="37"/>
          </reference>
          <reference field="4" count="1" selected="0">
            <x v="2"/>
          </reference>
          <reference field="5" count="1" selected="0">
            <x v="1"/>
          </reference>
          <reference field="6" count="1" selected="0">
            <x v="0"/>
          </reference>
          <reference field="16" count="1">
            <x v="43"/>
          </reference>
        </references>
      </pivotArea>
    </format>
    <format dxfId="822">
      <pivotArea dataOnly="0" labelOnly="1" outline="0" fieldPosition="0">
        <references count="6">
          <reference field="1" count="0" selected="0"/>
          <reference field="3" count="1" selected="0">
            <x v="38"/>
          </reference>
          <reference field="4" count="1" selected="0">
            <x v="2"/>
          </reference>
          <reference field="5" count="1" selected="0">
            <x v="1"/>
          </reference>
          <reference field="6" count="1" selected="0">
            <x v="0"/>
          </reference>
          <reference field="16" count="1">
            <x v="23"/>
          </reference>
        </references>
      </pivotArea>
    </format>
    <format dxfId="821">
      <pivotArea dataOnly="0" labelOnly="1" outline="0" fieldPosition="0">
        <references count="6">
          <reference field="1" count="0" selected="0"/>
          <reference field="3" count="1" selected="0">
            <x v="39"/>
          </reference>
          <reference field="4" count="1" selected="0">
            <x v="2"/>
          </reference>
          <reference field="5" count="1" selected="0">
            <x v="1"/>
          </reference>
          <reference field="6" count="1" selected="0">
            <x v="0"/>
          </reference>
          <reference field="16" count="1">
            <x v="39"/>
          </reference>
        </references>
      </pivotArea>
    </format>
    <format dxfId="820">
      <pivotArea dataOnly="0" labelOnly="1" outline="0" fieldPosition="0">
        <references count="6">
          <reference field="1" count="0" selected="0"/>
          <reference field="3" count="1" selected="0">
            <x v="40"/>
          </reference>
          <reference field="4" count="1" selected="0">
            <x v="2"/>
          </reference>
          <reference field="5" count="1" selected="0">
            <x v="1"/>
          </reference>
          <reference field="6" count="1" selected="0">
            <x v="0"/>
          </reference>
          <reference field="16" count="1">
            <x v="44"/>
          </reference>
        </references>
      </pivotArea>
    </format>
    <format dxfId="819">
      <pivotArea dataOnly="0" labelOnly="1" outline="0" fieldPosition="0">
        <references count="6">
          <reference field="1" count="0" selected="0"/>
          <reference field="3" count="1" selected="0">
            <x v="41"/>
          </reference>
          <reference field="4" count="1" selected="0">
            <x v="2"/>
          </reference>
          <reference field="5" count="1" selected="0">
            <x v="1"/>
          </reference>
          <reference field="6" count="1" selected="0">
            <x v="0"/>
          </reference>
          <reference field="16" count="1">
            <x v="37"/>
          </reference>
        </references>
      </pivotArea>
    </format>
    <format dxfId="818">
      <pivotArea dataOnly="0" labelOnly="1" outline="0" fieldPosition="0">
        <references count="6">
          <reference field="1" count="0" selected="0"/>
          <reference field="3" count="1" selected="0">
            <x v="42"/>
          </reference>
          <reference field="4" count="1" selected="0">
            <x v="2"/>
          </reference>
          <reference field="5" count="1" selected="0">
            <x v="1"/>
          </reference>
          <reference field="6" count="1" selected="0">
            <x v="0"/>
          </reference>
          <reference field="16" count="1">
            <x v="36"/>
          </reference>
        </references>
      </pivotArea>
    </format>
    <format dxfId="817">
      <pivotArea dataOnly="0" labelOnly="1" outline="0" fieldPosition="0">
        <references count="6">
          <reference field="1" count="0" selected="0"/>
          <reference field="3" count="1" selected="0">
            <x v="43"/>
          </reference>
          <reference field="4" count="1" selected="0">
            <x v="2"/>
          </reference>
          <reference field="5" count="1" selected="0">
            <x v="1"/>
          </reference>
          <reference field="6" count="1" selected="0">
            <x v="0"/>
          </reference>
          <reference field="16" count="1">
            <x v="46"/>
          </reference>
        </references>
      </pivotArea>
    </format>
    <format dxfId="816">
      <pivotArea dataOnly="0" labelOnly="1" outline="0" fieldPosition="0">
        <references count="6">
          <reference field="1" count="0" selected="0"/>
          <reference field="3" count="1" selected="0">
            <x v="44"/>
          </reference>
          <reference field="4" count="1" selected="0">
            <x v="2"/>
          </reference>
          <reference field="5" count="1" selected="0">
            <x v="1"/>
          </reference>
          <reference field="6" count="1" selected="0">
            <x v="0"/>
          </reference>
          <reference field="16" count="1">
            <x v="3"/>
          </reference>
        </references>
      </pivotArea>
    </format>
    <format dxfId="815">
      <pivotArea dataOnly="0" labelOnly="1" outline="0" fieldPosition="0">
        <references count="6">
          <reference field="1" count="0" selected="0"/>
          <reference field="3" count="1" selected="0">
            <x v="46"/>
          </reference>
          <reference field="4" count="1" selected="0">
            <x v="2"/>
          </reference>
          <reference field="5" count="1" selected="0">
            <x v="1"/>
          </reference>
          <reference field="6" count="1" selected="0">
            <x v="0"/>
          </reference>
          <reference field="16" count="1">
            <x v="49"/>
          </reference>
        </references>
      </pivotArea>
    </format>
    <format dxfId="814">
      <pivotArea dataOnly="0" labelOnly="1" outline="0" fieldPosition="0">
        <references count="6">
          <reference field="1" count="0" selected="0"/>
          <reference field="3" count="1" selected="0">
            <x v="47"/>
          </reference>
          <reference field="4" count="1" selected="0">
            <x v="2"/>
          </reference>
          <reference field="5" count="1" selected="0">
            <x v="1"/>
          </reference>
          <reference field="6" count="1" selected="0">
            <x v="0"/>
          </reference>
          <reference field="16" count="1">
            <x v="50"/>
          </reference>
        </references>
      </pivotArea>
    </format>
    <format dxfId="813">
      <pivotArea dataOnly="0" labelOnly="1" outline="0" fieldPosition="0">
        <references count="6">
          <reference field="1" count="0" selected="0"/>
          <reference field="3" count="1" selected="0">
            <x v="49"/>
          </reference>
          <reference field="4" count="1" selected="0">
            <x v="2"/>
          </reference>
          <reference field="5" count="1" selected="0">
            <x v="1"/>
          </reference>
          <reference field="6" count="1" selected="0">
            <x v="0"/>
          </reference>
          <reference field="16" count="1">
            <x v="54"/>
          </reference>
        </references>
      </pivotArea>
    </format>
    <format dxfId="812">
      <pivotArea dataOnly="0" labelOnly="1" outline="0" fieldPosition="0">
        <references count="6">
          <reference field="1" count="0" selected="0"/>
          <reference field="3" count="1" selected="0">
            <x v="50"/>
          </reference>
          <reference field="4" count="1" selected="0">
            <x v="2"/>
          </reference>
          <reference field="5" count="1" selected="0">
            <x v="1"/>
          </reference>
          <reference field="6" count="1" selected="0">
            <x v="0"/>
          </reference>
          <reference field="16" count="1">
            <x v="55"/>
          </reference>
        </references>
      </pivotArea>
    </format>
    <format dxfId="811">
      <pivotArea dataOnly="0" labelOnly="1" outline="0" fieldPosition="0">
        <references count="6">
          <reference field="1" count="0" selected="0"/>
          <reference field="3" count="1" selected="0">
            <x v="51"/>
          </reference>
          <reference field="4" count="1" selected="0">
            <x v="2"/>
          </reference>
          <reference field="5" count="1" selected="0">
            <x v="1"/>
          </reference>
          <reference field="6" count="1" selected="0">
            <x v="0"/>
          </reference>
          <reference field="16" count="1">
            <x v="56"/>
          </reference>
        </references>
      </pivotArea>
    </format>
    <format dxfId="810">
      <pivotArea dataOnly="0" labelOnly="1" outline="0" fieldPosition="0">
        <references count="6">
          <reference field="1" count="0" selected="0"/>
          <reference field="3" count="1" selected="0">
            <x v="53"/>
          </reference>
          <reference field="4" count="1" selected="0">
            <x v="2"/>
          </reference>
          <reference field="5" count="1" selected="0">
            <x v="1"/>
          </reference>
          <reference field="6" count="1" selected="0">
            <x v="0"/>
          </reference>
          <reference field="16" count="1">
            <x v="25"/>
          </reference>
        </references>
      </pivotArea>
    </format>
    <format dxfId="809">
      <pivotArea dataOnly="0" labelOnly="1" outline="0" fieldPosition="0">
        <references count="6">
          <reference field="1" count="0" selected="0"/>
          <reference field="3" count="1" selected="0">
            <x v="54"/>
          </reference>
          <reference field="4" count="1" selected="0">
            <x v="2"/>
          </reference>
          <reference field="5" count="1" selected="0">
            <x v="1"/>
          </reference>
          <reference field="6" count="1" selected="0">
            <x v="0"/>
          </reference>
          <reference field="16" count="1">
            <x v="57"/>
          </reference>
        </references>
      </pivotArea>
    </format>
    <format dxfId="808">
      <pivotArea dataOnly="0" labelOnly="1" outline="0" fieldPosition="0">
        <references count="6">
          <reference field="1" count="0" selected="0"/>
          <reference field="3" count="1" selected="0">
            <x v="55"/>
          </reference>
          <reference field="4" count="1" selected="0">
            <x v="2"/>
          </reference>
          <reference field="5" count="1" selected="0">
            <x v="1"/>
          </reference>
          <reference field="6" count="1" selected="0">
            <x v="0"/>
          </reference>
          <reference field="16" count="1">
            <x v="59"/>
          </reference>
        </references>
      </pivotArea>
    </format>
    <format dxfId="807">
      <pivotArea dataOnly="0" labelOnly="1" outline="0" fieldPosition="0">
        <references count="6">
          <reference field="1" count="0" selected="0"/>
          <reference field="3" count="1" selected="0">
            <x v="56"/>
          </reference>
          <reference field="4" count="1" selected="0">
            <x v="2"/>
          </reference>
          <reference field="5" count="1" selected="0">
            <x v="1"/>
          </reference>
          <reference field="6" count="1" selected="0">
            <x v="0"/>
          </reference>
          <reference field="16" count="1">
            <x v="60"/>
          </reference>
        </references>
      </pivotArea>
    </format>
    <format dxfId="806">
      <pivotArea dataOnly="0" labelOnly="1" outline="0" fieldPosition="0">
        <references count="6">
          <reference field="1" count="0" selected="0"/>
          <reference field="3" count="1" selected="0">
            <x v="57"/>
          </reference>
          <reference field="4" count="1" selected="0">
            <x v="2"/>
          </reference>
          <reference field="5" count="1" selected="0">
            <x v="1"/>
          </reference>
          <reference field="6" count="1" selected="0">
            <x v="0"/>
          </reference>
          <reference field="16" count="1">
            <x v="61"/>
          </reference>
        </references>
      </pivotArea>
    </format>
    <format dxfId="805">
      <pivotArea dataOnly="0" labelOnly="1" outline="0" fieldPosition="0">
        <references count="6">
          <reference field="1" count="0" selected="0"/>
          <reference field="3" count="1" selected="0">
            <x v="10"/>
          </reference>
          <reference field="4" count="1" selected="0">
            <x v="3"/>
          </reference>
          <reference field="5" count="1" selected="0">
            <x v="0"/>
          </reference>
          <reference field="6" count="1" selected="0">
            <x v="5"/>
          </reference>
          <reference field="16" count="1">
            <x v="14"/>
          </reference>
        </references>
      </pivotArea>
    </format>
    <format dxfId="804">
      <pivotArea dataOnly="0" labelOnly="1" outline="0" fieldPosition="0">
        <references count="6">
          <reference field="1" count="0" selected="0"/>
          <reference field="3" count="1" selected="0">
            <x v="1"/>
          </reference>
          <reference field="4" count="1" selected="0">
            <x v="4"/>
          </reference>
          <reference field="5" count="1" selected="0">
            <x v="0"/>
          </reference>
          <reference field="6" count="1" selected="0">
            <x v="1"/>
          </reference>
          <reference field="16" count="1">
            <x v="13"/>
          </reference>
        </references>
      </pivotArea>
    </format>
    <format dxfId="803">
      <pivotArea dataOnly="0" labelOnly="1" outline="0" fieldPosition="0">
        <references count="6">
          <reference field="1" count="0" selected="0"/>
          <reference field="3" count="1" selected="0">
            <x v="6"/>
          </reference>
          <reference field="4" count="1" selected="0">
            <x v="4"/>
          </reference>
          <reference field="5" count="1" selected="0">
            <x v="0"/>
          </reference>
          <reference field="6" count="1" selected="0">
            <x v="1"/>
          </reference>
          <reference field="16" count="1">
            <x v="28"/>
          </reference>
        </references>
      </pivotArea>
    </format>
    <format dxfId="802">
      <pivotArea dataOnly="0" labelOnly="1" outline="0" fieldPosition="0">
        <references count="6">
          <reference field="1" count="0" selected="0"/>
          <reference field="3" count="1" selected="0">
            <x v="11"/>
          </reference>
          <reference field="4" count="1" selected="0">
            <x v="4"/>
          </reference>
          <reference field="5" count="1" selected="0">
            <x v="0"/>
          </reference>
          <reference field="6" count="1" selected="0">
            <x v="0"/>
          </reference>
          <reference field="16" count="1">
            <x v="10"/>
          </reference>
        </references>
      </pivotArea>
    </format>
    <format dxfId="801">
      <pivotArea dataOnly="0" labelOnly="1" outline="0" fieldPosition="0">
        <references count="6">
          <reference field="1" count="0" selected="0"/>
          <reference field="3" count="1" selected="0">
            <x v="12"/>
          </reference>
          <reference field="4" count="1" selected="0">
            <x v="4"/>
          </reference>
          <reference field="5" count="1" selected="0">
            <x v="0"/>
          </reference>
          <reference field="6" count="1" selected="0">
            <x v="1"/>
          </reference>
          <reference field="16" count="1">
            <x v="15"/>
          </reference>
        </references>
      </pivotArea>
    </format>
    <format dxfId="800">
      <pivotArea dataOnly="0" labelOnly="1" outline="0" fieldPosition="0">
        <references count="6">
          <reference field="1" count="0" selected="0"/>
          <reference field="3" count="1" selected="0">
            <x v="13"/>
          </reference>
          <reference field="4" count="1" selected="0">
            <x v="4"/>
          </reference>
          <reference field="5" count="1" selected="0">
            <x v="0"/>
          </reference>
          <reference field="6" count="1" selected="0">
            <x v="6"/>
          </reference>
          <reference field="16" count="1">
            <x v="16"/>
          </reference>
        </references>
      </pivotArea>
    </format>
    <format dxfId="799">
      <pivotArea dataOnly="0" labelOnly="1" outline="0" fieldPosition="0">
        <references count="6">
          <reference field="1" count="0" selected="0"/>
          <reference field="3" count="1" selected="0">
            <x v="19"/>
          </reference>
          <reference field="4" count="1" selected="0">
            <x v="4"/>
          </reference>
          <reference field="5" count="1" selected="0">
            <x v="0"/>
          </reference>
          <reference field="6" count="1" selected="0">
            <x v="1"/>
          </reference>
          <reference field="16" count="1">
            <x v="30"/>
          </reference>
        </references>
      </pivotArea>
    </format>
    <format dxfId="798">
      <pivotArea dataOnly="0" labelOnly="1" outline="0" fieldPosition="0">
        <references count="6">
          <reference field="1" count="0" selected="0"/>
          <reference field="3" count="1" selected="0">
            <x v="20"/>
          </reference>
          <reference field="4" count="1" selected="0">
            <x v="4"/>
          </reference>
          <reference field="5" count="1" selected="0">
            <x v="0"/>
          </reference>
          <reference field="6" count="1" selected="0">
            <x v="1"/>
          </reference>
          <reference field="16" count="1">
            <x v="31"/>
          </reference>
        </references>
      </pivotArea>
    </format>
    <format dxfId="797">
      <pivotArea dataOnly="0" labelOnly="1" outline="0" fieldPosition="0">
        <references count="6">
          <reference field="1" count="0" selected="0"/>
          <reference field="3" count="1" selected="0">
            <x v="21"/>
          </reference>
          <reference field="4" count="1" selected="0">
            <x v="4"/>
          </reference>
          <reference field="5" count="1" selected="0">
            <x v="0"/>
          </reference>
          <reference field="6" count="1" selected="0">
            <x v="1"/>
          </reference>
          <reference field="16" count="1">
            <x v="27"/>
          </reference>
        </references>
      </pivotArea>
    </format>
    <format dxfId="796">
      <pivotArea dataOnly="0" labelOnly="1" outline="0" fieldPosition="0">
        <references count="6">
          <reference field="1" count="0" selected="0"/>
          <reference field="3" count="1" selected="0">
            <x v="22"/>
          </reference>
          <reference field="4" count="1" selected="0">
            <x v="4"/>
          </reference>
          <reference field="5" count="1" selected="0">
            <x v="0"/>
          </reference>
          <reference field="6" count="1" selected="0">
            <x v="1"/>
          </reference>
          <reference field="16" count="1">
            <x v="9"/>
          </reference>
        </references>
      </pivotArea>
    </format>
    <format dxfId="795">
      <pivotArea dataOnly="0" labelOnly="1" outline="0" fieldPosition="0">
        <references count="6">
          <reference field="1" count="0" selected="0"/>
          <reference field="3" count="1" selected="0">
            <x v="23"/>
          </reference>
          <reference field="4" count="1" selected="0">
            <x v="4"/>
          </reference>
          <reference field="5" count="1" selected="0">
            <x v="0"/>
          </reference>
          <reference field="6" count="1" selected="0">
            <x v="1"/>
          </reference>
          <reference field="16" count="1">
            <x v="24"/>
          </reference>
        </references>
      </pivotArea>
    </format>
    <format dxfId="794">
      <pivotArea dataOnly="0" labelOnly="1" outline="0" fieldPosition="0">
        <references count="6">
          <reference field="1" count="0" selected="0"/>
          <reference field="3" count="1" selected="0">
            <x v="26"/>
          </reference>
          <reference field="4" count="1" selected="0">
            <x v="4"/>
          </reference>
          <reference field="5" count="1" selected="0">
            <x v="0"/>
          </reference>
          <reference field="6" count="1" selected="0">
            <x v="1"/>
          </reference>
          <reference field="16" count="1">
            <x v="35"/>
          </reference>
        </references>
      </pivotArea>
    </format>
    <format dxfId="793">
      <pivotArea dataOnly="0" labelOnly="1" outline="0" fieldPosition="0">
        <references count="6">
          <reference field="1" count="0" selected="0"/>
          <reference field="3" count="1" selected="0">
            <x v="27"/>
          </reference>
          <reference field="4" count="1" selected="0">
            <x v="4"/>
          </reference>
          <reference field="5" count="1" selected="0">
            <x v="0"/>
          </reference>
          <reference field="6" count="1" selected="0">
            <x v="1"/>
          </reference>
          <reference field="16" count="1">
            <x v="41"/>
          </reference>
        </references>
      </pivotArea>
    </format>
    <format dxfId="792">
      <pivotArea dataOnly="0" labelOnly="1" outline="0" fieldPosition="0">
        <references count="6">
          <reference field="1" count="0" selected="0"/>
          <reference field="3" count="1" selected="0">
            <x v="32"/>
          </reference>
          <reference field="4" count="1" selected="0">
            <x v="4"/>
          </reference>
          <reference field="5" count="1" selected="0">
            <x v="0"/>
          </reference>
          <reference field="6" count="1" selected="0">
            <x v="1"/>
          </reference>
          <reference field="16" count="1">
            <x v="0"/>
          </reference>
        </references>
      </pivotArea>
    </format>
    <format dxfId="791">
      <pivotArea dataOnly="0" labelOnly="1" outline="0" fieldPosition="0">
        <references count="6">
          <reference field="1" count="0" selected="0"/>
          <reference field="3" count="1" selected="0">
            <x v="45"/>
          </reference>
          <reference field="4" count="1" selected="0">
            <x v="4"/>
          </reference>
          <reference field="5" count="1" selected="0">
            <x v="0"/>
          </reference>
          <reference field="6" count="1" selected="0">
            <x v="1"/>
          </reference>
          <reference field="16" count="1">
            <x v="48"/>
          </reference>
        </references>
      </pivotArea>
    </format>
    <format dxfId="790">
      <pivotArea dataOnly="0" labelOnly="1" outline="0" fieldPosition="0">
        <references count="6">
          <reference field="1" count="0" selected="0"/>
          <reference field="3" count="1" selected="0">
            <x v="48"/>
          </reference>
          <reference field="4" count="1" selected="0">
            <x v="4"/>
          </reference>
          <reference field="5" count="1" selected="0">
            <x v="0"/>
          </reference>
          <reference field="6" count="1" selected="0">
            <x v="1"/>
          </reference>
          <reference field="16" count="1">
            <x v="51"/>
          </reference>
        </references>
      </pivotArea>
    </format>
    <format dxfId="789">
      <pivotArea dataOnly="0" labelOnly="1" outline="0" fieldPosition="0">
        <references count="6">
          <reference field="1" count="0" selected="0"/>
          <reference field="3" count="1" selected="0">
            <x v="58"/>
          </reference>
          <reference field="4" count="1" selected="0">
            <x v="4"/>
          </reference>
          <reference field="5" count="1" selected="0">
            <x v="0"/>
          </reference>
          <reference field="6" count="1" selected="0">
            <x v="1"/>
          </reference>
          <reference field="16" count="1">
            <x v="62"/>
          </reference>
        </references>
      </pivotArea>
    </format>
    <format dxfId="788">
      <pivotArea dataOnly="0" labelOnly="1" outline="0" fieldPosition="0">
        <references count="6">
          <reference field="1" count="0" selected="0"/>
          <reference field="3" count="1" selected="0">
            <x v="16"/>
          </reference>
          <reference field="4" count="1" selected="0">
            <x v="5"/>
          </reference>
          <reference field="5" count="1" selected="0">
            <x v="2"/>
          </reference>
          <reference field="6" count="1" selected="0">
            <x v="2"/>
          </reference>
          <reference field="16" count="1">
            <x v="17"/>
          </reference>
        </references>
      </pivotArea>
    </format>
    <format dxfId="787">
      <pivotArea dataOnly="0" labelOnly="1" outline="0" fieldPosition="0">
        <references count="6">
          <reference field="1" count="0" selected="0"/>
          <reference field="3" count="1" selected="0">
            <x v="0"/>
          </reference>
          <reference field="4" count="1" selected="0">
            <x v="6"/>
          </reference>
          <reference field="5" count="1" selected="0">
            <x v="3"/>
          </reference>
          <reference field="6" count="1" selected="0">
            <x v="3"/>
          </reference>
          <reference field="16" count="1">
            <x v="8"/>
          </reference>
        </references>
      </pivotArea>
    </format>
    <format dxfId="786">
      <pivotArea dataOnly="0" labelOnly="1" outline="0" fieldPosition="0">
        <references count="6">
          <reference field="1" count="0" selected="0"/>
          <reference field="3" count="1" selected="0">
            <x v="14"/>
          </reference>
          <reference field="4" count="1" selected="0">
            <x v="6"/>
          </reference>
          <reference field="5" count="1" selected="0">
            <x v="4"/>
          </reference>
          <reference field="6" count="1" selected="0">
            <x v="3"/>
          </reference>
          <reference field="16" count="1">
            <x v="12"/>
          </reference>
        </references>
      </pivotArea>
    </format>
    <format dxfId="785">
      <pivotArea dataOnly="0" labelOnly="1" outline="0" fieldPosition="0">
        <references count="6">
          <reference field="1" count="0" selected="0"/>
          <reference field="3" count="1" selected="0">
            <x v="25"/>
          </reference>
          <reference field="4" count="1" selected="0">
            <x v="6"/>
          </reference>
          <reference field="5" count="1" selected="0">
            <x v="4"/>
          </reference>
          <reference field="6" count="1" selected="0">
            <x v="3"/>
          </reference>
          <reference field="16" count="1">
            <x v="34"/>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1006E2-6496-497E-998F-54C474680B04}" name="alphabetical" cacheId="43"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AF2:AF14" firstHeaderRow="1" firstDataRow="1" firstDataCol="1"/>
  <pivotFields count="17">
    <pivotField compact="0" outline="0" subtotalTop="0" showAll="0" defaultSubtotal="0"/>
    <pivotField compact="0" outline="0" showAll="0" defaultSubtotal="0">
      <items count="10">
        <item h="1" x="0"/>
        <item h="1" x="1"/>
        <item h="1" x="2"/>
        <item h="1" x="3"/>
        <item x="4"/>
        <item h="1" x="5"/>
        <item h="1" x="6"/>
        <item h="1" x="7"/>
        <item h="1" x="8"/>
        <item h="1" x="9"/>
      </items>
    </pivotField>
    <pivotField compact="0" outline="0" showAll="0" defaultSubtotal="0">
      <items count="10">
        <item h="1" x="0"/>
        <item h="1" x="1"/>
        <item h="1" x="2"/>
        <item h="1" x="3"/>
        <item x="4"/>
        <item h="1" x="5"/>
        <item h="1" x="6"/>
        <item h="1" x="7"/>
        <item h="1" x="8"/>
        <item h="1" x="9"/>
      </items>
    </pivotField>
    <pivotField axis="axisRow" compact="0" outline="0" showAll="0" sortType="ascending" defaultSubtotal="0">
      <items count="62">
        <item x="0"/>
        <item x="1"/>
        <item x="2"/>
        <item x="3"/>
        <item x="4"/>
        <item x="5"/>
        <item x="6"/>
        <item x="7"/>
        <item x="8"/>
        <item x="9"/>
        <item x="10"/>
        <item x="11"/>
        <item x="12"/>
        <item x="13"/>
        <item x="14"/>
        <item x="15"/>
        <item x="16"/>
        <item x="17"/>
        <item x="18"/>
        <item x="19"/>
        <item x="60"/>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1"/>
      </items>
    </pivotField>
    <pivotField compact="0" outline="0" showAll="0" defaultSubtotal="0"/>
    <pivotField compact="0" outline="0" showAll="0" defaultSubtotal="0"/>
    <pivotField compact="0" outline="0" showAll="0" includeNewItemsInFilter="1" defaultSubtotal="0">
      <items count="8">
        <item x="1"/>
        <item x="0"/>
        <item x="2"/>
        <item x="4"/>
        <item x="3"/>
        <item x="5"/>
        <item x="6"/>
        <item x="7"/>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3"/>
  </rowFields>
  <rowItems count="12">
    <i>
      <x/>
    </i>
    <i>
      <x v="4"/>
    </i>
    <i>
      <x v="8"/>
    </i>
    <i>
      <x v="13"/>
    </i>
    <i>
      <x v="21"/>
    </i>
    <i>
      <x v="32"/>
    </i>
    <i>
      <x v="33"/>
    </i>
    <i>
      <x v="41"/>
    </i>
    <i>
      <x v="48"/>
    </i>
    <i>
      <x v="50"/>
    </i>
    <i>
      <x v="58"/>
    </i>
    <i>
      <x v="59"/>
    </i>
  </rowItems>
  <colItems count="1">
    <i/>
  </colItems>
  <formats count="13">
    <format dxfId="1204">
      <pivotArea field="3" type="button" dataOnly="0" labelOnly="1" outline="0" axis="axisRow" fieldPosition="0"/>
    </format>
    <format dxfId="1203">
      <pivotArea type="all" dataOnly="0" outline="0" fieldPosition="0"/>
    </format>
    <format dxfId="1202">
      <pivotArea field="3" type="button" dataOnly="0" labelOnly="1" outline="0" axis="axisRow" fieldPosition="0"/>
    </format>
    <format dxfId="1201">
      <pivotArea type="all" dataOnly="0" outline="0" fieldPosition="0"/>
    </format>
    <format dxfId="1200">
      <pivotArea field="3" type="button" dataOnly="0" labelOnly="1" outline="0" axis="axisRow" fieldPosition="0"/>
    </format>
    <format dxfId="1199">
      <pivotArea dataOnly="0" labelOnly="1" fieldPosition="0">
        <references count="1">
          <reference field="3" count="1">
            <x v="35"/>
          </reference>
        </references>
      </pivotArea>
    </format>
    <format dxfId="1198">
      <pivotArea dataOnly="0" labelOnly="1" fieldPosition="0">
        <references count="1">
          <reference field="3" count="2">
            <x v="51"/>
            <x v="52"/>
          </reference>
        </references>
      </pivotArea>
    </format>
    <format dxfId="1197">
      <pivotArea dataOnly="0" labelOnly="1" fieldPosition="0">
        <references count="1">
          <reference field="3" count="2">
            <x v="54"/>
            <x v="55"/>
          </reference>
        </references>
      </pivotArea>
    </format>
    <format dxfId="1196">
      <pivotArea dataOnly="0" labelOnly="1" fieldPosition="0">
        <references count="1">
          <reference field="3" count="1">
            <x v="35"/>
          </reference>
        </references>
      </pivotArea>
    </format>
    <format dxfId="1195">
      <pivotArea dataOnly="0" labelOnly="1" fieldPosition="0">
        <references count="1">
          <reference field="3" count="2">
            <x v="51"/>
            <x v="52"/>
          </reference>
        </references>
      </pivotArea>
    </format>
    <format dxfId="1194">
      <pivotArea dataOnly="0" labelOnly="1" fieldPosition="0">
        <references count="1">
          <reference field="3" count="2">
            <x v="54"/>
            <x v="55"/>
          </reference>
        </references>
      </pivotArea>
    </format>
    <format dxfId="1193">
      <pivotArea field="3" type="button" dataOnly="0" labelOnly="1" outline="0" axis="axisRow" fieldPosition="0"/>
    </format>
    <format dxfId="1192">
      <pivotArea field="6" type="button" dataOnly="0" labelOnly="1" outline="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F89633-8D37-4D00-BDF0-902F9C57A1CB}" name="TablaDinámica5" cacheId="43"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Split">
  <location ref="A15:A16" firstHeaderRow="1" firstDataRow="2" firstDataCol="0"/>
  <pivotFields count="17">
    <pivotField showAll="0"/>
    <pivotField axis="axisCol" showAll="0">
      <items count="11">
        <item h="1" x="3"/>
        <item x="4"/>
        <item h="1" x="5"/>
        <item h="1" x="6"/>
        <item h="1" x="0"/>
        <item h="1" x="1"/>
        <item h="1" x="2"/>
        <item h="1" x="7"/>
        <item h="1" x="8"/>
        <item h="1" x="9"/>
        <item t="default"/>
      </items>
    </pivotField>
    <pivotField showAll="0">
      <items count="11">
        <item h="1" x="0"/>
        <item h="1" x="1"/>
        <item h="1" x="2"/>
        <item h="1" x="3"/>
        <item x="4"/>
        <item h="1" x="5"/>
        <item h="1" x="6"/>
        <item h="1" x="7"/>
        <item h="1" x="8"/>
        <item h="1" x="9"/>
        <item t="default"/>
      </items>
    </pivotField>
    <pivotField showAll="0">
      <items count="63">
        <item x="34"/>
        <item x="51"/>
        <item x="53"/>
        <item x="54"/>
        <item x="50"/>
        <item x="59"/>
        <item x="35"/>
        <item x="31"/>
        <item x="55"/>
        <item x="1"/>
        <item x="41"/>
        <item x="43"/>
        <item x="48"/>
        <item x="49"/>
        <item x="38"/>
        <item x="33"/>
        <item x="27"/>
        <item x="16"/>
        <item x="58"/>
        <item x="39"/>
        <item x="47"/>
        <item x="45"/>
        <item x="42"/>
        <item x="44"/>
        <item x="2"/>
        <item x="37"/>
        <item x="46"/>
        <item x="32"/>
        <item x="30"/>
        <item x="9"/>
        <item x="56"/>
        <item x="52"/>
        <item x="0"/>
        <item x="3"/>
        <item x="4"/>
        <item x="5"/>
        <item x="6"/>
        <item x="8"/>
        <item x="10"/>
        <item x="13"/>
        <item x="20"/>
        <item x="23"/>
        <item x="24"/>
        <item x="12"/>
        <item x="57"/>
        <item x="36"/>
        <item x="15"/>
        <item x="22"/>
        <item x="29"/>
        <item x="25"/>
        <item x="26"/>
        <item x="18"/>
        <item x="61"/>
        <item x="11"/>
        <item x="17"/>
        <item x="21"/>
        <item x="14"/>
        <item x="19"/>
        <item x="28"/>
        <item x="7"/>
        <item x="60"/>
        <item x="40"/>
        <item t="default"/>
      </items>
    </pivotField>
    <pivotField showAll="0"/>
    <pivotField showAll="0"/>
    <pivotField showAll="0" includeNewItemsInFilter="1"/>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1">
    <i>
      <x v="1"/>
    </i>
  </colItems>
  <formats count="11">
    <format dxfId="1215">
      <pivotArea field="3" type="button" dataOnly="0" labelOnly="1" outline="0"/>
    </format>
    <format dxfId="1214">
      <pivotArea dataOnly="0" labelOnly="1" outline="0" axis="axisValues" fieldPosition="0"/>
    </format>
    <format dxfId="1213">
      <pivotArea outline="0" collapsedLevelsAreSubtotals="1" fieldPosition="0"/>
    </format>
    <format dxfId="1212">
      <pivotArea outline="0" collapsedLevelsAreSubtotals="1" fieldPosition="0"/>
    </format>
    <format dxfId="1211">
      <pivotArea field="2" type="button" dataOnly="0" labelOnly="1" outline="0"/>
    </format>
    <format dxfId="1210">
      <pivotArea field="1" type="button" dataOnly="0" labelOnly="1" outline="0" axis="axisCol" fieldPosition="0"/>
    </format>
    <format dxfId="1209">
      <pivotArea dataOnly="0" labelOnly="1" fieldPosition="0">
        <references count="1">
          <reference field="1" count="0"/>
        </references>
      </pivotArea>
    </format>
    <format dxfId="1208">
      <pivotArea dataOnly="0" outline="0" fieldPosition="0">
        <references count="1">
          <reference field="1" count="0"/>
        </references>
      </pivotArea>
    </format>
    <format dxfId="1207">
      <pivotArea dataOnly="0" outline="0" fieldPosition="0">
        <references count="1">
          <reference field="1" count="0"/>
        </references>
      </pivotArea>
    </format>
    <format dxfId="1206">
      <pivotArea field="1" type="button" dataOnly="0" labelOnly="1" outline="0" axis="axisCol" fieldPosition="0"/>
    </format>
    <format dxfId="1205">
      <pivotArea field="1"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D24BA5-6D4B-453D-90D5-E57D1F812072}" name="Station t1" cacheId="43"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Station">
  <location ref="B15:B16" firstHeaderRow="1" firstDataRow="2" firstDataCol="0"/>
  <pivotFields count="17">
    <pivotField showAll="0"/>
    <pivotField showAll="0">
      <items count="11">
        <item h="1" x="0"/>
        <item h="1" x="1"/>
        <item h="1" x="2"/>
        <item h="1" x="3"/>
        <item x="4"/>
        <item h="1" x="5"/>
        <item h="1" x="6"/>
        <item h="1" x="7"/>
        <item h="1" x="8"/>
        <item h="1" x="9"/>
        <item t="default"/>
      </items>
    </pivotField>
    <pivotField axis="axisCol" showAll="0">
      <items count="11">
        <item h="1" x="0"/>
        <item h="1" x="1"/>
        <item h="1" x="2"/>
        <item h="1" x="3"/>
        <item x="4"/>
        <item h="1" x="5"/>
        <item h="1" x="6"/>
        <item h="1" x="7"/>
        <item h="1" x="8"/>
        <item h="1" x="9"/>
        <item t="default"/>
      </items>
    </pivotField>
    <pivotField showAll="0">
      <items count="63">
        <item x="34"/>
        <item x="51"/>
        <item x="53"/>
        <item x="54"/>
        <item x="50"/>
        <item x="59"/>
        <item x="35"/>
        <item x="31"/>
        <item x="55"/>
        <item x="1"/>
        <item x="41"/>
        <item x="43"/>
        <item x="48"/>
        <item x="49"/>
        <item x="38"/>
        <item x="33"/>
        <item x="27"/>
        <item x="16"/>
        <item x="58"/>
        <item x="39"/>
        <item x="47"/>
        <item x="45"/>
        <item x="42"/>
        <item x="44"/>
        <item x="2"/>
        <item x="37"/>
        <item x="46"/>
        <item x="32"/>
        <item x="30"/>
        <item x="9"/>
        <item x="56"/>
        <item x="52"/>
        <item x="0"/>
        <item x="3"/>
        <item x="4"/>
        <item x="5"/>
        <item x="6"/>
        <item x="8"/>
        <item x="10"/>
        <item x="13"/>
        <item x="20"/>
        <item x="23"/>
        <item x="24"/>
        <item x="12"/>
        <item x="57"/>
        <item x="36"/>
        <item x="15"/>
        <item x="22"/>
        <item x="29"/>
        <item x="25"/>
        <item x="26"/>
        <item x="18"/>
        <item x="61"/>
        <item x="11"/>
        <item x="17"/>
        <item x="21"/>
        <item x="14"/>
        <item x="19"/>
        <item x="28"/>
        <item x="7"/>
        <item x="60"/>
        <item x="40"/>
        <item t="default"/>
      </items>
    </pivotField>
    <pivotField showAll="0"/>
    <pivotField showAll="0"/>
    <pivotField showAll="0" includeNewItemsInFilter="1"/>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1">
    <i>
      <x v="4"/>
    </i>
  </colItems>
  <formats count="15">
    <format dxfId="1230">
      <pivotArea field="3" type="button" dataOnly="0" labelOnly="1" outline="0"/>
    </format>
    <format dxfId="1229">
      <pivotArea dataOnly="0" labelOnly="1" outline="0" axis="axisValues" fieldPosition="0"/>
    </format>
    <format dxfId="1228">
      <pivotArea outline="0" collapsedLevelsAreSubtotals="1" fieldPosition="0"/>
    </format>
    <format dxfId="1227">
      <pivotArea outline="0" collapsedLevelsAreSubtotals="1" fieldPosition="0"/>
    </format>
    <format dxfId="1226">
      <pivotArea field="2" type="button" dataOnly="0" labelOnly="1" outline="0" axis="axisCol" fieldPosition="0"/>
    </format>
    <format dxfId="1225">
      <pivotArea dataOnly="0" labelOnly="1" fieldPosition="0">
        <references count="1">
          <reference field="2" count="0"/>
        </references>
      </pivotArea>
    </format>
    <format dxfId="1224">
      <pivotArea dataOnly="0" labelOnly="1" fieldPosition="0">
        <references count="1">
          <reference field="2" count="0"/>
        </references>
      </pivotArea>
    </format>
    <format dxfId="1223">
      <pivotArea type="all" dataOnly="0" outline="0" fieldPosition="0"/>
    </format>
    <format dxfId="1222">
      <pivotArea field="2" type="button" dataOnly="0" labelOnly="1" outline="0" axis="axisCol" fieldPosition="0"/>
    </format>
    <format dxfId="1221">
      <pivotArea dataOnly="0" labelOnly="1" fieldPosition="0">
        <references count="1">
          <reference field="2" count="0"/>
        </references>
      </pivotArea>
    </format>
    <format dxfId="1220">
      <pivotArea type="all" dataOnly="0" outline="0" fieldPosition="0"/>
    </format>
    <format dxfId="1219">
      <pivotArea field="2" type="button" dataOnly="0" labelOnly="1" outline="0" axis="axisCol" fieldPosition="0"/>
    </format>
    <format dxfId="1218">
      <pivotArea dataOnly="0" labelOnly="1" fieldPosition="0">
        <references count="1">
          <reference field="2" count="0"/>
        </references>
      </pivotArea>
    </format>
    <format dxfId="1217">
      <pivotArea field="2" type="button" dataOnly="0" labelOnly="1" outline="0" axis="axisCol" fieldPosition="0"/>
    </format>
    <format dxfId="1216">
      <pivotArea field="2"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F4827B-41A9-4684-840F-DD81F191E5C1}" name="Split Principal PT2" cacheId="43" applyNumberFormats="0" applyBorderFormats="0" applyFontFormats="0" applyPatternFormats="0" applyAlignmentFormats="0" applyWidthHeightFormats="1" dataCaption="Valores" showMissing="0" updatedVersion="8" minRefreshableVersion="3" showDrill="0" showDataTips="0" rowGrandTotals="0" colGrandTotals="0" createdVersion="4" compact="0" compactData="0" multipleFieldFilters="0">
  <location ref="L18:U30" firstHeaderRow="1" firstDataRow="1" firstDataCol="9"/>
  <pivotFields count="17">
    <pivotField compact="0" outline="0" showAll="0"/>
    <pivotField axis="axisRow" compact="0" outline="0" showAll="0" defaultSubtotal="0">
      <items count="10">
        <item h="1" x="3"/>
        <item x="4"/>
        <item h="1" x="5"/>
        <item h="1" x="6"/>
        <item h="1" x="0"/>
        <item h="1" x="1"/>
        <item h="1" x="2"/>
        <item h="1" x="7"/>
        <item h="1" x="8"/>
        <item h="1" x="9"/>
      </items>
    </pivotField>
    <pivotField dataField="1" compact="0" outline="0" showAll="0" defaultSubtotal="0">
      <items count="10">
        <item h="1" x="0"/>
        <item h="1" x="1"/>
        <item h="1" x="2"/>
        <item h="1" x="3"/>
        <item x="4"/>
        <item h="1" x="5"/>
        <item h="1" x="6"/>
        <item h="1" x="7"/>
        <item h="1" x="8"/>
        <item h="1" x="9"/>
      </items>
    </pivotField>
    <pivotField name="Sites" axis="axisRow" compact="0" outline="0" showAll="0" nonAutoSortDefault="1" defaultSubtotal="0">
      <items count="62">
        <item x="34"/>
        <item x="50"/>
        <item x="51"/>
        <item x="53"/>
        <item x="54"/>
        <item x="59"/>
        <item x="35"/>
        <item x="31"/>
        <item x="55"/>
        <item x="1"/>
        <item x="41"/>
        <item x="43"/>
        <item x="48"/>
        <item x="49"/>
        <item x="38"/>
        <item x="33"/>
        <item x="27"/>
        <item x="16"/>
        <item x="58"/>
        <item x="39"/>
        <item x="47"/>
        <item x="45"/>
        <item x="42"/>
        <item x="44"/>
        <item x="2"/>
        <item x="37"/>
        <item x="46"/>
        <item x="32"/>
        <item x="30"/>
        <item x="9"/>
        <item x="56"/>
        <item x="52"/>
        <item x="0"/>
        <item x="3"/>
        <item x="4"/>
        <item x="5"/>
        <item x="6"/>
        <item x="8"/>
        <item x="10"/>
        <item x="13"/>
        <item x="20"/>
        <item x="23"/>
        <item x="24"/>
        <item x="12"/>
        <item x="57"/>
        <item x="36"/>
        <item x="15"/>
        <item x="22"/>
        <item x="29"/>
        <item x="25"/>
        <item x="26"/>
        <item x="18"/>
        <item x="61"/>
        <item x="11"/>
        <item x="17"/>
        <item x="21"/>
        <item x="14"/>
        <item x="19"/>
        <item x="28"/>
        <item x="7"/>
        <item x="60"/>
        <item x="40"/>
      </items>
    </pivotField>
    <pivotField name="Log Time " axis="axisRow" compact="0" outline="0" showAll="0" defaultSubtotal="0">
      <items count="8">
        <item x="3"/>
        <item x="6"/>
        <item x="1"/>
        <item x="0"/>
        <item x="2"/>
        <item x="4"/>
        <item x="5"/>
        <item x="7"/>
      </items>
    </pivotField>
    <pivotField name="Time Zone" compact="0" outline="0" showAll="0" defaultSubtotal="0">
      <items count="6">
        <item x="1"/>
        <item x="2"/>
        <item x="0"/>
        <item x="3"/>
        <item x="4"/>
        <item x="5"/>
      </items>
    </pivotField>
    <pivotField compact="0" outline="0" showAll="0" includeNewItemsInFilter="1" defaultSubtotal="0">
      <items count="8">
        <item x="1"/>
        <item x="2"/>
        <item x="4"/>
        <item x="0"/>
        <item x="3"/>
        <item x="5"/>
        <item x="6"/>
        <item x="7"/>
      </items>
    </pivotField>
    <pivotField compact="0" outline="0" showAll="0" defaultSubtotal="0"/>
    <pivotField compact="0" outline="0" showAll="0"/>
    <pivotField axis="axisRow" compact="0" outline="0" showAll="0" defaultSubtotal="0">
      <items count="7">
        <item x="2"/>
        <item x="1"/>
        <item x="5"/>
        <item x="0"/>
        <item x="3"/>
        <item x="4"/>
        <item x="6"/>
      </items>
    </pivotField>
    <pivotField compact="0" outline="0" showAll="0"/>
    <pivotField axis="axisRow" compact="0" outline="0" showAll="0" defaultSubtotal="0">
      <items count="33">
        <item x="23"/>
        <item x="15"/>
        <item x="1"/>
        <item x="4"/>
        <item x="14"/>
        <item x="7"/>
        <item x="20"/>
        <item x="22"/>
        <item x="27"/>
        <item x="26"/>
        <item x="11"/>
        <item x="25"/>
        <item x="16"/>
        <item x="19"/>
        <item x="30"/>
        <item x="21"/>
        <item x="3"/>
        <item x="2"/>
        <item x="29"/>
        <item x="18"/>
        <item x="0"/>
        <item x="6"/>
        <item x="13"/>
        <item x="28"/>
        <item x="24"/>
        <item x="8"/>
        <item x="17"/>
        <item x="10"/>
        <item x="9"/>
        <item x="31"/>
        <item x="32"/>
        <item x="12"/>
        <item x="5"/>
      </items>
    </pivotField>
    <pivotField axis="axisRow" compact="0" outline="0" showAll="0" defaultSubtotal="0">
      <items count="42">
        <item x="1"/>
        <item x="0"/>
        <item x="2"/>
        <item x="3"/>
        <item x="4"/>
        <item x="11"/>
        <item x="22"/>
        <item x="26"/>
        <item x="27"/>
        <item x="28"/>
        <item x="32"/>
        <item x="33"/>
        <item x="34"/>
        <item x="35"/>
        <item x="8"/>
        <item x="37"/>
        <item x="25"/>
        <item x="30"/>
        <item x="38"/>
        <item x="23"/>
        <item x="29"/>
        <item x="36"/>
        <item x="7"/>
        <item x="18"/>
        <item x="31"/>
        <item x="9"/>
        <item x="6"/>
        <item x="15"/>
        <item x="13"/>
        <item x="12"/>
        <item x="24"/>
        <item x="17"/>
        <item x="21"/>
        <item x="19"/>
        <item x="20"/>
        <item x="39"/>
        <item x="41"/>
        <item x="16"/>
        <item x="10"/>
        <item x="14"/>
        <item x="5"/>
        <item x="40"/>
      </items>
    </pivotField>
    <pivotField axis="axisRow" compact="0" outline="0" showAll="0" defaultSubtotal="0">
      <items count="14">
        <item x="0"/>
        <item x="1"/>
        <item x="3"/>
        <item x="7"/>
        <item x="8"/>
        <item x="11"/>
        <item x="12"/>
        <item x="6"/>
        <item x="5"/>
        <item x="9"/>
        <item x="10"/>
        <item x="2"/>
        <item x="4"/>
        <item x="13"/>
      </items>
    </pivotField>
    <pivotField axis="axisRow" compact="0" outline="0" showAll="0" defaultSubtotal="0">
      <items count="24">
        <item x="1"/>
        <item x="3"/>
        <item x="20"/>
        <item x="18"/>
        <item x="11"/>
        <item x="4"/>
        <item x="0"/>
        <item x="12"/>
        <item x="13"/>
        <item x="16"/>
        <item x="19"/>
        <item x="22"/>
        <item x="17"/>
        <item x="2"/>
        <item x="15"/>
        <item x="21"/>
        <item x="10"/>
        <item x="5"/>
        <item x="7"/>
        <item x="6"/>
        <item x="8"/>
        <item x="14"/>
        <item x="9"/>
        <item x="23"/>
      </items>
    </pivotField>
    <pivotField axis="axisRow" compact="0" outline="0" showAll="0">
      <items count="60">
        <item x="0"/>
        <item x="1"/>
        <item x="4"/>
        <item x="5"/>
        <item x="6"/>
        <item x="16"/>
        <item x="31"/>
        <item x="33"/>
        <item x="38"/>
        <item x="41"/>
        <item x="42"/>
        <item x="43"/>
        <item x="48"/>
        <item x="49"/>
        <item x="50"/>
        <item x="53"/>
        <item x="56"/>
        <item x="52"/>
        <item x="51"/>
        <item x="27"/>
        <item x="15"/>
        <item x="10"/>
        <item x="11"/>
        <item x="35"/>
        <item x="40"/>
        <item x="39"/>
        <item x="45"/>
        <item x="47"/>
        <item x="3"/>
        <item x="2"/>
        <item x="34"/>
        <item x="44"/>
        <item x="55"/>
        <item x="37"/>
        <item x="46"/>
        <item x="24"/>
        <item x="23"/>
        <item x="9"/>
        <item x="13"/>
        <item x="30"/>
        <item x="8"/>
        <item x="20"/>
        <item x="32"/>
        <item x="54"/>
        <item x="12"/>
        <item x="17"/>
        <item x="36"/>
        <item x="22"/>
        <item x="29"/>
        <item x="25"/>
        <item x="26"/>
        <item x="18"/>
        <item x="57"/>
        <item x="58"/>
        <item x="21"/>
        <item x="14"/>
        <item x="19"/>
        <item x="28"/>
        <item x="7"/>
        <item t="default"/>
      </items>
    </pivotField>
    <pivotField compact="0" outline="0" showAll="0"/>
  </pivotFields>
  <rowFields count="9">
    <field x="1"/>
    <field x="4"/>
    <field x="3"/>
    <field x="9"/>
    <field x="11"/>
    <field x="12"/>
    <field x="13"/>
    <field x="14"/>
    <field x="15"/>
  </rowFields>
  <rowItems count="12">
    <i>
      <x v="1"/>
      <x/>
      <x v="7"/>
      <x v="3"/>
      <x v="20"/>
      <x v="6"/>
      <x/>
      <x v="7"/>
      <x v="6"/>
    </i>
    <i r="1">
      <x v="2"/>
      <x v="18"/>
      <x v="3"/>
      <x v="20"/>
      <x v="15"/>
      <x/>
      <x v="6"/>
      <x v="20"/>
    </i>
    <i r="2">
      <x v="34"/>
      <x v="3"/>
      <x v="3"/>
      <x v="2"/>
      <x/>
      <x v="1"/>
      <x v="2"/>
    </i>
    <i r="2">
      <x v="37"/>
      <x/>
      <x v="20"/>
      <x v="26"/>
      <x/>
      <x v="6"/>
      <x v="40"/>
    </i>
    <i r="2">
      <x v="39"/>
      <x v="3"/>
      <x v="20"/>
      <x v="25"/>
      <x v="11"/>
      <x v="18"/>
      <x v="38"/>
    </i>
    <i r="2">
      <x v="40"/>
      <x v="3"/>
      <x v="20"/>
      <x v="27"/>
      <x/>
      <x v="6"/>
      <x v="41"/>
    </i>
    <i r="2">
      <x v="44"/>
      <x v="1"/>
      <x v="18"/>
      <x v="21"/>
      <x/>
      <x v="6"/>
      <x v="32"/>
    </i>
    <i r="1">
      <x v="3"/>
      <x v="13"/>
      <x v="3"/>
      <x v="7"/>
      <x v="11"/>
      <x v="6"/>
      <x v="11"/>
      <x v="13"/>
    </i>
    <i r="2">
      <x v="20"/>
      <x v="3"/>
      <x v="15"/>
      <x/>
      <x/>
      <x v="6"/>
      <x v="27"/>
    </i>
    <i r="2">
      <x v="27"/>
      <x v="3"/>
      <x v="22"/>
      <x v="28"/>
      <x/>
      <x v="6"/>
      <x v="42"/>
    </i>
    <i r="2">
      <x v="32"/>
      <x v="3"/>
      <x v="20"/>
      <x v="1"/>
      <x/>
      <x v="6"/>
      <x/>
    </i>
    <i r="2">
      <x v="61"/>
      <x v="3"/>
      <x v="20"/>
      <x v="16"/>
      <x v="7"/>
      <x v="3"/>
      <x v="24"/>
    </i>
  </rowItems>
  <colItems count="1">
    <i/>
  </colItems>
  <dataFields count="1">
    <dataField name="Sum of Station" fld="2" baseField="0" baseItem="0"/>
  </dataFields>
  <formats count="20">
    <format dxfId="1250">
      <pivotArea type="all" dataOnly="0" outline="0" fieldPosition="0"/>
    </format>
    <format dxfId="1249">
      <pivotArea type="all" dataOnly="0" outline="0" fieldPosition="0"/>
    </format>
    <format dxfId="1248">
      <pivotArea type="all" dataOnly="0" outline="0" fieldPosition="0"/>
    </format>
    <format dxfId="1247">
      <pivotArea type="all" dataOnly="0" outline="0" fieldPosition="0"/>
    </format>
    <format dxfId="1246">
      <pivotArea field="6" type="button" dataOnly="0" labelOnly="1" outline="0"/>
    </format>
    <format dxfId="1245">
      <pivotArea field="5" type="button" dataOnly="0" labelOnly="1" outline="0"/>
    </format>
    <format dxfId="1244">
      <pivotArea field="9" type="button" dataOnly="0" labelOnly="1" outline="0" axis="axisRow" fieldPosition="3"/>
    </format>
    <format dxfId="1243">
      <pivotArea field="11" type="button" dataOnly="0" labelOnly="1" outline="0" axis="axisRow" fieldPosition="4"/>
    </format>
    <format dxfId="1242">
      <pivotArea field="12" type="button" dataOnly="0" labelOnly="1" outline="0" axis="axisRow" fieldPosition="5"/>
    </format>
    <format dxfId="1241">
      <pivotArea field="13" type="button" dataOnly="0" labelOnly="1" outline="0" axis="axisRow" fieldPosition="6"/>
    </format>
    <format dxfId="1240">
      <pivotArea field="14" type="button" dataOnly="0" labelOnly="1" outline="0" axis="axisRow" fieldPosition="7"/>
    </format>
    <format dxfId="1239">
      <pivotArea field="15" type="button" dataOnly="0" labelOnly="1" outline="0" axis="axisRow" fieldPosition="8"/>
    </format>
    <format dxfId="1238">
      <pivotArea field="6" type="button" dataOnly="0" labelOnly="1" outline="0"/>
    </format>
    <format dxfId="1237">
      <pivotArea field="5" type="button" dataOnly="0" labelOnly="1" outline="0"/>
    </format>
    <format dxfId="1236">
      <pivotArea field="9" type="button" dataOnly="0" labelOnly="1" outline="0" axis="axisRow" fieldPosition="3"/>
    </format>
    <format dxfId="1235">
      <pivotArea field="11" type="button" dataOnly="0" labelOnly="1" outline="0" axis="axisRow" fieldPosition="4"/>
    </format>
    <format dxfId="1234">
      <pivotArea field="12" type="button" dataOnly="0" labelOnly="1" outline="0" axis="axisRow" fieldPosition="5"/>
    </format>
    <format dxfId="1233">
      <pivotArea field="13" type="button" dataOnly="0" labelOnly="1" outline="0" axis="axisRow" fieldPosition="6"/>
    </format>
    <format dxfId="1232">
      <pivotArea field="14" type="button" dataOnly="0" labelOnly="1" outline="0" axis="axisRow" fieldPosition="7"/>
    </format>
    <format dxfId="1231">
      <pivotArea field="15" type="button" dataOnly="0" labelOnly="1" outline="0" axis="axisRow" fieldPosition="8"/>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8D0D71-7FB6-4DE4-818D-83FC8A030333}" name="Cuenta 2" cacheId="43"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A15:A16" firstHeaderRow="1" firstDataRow="1" firstDataCol="0"/>
  <pivotFields count="17">
    <pivotField showAll="0"/>
    <pivotField showAll="0">
      <items count="11">
        <item x="0"/>
        <item h="1" x="1"/>
        <item h="1" x="2"/>
        <item h="1" x="3"/>
        <item h="1" x="4"/>
        <item h="1" x="5"/>
        <item h="1" x="6"/>
        <item h="1" x="7"/>
        <item h="1" x="8"/>
        <item h="1" x="9"/>
        <item t="default"/>
      </items>
    </pivotField>
    <pivotField showAll="0">
      <items count="11">
        <item x="0"/>
        <item h="1" x="1"/>
        <item h="1" x="2"/>
        <item h="1" x="3"/>
        <item h="1" x="4"/>
        <item h="1" x="5"/>
        <item h="1" x="6"/>
        <item h="1" x="7"/>
        <item h="1" x="8"/>
        <item h="1" x="9"/>
        <item t="default"/>
      </items>
    </pivotField>
    <pivotField dataField="1" showAll="0">
      <items count="63">
        <item x="34"/>
        <item x="51"/>
        <item x="53"/>
        <item x="54"/>
        <item x="50"/>
        <item x="59"/>
        <item x="35"/>
        <item x="31"/>
        <item x="55"/>
        <item x="1"/>
        <item x="41"/>
        <item x="43"/>
        <item x="48"/>
        <item x="49"/>
        <item x="38"/>
        <item x="33"/>
        <item x="27"/>
        <item x="16"/>
        <item x="58"/>
        <item x="39"/>
        <item x="47"/>
        <item x="45"/>
        <item x="42"/>
        <item x="44"/>
        <item x="2"/>
        <item x="37"/>
        <item x="46"/>
        <item x="32"/>
        <item x="30"/>
        <item x="9"/>
        <item x="56"/>
        <item x="52"/>
        <item x="0"/>
        <item x="3"/>
        <item x="4"/>
        <item x="5"/>
        <item x="6"/>
        <item x="8"/>
        <item x="10"/>
        <item x="13"/>
        <item x="20"/>
        <item x="23"/>
        <item x="24"/>
        <item x="12"/>
        <item x="57"/>
        <item x="36"/>
        <item x="15"/>
        <item x="22"/>
        <item x="29"/>
        <item x="25"/>
        <item x="26"/>
        <item x="18"/>
        <item x="61"/>
        <item x="11"/>
        <item x="17"/>
        <item x="21"/>
        <item x="14"/>
        <item x="19"/>
        <item x="28"/>
        <item x="7"/>
        <item x="60"/>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 New Sites" fld="3" subtotal="count" baseField="0" baseItem="0"/>
  </dataFields>
  <formats count="14">
    <format dxfId="703">
      <pivotArea field="3" type="button" dataOnly="0" labelOnly="1" outline="0"/>
    </format>
    <format dxfId="702">
      <pivotArea dataOnly="0" labelOnly="1" outline="0" axis="axisValues" fieldPosition="0"/>
    </format>
    <format dxfId="701">
      <pivotArea outline="0" collapsedLevelsAreSubtotals="1" fieldPosition="0"/>
    </format>
    <format dxfId="700">
      <pivotArea outline="0" collapsedLevelsAreSubtotals="1" fieldPosition="0"/>
    </format>
    <format dxfId="699">
      <pivotArea type="all" dataOnly="0" outline="0" fieldPosition="0"/>
    </format>
    <format dxfId="698">
      <pivotArea outline="0" collapsedLevelsAreSubtotals="1" fieldPosition="0"/>
    </format>
    <format dxfId="697">
      <pivotArea dataOnly="0" labelOnly="1" outline="0" axis="axisValues" fieldPosition="0"/>
    </format>
    <format dxfId="696">
      <pivotArea dataOnly="0" labelOnly="1" outline="0" axis="axisValues" fieldPosition="0"/>
    </format>
    <format dxfId="695">
      <pivotArea type="all" dataOnly="0" outline="0" fieldPosition="0"/>
    </format>
    <format dxfId="694">
      <pivotArea outline="0" collapsedLevelsAreSubtotals="1" fieldPosition="0"/>
    </format>
    <format dxfId="693">
      <pivotArea dataOnly="0" labelOnly="1" outline="0" axis="axisValues" fieldPosition="0"/>
    </format>
    <format dxfId="692">
      <pivotArea type="all" dataOnly="0" outline="0" fieldPosition="0"/>
    </format>
    <format dxfId="691">
      <pivotArea outline="0" collapsedLevelsAreSubtotals="1" fieldPosition="0"/>
    </format>
    <format dxfId="6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5ECC88-ED25-4348-B64B-C235C5CB8BCE}" name="Cambio de Split PT2" cacheId="43"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G19:K80" firstHeaderRow="1" firstDataRow="1" firstDataCol="4"/>
  <pivotFields count="17">
    <pivotField compact="0" outline="0" subtotalTop="0" showAll="0" defaultSubtotal="0"/>
    <pivotField axis="axisRow" compact="0" outline="0" showAll="0" defaultSubtotal="0">
      <items count="10">
        <item h="1" x="3"/>
        <item h="1" x="4"/>
        <item h="1" x="5"/>
        <item h="1" x="6"/>
        <item x="0"/>
        <item h="1" x="1"/>
        <item h="1" x="2"/>
        <item h="1" x="7"/>
        <item h="1" x="8"/>
        <item h="1" x="9"/>
      </items>
    </pivotField>
    <pivotField dataField="1" compact="0" outline="0" showAll="0" defaultSubtotal="0">
      <items count="10">
        <item x="0"/>
        <item h="1" x="1"/>
        <item h="1" x="2"/>
        <item h="1" x="3"/>
        <item h="1" x="4"/>
        <item h="1" x="5"/>
        <item h="1" x="6"/>
        <item h="1" x="7"/>
        <item h="1" x="8"/>
        <item h="1" x="9"/>
      </items>
    </pivotField>
    <pivotField axis="axisRow" compact="0" outline="0" showAll="0" defaultSubtotal="0">
      <items count="62">
        <item x="34"/>
        <item x="50"/>
        <item x="51"/>
        <item x="53"/>
        <item x="54"/>
        <item x="59"/>
        <item x="35"/>
        <item x="31"/>
        <item x="55"/>
        <item x="1"/>
        <item x="41"/>
        <item x="43"/>
        <item x="48"/>
        <item x="49"/>
        <item x="38"/>
        <item x="33"/>
        <item x="27"/>
        <item x="16"/>
        <item x="58"/>
        <item x="39"/>
        <item x="47"/>
        <item x="45"/>
        <item x="42"/>
        <item x="44"/>
        <item x="2"/>
        <item x="37"/>
        <item x="46"/>
        <item x="32"/>
        <item x="30"/>
        <item x="9"/>
        <item x="56"/>
        <item x="52"/>
        <item x="0"/>
        <item x="3"/>
        <item x="4"/>
        <item x="5"/>
        <item x="6"/>
        <item x="8"/>
        <item x="10"/>
        <item x="13"/>
        <item x="20"/>
        <item x="23"/>
        <item x="24"/>
        <item x="12"/>
        <item x="57"/>
        <item x="36"/>
        <item x="15"/>
        <item x="22"/>
        <item x="29"/>
        <item x="25"/>
        <item x="26"/>
        <item x="18"/>
        <item x="61"/>
        <item x="11"/>
        <item x="17"/>
        <item x="21"/>
        <item x="14"/>
        <item x="19"/>
        <item x="28"/>
        <item x="7"/>
        <item x="60"/>
        <item x="40"/>
      </items>
    </pivotField>
    <pivotField name="Log Time" axis="axisRow" compact="0" outline="0" showAll="0" defaultSubtotal="0">
      <items count="8">
        <item x="6"/>
        <item x="1"/>
        <item x="0"/>
        <item x="2"/>
        <item x="4"/>
        <item x="3"/>
        <item x="5"/>
        <item x="7"/>
      </items>
    </pivotField>
    <pivotField compact="0" outline="0" showAll="0" defaultSubtotal="0"/>
    <pivotField axis="axisRow" compact="0" outline="0" showAll="0" defaultSubtotal="0">
      <items count="8">
        <item x="1"/>
        <item x="0"/>
        <item x="2"/>
        <item x="4"/>
        <item x="3"/>
        <item x="5"/>
        <item x="6"/>
        <item x="7"/>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1"/>
    <field x="4"/>
    <field x="3"/>
    <field x="6"/>
  </rowFields>
  <rowItems count="61">
    <i>
      <x v="4"/>
      <x/>
      <x v="2"/>
      <x/>
    </i>
    <i r="2">
      <x v="3"/>
      <x/>
    </i>
    <i r="2">
      <x v="4"/>
      <x/>
    </i>
    <i r="2">
      <x v="8"/>
      <x/>
    </i>
    <i r="2">
      <x v="30"/>
      <x/>
    </i>
    <i r="2">
      <x v="31"/>
      <x/>
    </i>
    <i r="1">
      <x v="1"/>
      <x v="9"/>
      <x/>
    </i>
    <i r="2">
      <x v="15"/>
      <x/>
    </i>
    <i r="2">
      <x v="17"/>
      <x/>
    </i>
    <i r="2">
      <x v="18"/>
      <x/>
    </i>
    <i r="2">
      <x v="24"/>
      <x/>
    </i>
    <i r="2">
      <x v="29"/>
      <x/>
    </i>
    <i r="2">
      <x v="33"/>
      <x/>
    </i>
    <i r="2">
      <x v="34"/>
      <x/>
    </i>
    <i r="2">
      <x v="35"/>
      <x/>
    </i>
    <i r="2">
      <x v="36"/>
      <x/>
    </i>
    <i r="2">
      <x v="37"/>
      <x/>
    </i>
    <i r="2">
      <x v="38"/>
      <x/>
    </i>
    <i r="2">
      <x v="39"/>
      <x/>
    </i>
    <i r="2">
      <x v="40"/>
      <x/>
    </i>
    <i r="2">
      <x v="41"/>
      <x/>
    </i>
    <i r="2">
      <x v="42"/>
      <x/>
    </i>
    <i r="2">
      <x v="43"/>
      <x/>
    </i>
    <i r="2">
      <x v="44"/>
      <x/>
    </i>
    <i r="2">
      <x v="46"/>
      <x/>
    </i>
    <i r="2">
      <x v="47"/>
      <x/>
    </i>
    <i r="2">
      <x v="49"/>
      <x/>
    </i>
    <i r="2">
      <x v="50"/>
      <x/>
    </i>
    <i r="2">
      <x v="51"/>
      <x/>
    </i>
    <i r="2">
      <x v="53"/>
      <x/>
    </i>
    <i r="2">
      <x v="54"/>
      <x/>
    </i>
    <i r="2">
      <x v="55"/>
      <x/>
    </i>
    <i r="2">
      <x v="56"/>
      <x/>
    </i>
    <i r="2">
      <x v="57"/>
      <x/>
    </i>
    <i r="2">
      <x v="59"/>
      <x/>
    </i>
    <i r="2">
      <x v="60"/>
      <x/>
    </i>
    <i r="1">
      <x v="2"/>
      <x v="1"/>
      <x v="1"/>
    </i>
    <i r="2">
      <x v="6"/>
      <x v="1"/>
    </i>
    <i r="2">
      <x v="11"/>
      <x/>
    </i>
    <i r="2">
      <x v="12"/>
      <x v="1"/>
    </i>
    <i r="2">
      <x v="13"/>
      <x v="6"/>
    </i>
    <i r="2">
      <x v="19"/>
      <x v="1"/>
    </i>
    <i r="2">
      <x v="20"/>
      <x v="1"/>
    </i>
    <i r="2">
      <x v="21"/>
      <x v="1"/>
    </i>
    <i r="2">
      <x v="22"/>
      <x v="1"/>
    </i>
    <i r="2">
      <x v="23"/>
      <x v="1"/>
    </i>
    <i r="2">
      <x v="26"/>
      <x v="1"/>
    </i>
    <i r="2">
      <x v="27"/>
      <x v="1"/>
    </i>
    <i r="2">
      <x v="32"/>
      <x v="1"/>
    </i>
    <i r="2">
      <x v="45"/>
      <x v="1"/>
    </i>
    <i r="2">
      <x v="48"/>
      <x v="1"/>
    </i>
    <i r="2">
      <x v="58"/>
      <x v="1"/>
    </i>
    <i r="2">
      <x v="61"/>
      <x v="1"/>
    </i>
    <i r="1">
      <x v="3"/>
      <x v="16"/>
      <x v="2"/>
    </i>
    <i r="1">
      <x v="4"/>
      <x/>
      <x v="3"/>
    </i>
    <i r="2">
      <x v="14"/>
      <x v="3"/>
    </i>
    <i r="2">
      <x v="25"/>
      <x v="3"/>
    </i>
    <i r="1">
      <x v="5"/>
      <x v="5"/>
      <x v="4"/>
    </i>
    <i r="2">
      <x v="7"/>
      <x v="4"/>
    </i>
    <i r="2">
      <x v="28"/>
      <x v="4"/>
    </i>
    <i r="1">
      <x v="6"/>
      <x v="10"/>
      <x v="5"/>
    </i>
  </rowItems>
  <colItems count="1">
    <i/>
  </colItems>
  <dataFields count="1">
    <dataField name="Suma de Station" fld="2" baseField="0" baseItem="0"/>
  </dataFields>
  <formats count="25">
    <format dxfId="728">
      <pivotArea field="3" type="button" dataOnly="0" labelOnly="1" outline="0" axis="axisRow" fieldPosition="2"/>
    </format>
    <format dxfId="727">
      <pivotArea type="all" dataOnly="0" outline="0" fieldPosition="0"/>
    </format>
    <format dxfId="726">
      <pivotArea field="3" type="button" dataOnly="0" labelOnly="1" outline="0" axis="axisRow" fieldPosition="2"/>
    </format>
    <format dxfId="725">
      <pivotArea type="all" dataOnly="0" outline="0" fieldPosition="0"/>
    </format>
    <format dxfId="724">
      <pivotArea field="3" type="button" dataOnly="0" labelOnly="1" outline="0" axis="axisRow" fieldPosition="2"/>
    </format>
    <format dxfId="723">
      <pivotArea dataOnly="0" labelOnly="1" fieldPosition="0">
        <references count="1">
          <reference field="3" count="1">
            <x v="0"/>
          </reference>
        </references>
      </pivotArea>
    </format>
    <format dxfId="722">
      <pivotArea dataOnly="0" labelOnly="1" fieldPosition="0">
        <references count="1">
          <reference field="3" count="2">
            <x v="1"/>
            <x v="2"/>
          </reference>
        </references>
      </pivotArea>
    </format>
    <format dxfId="721">
      <pivotArea dataOnly="0" labelOnly="1" fieldPosition="0">
        <references count="1">
          <reference field="3" count="2">
            <x v="3"/>
            <x v="4"/>
          </reference>
        </references>
      </pivotArea>
    </format>
    <format dxfId="720">
      <pivotArea dataOnly="0" labelOnly="1" fieldPosition="0">
        <references count="1">
          <reference field="3" count="1">
            <x v="0"/>
          </reference>
        </references>
      </pivotArea>
    </format>
    <format dxfId="719">
      <pivotArea dataOnly="0" labelOnly="1" fieldPosition="0">
        <references count="1">
          <reference field="3" count="2">
            <x v="1"/>
            <x v="2"/>
          </reference>
        </references>
      </pivotArea>
    </format>
    <format dxfId="718">
      <pivotArea dataOnly="0" labelOnly="1" fieldPosition="0">
        <references count="1">
          <reference field="3" count="2">
            <x v="3"/>
            <x v="4"/>
          </reference>
        </references>
      </pivotArea>
    </format>
    <format dxfId="717">
      <pivotArea field="3" type="button" dataOnly="0" labelOnly="1" outline="0" axis="axisRow" fieldPosition="2"/>
    </format>
    <format dxfId="716">
      <pivotArea field="6" type="button" dataOnly="0" labelOnly="1" outline="0" axis="axisRow" fieldPosition="3"/>
    </format>
    <format dxfId="715">
      <pivotArea field="4" type="button" dataOnly="0" labelOnly="1" outline="0" axis="axisRow" fieldPosition="1"/>
    </format>
    <format dxfId="714">
      <pivotArea dataOnly="0" labelOnly="1" outline="0" fieldPosition="0">
        <references count="3">
          <reference field="3" count="1" selected="0">
            <x v="2"/>
          </reference>
          <reference field="4" count="1" selected="0">
            <x v="0"/>
          </reference>
          <reference field="6" count="1">
            <x v="0"/>
          </reference>
        </references>
      </pivotArea>
    </format>
    <format dxfId="713">
      <pivotArea dataOnly="0" labelOnly="1" outline="0" fieldPosition="0">
        <references count="3">
          <reference field="3" count="1" selected="0">
            <x v="3"/>
          </reference>
          <reference field="4" count="1" selected="0">
            <x v="0"/>
          </reference>
          <reference field="6" count="1">
            <x v="0"/>
          </reference>
        </references>
      </pivotArea>
    </format>
    <format dxfId="712">
      <pivotArea dataOnly="0" labelOnly="1" outline="0" fieldPosition="0">
        <references count="3">
          <reference field="3" count="1" selected="0">
            <x v="4"/>
          </reference>
          <reference field="4" count="1" selected="0">
            <x v="0"/>
          </reference>
          <reference field="6" count="1">
            <x v="0"/>
          </reference>
        </references>
      </pivotArea>
    </format>
    <format dxfId="711">
      <pivotArea dataOnly="0" labelOnly="1" outline="0" fieldPosition="0">
        <references count="3">
          <reference field="3" count="1" selected="0">
            <x v="1"/>
          </reference>
          <reference field="4" count="1" selected="0">
            <x v="2"/>
          </reference>
          <reference field="6" count="1">
            <x v="1"/>
          </reference>
        </references>
      </pivotArea>
    </format>
    <format dxfId="710">
      <pivotArea dataOnly="0" labelOnly="1" outline="0" fieldPosition="0">
        <references count="3">
          <reference field="3" count="1" selected="0">
            <x v="0"/>
          </reference>
          <reference field="4" count="1" selected="0">
            <x v="4"/>
          </reference>
          <reference field="6" count="1">
            <x v="3"/>
          </reference>
        </references>
      </pivotArea>
    </format>
    <format dxfId="709">
      <pivotArea dataOnly="0" labelOnly="1" outline="0" fieldPosition="0">
        <references count="4">
          <reference field="1" count="0" selected="0"/>
          <reference field="3" count="1" selected="0">
            <x v="2"/>
          </reference>
          <reference field="4" count="1" selected="0">
            <x v="1"/>
          </reference>
          <reference field="6" count="1">
            <x v="1"/>
          </reference>
        </references>
      </pivotArea>
    </format>
    <format dxfId="708">
      <pivotArea dataOnly="0" labelOnly="1" outline="0" fieldPosition="0">
        <references count="4">
          <reference field="1" count="0" selected="0"/>
          <reference field="3" count="1" selected="0">
            <x v="3"/>
          </reference>
          <reference field="4" count="1" selected="0">
            <x v="1"/>
          </reference>
          <reference field="6" count="1">
            <x v="1"/>
          </reference>
        </references>
      </pivotArea>
    </format>
    <format dxfId="707">
      <pivotArea dataOnly="0" labelOnly="1" outline="0" fieldPosition="0">
        <references count="4">
          <reference field="1" count="0" selected="0"/>
          <reference field="3" count="1" selected="0">
            <x v="4"/>
          </reference>
          <reference field="4" count="1" selected="0">
            <x v="1"/>
          </reference>
          <reference field="6" count="1">
            <x v="1"/>
          </reference>
        </references>
      </pivotArea>
    </format>
    <format dxfId="706">
      <pivotArea dataOnly="0" labelOnly="1" outline="0" fieldPosition="0">
        <references count="4">
          <reference field="1" count="0" selected="0"/>
          <reference field="3" count="1" selected="0">
            <x v="6"/>
          </reference>
          <reference field="4" count="1" selected="0">
            <x v="3"/>
          </reference>
          <reference field="6" count="1">
            <x v="2"/>
          </reference>
        </references>
      </pivotArea>
    </format>
    <format dxfId="705">
      <pivotArea dataOnly="0" labelOnly="1" outline="0" fieldPosition="0">
        <references count="4">
          <reference field="1" count="0" selected="0"/>
          <reference field="3" count="1" selected="0">
            <x v="6"/>
          </reference>
          <reference field="4" count="1" selected="0">
            <x v="2"/>
          </reference>
          <reference field="6" count="1">
            <x v="1"/>
          </reference>
        </references>
      </pivotArea>
    </format>
    <format dxfId="704">
      <pivotArea dataOnly="0" labelOnly="1" outline="0" fieldPosition="0">
        <references count="4">
          <reference field="1" count="0" selected="0"/>
          <reference field="3" count="1" selected="0">
            <x v="0"/>
          </reference>
          <reference field="4" count="1" selected="0">
            <x v="4"/>
          </reference>
          <reference field="6" count="1">
            <x v="3"/>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C96D5D-232C-473E-B49D-C80D41EA118E}" name="Cambio de Split" cacheId="43"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A19:E80" firstHeaderRow="1" firstDataRow="1" firstDataCol="4"/>
  <pivotFields count="17">
    <pivotField compact="0" outline="0" subtotalTop="0" showAll="0" defaultSubtotal="0"/>
    <pivotField axis="axisRow" compact="0" outline="0" showAll="0" defaultSubtotal="0">
      <items count="10">
        <item h="1" x="3"/>
        <item h="1" x="4"/>
        <item h="1" x="5"/>
        <item h="1" x="6"/>
        <item x="0"/>
        <item h="1" x="1"/>
        <item h="1" x="2"/>
        <item h="1" x="7"/>
        <item h="1" x="8"/>
        <item h="1" x="9"/>
      </items>
    </pivotField>
    <pivotField dataField="1" compact="0" outline="0" showAll="0" defaultSubtotal="0">
      <items count="10">
        <item x="0"/>
        <item h="1" x="1"/>
        <item h="1" x="2"/>
        <item h="1" x="3"/>
        <item h="1" x="4"/>
        <item h="1" x="5"/>
        <item h="1" x="6"/>
        <item h="1" x="7"/>
        <item h="1" x="8"/>
        <item h="1" x="9"/>
      </items>
    </pivotField>
    <pivotField axis="axisRow" compact="0" outline="0" showAll="0" defaultSubtotal="0">
      <items count="62">
        <item x="34"/>
        <item x="50"/>
        <item x="51"/>
        <item x="53"/>
        <item x="54"/>
        <item x="59"/>
        <item x="35"/>
        <item x="31"/>
        <item x="55"/>
        <item x="1"/>
        <item x="41"/>
        <item x="43"/>
        <item x="48"/>
        <item x="49"/>
        <item x="38"/>
        <item x="33"/>
        <item x="27"/>
        <item x="16"/>
        <item x="58"/>
        <item x="39"/>
        <item x="47"/>
        <item x="45"/>
        <item x="42"/>
        <item x="44"/>
        <item x="2"/>
        <item x="37"/>
        <item x="46"/>
        <item x="32"/>
        <item x="30"/>
        <item x="9"/>
        <item x="56"/>
        <item x="52"/>
        <item x="0"/>
        <item x="3"/>
        <item x="4"/>
        <item x="5"/>
        <item x="6"/>
        <item x="8"/>
        <item x="10"/>
        <item x="13"/>
        <item x="20"/>
        <item x="23"/>
        <item x="24"/>
        <item x="12"/>
        <item x="57"/>
        <item x="36"/>
        <item x="15"/>
        <item x="22"/>
        <item x="29"/>
        <item x="25"/>
        <item x="26"/>
        <item x="18"/>
        <item x="61"/>
        <item x="11"/>
        <item x="17"/>
        <item x="21"/>
        <item x="14"/>
        <item x="19"/>
        <item x="28"/>
        <item x="7"/>
        <item x="60"/>
        <item x="40"/>
      </items>
    </pivotField>
    <pivotField name="Log Time" axis="axisRow" compact="0" outline="0" showAll="0" defaultSubtotal="0">
      <items count="8">
        <item x="6"/>
        <item x="1"/>
        <item x="0"/>
        <item x="2"/>
        <item x="4"/>
        <item x="3"/>
        <item x="5"/>
        <item x="7"/>
      </items>
    </pivotField>
    <pivotField compact="0" outline="0" showAll="0" defaultSubtotal="0"/>
    <pivotField axis="axisRow" compact="0" outline="0" showAll="0" sortType="ascending" defaultSubtotal="0">
      <items count="8">
        <item x="3"/>
        <item x="5"/>
        <item x="1"/>
        <item x="6"/>
        <item x="0"/>
        <item x="2"/>
        <item x="4"/>
        <item x="7"/>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1"/>
    <field x="4"/>
    <field x="3"/>
    <field x="6"/>
  </rowFields>
  <rowItems count="61">
    <i>
      <x v="4"/>
      <x/>
      <x v="2"/>
      <x v="2"/>
    </i>
    <i r="2">
      <x v="3"/>
      <x v="2"/>
    </i>
    <i r="2">
      <x v="4"/>
      <x v="2"/>
    </i>
    <i r="2">
      <x v="8"/>
      <x v="2"/>
    </i>
    <i r="2">
      <x v="30"/>
      <x v="2"/>
    </i>
    <i r="2">
      <x v="31"/>
      <x v="2"/>
    </i>
    <i r="1">
      <x v="1"/>
      <x v="9"/>
      <x v="2"/>
    </i>
    <i r="2">
      <x v="15"/>
      <x v="2"/>
    </i>
    <i r="2">
      <x v="17"/>
      <x v="2"/>
    </i>
    <i r="2">
      <x v="18"/>
      <x v="2"/>
    </i>
    <i r="2">
      <x v="24"/>
      <x v="2"/>
    </i>
    <i r="2">
      <x v="29"/>
      <x v="2"/>
    </i>
    <i r="2">
      <x v="33"/>
      <x v="2"/>
    </i>
    <i r="2">
      <x v="34"/>
      <x v="2"/>
    </i>
    <i r="2">
      <x v="35"/>
      <x v="2"/>
    </i>
    <i r="2">
      <x v="36"/>
      <x v="2"/>
    </i>
    <i r="2">
      <x v="37"/>
      <x v="2"/>
    </i>
    <i r="2">
      <x v="38"/>
      <x v="2"/>
    </i>
    <i r="2">
      <x v="39"/>
      <x v="2"/>
    </i>
    <i r="2">
      <x v="40"/>
      <x v="2"/>
    </i>
    <i r="2">
      <x v="41"/>
      <x v="2"/>
    </i>
    <i r="2">
      <x v="42"/>
      <x v="2"/>
    </i>
    <i r="2">
      <x v="43"/>
      <x v="2"/>
    </i>
    <i r="2">
      <x v="44"/>
      <x v="2"/>
    </i>
    <i r="2">
      <x v="46"/>
      <x v="2"/>
    </i>
    <i r="2">
      <x v="47"/>
      <x v="2"/>
    </i>
    <i r="2">
      <x v="49"/>
      <x v="2"/>
    </i>
    <i r="2">
      <x v="50"/>
      <x v="2"/>
    </i>
    <i r="2">
      <x v="51"/>
      <x v="2"/>
    </i>
    <i r="2">
      <x v="53"/>
      <x v="2"/>
    </i>
    <i r="2">
      <x v="54"/>
      <x v="2"/>
    </i>
    <i r="2">
      <x v="55"/>
      <x v="2"/>
    </i>
    <i r="2">
      <x v="56"/>
      <x v="2"/>
    </i>
    <i r="2">
      <x v="57"/>
      <x v="2"/>
    </i>
    <i r="2">
      <x v="59"/>
      <x v="2"/>
    </i>
    <i r="2">
      <x v="60"/>
      <x v="2"/>
    </i>
    <i r="1">
      <x v="2"/>
      <x v="1"/>
      <x v="4"/>
    </i>
    <i r="2">
      <x v="6"/>
      <x v="4"/>
    </i>
    <i r="2">
      <x v="11"/>
      <x v="2"/>
    </i>
    <i r="2">
      <x v="12"/>
      <x v="4"/>
    </i>
    <i r="2">
      <x v="13"/>
      <x v="3"/>
    </i>
    <i r="2">
      <x v="19"/>
      <x v="4"/>
    </i>
    <i r="2">
      <x v="20"/>
      <x v="4"/>
    </i>
    <i r="2">
      <x v="21"/>
      <x v="4"/>
    </i>
    <i r="2">
      <x v="22"/>
      <x v="4"/>
    </i>
    <i r="2">
      <x v="23"/>
      <x v="4"/>
    </i>
    <i r="2">
      <x v="26"/>
      <x v="4"/>
    </i>
    <i r="2">
      <x v="27"/>
      <x v="4"/>
    </i>
    <i r="2">
      <x v="32"/>
      <x v="4"/>
    </i>
    <i r="2">
      <x v="45"/>
      <x v="4"/>
    </i>
    <i r="2">
      <x v="48"/>
      <x v="4"/>
    </i>
    <i r="2">
      <x v="58"/>
      <x v="4"/>
    </i>
    <i r="2">
      <x v="61"/>
      <x v="4"/>
    </i>
    <i r="1">
      <x v="3"/>
      <x v="16"/>
      <x v="5"/>
    </i>
    <i r="1">
      <x v="4"/>
      <x/>
      <x v="6"/>
    </i>
    <i r="2">
      <x v="14"/>
      <x v="6"/>
    </i>
    <i r="2">
      <x v="25"/>
      <x v="6"/>
    </i>
    <i r="1">
      <x v="5"/>
      <x v="5"/>
      <x/>
    </i>
    <i r="2">
      <x v="7"/>
      <x/>
    </i>
    <i r="2">
      <x v="28"/>
      <x/>
    </i>
    <i r="1">
      <x v="6"/>
      <x v="10"/>
      <x v="1"/>
    </i>
  </rowItems>
  <colItems count="1">
    <i/>
  </colItems>
  <dataFields count="1">
    <dataField name="Suma de Station" fld="2" baseField="0" baseItem="0"/>
  </dataFields>
  <formats count="34">
    <format dxfId="762">
      <pivotArea field="3" type="button" dataOnly="0" labelOnly="1" outline="0" axis="axisRow" fieldPosition="2"/>
    </format>
    <format dxfId="761">
      <pivotArea type="all" dataOnly="0" outline="0" fieldPosition="0"/>
    </format>
    <format dxfId="760">
      <pivotArea field="3" type="button" dataOnly="0" labelOnly="1" outline="0" axis="axisRow" fieldPosition="2"/>
    </format>
    <format dxfId="759">
      <pivotArea type="all" dataOnly="0" outline="0" fieldPosition="0"/>
    </format>
    <format dxfId="758">
      <pivotArea field="3" type="button" dataOnly="0" labelOnly="1" outline="0" axis="axisRow" fieldPosition="2"/>
    </format>
    <format dxfId="757">
      <pivotArea dataOnly="0" labelOnly="1" fieldPosition="0">
        <references count="1">
          <reference field="3" count="1">
            <x v="0"/>
          </reference>
        </references>
      </pivotArea>
    </format>
    <format dxfId="756">
      <pivotArea dataOnly="0" labelOnly="1" fieldPosition="0">
        <references count="1">
          <reference field="3" count="2">
            <x v="1"/>
            <x v="2"/>
          </reference>
        </references>
      </pivotArea>
    </format>
    <format dxfId="755">
      <pivotArea dataOnly="0" labelOnly="1" fieldPosition="0">
        <references count="1">
          <reference field="3" count="2">
            <x v="3"/>
            <x v="4"/>
          </reference>
        </references>
      </pivotArea>
    </format>
    <format dxfId="754">
      <pivotArea dataOnly="0" labelOnly="1" fieldPosition="0">
        <references count="1">
          <reference field="3" count="1">
            <x v="0"/>
          </reference>
        </references>
      </pivotArea>
    </format>
    <format dxfId="753">
      <pivotArea dataOnly="0" labelOnly="1" fieldPosition="0">
        <references count="1">
          <reference field="3" count="2">
            <x v="1"/>
            <x v="2"/>
          </reference>
        </references>
      </pivotArea>
    </format>
    <format dxfId="752">
      <pivotArea dataOnly="0" labelOnly="1" fieldPosition="0">
        <references count="1">
          <reference field="3" count="2">
            <x v="3"/>
            <x v="4"/>
          </reference>
        </references>
      </pivotArea>
    </format>
    <format dxfId="751">
      <pivotArea field="3" type="button" dataOnly="0" labelOnly="1" outline="0" axis="axisRow" fieldPosition="2"/>
    </format>
    <format dxfId="750">
      <pivotArea field="6" type="button" dataOnly="0" labelOnly="1" outline="0" axis="axisRow" fieldPosition="3"/>
    </format>
    <format dxfId="749">
      <pivotArea field="4" type="button" dataOnly="0" labelOnly="1" outline="0" axis="axisRow" fieldPosition="1"/>
    </format>
    <format dxfId="748">
      <pivotArea dataOnly="0" labelOnly="1" outline="0" fieldPosition="0">
        <references count="1">
          <reference field="4" count="1">
            <x v="0"/>
          </reference>
        </references>
      </pivotArea>
    </format>
    <format dxfId="747">
      <pivotArea dataOnly="0" labelOnly="1" outline="0" fieldPosition="0">
        <references count="2">
          <reference field="1" count="1" selected="0">
            <x v="0"/>
          </reference>
          <reference field="4" count="1">
            <x v="1"/>
          </reference>
        </references>
      </pivotArea>
    </format>
    <format dxfId="746">
      <pivotArea dataOnly="0" labelOnly="1" outline="0" fieldPosition="0">
        <references count="2">
          <reference field="1" count="1" selected="0">
            <x v="0"/>
          </reference>
          <reference field="4" count="1">
            <x v="2"/>
          </reference>
        </references>
      </pivotArea>
    </format>
    <format dxfId="745">
      <pivotArea dataOnly="0" labelOnly="1" outline="0" fieldPosition="0">
        <references count="2">
          <reference field="1" count="1" selected="0">
            <x v="0"/>
          </reference>
          <reference field="4" count="1">
            <x v="3"/>
          </reference>
        </references>
      </pivotArea>
    </format>
    <format dxfId="744">
      <pivotArea dataOnly="0" labelOnly="1" outline="0" fieldPosition="0">
        <references count="2">
          <reference field="1" count="1" selected="0">
            <x v="0"/>
          </reference>
          <reference field="4" count="1">
            <x v="4"/>
          </reference>
        </references>
      </pivotArea>
    </format>
    <format dxfId="743">
      <pivotArea dataOnly="0" labelOnly="1" outline="0" fieldPosition="0">
        <references count="2">
          <reference field="1" count="1" selected="0">
            <x v="1"/>
          </reference>
          <reference field="4" count="1">
            <x v="1"/>
          </reference>
        </references>
      </pivotArea>
    </format>
    <format dxfId="742">
      <pivotArea dataOnly="0" labelOnly="1" outline="0" fieldPosition="0">
        <references count="2">
          <reference field="1" count="1" selected="0">
            <x v="1"/>
          </reference>
          <reference field="4" count="1">
            <x v="2"/>
          </reference>
        </references>
      </pivotArea>
    </format>
    <format dxfId="741">
      <pivotArea dataOnly="0" labelOnly="1" outline="0" fieldPosition="0">
        <references count="2">
          <reference field="1" count="1" selected="0">
            <x v="1"/>
          </reference>
          <reference field="4" count="1">
            <x v="3"/>
          </reference>
        </references>
      </pivotArea>
    </format>
    <format dxfId="740">
      <pivotArea dataOnly="0" labelOnly="1" outline="0" fieldPosition="0">
        <references count="2">
          <reference field="1" count="1" selected="0">
            <x v="1"/>
          </reference>
          <reference field="4" count="1">
            <x v="4"/>
          </reference>
        </references>
      </pivotArea>
    </format>
    <format dxfId="739">
      <pivotArea dataOnly="0" labelOnly="1" outline="0" fieldPosition="0">
        <references count="2">
          <reference field="1" count="1" selected="0">
            <x v="2"/>
          </reference>
          <reference field="4" count="1">
            <x v="1"/>
          </reference>
        </references>
      </pivotArea>
    </format>
    <format dxfId="738">
      <pivotArea dataOnly="0" labelOnly="1" outline="0" fieldPosition="0">
        <references count="2">
          <reference field="1" count="1" selected="0">
            <x v="2"/>
          </reference>
          <reference field="4" count="1">
            <x v="2"/>
          </reference>
        </references>
      </pivotArea>
    </format>
    <format dxfId="737">
      <pivotArea dataOnly="0" outline="0" fieldPosition="0">
        <references count="1">
          <reference field="4" count="1">
            <x v="3"/>
          </reference>
        </references>
      </pivotArea>
    </format>
    <format dxfId="736">
      <pivotArea dataOnly="0" outline="0" fieldPosition="0">
        <references count="1">
          <reference field="4" count="1">
            <x v="4"/>
          </reference>
        </references>
      </pivotArea>
    </format>
    <format dxfId="735">
      <pivotArea dataOnly="0" outline="0" fieldPosition="0">
        <references count="1">
          <reference field="4" count="1">
            <x v="1"/>
          </reference>
        </references>
      </pivotArea>
    </format>
    <format dxfId="734">
      <pivotArea dataOnly="0" outline="0" fieldPosition="0">
        <references count="1">
          <reference field="4" count="1">
            <x v="2"/>
          </reference>
        </references>
      </pivotArea>
    </format>
    <format dxfId="733">
      <pivotArea dataOnly="0" outline="0" fieldPosition="0">
        <references count="1">
          <reference field="4" count="1">
            <x v="4"/>
          </reference>
        </references>
      </pivotArea>
    </format>
    <format dxfId="732">
      <pivotArea dataOnly="0" labelOnly="1" outline="0" fieldPosition="0">
        <references count="2">
          <reference field="1" count="0" selected="0"/>
          <reference field="4" count="5">
            <x v="0"/>
            <x v="1"/>
            <x v="2"/>
            <x v="3"/>
            <x v="4"/>
          </reference>
        </references>
      </pivotArea>
    </format>
    <format dxfId="731">
      <pivotArea dataOnly="0" labelOnly="1" outline="0" fieldPosition="0">
        <references count="3">
          <reference field="1" count="0" selected="0"/>
          <reference field="3" count="2">
            <x v="2"/>
            <x v="3"/>
          </reference>
          <reference field="4" count="1" selected="0">
            <x v="1"/>
          </reference>
        </references>
      </pivotArea>
    </format>
    <format dxfId="730">
      <pivotArea dataOnly="0" labelOnly="1" outline="0" fieldPosition="0">
        <references count="3">
          <reference field="1" count="0" selected="0"/>
          <reference field="3" count="1">
            <x v="6"/>
          </reference>
          <reference field="4" count="1" selected="0">
            <x v="3"/>
          </reference>
        </references>
      </pivotArea>
    </format>
    <format dxfId="729">
      <pivotArea dataOnly="0" labelOnly="1" outline="0" fieldPosition="0">
        <references count="3">
          <reference field="1" count="0" selected="0"/>
          <reference field="3" count="1">
            <x v="6"/>
          </reference>
          <reference field="4" count="1" selected="0">
            <x v="2"/>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044085-6814-4D06-BAE4-95E1F3C4BC1D}" name="H.A. Station" cacheId="53"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rowHeaderCaption="H.A. Station" colHeaderCaption="H.A. Station">
  <location ref="B12:B13" firstHeaderRow="1" firstDataRow="1" firstDataCol="1"/>
  <pivotFields count="8">
    <pivotField showAll="0">
      <items count="9">
        <item x="0"/>
        <item h="1" x="1"/>
        <item h="1" x="2"/>
        <item h="1" x="3"/>
        <item h="1" m="1" x="5"/>
        <item h="1" m="1" x="6"/>
        <item h="1" m="1" x="7"/>
        <item h="1" m="1" x="4"/>
        <item t="default"/>
      </items>
    </pivotField>
    <pivotField axis="axisRow" showAll="0">
      <items count="8">
        <item x="0"/>
        <item h="1" x="2"/>
        <item h="1" x="3"/>
        <item h="1" x="1"/>
        <item h="1" m="1" x="4"/>
        <item h="1" m="1" x="5"/>
        <item h="1" m="1" x="6"/>
        <item t="default"/>
      </items>
    </pivotField>
    <pivotField showAll="0"/>
    <pivotField showAll="0"/>
    <pivotField showAll="0">
      <items count="192">
        <item m="1" x="189"/>
        <item m="1" x="51"/>
        <item m="1" x="41"/>
        <item m="1" x="107"/>
        <item m="1" x="86"/>
        <item m="1" x="70"/>
        <item m="1" x="43"/>
        <item m="1" x="158"/>
        <item m="1" x="52"/>
        <item m="1" x="151"/>
        <item m="1" x="64"/>
        <item m="1" x="163"/>
        <item m="1" x="69"/>
        <item m="1" x="121"/>
        <item m="1" x="123"/>
        <item m="1" x="147"/>
        <item m="1" x="165"/>
        <item m="1" x="184"/>
        <item m="1" x="49"/>
        <item m="1" x="182"/>
        <item m="1" x="55"/>
        <item m="1" x="190"/>
        <item m="1" x="171"/>
        <item m="1" x="65"/>
        <item m="1" x="186"/>
        <item m="1" x="58"/>
        <item m="1" x="87"/>
        <item m="1" x="154"/>
        <item m="1" x="152"/>
        <item m="1" x="88"/>
        <item m="1" x="172"/>
        <item m="1" x="98"/>
        <item m="1" x="155"/>
        <item m="1" x="161"/>
        <item m="1" x="138"/>
        <item m="1" x="45"/>
        <item m="1" x="54"/>
        <item m="1" x="173"/>
        <item m="1" x="185"/>
        <item m="1" x="61"/>
        <item m="1" x="167"/>
        <item m="1" x="46"/>
        <item m="1" x="47"/>
        <item m="1" x="143"/>
        <item m="1" x="100"/>
        <item m="1" x="160"/>
        <item m="1" x="122"/>
        <item m="1" x="175"/>
        <item x="0"/>
        <item m="1" x="145"/>
        <item m="1" x="135"/>
        <item x="1"/>
        <item m="1" x="159"/>
        <item x="2"/>
        <item m="1" x="90"/>
        <item m="1" x="128"/>
        <item m="1" x="170"/>
        <item m="1" x="131"/>
        <item m="1" x="85"/>
        <item m="1" x="169"/>
        <item x="13"/>
        <item x="14"/>
        <item m="1" x="134"/>
        <item m="1" x="99"/>
        <item x="29"/>
        <item x="20"/>
        <item m="1" x="180"/>
        <item x="33"/>
        <item m="1" x="93"/>
        <item m="1" x="109"/>
        <item m="1" x="124"/>
        <item m="1" x="139"/>
        <item m="1" x="130"/>
        <item m="1" x="153"/>
        <item m="1" x="141"/>
        <item m="1" x="111"/>
        <item m="1" x="144"/>
        <item m="1" x="178"/>
        <item x="35"/>
        <item x="6"/>
        <item m="1" x="168"/>
        <item x="23"/>
        <item x="25"/>
        <item m="1" x="80"/>
        <item x="26"/>
        <item m="1" x="92"/>
        <item x="7"/>
        <item x="8"/>
        <item m="1" x="89"/>
        <item m="1" x="105"/>
        <item m="1" x="157"/>
        <item m="1" x="181"/>
        <item m="1" x="127"/>
        <item x="31"/>
        <item x="32"/>
        <item x="10"/>
        <item m="1" x="176"/>
        <item x="27"/>
        <item m="1" x="166"/>
        <item m="1" x="177"/>
        <item m="1" x="50"/>
        <item m="1" x="95"/>
        <item m="1" x="164"/>
        <item m="1" x="62"/>
        <item x="12"/>
        <item m="1" x="183"/>
        <item m="1" x="132"/>
        <item m="1" x="150"/>
        <item m="1" x="126"/>
        <item m="1" x="148"/>
        <item m="1" x="187"/>
        <item m="1" x="137"/>
        <item m="1" x="102"/>
        <item m="1" x="136"/>
        <item m="1" x="162"/>
        <item m="1" x="149"/>
        <item x="15"/>
        <item x="18"/>
        <item m="1" x="156"/>
        <item x="9"/>
        <item m="1" x="140"/>
        <item m="1" x="179"/>
        <item m="1" x="59"/>
        <item m="1" x="174"/>
        <item m="1" x="117"/>
        <item m="1" x="188"/>
        <item m="1" x="113"/>
        <item m="1" x="146"/>
        <item m="1" x="57"/>
        <item m="1" x="40"/>
        <item m="1" x="112"/>
        <item m="1" x="44"/>
        <item m="1" x="103"/>
        <item m="1" x="133"/>
        <item m="1" x="125"/>
        <item m="1" x="97"/>
        <item m="1" x="142"/>
        <item m="1" x="119"/>
        <item m="1" x="129"/>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 t="default"/>
      </items>
    </pivotField>
    <pivotField showAll="0"/>
    <pivotField showAll="0"/>
    <pivotField showAll="0"/>
  </pivotFields>
  <rowFields count="1">
    <field x="1"/>
  </rowFields>
  <rowItems count="1">
    <i>
      <x/>
    </i>
  </rowItems>
  <colItems count="1">
    <i/>
  </colItems>
  <formats count="11">
    <format dxfId="52">
      <pivotArea field="4" type="button" dataOnly="0" labelOnly="1" outline="0"/>
    </format>
    <format dxfId="51">
      <pivotArea dataOnly="0" labelOnly="1" outline="0" axis="axisValues" fieldPosition="0"/>
    </format>
    <format dxfId="50">
      <pivotArea outline="0" collapsedLevelsAreSubtotals="1" fieldPosition="0"/>
    </format>
    <format dxfId="49">
      <pivotArea outline="0" collapsedLevelsAreSubtotals="1" fieldPosition="0"/>
    </format>
    <format dxfId="48">
      <pivotArea field="1" type="button" dataOnly="0" labelOnly="1" outline="0" axis="axisRow" fieldPosition="0"/>
    </format>
    <format dxfId="47">
      <pivotArea field="0" type="button" dataOnly="0" labelOnly="1" outline="0"/>
    </format>
    <format dxfId="46">
      <pivotArea dataOnly="0" labelOnly="1" fieldPosition="0">
        <references count="1">
          <reference field="1" count="0"/>
        </references>
      </pivotArea>
    </format>
    <format dxfId="45">
      <pivotArea dataOnly="0" labelOnly="1" fieldPosition="0">
        <references count="1">
          <reference field="1" count="0"/>
        </references>
      </pivotArea>
    </format>
    <format dxfId="44">
      <pivotArea dataOnly="0" labelOnly="1" fieldPosition="0">
        <references count="1">
          <reference field="1" count="0"/>
        </references>
      </pivotArea>
    </format>
    <format dxfId="43">
      <pivotArea dataOnly="0" labelOnly="1" fieldPosition="0">
        <references count="1">
          <reference field="1" count="0"/>
        </references>
      </pivotArea>
    </format>
    <format dxfId="42">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DDACD8-0973-485D-AD98-59D51CAE48DF}" name="H.A. Split" cacheId="53"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H.A. Split">
  <location ref="A12:A13" firstHeaderRow="1" firstDataRow="2" firstDataCol="0"/>
  <pivotFields count="8">
    <pivotField axis="axisCol" showAll="0">
      <items count="9">
        <item x="0"/>
        <item h="1" x="1"/>
        <item h="1" x="2"/>
        <item h="1" x="3"/>
        <item h="1" m="1" x="5"/>
        <item h="1" m="1" x="6"/>
        <item h="1" m="1" x="7"/>
        <item h="1" m="1" x="4"/>
        <item t="default"/>
      </items>
    </pivotField>
    <pivotField showAll="0">
      <items count="8">
        <item x="0"/>
        <item h="1" x="2"/>
        <item h="1" x="3"/>
        <item h="1" x="1"/>
        <item h="1" m="1" x="4"/>
        <item h="1" m="1" x="5"/>
        <item h="1" m="1" x="6"/>
        <item t="default"/>
      </items>
    </pivotField>
    <pivotField showAll="0"/>
    <pivotField showAll="0"/>
    <pivotField showAll="0">
      <items count="192">
        <item m="1" x="189"/>
        <item m="1" x="51"/>
        <item m="1" x="41"/>
        <item m="1" x="107"/>
        <item m="1" x="86"/>
        <item m="1" x="70"/>
        <item m="1" x="43"/>
        <item m="1" x="158"/>
        <item m="1" x="52"/>
        <item m="1" x="151"/>
        <item m="1" x="64"/>
        <item m="1" x="163"/>
        <item m="1" x="69"/>
        <item m="1" x="121"/>
        <item m="1" x="123"/>
        <item m="1" x="147"/>
        <item m="1" x="165"/>
        <item m="1" x="184"/>
        <item m="1" x="49"/>
        <item m="1" x="182"/>
        <item m="1" x="55"/>
        <item m="1" x="190"/>
        <item m="1" x="171"/>
        <item m="1" x="65"/>
        <item m="1" x="186"/>
        <item m="1" x="58"/>
        <item m="1" x="87"/>
        <item m="1" x="154"/>
        <item m="1" x="152"/>
        <item m="1" x="88"/>
        <item m="1" x="172"/>
        <item m="1" x="98"/>
        <item m="1" x="155"/>
        <item m="1" x="161"/>
        <item m="1" x="138"/>
        <item m="1" x="45"/>
        <item m="1" x="54"/>
        <item m="1" x="173"/>
        <item m="1" x="185"/>
        <item m="1" x="61"/>
        <item m="1" x="167"/>
        <item m="1" x="46"/>
        <item m="1" x="47"/>
        <item m="1" x="143"/>
        <item m="1" x="100"/>
        <item m="1" x="160"/>
        <item m="1" x="122"/>
        <item m="1" x="175"/>
        <item x="0"/>
        <item m="1" x="145"/>
        <item m="1" x="135"/>
        <item x="1"/>
        <item m="1" x="159"/>
        <item x="2"/>
        <item m="1" x="90"/>
        <item m="1" x="128"/>
        <item m="1" x="170"/>
        <item m="1" x="131"/>
        <item m="1" x="85"/>
        <item m="1" x="169"/>
        <item x="13"/>
        <item x="14"/>
        <item m="1" x="134"/>
        <item m="1" x="99"/>
        <item x="29"/>
        <item x="20"/>
        <item m="1" x="180"/>
        <item x="33"/>
        <item m="1" x="93"/>
        <item m="1" x="109"/>
        <item m="1" x="124"/>
        <item m="1" x="139"/>
        <item m="1" x="130"/>
        <item m="1" x="153"/>
        <item m="1" x="141"/>
        <item m="1" x="111"/>
        <item m="1" x="144"/>
        <item m="1" x="178"/>
        <item x="35"/>
        <item x="6"/>
        <item m="1" x="168"/>
        <item x="23"/>
        <item x="25"/>
        <item m="1" x="80"/>
        <item x="26"/>
        <item m="1" x="92"/>
        <item x="7"/>
        <item x="8"/>
        <item m="1" x="89"/>
        <item m="1" x="105"/>
        <item m="1" x="157"/>
        <item m="1" x="181"/>
        <item m="1" x="127"/>
        <item x="31"/>
        <item x="32"/>
        <item x="10"/>
        <item m="1" x="176"/>
        <item x="27"/>
        <item m="1" x="166"/>
        <item m="1" x="177"/>
        <item m="1" x="50"/>
        <item m="1" x="95"/>
        <item m="1" x="164"/>
        <item m="1" x="62"/>
        <item x="12"/>
        <item m="1" x="183"/>
        <item m="1" x="132"/>
        <item m="1" x="150"/>
        <item m="1" x="126"/>
        <item m="1" x="148"/>
        <item m="1" x="187"/>
        <item m="1" x="137"/>
        <item m="1" x="102"/>
        <item m="1" x="136"/>
        <item m="1" x="162"/>
        <item m="1" x="149"/>
        <item x="15"/>
        <item x="18"/>
        <item m="1" x="156"/>
        <item x="9"/>
        <item m="1" x="140"/>
        <item m="1" x="179"/>
        <item m="1" x="59"/>
        <item m="1" x="174"/>
        <item m="1" x="117"/>
        <item m="1" x="188"/>
        <item m="1" x="113"/>
        <item m="1" x="146"/>
        <item m="1" x="57"/>
        <item m="1" x="40"/>
        <item m="1" x="112"/>
        <item m="1" x="44"/>
        <item m="1" x="103"/>
        <item m="1" x="133"/>
        <item m="1" x="125"/>
        <item m="1" x="97"/>
        <item m="1" x="142"/>
        <item m="1" x="119"/>
        <item m="1" x="129"/>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 t="default"/>
      </items>
    </pivotField>
    <pivotField showAll="0"/>
    <pivotField showAll="0"/>
    <pivotField showAll="0"/>
  </pivotFields>
  <rowItems count="1">
    <i/>
  </rowItems>
  <colFields count="1">
    <field x="0"/>
  </colFields>
  <colItems count="1">
    <i>
      <x/>
    </i>
  </colItems>
  <formats count="13">
    <format dxfId="65">
      <pivotArea field="4" type="button" dataOnly="0" labelOnly="1" outline="0"/>
    </format>
    <format dxfId="64">
      <pivotArea dataOnly="0" labelOnly="1" outline="0" axis="axisValues" fieldPosition="0"/>
    </format>
    <format dxfId="63">
      <pivotArea outline="0" collapsedLevelsAreSubtotals="1" fieldPosition="0"/>
    </format>
    <format dxfId="62">
      <pivotArea outline="0" collapsedLevelsAreSubtotals="1" fieldPosition="0"/>
    </format>
    <format dxfId="61">
      <pivotArea field="1" type="button" dataOnly="0" labelOnly="1" outline="0"/>
    </format>
    <format dxfId="60">
      <pivotArea field="0" type="button" dataOnly="0" labelOnly="1" outline="0" axis="axisCol" fieldPosition="0"/>
    </format>
    <format dxfId="59">
      <pivotArea dataOnly="0" labelOnly="1" fieldPosition="0">
        <references count="1">
          <reference field="0" count="0"/>
        </references>
      </pivotArea>
    </format>
    <format dxfId="58">
      <pivotArea dataOnly="0" outline="0" fieldPosition="0">
        <references count="1">
          <reference field="0" count="0"/>
        </references>
      </pivotArea>
    </format>
    <format dxfId="57">
      <pivotArea dataOnly="0" outline="0" fieldPosition="0">
        <references count="1">
          <reference field="0" count="0"/>
        </references>
      </pivotArea>
    </format>
    <format dxfId="56">
      <pivotArea dataOnly="0" labelOnly="1" fieldPosition="0">
        <references count="1">
          <reference field="0" count="0"/>
        </references>
      </pivotArea>
    </format>
    <format dxfId="55">
      <pivotArea dataOnly="0" labelOnly="1" fieldPosition="0">
        <references count="1">
          <reference field="0" count="0"/>
        </references>
      </pivotArea>
    </format>
    <format dxfId="54">
      <pivotArea dataOnly="0" labelOnly="1" fieldPosition="0">
        <references count="1">
          <reference field="0" count="0"/>
        </references>
      </pivotArea>
    </format>
    <format dxfId="53">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5C02183-D962-46E7-9034-5A43F51C81A8}" name="Split Principal" cacheId="53"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A15:D25" firstHeaderRow="1" firstDataRow="1" firstDataCol="3"/>
  <pivotFields count="8">
    <pivotField axis="axisRow" compact="0" outline="0" showAll="0" defaultSubtotal="0">
      <items count="8">
        <item x="0"/>
        <item h="1" x="1"/>
        <item h="1" x="2"/>
        <item h="1" x="3"/>
        <item h="1" m="1" x="5"/>
        <item h="1" m="1" x="6"/>
        <item h="1" m="1" x="7"/>
        <item h="1" m="1" x="4"/>
      </items>
    </pivotField>
    <pivotField dataField="1" compact="0" outline="0" showAll="0" defaultSubtotal="0">
      <items count="7">
        <item x="0"/>
        <item h="1" x="2"/>
        <item h="1" x="3"/>
        <item h="1" x="1"/>
        <item h="1" m="1" x="4"/>
        <item h="1" m="1" x="5"/>
        <item h="1" m="1" x="6"/>
      </items>
    </pivotField>
    <pivotField axis="axisRow" compact="0" outline="0" showAll="0" defaultSubtotal="0">
      <items count="9">
        <item x="6"/>
        <item x="1"/>
        <item x="0"/>
        <item x="2"/>
        <item x="3"/>
        <item x="5"/>
        <item m="1" x="8"/>
        <item m="1" x="7"/>
        <item x="4"/>
      </items>
    </pivotField>
    <pivotField compact="0" outline="0" showAll="0" defaultSubtotal="0">
      <items count="5">
        <item x="1"/>
        <item x="0"/>
        <item x="2"/>
        <item x="3"/>
        <item m="1" x="4"/>
      </items>
    </pivotField>
    <pivotField name="Sites" axis="axisRow" compact="0" outline="0" showAll="0" nonAutoSortDefault="1" defaultSubtotal="0">
      <items count="191">
        <item m="1" x="51"/>
        <item m="1" x="41"/>
        <item m="1" x="43"/>
        <item m="1" x="163"/>
        <item m="1" x="49"/>
        <item m="1" x="55"/>
        <item x="2"/>
        <item m="1" x="85"/>
        <item m="1" x="180"/>
        <item x="25"/>
        <item x="7"/>
        <item x="31"/>
        <item x="32"/>
        <item x="12"/>
        <item x="15"/>
        <item x="9"/>
        <item m="1" x="119"/>
        <item m="1" x="149"/>
        <item m="1" x="177"/>
        <item x="0"/>
        <item m="1" x="122"/>
        <item m="1" x="171"/>
        <item m="1" x="187"/>
        <item m="1" x="50"/>
        <item m="1" x="52"/>
        <item x="13"/>
        <item x="14"/>
        <item m="1" x="178"/>
        <item m="1" x="59"/>
        <item m="1" x="70"/>
        <item x="35"/>
        <item m="1" x="127"/>
        <item x="27"/>
        <item m="1" x="107"/>
        <item x="10"/>
        <item x="20"/>
        <item m="1" x="168"/>
        <item m="1" x="46"/>
        <item m="1" x="47"/>
        <item m="1" x="69"/>
        <item m="1" x="166"/>
        <item m="1" x="61"/>
        <item x="33"/>
        <item m="1" x="100"/>
        <item m="1" x="88"/>
        <item m="1" x="188"/>
        <item m="1" x="189"/>
        <item m="1" x="181"/>
        <item m="1" x="183"/>
        <item m="1" x="153"/>
        <item m="1" x="132"/>
        <item m="1" x="160"/>
        <item x="18"/>
        <item m="1" x="150"/>
        <item m="1" x="109"/>
        <item m="1" x="154"/>
        <item m="1" x="123"/>
        <item m="1" x="182"/>
        <item m="1" x="176"/>
        <item m="1" x="126"/>
        <item m="1" x="139"/>
        <item m="1" x="159"/>
        <item m="1" x="147"/>
        <item x="26"/>
        <item m="1" x="95"/>
        <item m="1" x="111"/>
        <item m="1" x="98"/>
        <item m="1" x="134"/>
        <item m="1" x="99"/>
        <item m="1" x="136"/>
        <item x="1"/>
        <item m="1" x="130"/>
        <item m="1" x="124"/>
        <item x="6"/>
        <item m="1" x="58"/>
        <item m="1" x="128"/>
        <item m="1" x="170"/>
        <item m="1" x="93"/>
        <item m="1" x="156"/>
        <item m="1" x="144"/>
        <item m="1" x="158"/>
        <item m="1" x="186"/>
        <item m="1" x="45"/>
        <item m="1" x="137"/>
        <item m="1" x="173"/>
        <item m="1" x="129"/>
        <item m="1" x="179"/>
        <item m="1" x="140"/>
        <item m="1" x="152"/>
        <item m="1" x="172"/>
        <item m="1" x="155"/>
        <item m="1" x="138"/>
        <item m="1" x="167"/>
        <item m="1" x="143"/>
        <item m="1" x="80"/>
        <item m="1" x="64"/>
        <item m="1" x="174"/>
        <item m="1" x="65"/>
        <item m="1" x="54"/>
        <item m="1" x="117"/>
        <item m="1" x="86"/>
        <item x="8"/>
        <item m="1" x="157"/>
        <item m="1" x="164"/>
        <item m="1" x="148"/>
        <item m="1" x="169"/>
        <item m="1" x="175"/>
        <item m="1" x="131"/>
        <item m="1" x="190"/>
        <item m="1" x="165"/>
        <item m="1" x="184"/>
        <item m="1" x="185"/>
        <item m="1" x="102"/>
        <item m="1" x="89"/>
        <item m="1" x="145"/>
        <item m="1" x="162"/>
        <item x="23"/>
        <item m="1" x="92"/>
        <item m="1" x="161"/>
        <item m="1" x="40"/>
        <item m="1" x="121"/>
        <item m="1" x="44"/>
        <item m="1" x="112"/>
        <item x="29"/>
        <item m="1" x="87"/>
        <item m="1" x="57"/>
        <item m="1" x="125"/>
        <item m="1" x="113"/>
        <item m="1" x="97"/>
        <item m="1" x="62"/>
        <item m="1" x="105"/>
        <item m="1" x="146"/>
        <item m="1" x="103"/>
        <item m="1" x="133"/>
        <item m="1" x="151"/>
        <item m="1" x="90"/>
        <item m="1" x="141"/>
        <item m="1" x="135"/>
        <item m="1" x="142"/>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s>
    </pivotField>
    <pivotField compact="0" outline="0" showAll="0" defaultSubtotal="0">
      <items count="9">
        <item m="1" x="5"/>
        <item x="0"/>
        <item x="1"/>
        <item x="2"/>
        <item x="4"/>
        <item m="1" x="6"/>
        <item m="1" x="8"/>
        <item m="1" x="7"/>
        <item x="3"/>
      </items>
    </pivotField>
    <pivotField compact="0" outline="0" showAll="0" defaultSubtotal="0">
      <items count="10">
        <item x="1"/>
        <item m="1" x="6"/>
        <item x="0"/>
        <item x="2"/>
        <item m="1" x="4"/>
        <item m="1" x="8"/>
        <item m="1" x="7"/>
        <item m="1" x="9"/>
        <item m="1" x="5"/>
        <item x="3"/>
      </items>
    </pivotField>
    <pivotField compact="0" outline="0" showAll="0"/>
  </pivotFields>
  <rowFields count="3">
    <field x="0"/>
    <field x="2"/>
    <field x="4"/>
  </rowFields>
  <rowItems count="10">
    <i>
      <x/>
      <x/>
      <x v="30"/>
    </i>
    <i r="2">
      <x v="181"/>
    </i>
    <i r="2">
      <x v="182"/>
    </i>
    <i r="2">
      <x v="190"/>
    </i>
    <i r="1">
      <x v="2"/>
      <x v="19"/>
    </i>
    <i r="2">
      <x v="141"/>
    </i>
    <i r="1">
      <x v="3"/>
      <x v="9"/>
    </i>
    <i r="1">
      <x v="4"/>
      <x v="167"/>
    </i>
    <i r="2">
      <x v="189"/>
    </i>
    <i r="1">
      <x v="5"/>
      <x v="11"/>
    </i>
  </rowItems>
  <colItems count="1">
    <i/>
  </colItems>
  <dataFields count="1">
    <dataField name="Suma de Station" fld="1" baseField="0" baseItem="0"/>
  </dataFields>
  <formats count="142">
    <format dxfId="207">
      <pivotArea field="4" type="button" dataOnly="0" labelOnly="1" outline="0" axis="axisRow" fieldPosition="2"/>
    </format>
    <format dxfId="206">
      <pivotArea field="4" type="button" dataOnly="0" labelOnly="1" outline="0" axis="axisRow" fieldPosition="2"/>
    </format>
    <format dxfId="205">
      <pivotArea field="3" type="button" dataOnly="0" labelOnly="1" outline="0"/>
    </format>
    <format dxfId="204">
      <pivotArea field="2" type="button" dataOnly="0" labelOnly="1" outline="0" axis="axisRow" fieldPosition="1"/>
    </format>
    <format dxfId="203">
      <pivotArea field="0" type="button" dataOnly="0" labelOnly="1" outline="0" axis="axisRow" fieldPosition="0"/>
    </format>
    <format dxfId="202">
      <pivotArea field="5" type="button" dataOnly="0" labelOnly="1" outline="0"/>
    </format>
    <format dxfId="201">
      <pivotArea field="6" type="button" dataOnly="0" labelOnly="1" outline="0"/>
    </format>
    <format dxfId="200">
      <pivotArea dataOnly="0" labelOnly="1" outline="0" fieldPosition="0">
        <references count="2">
          <reference field="0" count="0" selected="0"/>
          <reference field="2" count="1">
            <x v="0"/>
          </reference>
        </references>
      </pivotArea>
    </format>
    <format dxfId="199">
      <pivotArea dataOnly="0" labelOnly="1" outline="0" fieldPosition="0">
        <references count="2">
          <reference field="0" count="0" selected="0"/>
          <reference field="2" count="1">
            <x v="0"/>
          </reference>
        </references>
      </pivotArea>
    </format>
    <format dxfId="198">
      <pivotArea dataOnly="0" labelOnly="1" outline="0" fieldPosition="0">
        <references count="1">
          <reference field="0" count="0"/>
        </references>
      </pivotArea>
    </format>
    <format dxfId="197">
      <pivotArea dataOnly="0" labelOnly="1" outline="0" fieldPosition="0">
        <references count="2">
          <reference field="0" count="0" selected="0"/>
          <reference field="2" count="1">
            <x v="1"/>
          </reference>
        </references>
      </pivotArea>
    </format>
    <format dxfId="196">
      <pivotArea dataOnly="0" labelOnly="1" outline="0" fieldPosition="0">
        <references count="2">
          <reference field="0" count="0" selected="0"/>
          <reference field="2" count="1">
            <x v="2"/>
          </reference>
        </references>
      </pivotArea>
    </format>
    <format dxfId="195">
      <pivotArea dataOnly="0" labelOnly="1" outline="0" fieldPosition="0">
        <references count="2">
          <reference field="0" count="0" selected="0"/>
          <reference field="2" count="1">
            <x v="3"/>
          </reference>
        </references>
      </pivotArea>
    </format>
    <format dxfId="194">
      <pivotArea dataOnly="0" labelOnly="1" outline="0" fieldPosition="0">
        <references count="2">
          <reference field="0" count="0" selected="0"/>
          <reference field="2" count="1">
            <x v="4"/>
          </reference>
        </references>
      </pivotArea>
    </format>
    <format dxfId="193">
      <pivotArea dataOnly="0" labelOnly="1" outline="0" fieldPosition="0">
        <references count="2">
          <reference field="0" count="0" selected="0"/>
          <reference field="2" count="1">
            <x v="5"/>
          </reference>
        </references>
      </pivotArea>
    </format>
    <format dxfId="192">
      <pivotArea dataOnly="0" labelOnly="1" outline="0" fieldPosition="0">
        <references count="2">
          <reference field="0" count="0" selected="0"/>
          <reference field="2" count="1">
            <x v="6"/>
          </reference>
        </references>
      </pivotArea>
    </format>
    <format dxfId="191">
      <pivotArea dataOnly="0" labelOnly="1" outline="0" fieldPosition="0">
        <references count="2">
          <reference field="0" count="0" selected="0"/>
          <reference field="2" count="1">
            <x v="0"/>
          </reference>
        </references>
      </pivotArea>
    </format>
    <format dxfId="190">
      <pivotArea dataOnly="0" labelOnly="1" outline="0" fieldPosition="0">
        <references count="2">
          <reference field="0" count="0" selected="0"/>
          <reference field="2" count="0"/>
        </references>
      </pivotArea>
    </format>
    <format dxfId="189">
      <pivotArea dataOnly="0" labelOnly="1" outline="0" fieldPosition="0">
        <references count="2">
          <reference field="0" count="0" selected="0"/>
          <reference field="2" count="7">
            <x v="0"/>
            <x v="1"/>
            <x v="2"/>
            <x v="3"/>
            <x v="4"/>
            <x v="5"/>
            <x v="6"/>
          </reference>
        </references>
      </pivotArea>
    </format>
    <format dxfId="188">
      <pivotArea field="5" type="button" dataOnly="0" labelOnly="1" outline="0"/>
    </format>
    <format dxfId="187">
      <pivotArea field="3" type="button" dataOnly="0" labelOnly="1" outline="0"/>
    </format>
    <format dxfId="186">
      <pivotArea dataOnly="0" labelOnly="1" outline="0" fieldPosition="0">
        <references count="2">
          <reference field="0" count="0" selected="0"/>
          <reference field="2" count="1">
            <x v="1"/>
          </reference>
        </references>
      </pivotArea>
    </format>
    <format dxfId="185">
      <pivotArea dataOnly="0" labelOnly="1" outline="0" fieldPosition="0">
        <references count="2">
          <reference field="0" count="0" selected="0"/>
          <reference field="2" count="1">
            <x v="2"/>
          </reference>
        </references>
      </pivotArea>
    </format>
    <format dxfId="184">
      <pivotArea dataOnly="0" labelOnly="1" outline="0" offset="IV2:IV256" fieldPosition="0">
        <references count="1">
          <reference field="0" count="0"/>
        </references>
      </pivotArea>
    </format>
    <format dxfId="183">
      <pivotArea dataOnly="0" labelOnly="1" outline="0" fieldPosition="0">
        <references count="2">
          <reference field="0" count="0" selected="0"/>
          <reference field="2" count="1">
            <x v="3"/>
          </reference>
        </references>
      </pivotArea>
    </format>
    <format dxfId="182">
      <pivotArea dataOnly="0" labelOnly="1" outline="0" fieldPosition="0">
        <references count="2">
          <reference field="0" count="0" selected="0"/>
          <reference field="2" count="1">
            <x v="4"/>
          </reference>
        </references>
      </pivotArea>
    </format>
    <format dxfId="181">
      <pivotArea dataOnly="0" labelOnly="1" outline="0" fieldPosition="0">
        <references count="2">
          <reference field="0" count="0" selected="0"/>
          <reference field="2" count="1">
            <x v="5"/>
          </reference>
        </references>
      </pivotArea>
    </format>
    <format dxfId="180">
      <pivotArea dataOnly="0" labelOnly="1" outline="0" fieldPosition="0">
        <references count="2">
          <reference field="0" count="0" selected="0"/>
          <reference field="2" count="1">
            <x v="6"/>
          </reference>
        </references>
      </pivotArea>
    </format>
    <format dxfId="179">
      <pivotArea dataOnly="0" labelOnly="1" outline="0" offset="IV1" fieldPosition="0">
        <references count="1">
          <reference field="0" count="0"/>
        </references>
      </pivotArea>
    </format>
    <format dxfId="178">
      <pivotArea dataOnly="0" labelOnly="1" outline="0" offset="IV1" fieldPosition="0">
        <references count="1">
          <reference field="0" count="0"/>
        </references>
      </pivotArea>
    </format>
    <format dxfId="177">
      <pivotArea field="4" type="button" dataOnly="0" labelOnly="1" outline="0" axis="axisRow" fieldPosition="2"/>
    </format>
    <format dxfId="176">
      <pivotArea field="0" type="button" dataOnly="0" labelOnly="1" outline="0" axis="axisRow" fieldPosition="0"/>
    </format>
    <format dxfId="175">
      <pivotArea field="2" type="button" dataOnly="0" labelOnly="1" outline="0" axis="axisRow" fieldPosition="1"/>
    </format>
    <format dxfId="174">
      <pivotArea field="4" type="button" dataOnly="0" labelOnly="1" outline="0" axis="axisRow" fieldPosition="2"/>
    </format>
    <format dxfId="173">
      <pivotArea dataOnly="0" labelOnly="1" outline="0" axis="axisValues" fieldPosition="0"/>
    </format>
    <format dxfId="172">
      <pivotArea dataOnly="0" labelOnly="1" outline="0" fieldPosition="0">
        <references count="3">
          <reference field="0" count="0" selected="0"/>
          <reference field="2" count="1" selected="0">
            <x v="3"/>
          </reference>
          <reference field="4" count="5">
            <x v="1"/>
            <x v="9"/>
            <x v="13"/>
            <x v="14"/>
            <x v="119"/>
          </reference>
        </references>
      </pivotArea>
    </format>
    <format dxfId="171">
      <pivotArea dataOnly="0" labelOnly="1" outline="0" fieldPosition="0">
        <references count="3">
          <reference field="0" count="0" selected="0"/>
          <reference field="2" count="1" selected="0">
            <x v="4"/>
          </reference>
          <reference field="4" count="5">
            <x v="0"/>
            <x v="2"/>
            <x v="4"/>
            <x v="7"/>
            <x v="8"/>
          </reference>
        </references>
      </pivotArea>
    </format>
    <format dxfId="170">
      <pivotArea dataOnly="0" labelOnly="1" outline="0" fieldPosition="0">
        <references count="3">
          <reference field="0" count="0" selected="0"/>
          <reference field="2" count="1" selected="0">
            <x v="5"/>
          </reference>
          <reference field="4" count="2">
            <x v="11"/>
            <x v="12"/>
          </reference>
        </references>
      </pivotArea>
    </format>
    <format dxfId="169">
      <pivotArea dataOnly="0" labelOnly="1" outline="0" fieldPosition="0">
        <references count="3">
          <reference field="0" count="0" selected="0"/>
          <reference field="2" count="1" selected="0">
            <x v="0"/>
          </reference>
          <reference field="4" count="1">
            <x v="16"/>
          </reference>
        </references>
      </pivotArea>
    </format>
    <format dxfId="168">
      <pivotArea dataOnly="0" labelOnly="1" outline="0" fieldPosition="0">
        <references count="3">
          <reference field="0" count="0" selected="0"/>
          <reference field="2" count="1" selected="0">
            <x v="2"/>
          </reference>
          <reference field="4" count="3">
            <x v="17"/>
            <x v="19"/>
            <x v="120"/>
          </reference>
        </references>
      </pivotArea>
    </format>
    <format dxfId="167">
      <pivotArea dataOnly="0" labelOnly="1" outline="0" fieldPosition="0">
        <references count="3">
          <reference field="0" count="0" selected="0"/>
          <reference field="2" count="1" selected="0">
            <x v="3"/>
          </reference>
          <reference field="4" count="9">
            <x v="20"/>
            <x v="21"/>
            <x v="23"/>
            <x v="24"/>
            <x v="25"/>
            <x v="26"/>
            <x v="28"/>
            <x v="121"/>
            <x v="122"/>
          </reference>
        </references>
      </pivotArea>
    </format>
    <format dxfId="166">
      <pivotArea dataOnly="0" labelOnly="1" outline="0" fieldPosition="0">
        <references count="3">
          <reference field="0" count="0" selected="0"/>
          <reference field="2" count="1" selected="0">
            <x v="3"/>
          </reference>
          <reference field="4" count="4">
            <x v="33"/>
            <x v="34"/>
            <x v="35"/>
            <x v="36"/>
          </reference>
        </references>
      </pivotArea>
    </format>
    <format dxfId="165">
      <pivotArea dataOnly="0" labelOnly="1" outline="0" fieldPosition="0">
        <references count="3">
          <reference field="0" count="0" selected="0"/>
          <reference field="2" count="1" selected="0">
            <x v="4"/>
          </reference>
          <reference field="4" count="4">
            <x v="37"/>
            <x v="38"/>
            <x v="39"/>
            <x v="123"/>
          </reference>
        </references>
      </pivotArea>
    </format>
    <format dxfId="164">
      <pivotArea dataOnly="0" labelOnly="1" outline="0" fieldPosition="0">
        <references count="3">
          <reference field="0" count="0" selected="0"/>
          <reference field="2" count="1" selected="0">
            <x v="5"/>
          </reference>
          <reference field="4" count="3">
            <x v="41"/>
            <x v="42"/>
            <x v="43"/>
          </reference>
        </references>
      </pivotArea>
    </format>
    <format dxfId="163">
      <pivotArea dataOnly="0" labelOnly="1" outline="0" fieldPosition="0">
        <references count="3">
          <reference field="0" count="0" selected="0"/>
          <reference field="2" count="1" selected="0">
            <x v="6"/>
          </reference>
          <reference field="4" count="2">
            <x v="44"/>
            <x v="124"/>
          </reference>
        </references>
      </pivotArea>
    </format>
    <format dxfId="162">
      <pivotArea dataOnly="0" labelOnly="1" outline="0" fieldPosition="0">
        <references count="3">
          <reference field="0" count="0" selected="0"/>
          <reference field="2" count="1" selected="0">
            <x v="6"/>
          </reference>
          <reference field="4" count="5">
            <x v="80"/>
            <x v="81"/>
            <x v="82"/>
            <x v="83"/>
            <x v="84"/>
          </reference>
        </references>
      </pivotArea>
    </format>
    <format dxfId="161">
      <pivotArea dataOnly="0" labelOnly="1" outline="0" fieldPosition="0">
        <references count="3">
          <reference field="0" count="0" selected="0"/>
          <reference field="2" count="1" selected="0">
            <x v="2"/>
          </reference>
          <reference field="4" count="2">
            <x v="19"/>
            <x v="138"/>
          </reference>
        </references>
      </pivotArea>
    </format>
    <format dxfId="160">
      <pivotArea dataOnly="0" labelOnly="1" outline="0" fieldPosition="0">
        <references count="3">
          <reference field="0" count="0" selected="0"/>
          <reference field="2" count="1" selected="0">
            <x v="3"/>
          </reference>
          <reference field="4" count="6">
            <x v="1"/>
            <x v="24"/>
            <x v="33"/>
            <x v="54"/>
            <x v="119"/>
            <x v="127"/>
          </reference>
        </references>
      </pivotArea>
    </format>
    <format dxfId="159">
      <pivotArea dataOnly="0" labelOnly="1" outline="0" fieldPosition="0">
        <references count="3">
          <reference field="0" count="0" selected="0"/>
          <reference field="2" count="1" selected="0">
            <x v="4"/>
          </reference>
          <reference field="4" count="4">
            <x v="8"/>
            <x v="56"/>
            <x v="123"/>
            <x v="129"/>
          </reference>
        </references>
      </pivotArea>
    </format>
    <format dxfId="158">
      <pivotArea dataOnly="0" labelOnly="1" outline="0" fieldPosition="0">
        <references count="3">
          <reference field="0" count="0" selected="0"/>
          <reference field="2" count="1" selected="0">
            <x v="5"/>
          </reference>
          <reference field="4" count="1">
            <x v="11"/>
          </reference>
        </references>
      </pivotArea>
    </format>
    <format dxfId="157">
      <pivotArea dataOnly="0" labelOnly="1" outline="0" fieldPosition="0">
        <references count="3">
          <reference field="0" count="0" selected="0"/>
          <reference field="2" count="1" selected="0">
            <x v="2"/>
          </reference>
          <reference field="4" count="3">
            <x v="17"/>
            <x v="49"/>
            <x v="72"/>
          </reference>
        </references>
      </pivotArea>
    </format>
    <format dxfId="156">
      <pivotArea dataOnly="0" labelOnly="1" outline="0" fieldPosition="0">
        <references count="3">
          <reference field="0" count="0" selected="0"/>
          <reference field="2" count="1" selected="0">
            <x v="3"/>
          </reference>
          <reference field="4" count="7">
            <x v="9"/>
            <x v="14"/>
            <x v="23"/>
            <x v="35"/>
            <x v="52"/>
            <x v="86"/>
            <x v="128"/>
          </reference>
        </references>
      </pivotArea>
    </format>
    <format dxfId="155">
      <pivotArea dataOnly="0" labelOnly="1" outline="0" fieldPosition="0">
        <references count="3">
          <reference field="0" count="0" selected="0"/>
          <reference field="2" count="1" selected="0">
            <x v="4"/>
          </reference>
          <reference field="4" count="4">
            <x v="4"/>
            <x v="28"/>
            <x v="29"/>
            <x v="98"/>
          </reference>
        </references>
      </pivotArea>
    </format>
    <format dxfId="154">
      <pivotArea dataOnly="0" labelOnly="1" outline="0" fieldPosition="0">
        <references count="3">
          <reference field="0" count="0" selected="0"/>
          <reference field="2" count="1" selected="0">
            <x v="1"/>
          </reference>
          <reference field="4" count="1">
            <x v="113"/>
          </reference>
        </references>
      </pivotArea>
    </format>
    <format dxfId="153">
      <pivotArea dataOnly="0" labelOnly="1" outline="0" fieldPosition="0">
        <references count="3">
          <reference field="0" count="0" selected="0"/>
          <reference field="2" count="1" selected="0">
            <x v="2"/>
          </reference>
          <reference field="4" count="4">
            <x v="19"/>
            <x v="49"/>
            <x v="114"/>
            <x v="137"/>
          </reference>
        </references>
      </pivotArea>
    </format>
    <format dxfId="152">
      <pivotArea dataOnly="0" labelOnly="1" outline="0" fieldPosition="0">
        <references count="3">
          <reference field="0" count="0" selected="0"/>
          <reference field="2" count="1" selected="0">
            <x v="3"/>
          </reference>
          <reference field="4" count="5">
            <x v="14"/>
            <x v="77"/>
            <x v="106"/>
            <x v="116"/>
            <x v="117"/>
          </reference>
        </references>
      </pivotArea>
    </format>
    <format dxfId="151">
      <pivotArea dataOnly="0" labelOnly="1" outline="0" fieldPosition="0">
        <references count="3">
          <reference field="0" count="0" selected="0"/>
          <reference field="2" count="1" selected="0">
            <x v="4"/>
          </reference>
          <reference field="4" count="3">
            <x v="7"/>
            <x v="66"/>
            <x v="118"/>
          </reference>
        </references>
      </pivotArea>
    </format>
    <format dxfId="150">
      <pivotArea dataOnly="0" labelOnly="1" outline="0" fieldPosition="0">
        <references count="3">
          <reference field="0" count="0" selected="0"/>
          <reference field="2" count="1" selected="0">
            <x v="6"/>
          </reference>
          <reference field="4" count="2">
            <x v="83"/>
            <x v="84"/>
          </reference>
        </references>
      </pivotArea>
    </format>
    <format dxfId="149">
      <pivotArea dataOnly="0" labelOnly="1" outline="0" fieldPosition="0">
        <references count="3">
          <reference field="0" count="0" selected="0"/>
          <reference field="2" count="1" selected="0">
            <x v="3"/>
          </reference>
          <reference field="4" count="5">
            <x v="9"/>
            <x v="105"/>
            <x v="106"/>
            <x v="107"/>
            <x v="121"/>
          </reference>
        </references>
      </pivotArea>
    </format>
    <format dxfId="148">
      <pivotArea dataOnly="0" labelOnly="1" outline="0" fieldPosition="0">
        <references count="3">
          <reference field="0" count="0" selected="0"/>
          <reference field="2" count="1" selected="0">
            <x v="3"/>
          </reference>
          <reference field="4" count="8">
            <x v="28"/>
            <x v="89"/>
            <x v="90"/>
            <x v="91"/>
            <x v="92"/>
            <x v="94"/>
            <x v="132"/>
            <x v="133"/>
          </reference>
        </references>
      </pivotArea>
    </format>
    <format dxfId="147">
      <pivotArea dataOnly="0" labelOnly="1" outline="0" fieldPosition="0">
        <references count="3">
          <reference field="0" count="0" selected="0"/>
          <reference field="2" count="1" selected="0">
            <x v="4"/>
          </reference>
          <reference field="4" count="6">
            <x v="2"/>
            <x v="7"/>
            <x v="95"/>
            <x v="97"/>
            <x v="98"/>
            <x v="134"/>
          </reference>
        </references>
      </pivotArea>
    </format>
    <format dxfId="146">
      <pivotArea dataOnly="0" labelOnly="1" outline="0" fieldPosition="0">
        <references count="3">
          <reference field="0" count="0" selected="0"/>
          <reference field="2" count="1" selected="0">
            <x v="6"/>
          </reference>
          <reference field="4" count="1">
            <x v="124"/>
          </reference>
        </references>
      </pivotArea>
    </format>
    <format dxfId="145">
      <pivotArea dataOnly="0" labelOnly="1" outline="0" fieldPosition="0">
        <references count="2">
          <reference field="0" count="0" selected="0"/>
          <reference field="2" count="0"/>
        </references>
      </pivotArea>
    </format>
    <format dxfId="144">
      <pivotArea dataOnly="0" labelOnly="1" outline="0" fieldPosition="0">
        <references count="3">
          <reference field="0" count="0" selected="0"/>
          <reference field="2" count="1" selected="0">
            <x v="0"/>
          </reference>
          <reference field="4" count="1">
            <x v="30"/>
          </reference>
        </references>
      </pivotArea>
    </format>
    <format dxfId="143">
      <pivotArea dataOnly="0" labelOnly="1" outline="0" fieldPosition="0">
        <references count="3">
          <reference field="0" count="0" selected="0"/>
          <reference field="2" count="1" selected="0">
            <x v="1"/>
          </reference>
          <reference field="4" count="1">
            <x v="130"/>
          </reference>
        </references>
      </pivotArea>
    </format>
    <format dxfId="142">
      <pivotArea dataOnly="0" labelOnly="1" outline="0" fieldPosition="0">
        <references count="3">
          <reference field="0" count="0" selected="0"/>
          <reference field="2" count="1" selected="0">
            <x v="2"/>
          </reference>
          <reference field="4" count="5">
            <x v="17"/>
            <x v="70"/>
            <x v="71"/>
            <x v="72"/>
            <x v="73"/>
          </reference>
        </references>
      </pivotArea>
    </format>
    <format dxfId="141">
      <pivotArea dataOnly="0" labelOnly="1" outline="0" fieldPosition="0">
        <references count="3">
          <reference field="0" count="0" selected="0"/>
          <reference field="2" count="1" selected="0">
            <x v="3"/>
          </reference>
          <reference field="4" count="6">
            <x v="14"/>
            <x v="74"/>
            <x v="75"/>
            <x v="76"/>
            <x v="77"/>
            <x v="131"/>
          </reference>
        </references>
      </pivotArea>
    </format>
    <format dxfId="140">
      <pivotArea dataOnly="0" labelOnly="1" outline="0" fieldPosition="0">
        <references count="3">
          <reference field="0" count="0" selected="0"/>
          <reference field="2" count="1" selected="0">
            <x v="4"/>
          </reference>
          <reference field="4" count="6">
            <x v="0"/>
            <x v="29"/>
            <x v="37"/>
            <x v="38"/>
            <x v="39"/>
            <x v="79"/>
          </reference>
        </references>
      </pivotArea>
    </format>
    <format dxfId="139">
      <pivotArea dataOnly="0" labelOnly="1" outline="0" fieldPosition="0">
        <references count="3">
          <reference field="0" count="0" selected="0"/>
          <reference field="2" count="1" selected="0">
            <x v="6"/>
          </reference>
          <reference field="4" count="3">
            <x v="80"/>
            <x v="81"/>
            <x v="100"/>
          </reference>
        </references>
      </pivotArea>
    </format>
    <format dxfId="138">
      <pivotArea dataOnly="0" labelOnly="1" outline="0" fieldPosition="0">
        <references count="2">
          <reference field="0" count="0" selected="0"/>
          <reference field="2" count="6">
            <x v="1"/>
            <x v="2"/>
            <x v="3"/>
            <x v="4"/>
            <x v="5"/>
            <x v="6"/>
          </reference>
        </references>
      </pivotArea>
    </format>
    <format dxfId="137">
      <pivotArea dataOnly="0" labelOnly="1" outline="0" fieldPosition="0">
        <references count="3">
          <reference field="0" count="0" selected="0"/>
          <reference field="2" count="1" selected="0">
            <x v="1"/>
          </reference>
          <reference field="4" count="1">
            <x v="31"/>
          </reference>
        </references>
      </pivotArea>
    </format>
    <format dxfId="136">
      <pivotArea dataOnly="0" labelOnly="1" outline="0" fieldPosition="0">
        <references count="3">
          <reference field="0" count="0" selected="0"/>
          <reference field="2" count="1" selected="0">
            <x v="2"/>
          </reference>
          <reference field="4" count="7">
            <x v="6"/>
            <x v="32"/>
            <x v="34"/>
            <x v="58"/>
            <x v="59"/>
            <x v="60"/>
            <x v="61"/>
          </reference>
        </references>
      </pivotArea>
    </format>
    <format dxfId="135">
      <pivotArea dataOnly="0" labelOnly="1" outline="0" fieldPosition="0">
        <references count="3">
          <reference field="0" count="0" selected="0"/>
          <reference field="2" count="1" selected="0">
            <x v="3"/>
          </reference>
          <reference field="4" count="7">
            <x v="23"/>
            <x v="25"/>
            <x v="26"/>
            <x v="62"/>
            <x v="63"/>
            <x v="64"/>
            <x v="65"/>
          </reference>
        </references>
      </pivotArea>
    </format>
    <format dxfId="134">
      <pivotArea dataOnly="0" labelOnly="1" outline="0" fieldPosition="0">
        <references count="3">
          <reference field="0" count="0" selected="0"/>
          <reference field="2" count="1" selected="0">
            <x v="4"/>
          </reference>
          <reference field="4" count="3">
            <x v="66"/>
            <x v="67"/>
            <x v="68"/>
          </reference>
        </references>
      </pivotArea>
    </format>
    <format dxfId="133">
      <pivotArea dataOnly="0" labelOnly="1" outline="0" fieldPosition="0">
        <references count="3">
          <reference field="0" count="0" selected="0"/>
          <reference field="2" count="1" selected="0">
            <x v="5"/>
          </reference>
          <reference field="4" count="2">
            <x v="12"/>
            <x v="42"/>
          </reference>
        </references>
      </pivotArea>
    </format>
    <format dxfId="132">
      <pivotArea dataOnly="0" labelOnly="1" outline="0" fieldPosition="0">
        <references count="3">
          <reference field="0" count="0" selected="0"/>
          <reference field="2" count="1" selected="0">
            <x v="6"/>
          </reference>
          <reference field="4" count="1">
            <x v="5"/>
          </reference>
        </references>
      </pivotArea>
    </format>
    <format dxfId="131">
      <pivotArea dataOnly="0" labelOnly="1" outline="0" fieldPosition="0">
        <references count="3">
          <reference field="0" count="0" selected="0"/>
          <reference field="2" count="1" selected="0">
            <x v="1"/>
          </reference>
          <reference field="4" count="2">
            <x v="101"/>
            <x v="102"/>
          </reference>
        </references>
      </pivotArea>
    </format>
    <format dxfId="130">
      <pivotArea dataOnly="0" labelOnly="1" outline="0" fieldPosition="0">
        <references count="3">
          <reference field="0" count="0" selected="0"/>
          <reference field="2" count="1" selected="0">
            <x v="2"/>
          </reference>
          <reference field="4" count="3">
            <x v="73"/>
            <x v="135"/>
            <x v="136"/>
          </reference>
        </references>
      </pivotArea>
    </format>
    <format dxfId="129">
      <pivotArea dataOnly="0" labelOnly="1" outline="0" fieldPosition="0">
        <references count="3">
          <reference field="0" count="0" selected="0"/>
          <reference field="2" count="1" selected="0">
            <x v="3"/>
          </reference>
          <reference field="4" count="4">
            <x v="105"/>
            <x v="106"/>
            <x v="107"/>
            <x v="121"/>
          </reference>
        </references>
      </pivotArea>
    </format>
    <format dxfId="128">
      <pivotArea dataOnly="0" labelOnly="1" outline="0" fieldPosition="0">
        <references count="3">
          <reference field="0" count="0" selected="0"/>
          <reference field="2" count="1" selected="0">
            <x v="4"/>
          </reference>
          <reference field="4" count="4">
            <x v="97"/>
            <x v="108"/>
            <x v="109"/>
            <x v="110"/>
          </reference>
        </references>
      </pivotArea>
    </format>
    <format dxfId="127">
      <pivotArea dataOnly="0" labelOnly="1" outline="0" fieldPosition="0">
        <references count="3">
          <reference field="0" count="0" selected="0"/>
          <reference field="2" count="1" selected="0">
            <x v="6"/>
          </reference>
          <reference field="4" count="2">
            <x v="111"/>
            <x v="112"/>
          </reference>
        </references>
      </pivotArea>
    </format>
    <format dxfId="126">
      <pivotArea dataOnly="0" labelOnly="1" outline="0" fieldPosition="0">
        <references count="2">
          <reference field="0" count="0" selected="0"/>
          <reference field="2" count="5">
            <x v="1"/>
            <x v="2"/>
            <x v="3"/>
            <x v="4"/>
            <x v="5"/>
          </reference>
        </references>
      </pivotArea>
    </format>
    <format dxfId="125">
      <pivotArea dataOnly="0" labelOnly="1" outline="0" fieldPosition="0">
        <references count="3">
          <reference field="0" count="0" selected="0"/>
          <reference field="2" count="1" selected="0">
            <x v="1"/>
          </reference>
          <reference field="4" count="2">
            <x v="10"/>
            <x v="15"/>
          </reference>
        </references>
      </pivotArea>
    </format>
    <format dxfId="124">
      <pivotArea dataOnly="0" labelOnly="1" outline="0" fieldPosition="0">
        <references count="3">
          <reference field="0" count="0" selected="0"/>
          <reference field="2" count="1" selected="0">
            <x v="2"/>
          </reference>
          <reference field="4" count="2">
            <x v="86"/>
            <x v="87"/>
          </reference>
        </references>
      </pivotArea>
    </format>
    <format dxfId="123">
      <pivotArea dataOnly="0" labelOnly="1" outline="0" fieldPosition="0">
        <references count="3">
          <reference field="0" count="0" selected="0"/>
          <reference field="2" count="1" selected="0">
            <x v="3"/>
          </reference>
          <reference field="4" count="5">
            <x v="28"/>
            <x v="90"/>
            <x v="92"/>
            <x v="94"/>
            <x v="132"/>
          </reference>
        </references>
      </pivotArea>
    </format>
    <format dxfId="122">
      <pivotArea dataOnly="0" labelOnly="1" outline="0" fieldPosition="0">
        <references count="3">
          <reference field="0" count="0" selected="0"/>
          <reference field="2" count="1" selected="0">
            <x v="4"/>
          </reference>
          <reference field="4" count="4">
            <x v="2"/>
            <x v="95"/>
            <x v="97"/>
            <x v="98"/>
          </reference>
        </references>
      </pivotArea>
    </format>
    <format dxfId="121">
      <pivotArea outline="0" collapsedLevelsAreSubtotals="1" fieldPosition="0"/>
    </format>
    <format dxfId="120">
      <pivotArea dataOnly="0" labelOnly="1" outline="0" fieldPosition="0">
        <references count="1">
          <reference field="0" count="0"/>
        </references>
      </pivotArea>
    </format>
    <format dxfId="119">
      <pivotArea dataOnly="0" labelOnly="1" outline="0" fieldPosition="0">
        <references count="2">
          <reference field="0" count="0" selected="0"/>
          <reference field="2" count="6">
            <x v="0"/>
            <x v="1"/>
            <x v="2"/>
            <x v="3"/>
            <x v="4"/>
            <x v="6"/>
          </reference>
        </references>
      </pivotArea>
    </format>
    <format dxfId="118">
      <pivotArea dataOnly="0" labelOnly="1" outline="0" fieldPosition="0">
        <references count="3">
          <reference field="0" count="0" selected="0"/>
          <reference field="2" count="1" selected="0">
            <x v="0"/>
          </reference>
          <reference field="4" count="1">
            <x v="125"/>
          </reference>
        </references>
      </pivotArea>
    </format>
    <format dxfId="117">
      <pivotArea dataOnly="0" labelOnly="1" outline="0" fieldPosition="0">
        <references count="3">
          <reference field="0" count="0" selected="0"/>
          <reference field="2" count="1" selected="0">
            <x v="1"/>
          </reference>
          <reference field="4" count="1">
            <x v="47"/>
          </reference>
        </references>
      </pivotArea>
    </format>
    <format dxfId="116">
      <pivotArea dataOnly="0" labelOnly="1" outline="0" fieldPosition="0">
        <references count="3">
          <reference field="0" count="0" selected="0"/>
          <reference field="2" count="1" selected="0">
            <x v="2"/>
          </reference>
          <reference field="4" count="1">
            <x v="19"/>
          </reference>
        </references>
      </pivotArea>
    </format>
    <format dxfId="115">
      <pivotArea dataOnly="0" labelOnly="1" outline="0" fieldPosition="0">
        <references count="3">
          <reference field="0" count="0" selected="0"/>
          <reference field="2" count="1" selected="0">
            <x v="3"/>
          </reference>
          <reference field="4" count="7">
            <x v="24"/>
            <x v="33"/>
            <x v="35"/>
            <x v="54"/>
            <x v="119"/>
            <x v="127"/>
            <x v="128"/>
          </reference>
        </references>
      </pivotArea>
    </format>
    <format dxfId="114">
      <pivotArea dataOnly="0" labelOnly="1" outline="0" fieldPosition="0">
        <references count="3">
          <reference field="0" count="0" selected="0"/>
          <reference field="2" count="1" selected="0">
            <x v="4"/>
          </reference>
          <reference field="4" count="4">
            <x v="4"/>
            <x v="8"/>
            <x v="56"/>
            <x v="123"/>
          </reference>
        </references>
      </pivotArea>
    </format>
    <format dxfId="113">
      <pivotArea dataOnly="0" labelOnly="1" outline="0" fieldPosition="0">
        <references count="3">
          <reference field="0" count="0" selected="0"/>
          <reference field="2" count="1" selected="0">
            <x v="6"/>
          </reference>
          <reference field="4" count="2">
            <x v="44"/>
            <x v="57"/>
          </reference>
        </references>
      </pivotArea>
    </format>
    <format dxfId="112">
      <pivotArea dataOnly="0" labelOnly="1" outline="0" fieldPosition="0">
        <references count="3">
          <reference field="0" count="0" selected="0"/>
          <reference field="2" count="1" selected="0">
            <x v="0"/>
          </reference>
          <reference field="4" count="1">
            <x v="139"/>
          </reference>
        </references>
      </pivotArea>
    </format>
    <format dxfId="111">
      <pivotArea dataOnly="0" labelOnly="1" outline="0" fieldPosition="0">
        <references count="3">
          <reference field="0" count="0" selected="0"/>
          <reference field="2" count="1" selected="0">
            <x v="2"/>
          </reference>
          <reference field="4" count="1">
            <x v="141"/>
          </reference>
        </references>
      </pivotArea>
    </format>
    <format dxfId="110">
      <pivotArea dataOnly="0" labelOnly="1" outline="0" fieldPosition="0">
        <references count="3">
          <reference field="0" count="0" selected="0"/>
          <reference field="2" count="1" selected="0">
            <x v="4"/>
          </reference>
          <reference field="4" count="1">
            <x v="142"/>
          </reference>
        </references>
      </pivotArea>
    </format>
    <format dxfId="109">
      <pivotArea dataOnly="0" labelOnly="1" outline="0" fieldPosition="0">
        <references count="3">
          <reference field="0" count="0" selected="0"/>
          <reference field="2" count="1" selected="0">
            <x v="3"/>
          </reference>
          <reference field="4" count="1">
            <x v="39"/>
          </reference>
        </references>
      </pivotArea>
    </format>
    <format dxfId="108">
      <pivotArea dataOnly="0" labelOnly="1" outline="0" fieldPosition="0">
        <references count="3">
          <reference field="0" count="0" selected="0"/>
          <reference field="2" count="1" selected="0">
            <x v="5"/>
          </reference>
          <reference field="4" count="1">
            <x v="143"/>
          </reference>
        </references>
      </pivotArea>
    </format>
    <format dxfId="107">
      <pivotArea dataOnly="0" labelOnly="1" outline="0" fieldPosition="0">
        <references count="3">
          <reference field="0" count="0" selected="0"/>
          <reference field="2" count="1" selected="0">
            <x v="2"/>
          </reference>
          <reference field="4" count="1">
            <x v="144"/>
          </reference>
        </references>
      </pivotArea>
    </format>
    <format dxfId="106">
      <pivotArea dataOnly="0" labelOnly="1" outline="0" fieldPosition="0">
        <references count="3">
          <reference field="0" count="0" selected="0"/>
          <reference field="2" count="1" selected="0">
            <x v="3"/>
          </reference>
          <reference field="4" count="1">
            <x v="145"/>
          </reference>
        </references>
      </pivotArea>
    </format>
    <format dxfId="105">
      <pivotArea dataOnly="0" labelOnly="1" outline="0" fieldPosition="0">
        <references count="3">
          <reference field="0" count="0" selected="0"/>
          <reference field="2" count="1" selected="0">
            <x v="4"/>
          </reference>
          <reference field="4" count="1">
            <x v="146"/>
          </reference>
        </references>
      </pivotArea>
    </format>
    <format dxfId="104">
      <pivotArea dataOnly="0" labelOnly="1" outline="0" fieldPosition="0">
        <references count="3">
          <reference field="0" count="0" selected="0"/>
          <reference field="2" count="1" selected="0">
            <x v="5"/>
          </reference>
          <reference field="4" count="1">
            <x v="147"/>
          </reference>
        </references>
      </pivotArea>
    </format>
    <format dxfId="103">
      <pivotArea dataOnly="0" labelOnly="1" outline="0" fieldPosition="0">
        <references count="3">
          <reference field="0" count="0" selected="0"/>
          <reference field="2" count="1" selected="0">
            <x v="2"/>
          </reference>
          <reference field="4" count="1">
            <x v="148"/>
          </reference>
        </references>
      </pivotArea>
    </format>
    <format dxfId="102">
      <pivotArea dataOnly="0" labelOnly="1" outline="0" fieldPosition="0">
        <references count="3">
          <reference field="0" count="0" selected="0"/>
          <reference field="2" count="1" selected="0">
            <x v="3"/>
          </reference>
          <reference field="4" count="1">
            <x v="149"/>
          </reference>
        </references>
      </pivotArea>
    </format>
    <format dxfId="101">
      <pivotArea dataOnly="0" labelOnly="1" outline="0" fieldPosition="0">
        <references count="3">
          <reference field="0" count="0" selected="0"/>
          <reference field="2" count="1" selected="0">
            <x v="4"/>
          </reference>
          <reference field="4" count="1">
            <x v="150"/>
          </reference>
        </references>
      </pivotArea>
    </format>
    <format dxfId="100">
      <pivotArea dataOnly="0" labelOnly="1" outline="0" fieldPosition="0">
        <references count="3">
          <reference field="0" count="0" selected="0"/>
          <reference field="2" count="1" selected="0">
            <x v="2"/>
          </reference>
          <reference field="4" count="1">
            <x v="151"/>
          </reference>
        </references>
      </pivotArea>
    </format>
    <format dxfId="99">
      <pivotArea dataOnly="0" labelOnly="1" outline="0" fieldPosition="0">
        <references count="3">
          <reference field="0" count="0" selected="0"/>
          <reference field="2" count="1" selected="0">
            <x v="2"/>
          </reference>
          <reference field="4" count="1">
            <x v="152"/>
          </reference>
        </references>
      </pivotArea>
    </format>
    <format dxfId="98">
      <pivotArea dataOnly="0" labelOnly="1" outline="0" fieldPosition="0">
        <references count="3">
          <reference field="0" count="0" selected="0"/>
          <reference field="2" count="1" selected="0">
            <x v="3"/>
          </reference>
          <reference field="4" count="1">
            <x v="154"/>
          </reference>
        </references>
      </pivotArea>
    </format>
    <format dxfId="97">
      <pivotArea dataOnly="0" labelOnly="1" outline="0" fieldPosition="0">
        <references count="3">
          <reference field="0" count="0" selected="0"/>
          <reference field="2" count="1" selected="0">
            <x v="4"/>
          </reference>
          <reference field="4" count="1">
            <x v="155"/>
          </reference>
        </references>
      </pivotArea>
    </format>
    <format dxfId="96">
      <pivotArea dataOnly="0" labelOnly="1" outline="0" fieldPosition="0">
        <references count="3">
          <reference field="0" count="0" selected="0"/>
          <reference field="2" count="1" selected="0">
            <x v="8"/>
          </reference>
          <reference field="4" count="1">
            <x v="153"/>
          </reference>
        </references>
      </pivotArea>
    </format>
    <format dxfId="95">
      <pivotArea dataOnly="0" labelOnly="1" outline="0" fieldPosition="0">
        <references count="3">
          <reference field="0" count="0" selected="0"/>
          <reference field="2" count="1" selected="0">
            <x v="1"/>
          </reference>
          <reference field="4" count="1">
            <x v="156"/>
          </reference>
        </references>
      </pivotArea>
    </format>
    <format dxfId="94">
      <pivotArea dataOnly="0" labelOnly="1" outline="0" fieldPosition="0">
        <references count="3">
          <reference field="0" count="0" selected="0"/>
          <reference field="2" count="1" selected="0">
            <x v="2"/>
          </reference>
          <reference field="4" count="1">
            <x v="157"/>
          </reference>
        </references>
      </pivotArea>
    </format>
    <format dxfId="93">
      <pivotArea dataOnly="0" labelOnly="1" outline="0" fieldPosition="0">
        <references count="3">
          <reference field="0" count="0" selected="0"/>
          <reference field="2" count="1" selected="0">
            <x v="3"/>
          </reference>
          <reference field="4" count="1">
            <x v="158"/>
          </reference>
        </references>
      </pivotArea>
    </format>
    <format dxfId="92">
      <pivotArea dataOnly="0" labelOnly="1" outline="0" fieldPosition="0">
        <references count="3">
          <reference field="0" count="0" selected="0"/>
          <reference field="2" count="1" selected="0">
            <x v="3"/>
          </reference>
          <reference field="4" count="4">
            <x v="159"/>
            <x v="160"/>
            <x v="161"/>
            <x v="162"/>
          </reference>
        </references>
      </pivotArea>
    </format>
    <format dxfId="91">
      <pivotArea dataOnly="0" labelOnly="1" outline="0" fieldPosition="0">
        <references count="3">
          <reference field="0" count="0" selected="0"/>
          <reference field="2" count="1" selected="0">
            <x v="4"/>
          </reference>
          <reference field="4" count="3">
            <x v="97"/>
            <x v="163"/>
            <x v="164"/>
          </reference>
        </references>
      </pivotArea>
    </format>
    <format dxfId="90">
      <pivotArea dataOnly="0" labelOnly="1" outline="0" fieldPosition="0">
        <references count="3">
          <reference field="0" count="0" selected="0"/>
          <reference field="2" count="1" selected="0">
            <x v="3"/>
          </reference>
          <reference field="4" count="4">
            <x v="165"/>
            <x v="166"/>
            <x v="167"/>
            <x v="168"/>
          </reference>
        </references>
      </pivotArea>
    </format>
    <format dxfId="89">
      <pivotArea dataOnly="0" labelOnly="1" outline="0" fieldPosition="0">
        <references count="3">
          <reference field="0" count="0" selected="0"/>
          <reference field="2" count="1" selected="0">
            <x v="4"/>
          </reference>
          <reference field="4" count="2">
            <x v="66"/>
            <x v="68"/>
          </reference>
        </references>
      </pivotArea>
    </format>
    <format dxfId="88">
      <pivotArea dataOnly="0" labelOnly="1" outline="0" fieldPosition="0">
        <references count="3">
          <reference field="0" count="0" selected="0"/>
          <reference field="2" count="1" selected="0">
            <x v="5"/>
          </reference>
          <reference field="4" count="1">
            <x v="43"/>
          </reference>
        </references>
      </pivotArea>
    </format>
    <format dxfId="87">
      <pivotArea dataOnly="0" labelOnly="1" outline="0" fieldPosition="0">
        <references count="3">
          <reference field="0" count="0" selected="0"/>
          <reference field="2" count="1" selected="0">
            <x v="6"/>
          </reference>
          <reference field="4" count="2">
            <x v="112"/>
            <x v="169"/>
          </reference>
        </references>
      </pivotArea>
    </format>
    <format dxfId="86">
      <pivotArea dataOnly="0" labelOnly="1" outline="0" fieldPosition="0">
        <references count="3">
          <reference field="0" count="0" selected="0"/>
          <reference field="2" count="1" selected="0">
            <x v="2"/>
          </reference>
          <reference field="4" count="1">
            <x v="171"/>
          </reference>
        </references>
      </pivotArea>
    </format>
    <format dxfId="85">
      <pivotArea dataOnly="0" labelOnly="1" outline="0" fieldPosition="0">
        <references count="3">
          <reference field="0" count="0" selected="0"/>
          <reference field="2" count="1" selected="0">
            <x v="3"/>
          </reference>
          <reference field="4" count="7">
            <x v="33"/>
            <x v="54"/>
            <x v="65"/>
            <x v="122"/>
            <x v="127"/>
            <x v="172"/>
            <x v="173"/>
          </reference>
        </references>
      </pivotArea>
    </format>
    <format dxfId="84">
      <pivotArea dataOnly="0" labelOnly="1" outline="0" fieldPosition="0">
        <references count="3">
          <reference field="0" count="0" selected="0"/>
          <reference field="2" count="1" selected="0">
            <x v="4"/>
          </reference>
          <reference field="4" count="4">
            <x v="4"/>
            <x v="174"/>
            <x v="175"/>
            <x v="177"/>
          </reference>
        </references>
      </pivotArea>
    </format>
    <format dxfId="83">
      <pivotArea dataOnly="0" labelOnly="1" outline="0" fieldPosition="0">
        <references count="3">
          <reference field="0" count="0" selected="0"/>
          <reference field="2" count="1" selected="0">
            <x v="5"/>
          </reference>
          <reference field="4" count="2">
            <x v="99"/>
            <x v="176"/>
          </reference>
        </references>
      </pivotArea>
    </format>
    <format dxfId="82">
      <pivotArea dataOnly="0" labelOnly="1" outline="0" fieldPosition="0">
        <references count="3">
          <reference field="0" count="0" selected="0"/>
          <reference field="2" count="1" selected="0">
            <x v="3"/>
          </reference>
          <reference field="4" count="1">
            <x v="170"/>
          </reference>
        </references>
      </pivotArea>
    </format>
    <format dxfId="81">
      <pivotArea dataOnly="0" labelOnly="1" outline="0" fieldPosition="0">
        <references count="3">
          <reference field="0" count="0" selected="0"/>
          <reference field="2" count="1" selected="0">
            <x v="1"/>
          </reference>
          <reference field="4" count="1">
            <x v="10"/>
          </reference>
        </references>
      </pivotArea>
    </format>
    <format dxfId="80">
      <pivotArea dataOnly="0" labelOnly="1" outline="0" fieldPosition="0">
        <references count="3">
          <reference field="0" count="0" selected="0"/>
          <reference field="2" count="1" selected="0">
            <x v="4"/>
          </reference>
          <reference field="4" count="1">
            <x v="146"/>
          </reference>
        </references>
      </pivotArea>
    </format>
    <format dxfId="79">
      <pivotArea dataOnly="0" labelOnly="1" outline="0" fieldPosition="0">
        <references count="3">
          <reference field="0" count="0" selected="0"/>
          <reference field="2" count="1" selected="0">
            <x v="4"/>
          </reference>
          <reference field="4" count="1">
            <x v="142"/>
          </reference>
        </references>
      </pivotArea>
    </format>
    <format dxfId="78">
      <pivotArea dataOnly="0" labelOnly="1" outline="0" fieldPosition="0">
        <references count="3">
          <reference field="0" count="0" selected="0"/>
          <reference field="2" count="1" selected="0">
            <x v="5"/>
          </reference>
          <reference field="4" count="1">
            <x v="41"/>
          </reference>
        </references>
      </pivotArea>
    </format>
    <format dxfId="77">
      <pivotArea dataOnly="0" labelOnly="1" outline="0" fieldPosition="0">
        <references count="3">
          <reference field="0" count="0" selected="0"/>
          <reference field="2" count="1" selected="0">
            <x v="2"/>
          </reference>
          <reference field="4" count="1">
            <x v="178"/>
          </reference>
        </references>
      </pivotArea>
    </format>
    <format dxfId="76">
      <pivotArea dataOnly="0" labelOnly="1" outline="0" fieldPosition="0">
        <references count="3">
          <reference field="0" count="0" selected="0"/>
          <reference field="2" count="1" selected="0">
            <x v="3"/>
          </reference>
          <reference field="4" count="1">
            <x v="179"/>
          </reference>
        </references>
      </pivotArea>
    </format>
    <format dxfId="75">
      <pivotArea dataOnly="0" labelOnly="1" outline="0" fieldPosition="0">
        <references count="3">
          <reference field="0" count="0" selected="0"/>
          <reference field="2" count="1" selected="0">
            <x v="0"/>
          </reference>
          <reference field="4" count="1">
            <x v="182"/>
          </reference>
        </references>
      </pivotArea>
    </format>
    <format dxfId="74">
      <pivotArea dataOnly="0" labelOnly="1" outline="0" fieldPosition="0">
        <references count="3">
          <reference field="0" count="0" selected="0"/>
          <reference field="2" count="1" selected="0">
            <x v="0"/>
          </reference>
          <reference field="4" count="1">
            <x v="181"/>
          </reference>
        </references>
      </pivotArea>
    </format>
    <format dxfId="73">
      <pivotArea dataOnly="0" labelOnly="1" outline="0" fieldPosition="0">
        <references count="3">
          <reference field="0" count="0" selected="0"/>
          <reference field="2" count="1" selected="0">
            <x v="3"/>
          </reference>
          <reference field="4" count="1">
            <x v="185"/>
          </reference>
        </references>
      </pivotArea>
    </format>
    <format dxfId="72">
      <pivotArea dataOnly="0" labelOnly="1" outline="0" fieldPosition="0">
        <references count="3">
          <reference field="0" count="0" selected="0"/>
          <reference field="2" count="1" selected="0">
            <x v="5"/>
          </reference>
          <reference field="4" count="1">
            <x v="186"/>
          </reference>
        </references>
      </pivotArea>
    </format>
    <format dxfId="71">
      <pivotArea dataOnly="0" labelOnly="1" outline="0" fieldPosition="0">
        <references count="3">
          <reference field="0" count="0" selected="0"/>
          <reference field="2" count="1" selected="0">
            <x v="3"/>
          </reference>
          <reference field="4" count="1">
            <x v="180"/>
          </reference>
        </references>
      </pivotArea>
    </format>
    <format dxfId="70">
      <pivotArea dataOnly="0" labelOnly="1" outline="0" fieldPosition="0">
        <references count="3">
          <reference field="0" count="0" selected="0"/>
          <reference field="2" count="1" selected="0">
            <x v="4"/>
          </reference>
          <reference field="4" count="1">
            <x v="187"/>
          </reference>
        </references>
      </pivotArea>
    </format>
    <format dxfId="69">
      <pivotArea dataOnly="0" labelOnly="1" outline="0" fieldPosition="0">
        <references count="3">
          <reference field="0" count="0" selected="0"/>
          <reference field="2" count="1" selected="0">
            <x v="4"/>
          </reference>
          <reference field="4" count="1">
            <x v="188"/>
          </reference>
        </references>
      </pivotArea>
    </format>
    <format dxfId="68">
      <pivotArea dataOnly="0" labelOnly="1" outline="0" fieldPosition="0">
        <references count="3">
          <reference field="0" count="0" selected="0"/>
          <reference field="2" count="1" selected="0">
            <x v="4"/>
          </reference>
          <reference field="4" count="1">
            <x v="189"/>
          </reference>
        </references>
      </pivotArea>
    </format>
    <format dxfId="67">
      <pivotArea dataOnly="0" labelOnly="1" outline="0" fieldPosition="0">
        <references count="3">
          <reference field="0" count="0" selected="0"/>
          <reference field="2" count="1" selected="0">
            <x v="4"/>
          </reference>
          <reference field="4" count="1">
            <x v="167"/>
          </reference>
        </references>
      </pivotArea>
    </format>
    <format dxfId="66">
      <pivotArea dataOnly="0" labelOnly="1" outline="0" fieldPosition="0">
        <references count="3">
          <reference field="0" count="0" selected="0"/>
          <reference field="2" count="1" selected="0">
            <x v="0"/>
          </reference>
          <reference field="4" count="1">
            <x v="190"/>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55B7D2A-3C85-4117-AC36-D65485CEE757}" name="Drop pivot" cacheId="53"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H15:M25" firstHeaderRow="1" firstDataRow="1" firstDataCol="5"/>
  <pivotFields count="8">
    <pivotField compact="0" outline="0" showAll="0" defaultSubtotal="0">
      <items count="8">
        <item x="0"/>
        <item h="1" x="1"/>
        <item h="1" x="2"/>
        <item h="1" x="3"/>
        <item h="1" m="1" x="5"/>
        <item h="1" m="1" x="6"/>
        <item h="1" m="1" x="7"/>
        <item h="1" m="1" x="4"/>
      </items>
    </pivotField>
    <pivotField dataField="1" compact="0" outline="0" showAll="0" defaultSubtotal="0">
      <items count="7">
        <item x="0"/>
        <item h="1" x="2"/>
        <item h="1" x="3"/>
        <item h="1" x="1"/>
        <item h="1" m="1" x="4"/>
        <item h="1" m="1" x="5"/>
        <item h="1" m="1" x="6"/>
      </items>
    </pivotField>
    <pivotField axis="axisRow" compact="0" outline="0" showAll="0" defaultSubtotal="0">
      <items count="9">
        <item x="6"/>
        <item x="1"/>
        <item x="0"/>
        <item x="2"/>
        <item x="3"/>
        <item x="5"/>
        <item m="1" x="8"/>
        <item m="1" x="7"/>
        <item x="4"/>
      </items>
    </pivotField>
    <pivotField axis="axisRow" compact="0" outline="0" showAll="0" sortType="ascending" defaultSubtotal="0">
      <items count="5">
        <item x="1"/>
        <item x="0"/>
        <item x="2"/>
        <item x="3"/>
        <item m="1" x="4"/>
      </items>
    </pivotField>
    <pivotField name="Sites" axis="axisRow" compact="0" outline="0" showAll="0" nonAutoSortDefault="1" defaultSubtotal="0">
      <items count="191">
        <item m="1" x="51"/>
        <item m="1" x="41"/>
        <item m="1" x="43"/>
        <item m="1" x="163"/>
        <item m="1" x="49"/>
        <item m="1" x="55"/>
        <item x="2"/>
        <item m="1" x="85"/>
        <item m="1" x="180"/>
        <item x="25"/>
        <item x="7"/>
        <item x="31"/>
        <item x="32"/>
        <item x="12"/>
        <item x="15"/>
        <item x="9"/>
        <item m="1" x="119"/>
        <item m="1" x="149"/>
        <item m="1" x="177"/>
        <item x="0"/>
        <item m="1" x="122"/>
        <item m="1" x="171"/>
        <item m="1" x="187"/>
        <item m="1" x="50"/>
        <item m="1" x="52"/>
        <item x="13"/>
        <item x="14"/>
        <item m="1" x="178"/>
        <item m="1" x="59"/>
        <item m="1" x="70"/>
        <item x="35"/>
        <item m="1" x="127"/>
        <item x="27"/>
        <item m="1" x="107"/>
        <item x="10"/>
        <item x="20"/>
        <item m="1" x="168"/>
        <item m="1" x="46"/>
        <item m="1" x="47"/>
        <item m="1" x="69"/>
        <item m="1" x="166"/>
        <item m="1" x="61"/>
        <item x="33"/>
        <item m="1" x="100"/>
        <item m="1" x="88"/>
        <item m="1" x="188"/>
        <item m="1" x="189"/>
        <item m="1" x="181"/>
        <item m="1" x="183"/>
        <item m="1" x="153"/>
        <item m="1" x="132"/>
        <item m="1" x="160"/>
        <item x="18"/>
        <item m="1" x="150"/>
        <item m="1" x="109"/>
        <item m="1" x="154"/>
        <item m="1" x="123"/>
        <item m="1" x="182"/>
        <item m="1" x="176"/>
        <item m="1" x="126"/>
        <item m="1" x="139"/>
        <item m="1" x="159"/>
        <item m="1" x="147"/>
        <item x="26"/>
        <item m="1" x="95"/>
        <item m="1" x="111"/>
        <item m="1" x="98"/>
        <item m="1" x="134"/>
        <item m="1" x="99"/>
        <item m="1" x="136"/>
        <item x="1"/>
        <item m="1" x="130"/>
        <item m="1" x="124"/>
        <item x="6"/>
        <item m="1" x="58"/>
        <item m="1" x="128"/>
        <item m="1" x="170"/>
        <item m="1" x="93"/>
        <item m="1" x="156"/>
        <item m="1" x="144"/>
        <item m="1" x="158"/>
        <item m="1" x="186"/>
        <item m="1" x="45"/>
        <item m="1" x="137"/>
        <item m="1" x="173"/>
        <item m="1" x="129"/>
        <item m="1" x="179"/>
        <item m="1" x="140"/>
        <item m="1" x="152"/>
        <item m="1" x="172"/>
        <item m="1" x="155"/>
        <item m="1" x="138"/>
        <item m="1" x="167"/>
        <item m="1" x="143"/>
        <item m="1" x="80"/>
        <item m="1" x="64"/>
        <item m="1" x="174"/>
        <item m="1" x="65"/>
        <item m="1" x="54"/>
        <item m="1" x="117"/>
        <item m="1" x="86"/>
        <item x="8"/>
        <item m="1" x="157"/>
        <item m="1" x="164"/>
        <item m="1" x="148"/>
        <item m="1" x="169"/>
        <item m="1" x="175"/>
        <item m="1" x="131"/>
        <item m="1" x="190"/>
        <item m="1" x="165"/>
        <item m="1" x="184"/>
        <item m="1" x="185"/>
        <item m="1" x="102"/>
        <item m="1" x="89"/>
        <item m="1" x="145"/>
        <item m="1" x="162"/>
        <item x="23"/>
        <item m="1" x="92"/>
        <item m="1" x="161"/>
        <item m="1" x="40"/>
        <item m="1" x="121"/>
        <item m="1" x="44"/>
        <item m="1" x="112"/>
        <item x="29"/>
        <item m="1" x="87"/>
        <item m="1" x="57"/>
        <item m="1" x="125"/>
        <item m="1" x="113"/>
        <item m="1" x="97"/>
        <item m="1" x="62"/>
        <item m="1" x="105"/>
        <item m="1" x="146"/>
        <item m="1" x="103"/>
        <item m="1" x="133"/>
        <item m="1" x="151"/>
        <item m="1" x="90"/>
        <item m="1" x="141"/>
        <item m="1" x="135"/>
        <item m="1" x="142"/>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s>
    </pivotField>
    <pivotField axis="axisRow" compact="0" outline="0" showAll="0" defaultSubtotal="0">
      <items count="9">
        <item m="1" x="5"/>
        <item x="0"/>
        <item x="1"/>
        <item x="2"/>
        <item x="4"/>
        <item m="1" x="6"/>
        <item m="1" x="8"/>
        <item m="1" x="7"/>
        <item x="3"/>
      </items>
    </pivotField>
    <pivotField axis="axisRow" compact="0" outline="0" showAll="0" defaultSubtotal="0">
      <items count="10">
        <item x="1"/>
        <item m="1" x="6"/>
        <item x="0"/>
        <item x="2"/>
        <item m="1" x="4"/>
        <item m="1" x="8"/>
        <item m="1" x="7"/>
        <item m="1" x="9"/>
        <item m="1" x="5"/>
        <item x="3"/>
      </items>
    </pivotField>
    <pivotField compact="0" outline="0" showAll="0"/>
  </pivotFields>
  <rowFields count="5">
    <field x="2"/>
    <field x="4"/>
    <field x="5"/>
    <field x="3"/>
    <field x="6"/>
  </rowFields>
  <rowItems count="10">
    <i>
      <x/>
      <x v="30"/>
      <x v="4"/>
      <x v="2"/>
      <x v="2"/>
    </i>
    <i r="1">
      <x v="181"/>
      <x v="4"/>
      <x v="1"/>
      <x v="2"/>
    </i>
    <i r="1">
      <x v="182"/>
      <x v="4"/>
      <x v="1"/>
      <x v="2"/>
    </i>
    <i r="1">
      <x v="190"/>
      <x v="4"/>
      <x v="1"/>
      <x v="2"/>
    </i>
    <i>
      <x v="2"/>
      <x v="19"/>
      <x v="1"/>
      <x v="1"/>
      <x v="2"/>
    </i>
    <i r="1">
      <x v="141"/>
      <x v="1"/>
      <x v="1"/>
      <x v="3"/>
    </i>
    <i>
      <x v="3"/>
      <x v="9"/>
      <x v="2"/>
      <x/>
      <x v="2"/>
    </i>
    <i>
      <x v="4"/>
      <x v="167"/>
      <x v="2"/>
      <x/>
      <x v="2"/>
    </i>
    <i r="1">
      <x v="189"/>
      <x v="2"/>
      <x/>
      <x v="2"/>
    </i>
    <i>
      <x v="5"/>
      <x v="11"/>
      <x v="3"/>
      <x v="2"/>
      <x v="2"/>
    </i>
  </rowItems>
  <colItems count="1">
    <i/>
  </colItems>
  <dataFields count="1">
    <dataField name="Sum of Station" fld="1" baseField="0" baseItem="0"/>
  </dataFields>
  <formats count="425">
    <format dxfId="632">
      <pivotArea field="4" type="button" dataOnly="0" labelOnly="1" outline="0" axis="axisRow" fieldPosition="1"/>
    </format>
    <format dxfId="631">
      <pivotArea field="4" type="button" dataOnly="0" labelOnly="1" outline="0" axis="axisRow" fieldPosition="1"/>
    </format>
    <format dxfId="630">
      <pivotArea field="3" type="button" dataOnly="0" labelOnly="1" outline="0" axis="axisRow" fieldPosition="3"/>
    </format>
    <format dxfId="629">
      <pivotArea field="2" type="button" dataOnly="0" labelOnly="1" outline="0" axis="axisRow" fieldPosition="0"/>
    </format>
    <format dxfId="628">
      <pivotArea field="0" type="button" dataOnly="0" labelOnly="1" outline="0"/>
    </format>
    <format dxfId="627">
      <pivotArea field="5" type="button" dataOnly="0" labelOnly="1" outline="0" axis="axisRow" fieldPosition="2"/>
    </format>
    <format dxfId="626">
      <pivotArea field="6" type="button" dataOnly="0" labelOnly="1" outline="0" axis="axisRow" fieldPosition="4"/>
    </format>
    <format dxfId="625">
      <pivotArea field="4" type="button" dataOnly="0" labelOnly="1" outline="0" axis="axisRow" fieldPosition="1"/>
    </format>
    <format dxfId="624">
      <pivotArea dataOnly="0" labelOnly="1" outline="0" fieldPosition="0">
        <references count="1">
          <reference field="6" count="0"/>
        </references>
      </pivotArea>
    </format>
    <format dxfId="623">
      <pivotArea field="5" type="button" dataOnly="0" labelOnly="1" outline="0" axis="axisRow" fieldPosition="2"/>
    </format>
    <format dxfId="622">
      <pivotArea field="3" type="button" dataOnly="0" labelOnly="1" outline="0" axis="axisRow" fieldPosition="3"/>
    </format>
    <format dxfId="621">
      <pivotArea dataOnly="0" labelOnly="1" outline="0" fieldPosition="0">
        <references count="1">
          <reference field="5" count="0"/>
        </references>
      </pivotArea>
    </format>
    <format dxfId="620">
      <pivotArea dataOnly="0" labelOnly="1" outline="0" fieldPosition="0">
        <references count="1">
          <reference field="6" count="0"/>
        </references>
      </pivotArea>
    </format>
    <format dxfId="619">
      <pivotArea dataOnly="0" labelOnly="1" outline="0" fieldPosition="0">
        <references count="5">
          <reference field="2" count="1" selected="0">
            <x v="1"/>
          </reference>
          <reference field="3" count="1" selected="0">
            <x v="1"/>
          </reference>
          <reference field="4" count="1" selected="0">
            <x v="6"/>
          </reference>
          <reference field="5" count="1" selected="0">
            <x v="0"/>
          </reference>
          <reference field="6" count="1">
            <x v="0"/>
          </reference>
        </references>
      </pivotArea>
    </format>
    <format dxfId="618">
      <pivotArea dataOnly="0" labelOnly="1" outline="0" fieldPosition="0">
        <references count="5">
          <reference field="2" count="1" selected="0">
            <x v="4"/>
          </reference>
          <reference field="3" count="1" selected="0">
            <x v="2"/>
          </reference>
          <reference field="4" count="1" selected="0">
            <x v="12"/>
          </reference>
          <reference field="5" count="1" selected="0">
            <x v="2"/>
          </reference>
          <reference field="6" count="1">
            <x v="2"/>
          </reference>
        </references>
      </pivotArea>
    </format>
    <format dxfId="617">
      <pivotArea field="2" type="button" dataOnly="0" labelOnly="1" outline="0" axis="axisRow" fieldPosition="0"/>
    </format>
    <format dxfId="616">
      <pivotArea field="4" type="button" dataOnly="0" labelOnly="1" outline="0" axis="axisRow" fieldPosition="1"/>
    </format>
    <format dxfId="615">
      <pivotArea field="5" type="button" dataOnly="0" labelOnly="1" outline="0" axis="axisRow" fieldPosition="2"/>
    </format>
    <format dxfId="614">
      <pivotArea field="3" type="button" dataOnly="0" labelOnly="1" outline="0" axis="axisRow" fieldPosition="3"/>
    </format>
    <format dxfId="613">
      <pivotArea field="6" type="button" dataOnly="0" labelOnly="1" outline="0" axis="axisRow" fieldPosition="4"/>
    </format>
    <format dxfId="612">
      <pivotArea dataOnly="0" labelOnly="1" outline="0" fieldPosition="0">
        <references count="1">
          <reference field="3" count="0"/>
        </references>
      </pivotArea>
    </format>
    <format dxfId="611">
      <pivotArea dataOnly="0" labelOnly="1" outline="0" fieldPosition="0">
        <references count="1">
          <reference field="5" count="0"/>
        </references>
      </pivotArea>
    </format>
    <format dxfId="610">
      <pivotArea dataOnly="0" outline="0" fieldPosition="0">
        <references count="1">
          <reference field="3" count="1">
            <x v="1"/>
          </reference>
        </references>
      </pivotArea>
    </format>
    <format dxfId="609">
      <pivotArea dataOnly="0" labelOnly="1" outline="0" fieldPosition="0">
        <references count="1">
          <reference field="5" count="0"/>
        </references>
      </pivotArea>
    </format>
    <format dxfId="608">
      <pivotArea dataOnly="0" labelOnly="1" outline="0" fieldPosition="0">
        <references count="1">
          <reference field="3" count="0"/>
        </references>
      </pivotArea>
    </format>
    <format dxfId="607">
      <pivotArea dataOnly="0" labelOnly="1" outline="0" fieldPosition="0">
        <references count="3">
          <reference field="2" count="1" selected="0">
            <x v="4"/>
          </reference>
          <reference field="4" count="1" selected="0">
            <x v="68"/>
          </reference>
          <reference field="5" count="1">
            <x v="2"/>
          </reference>
        </references>
      </pivotArea>
    </format>
    <format dxfId="606">
      <pivotArea dataOnly="0" labelOnly="1" outline="0" fieldPosition="0">
        <references count="4">
          <reference field="2" count="1" selected="0">
            <x v="4"/>
          </reference>
          <reference field="3" count="1">
            <x v="2"/>
          </reference>
          <reference field="4" count="1" selected="0">
            <x v="68"/>
          </reference>
          <reference field="5" count="1" selected="0">
            <x v="2"/>
          </reference>
        </references>
      </pivotArea>
    </format>
    <format dxfId="605">
      <pivotArea dataOnly="0" labelOnly="1" outline="0" fieldPosition="0">
        <references count="2">
          <reference field="2" count="1" selected="0">
            <x v="3"/>
          </reference>
          <reference field="4" count="5">
            <x v="1"/>
            <x v="9"/>
            <x v="13"/>
            <x v="14"/>
            <x v="119"/>
          </reference>
        </references>
      </pivotArea>
    </format>
    <format dxfId="604">
      <pivotArea dataOnly="0" labelOnly="1" outline="0" fieldPosition="0">
        <references count="2">
          <reference field="2" count="1" selected="0">
            <x v="4"/>
          </reference>
          <reference field="4" count="5">
            <x v="0"/>
            <x v="2"/>
            <x v="4"/>
            <x v="7"/>
            <x v="8"/>
          </reference>
        </references>
      </pivotArea>
    </format>
    <format dxfId="603">
      <pivotArea dataOnly="0" labelOnly="1" outline="0" fieldPosition="0">
        <references count="2">
          <reference field="2" count="1" selected="0">
            <x v="5"/>
          </reference>
          <reference field="4" count="2">
            <x v="11"/>
            <x v="12"/>
          </reference>
        </references>
      </pivotArea>
    </format>
    <format dxfId="602">
      <pivotArea dataOnly="0" labelOnly="1" outline="0" fieldPosition="0">
        <references count="3">
          <reference field="2" count="1" selected="0">
            <x v="4"/>
          </reference>
          <reference field="4" count="1" selected="0">
            <x v="0"/>
          </reference>
          <reference field="5" count="1">
            <x v="1"/>
          </reference>
        </references>
      </pivotArea>
    </format>
    <format dxfId="601">
      <pivotArea dataOnly="0" labelOnly="1" outline="0" fieldPosition="0">
        <references count="4">
          <reference field="2" count="1" selected="0">
            <x v="4"/>
          </reference>
          <reference field="3" count="1">
            <x v="0"/>
          </reference>
          <reference field="4" count="1" selected="0">
            <x v="0"/>
          </reference>
          <reference field="5" count="1" selected="0">
            <x v="1"/>
          </reference>
        </references>
      </pivotArea>
    </format>
    <format dxfId="600">
      <pivotArea dataOnly="0" labelOnly="1" outline="0" fieldPosition="0">
        <references count="4">
          <reference field="2" count="1" selected="0">
            <x v="6"/>
          </reference>
          <reference field="3" count="1">
            <x v="3"/>
          </reference>
          <reference field="4" count="1" selected="0">
            <x v="5"/>
          </reference>
          <reference field="5" count="1" selected="0">
            <x v="3"/>
          </reference>
        </references>
      </pivotArea>
    </format>
    <format dxfId="599">
      <pivotArea dataOnly="0" labelOnly="1" outline="0" fieldPosition="0">
        <references count="5">
          <reference field="2" count="1" selected="0">
            <x v="3"/>
          </reference>
          <reference field="3" count="1" selected="0">
            <x v="0"/>
          </reference>
          <reference field="4" count="1" selected="0">
            <x v="13"/>
          </reference>
          <reference field="5" count="1" selected="0">
            <x v="1"/>
          </reference>
          <reference field="6" count="1">
            <x v="2"/>
          </reference>
        </references>
      </pivotArea>
    </format>
    <format dxfId="598">
      <pivotArea dataOnly="0" labelOnly="1" outline="0" fieldPosition="0">
        <references count="2">
          <reference field="2" count="1" selected="0">
            <x v="0"/>
          </reference>
          <reference field="4" count="1">
            <x v="16"/>
          </reference>
        </references>
      </pivotArea>
    </format>
    <format dxfId="597">
      <pivotArea dataOnly="0" labelOnly="1" outline="0" fieldPosition="0">
        <references count="2">
          <reference field="2" count="1" selected="0">
            <x v="2"/>
          </reference>
          <reference field="4" count="3">
            <x v="17"/>
            <x v="19"/>
            <x v="120"/>
          </reference>
        </references>
      </pivotArea>
    </format>
    <format dxfId="596">
      <pivotArea dataOnly="0" labelOnly="1" outline="0" fieldPosition="0">
        <references count="2">
          <reference field="2" count="1" selected="0">
            <x v="3"/>
          </reference>
          <reference field="4" count="9">
            <x v="20"/>
            <x v="21"/>
            <x v="23"/>
            <x v="24"/>
            <x v="25"/>
            <x v="26"/>
            <x v="28"/>
            <x v="121"/>
            <x v="122"/>
          </reference>
        </references>
      </pivotArea>
    </format>
    <format dxfId="595">
      <pivotArea dataOnly="0" labelOnly="1" outline="0" fieldPosition="0">
        <references count="3">
          <reference field="2" count="1" selected="0">
            <x v="0"/>
          </reference>
          <reference field="4" count="1" selected="0">
            <x v="16"/>
          </reference>
          <reference field="5" count="1">
            <x v="4"/>
          </reference>
        </references>
      </pivotArea>
    </format>
    <format dxfId="594">
      <pivotArea dataOnly="0" labelOnly="1" outline="0" fieldPosition="0">
        <references count="3">
          <reference field="2" count="1" selected="0">
            <x v="3"/>
          </reference>
          <reference field="4" count="1" selected="0">
            <x v="122"/>
          </reference>
          <reference field="5" count="1">
            <x v="1"/>
          </reference>
        </references>
      </pivotArea>
    </format>
    <format dxfId="593">
      <pivotArea dataOnly="0" labelOnly="1" outline="0" fieldPosition="0">
        <references count="4">
          <reference field="2" count="1" selected="0">
            <x v="0"/>
          </reference>
          <reference field="3" count="1">
            <x v="1"/>
          </reference>
          <reference field="4" count="1" selected="0">
            <x v="16"/>
          </reference>
          <reference field="5" count="1" selected="0">
            <x v="4"/>
          </reference>
        </references>
      </pivotArea>
    </format>
    <format dxfId="592">
      <pivotArea dataOnly="0" labelOnly="1" outline="0" fieldPosition="0">
        <references count="4">
          <reference field="2" count="1" selected="0">
            <x v="3"/>
          </reference>
          <reference field="3" count="1">
            <x v="0"/>
          </reference>
          <reference field="4" count="1" selected="0">
            <x v="122"/>
          </reference>
          <reference field="5" count="1" selected="0">
            <x v="1"/>
          </reference>
        </references>
      </pivotArea>
    </format>
    <format dxfId="591">
      <pivotArea dataOnly="0" labelOnly="1" outline="0" fieldPosition="0">
        <references count="5">
          <reference field="2" count="1" selected="0">
            <x v="0"/>
          </reference>
          <reference field="3" count="1" selected="0">
            <x v="1"/>
          </reference>
          <reference field="4" count="1" selected="0">
            <x v="16"/>
          </reference>
          <reference field="5" count="1" selected="0">
            <x v="4"/>
          </reference>
          <reference field="6" count="1">
            <x v="2"/>
          </reference>
        </references>
      </pivotArea>
    </format>
    <format dxfId="590">
      <pivotArea dataOnly="0" labelOnly="1" outline="0" fieldPosition="0">
        <references count="5">
          <reference field="2" count="1" selected="0">
            <x v="2"/>
          </reference>
          <reference field="3" count="1" selected="0">
            <x v="1"/>
          </reference>
          <reference field="4" count="1" selected="0">
            <x v="120"/>
          </reference>
          <reference field="5" count="1" selected="0">
            <x v="0"/>
          </reference>
          <reference field="6" count="1">
            <x v="2"/>
          </reference>
        </references>
      </pivotArea>
    </format>
    <format dxfId="589">
      <pivotArea dataOnly="0" labelOnly="1" outline="0" fieldPosition="0">
        <references count="5">
          <reference field="2" count="1" selected="0">
            <x v="3"/>
          </reference>
          <reference field="3" count="1" selected="0">
            <x v="1"/>
          </reference>
          <reference field="4" count="1" selected="0">
            <x v="20"/>
          </reference>
          <reference field="5" count="1" selected="0">
            <x v="0"/>
          </reference>
          <reference field="6" count="1">
            <x v="3"/>
          </reference>
        </references>
      </pivotArea>
    </format>
    <format dxfId="588">
      <pivotArea dataOnly="0" labelOnly="1" outline="0" fieldPosition="0">
        <references count="5">
          <reference field="2" count="1" selected="0">
            <x v="3"/>
          </reference>
          <reference field="3" count="1" selected="0">
            <x v="1"/>
          </reference>
          <reference field="4" count="1" selected="0">
            <x v="21"/>
          </reference>
          <reference field="5" count="1" selected="0">
            <x v="0"/>
          </reference>
          <reference field="6" count="1">
            <x v="3"/>
          </reference>
        </references>
      </pivotArea>
    </format>
    <format dxfId="587">
      <pivotArea dataOnly="0" labelOnly="1" outline="0" fieldPosition="0">
        <references count="5">
          <reference field="2" count="1" selected="0">
            <x v="3"/>
          </reference>
          <reference field="3" count="1" selected="0">
            <x v="0"/>
          </reference>
          <reference field="4" count="1" selected="0">
            <x v="122"/>
          </reference>
          <reference field="5" count="1" selected="0">
            <x v="1"/>
          </reference>
          <reference field="6" count="1">
            <x v="2"/>
          </reference>
        </references>
      </pivotArea>
    </format>
    <format dxfId="586">
      <pivotArea dataOnly="0" labelOnly="1" outline="0" fieldPosition="0">
        <references count="2">
          <reference field="2" count="1" selected="0">
            <x v="3"/>
          </reference>
          <reference field="4" count="4">
            <x v="33"/>
            <x v="34"/>
            <x v="35"/>
            <x v="36"/>
          </reference>
        </references>
      </pivotArea>
    </format>
    <format dxfId="585">
      <pivotArea dataOnly="0" labelOnly="1" outline="0" fieldPosition="0">
        <references count="2">
          <reference field="2" count="1" selected="0">
            <x v="4"/>
          </reference>
          <reference field="4" count="4">
            <x v="37"/>
            <x v="38"/>
            <x v="39"/>
            <x v="123"/>
          </reference>
        </references>
      </pivotArea>
    </format>
    <format dxfId="584">
      <pivotArea dataOnly="0" labelOnly="1" outline="0" fieldPosition="0">
        <references count="2">
          <reference field="2" count="1" selected="0">
            <x v="5"/>
          </reference>
          <reference field="4" count="3">
            <x v="41"/>
            <x v="42"/>
            <x v="43"/>
          </reference>
        </references>
      </pivotArea>
    </format>
    <format dxfId="583">
      <pivotArea dataOnly="0" labelOnly="1" outline="0" fieldPosition="0">
        <references count="2">
          <reference field="2" count="1" selected="0">
            <x v="6"/>
          </reference>
          <reference field="4" count="2">
            <x v="44"/>
            <x v="124"/>
          </reference>
        </references>
      </pivotArea>
    </format>
    <format dxfId="582">
      <pivotArea dataOnly="0" labelOnly="1" outline="0" fieldPosition="0">
        <references count="3">
          <reference field="2" count="1" selected="0">
            <x v="3"/>
          </reference>
          <reference field="4" count="1" selected="0">
            <x v="33"/>
          </reference>
          <reference field="5" count="1">
            <x v="0"/>
          </reference>
        </references>
      </pivotArea>
    </format>
    <format dxfId="581">
      <pivotArea dataOnly="0" labelOnly="1" outline="0" fieldPosition="0">
        <references count="3">
          <reference field="2" count="1" selected="0">
            <x v="4"/>
          </reference>
          <reference field="4" count="1" selected="0">
            <x v="123"/>
          </reference>
          <reference field="5" count="1">
            <x v="2"/>
          </reference>
        </references>
      </pivotArea>
    </format>
    <format dxfId="580">
      <pivotArea dataOnly="0" labelOnly="1" outline="0" fieldPosition="0">
        <references count="3">
          <reference field="2" count="1" selected="0">
            <x v="5"/>
          </reference>
          <reference field="4" count="1" selected="0">
            <x v="42"/>
          </reference>
          <reference field="5" count="1">
            <x v="3"/>
          </reference>
        </references>
      </pivotArea>
    </format>
    <format dxfId="579">
      <pivotArea dataOnly="0" labelOnly="1" outline="0" fieldPosition="0">
        <references count="4">
          <reference field="2" count="1" selected="0">
            <x v="4"/>
          </reference>
          <reference field="3" count="1">
            <x v="2"/>
          </reference>
          <reference field="4" count="1" selected="0">
            <x v="123"/>
          </reference>
          <reference field="5" count="1" selected="0">
            <x v="2"/>
          </reference>
        </references>
      </pivotArea>
    </format>
    <format dxfId="578">
      <pivotArea dataOnly="0" labelOnly="1" outline="0" fieldPosition="0">
        <references count="5">
          <reference field="2" count="1" selected="0">
            <x v="3"/>
          </reference>
          <reference field="3" count="1" selected="0">
            <x v="1"/>
          </reference>
          <reference field="4" count="1" selected="0">
            <x v="34"/>
          </reference>
          <reference field="5" count="1" selected="0">
            <x v="0"/>
          </reference>
          <reference field="6" count="1">
            <x v="3"/>
          </reference>
        </references>
      </pivotArea>
    </format>
    <format dxfId="577">
      <pivotArea dataOnly="0" labelOnly="1" outline="0" fieldPosition="0">
        <references count="5">
          <reference field="2" count="1" selected="0">
            <x v="3"/>
          </reference>
          <reference field="3" count="1" selected="0">
            <x v="0"/>
          </reference>
          <reference field="4" count="1" selected="0">
            <x v="36"/>
          </reference>
          <reference field="5" count="1" selected="0">
            <x v="1"/>
          </reference>
          <reference field="6" count="1">
            <x v="2"/>
          </reference>
        </references>
      </pivotArea>
    </format>
    <format dxfId="576">
      <pivotArea dataOnly="0" labelOnly="1" outline="0" fieldPosition="0">
        <references count="5">
          <reference field="2" count="1" selected="0">
            <x v="5"/>
          </reference>
          <reference field="3" count="1" selected="0">
            <x v="2"/>
          </reference>
          <reference field="4" count="1" selected="0">
            <x v="41"/>
          </reference>
          <reference field="5" count="1" selected="0">
            <x v="2"/>
          </reference>
          <reference field="6" count="1">
            <x v="2"/>
          </reference>
        </references>
      </pivotArea>
    </format>
    <format dxfId="575">
      <pivotArea dataOnly="0" labelOnly="1" outline="0" fieldPosition="0">
        <references count="2">
          <reference field="2" count="1" selected="0">
            <x v="6"/>
          </reference>
          <reference field="4" count="5">
            <x v="80"/>
            <x v="81"/>
            <x v="82"/>
            <x v="83"/>
            <x v="84"/>
          </reference>
        </references>
      </pivotArea>
    </format>
    <format dxfId="574">
      <pivotArea dataOnly="0" labelOnly="1" outline="0" fieldPosition="0">
        <references count="5">
          <reference field="2" count="1" selected="0">
            <x v="6"/>
          </reference>
          <reference field="3" count="1" selected="0">
            <x v="2"/>
          </reference>
          <reference field="4" count="1" selected="0">
            <x v="82"/>
          </reference>
          <reference field="5" count="1" selected="0">
            <x v="3"/>
          </reference>
          <reference field="6" count="1">
            <x v="3"/>
          </reference>
        </references>
      </pivotArea>
    </format>
    <format dxfId="573">
      <pivotArea dataOnly="0" labelOnly="1" outline="0" fieldPosition="0">
        <references count="2">
          <reference field="2" count="1" selected="0">
            <x v="2"/>
          </reference>
          <reference field="4" count="2">
            <x v="19"/>
            <x v="138"/>
          </reference>
        </references>
      </pivotArea>
    </format>
    <format dxfId="572">
      <pivotArea dataOnly="0" labelOnly="1" outline="0" fieldPosition="0">
        <references count="2">
          <reference field="2" count="1" selected="0">
            <x v="3"/>
          </reference>
          <reference field="4" count="6">
            <x v="1"/>
            <x v="24"/>
            <x v="33"/>
            <x v="54"/>
            <x v="119"/>
            <x v="127"/>
          </reference>
        </references>
      </pivotArea>
    </format>
    <format dxfId="571">
      <pivotArea dataOnly="0" labelOnly="1" outline="0" fieldPosition="0">
        <references count="2">
          <reference field="2" count="1" selected="0">
            <x v="4"/>
          </reference>
          <reference field="4" count="4">
            <x v="8"/>
            <x v="56"/>
            <x v="123"/>
            <x v="129"/>
          </reference>
        </references>
      </pivotArea>
    </format>
    <format dxfId="570">
      <pivotArea dataOnly="0" labelOnly="1" outline="0" fieldPosition="0">
        <references count="2">
          <reference field="2" count="1" selected="0">
            <x v="5"/>
          </reference>
          <reference field="4" count="1">
            <x v="11"/>
          </reference>
        </references>
      </pivotArea>
    </format>
    <format dxfId="569">
      <pivotArea dataOnly="0" labelOnly="1" outline="0" fieldPosition="0">
        <references count="3">
          <reference field="2" count="1" selected="0">
            <x v="3"/>
          </reference>
          <reference field="4" count="1" selected="0">
            <x v="54"/>
          </reference>
          <reference field="5" count="1">
            <x v="1"/>
          </reference>
        </references>
      </pivotArea>
    </format>
    <format dxfId="568">
      <pivotArea dataOnly="0" labelOnly="1" outline="0" fieldPosition="0">
        <references count="3">
          <reference field="2" count="1" selected="0">
            <x v="4"/>
          </reference>
          <reference field="4" count="1" selected="0">
            <x v="129"/>
          </reference>
          <reference field="5" count="1">
            <x v="1"/>
          </reference>
        </references>
      </pivotArea>
    </format>
    <format dxfId="567">
      <pivotArea dataOnly="0" labelOnly="1" outline="0" fieldPosition="0">
        <references count="3">
          <reference field="2" count="1" selected="0">
            <x v="5"/>
          </reference>
          <reference field="4" count="1" selected="0">
            <x v="11"/>
          </reference>
          <reference field="5" count="1">
            <x v="3"/>
          </reference>
        </references>
      </pivotArea>
    </format>
    <format dxfId="566">
      <pivotArea dataOnly="0" labelOnly="1" outline="0" fieldPosition="0">
        <references count="4">
          <reference field="2" count="1" selected="0">
            <x v="3"/>
          </reference>
          <reference field="3" count="1">
            <x v="0"/>
          </reference>
          <reference field="4" count="1" selected="0">
            <x v="54"/>
          </reference>
          <reference field="5" count="1" selected="0">
            <x v="1"/>
          </reference>
        </references>
      </pivotArea>
    </format>
    <format dxfId="565">
      <pivotArea dataOnly="0" labelOnly="1" outline="0" fieldPosition="0">
        <references count="4">
          <reference field="2" count="1" selected="0">
            <x v="4"/>
          </reference>
          <reference field="3" count="1">
            <x v="0"/>
          </reference>
          <reference field="4" count="1" selected="0">
            <x v="129"/>
          </reference>
          <reference field="5" count="1" selected="0">
            <x v="1"/>
          </reference>
        </references>
      </pivotArea>
    </format>
    <format dxfId="564">
      <pivotArea dataOnly="0" labelOnly="1" outline="0" fieldPosition="0">
        <references count="4">
          <reference field="2" count="1" selected="0">
            <x v="5"/>
          </reference>
          <reference field="3" count="1">
            <x v="2"/>
          </reference>
          <reference field="4" count="1" selected="0">
            <x v="11"/>
          </reference>
          <reference field="5" count="1" selected="0">
            <x v="3"/>
          </reference>
        </references>
      </pivotArea>
    </format>
    <format dxfId="563">
      <pivotArea dataOnly="0" labelOnly="1" outline="0" fieldPosition="0">
        <references count="5">
          <reference field="2" count="1" selected="0">
            <x v="2"/>
          </reference>
          <reference field="3" count="1" selected="0">
            <x v="1"/>
          </reference>
          <reference field="4" count="1" selected="0">
            <x v="138"/>
          </reference>
          <reference field="5" count="1" selected="0">
            <x v="0"/>
          </reference>
          <reference field="6" count="1">
            <x v="2"/>
          </reference>
        </references>
      </pivotArea>
    </format>
    <format dxfId="562">
      <pivotArea dataOnly="0" labelOnly="1" outline="0" fieldPosition="0">
        <references count="5">
          <reference field="2" count="1" selected="0">
            <x v="3"/>
          </reference>
          <reference field="3" count="1" selected="0">
            <x v="1"/>
          </reference>
          <reference field="4" count="1" selected="0">
            <x v="1"/>
          </reference>
          <reference field="5" count="1" selected="0">
            <x v="0"/>
          </reference>
          <reference field="6" count="1">
            <x v="2"/>
          </reference>
        </references>
      </pivotArea>
    </format>
    <format dxfId="561">
      <pivotArea dataOnly="0" labelOnly="1" outline="0" fieldPosition="0">
        <references count="5">
          <reference field="2" count="1" selected="0">
            <x v="4"/>
          </reference>
          <reference field="3" count="1" selected="0">
            <x v="0"/>
          </reference>
          <reference field="4" count="1" selected="0">
            <x v="129"/>
          </reference>
          <reference field="5" count="1" selected="0">
            <x v="1"/>
          </reference>
          <reference field="6" count="1">
            <x v="2"/>
          </reference>
        </references>
      </pivotArea>
    </format>
    <format dxfId="560">
      <pivotArea dataOnly="0" labelOnly="1" outline="0" fieldPosition="0">
        <references count="5">
          <reference field="2" count="1" selected="0">
            <x v="5"/>
          </reference>
          <reference field="3" count="1" selected="0">
            <x v="2"/>
          </reference>
          <reference field="4" count="1" selected="0">
            <x v="11"/>
          </reference>
          <reference field="5" count="1" selected="0">
            <x v="3"/>
          </reference>
          <reference field="6" count="1">
            <x v="2"/>
          </reference>
        </references>
      </pivotArea>
    </format>
    <format dxfId="559">
      <pivotArea dataOnly="0" labelOnly="1" outline="0" fieldPosition="0">
        <references count="2">
          <reference field="2" count="1" selected="0">
            <x v="2"/>
          </reference>
          <reference field="4" count="3">
            <x v="17"/>
            <x v="49"/>
            <x v="72"/>
          </reference>
        </references>
      </pivotArea>
    </format>
    <format dxfId="558">
      <pivotArea dataOnly="0" labelOnly="1" outline="0" fieldPosition="0">
        <references count="2">
          <reference field="2" count="1" selected="0">
            <x v="3"/>
          </reference>
          <reference field="4" count="7">
            <x v="9"/>
            <x v="14"/>
            <x v="23"/>
            <x v="35"/>
            <x v="52"/>
            <x v="86"/>
            <x v="128"/>
          </reference>
        </references>
      </pivotArea>
    </format>
    <format dxfId="557">
      <pivotArea dataOnly="0" labelOnly="1" outline="0" fieldPosition="0">
        <references count="2">
          <reference field="2" count="1" selected="0">
            <x v="4"/>
          </reference>
          <reference field="4" count="4">
            <x v="4"/>
            <x v="28"/>
            <x v="29"/>
            <x v="98"/>
          </reference>
        </references>
      </pivotArea>
    </format>
    <format dxfId="556">
      <pivotArea dataOnly="0" labelOnly="1" outline="0" fieldPosition="0">
        <references count="3">
          <reference field="2" count="1" selected="0">
            <x v="1"/>
          </reference>
          <reference field="4" count="1" selected="0">
            <x v="15"/>
          </reference>
          <reference field="5" count="1">
            <x v="0"/>
          </reference>
        </references>
      </pivotArea>
    </format>
    <format dxfId="555">
      <pivotArea dataOnly="0" labelOnly="1" outline="0" fieldPosition="0">
        <references count="3">
          <reference field="2" count="1" selected="0">
            <x v="3"/>
          </reference>
          <reference field="4" count="1" selected="0">
            <x v="23"/>
          </reference>
          <reference field="5" count="1">
            <x v="0"/>
          </reference>
        </references>
      </pivotArea>
    </format>
    <format dxfId="554">
      <pivotArea dataOnly="0" labelOnly="1" outline="0" fieldPosition="0">
        <references count="3">
          <reference field="2" count="1" selected="0">
            <x v="3"/>
          </reference>
          <reference field="4" count="1" selected="0">
            <x v="86"/>
          </reference>
          <reference field="5" count="1">
            <x v="2"/>
          </reference>
        </references>
      </pivotArea>
    </format>
    <format dxfId="553">
      <pivotArea dataOnly="0" labelOnly="1" outline="0" fieldPosition="0">
        <references count="3">
          <reference field="2" count="1" selected="0">
            <x v="4"/>
          </reference>
          <reference field="4" count="1" selected="0">
            <x v="28"/>
          </reference>
          <reference field="5" count="1">
            <x v="3"/>
          </reference>
        </references>
      </pivotArea>
    </format>
    <format dxfId="552">
      <pivotArea dataOnly="0" labelOnly="1" outline="0" fieldPosition="0">
        <references count="3">
          <reference field="2" count="1" selected="0">
            <x v="4"/>
          </reference>
          <reference field="4" count="1" selected="0">
            <x v="29"/>
          </reference>
          <reference field="5" count="1">
            <x v="1"/>
          </reference>
        </references>
      </pivotArea>
    </format>
    <format dxfId="551">
      <pivotArea dataOnly="0" labelOnly="1" outline="0" fieldPosition="0">
        <references count="3">
          <reference field="2" count="1" selected="0">
            <x v="6"/>
          </reference>
          <reference field="4" count="1" selected="0">
            <x v="81"/>
          </reference>
          <reference field="5" count="1">
            <x v="3"/>
          </reference>
        </references>
      </pivotArea>
    </format>
    <format dxfId="550">
      <pivotArea dataOnly="0" labelOnly="1" outline="0" fieldPosition="0">
        <references count="4">
          <reference field="2" count="1" selected="0">
            <x v="1"/>
          </reference>
          <reference field="3" count="1">
            <x v="1"/>
          </reference>
          <reference field="4" count="1" selected="0">
            <x v="15"/>
          </reference>
          <reference field="5" count="1" selected="0">
            <x v="0"/>
          </reference>
        </references>
      </pivotArea>
    </format>
    <format dxfId="549">
      <pivotArea dataOnly="0" labelOnly="1" outline="0" fieldPosition="0">
        <references count="4">
          <reference field="2" count="1" selected="0">
            <x v="3"/>
          </reference>
          <reference field="3" count="1">
            <x v="1"/>
          </reference>
          <reference field="4" count="1" selected="0">
            <x v="23"/>
          </reference>
          <reference field="5" count="1" selected="0">
            <x v="0"/>
          </reference>
        </references>
      </pivotArea>
    </format>
    <format dxfId="548">
      <pivotArea dataOnly="0" labelOnly="1" outline="0" fieldPosition="0">
        <references count="4">
          <reference field="2" count="1" selected="0">
            <x v="3"/>
          </reference>
          <reference field="3" count="1">
            <x v="1"/>
          </reference>
          <reference field="4" count="1" selected="0">
            <x v="86"/>
          </reference>
          <reference field="5" count="1" selected="0">
            <x v="2"/>
          </reference>
        </references>
      </pivotArea>
    </format>
    <format dxfId="547">
      <pivotArea dataOnly="0" labelOnly="1" outline="0" fieldPosition="0">
        <references count="4">
          <reference field="2" count="1" selected="0">
            <x v="3"/>
          </reference>
          <reference field="3" count="1">
            <x v="0"/>
          </reference>
          <reference field="4" count="1" selected="0">
            <x v="128"/>
          </reference>
          <reference field="5" count="1" selected="0">
            <x v="1"/>
          </reference>
        </references>
      </pivotArea>
    </format>
    <format dxfId="546">
      <pivotArea dataOnly="0" labelOnly="1" outline="0" fieldPosition="0">
        <references count="5">
          <reference field="2" count="1" selected="0">
            <x v="3"/>
          </reference>
          <reference field="3" count="1" selected="0">
            <x v="0"/>
          </reference>
          <reference field="4" count="1" selected="0">
            <x v="52"/>
          </reference>
          <reference field="5" count="1" selected="0">
            <x v="1"/>
          </reference>
          <reference field="6" count="1">
            <x v="2"/>
          </reference>
        </references>
      </pivotArea>
    </format>
    <format dxfId="545">
      <pivotArea dataOnly="0" labelOnly="1" outline="0" fieldPosition="0">
        <references count="5">
          <reference field="2" count="1" selected="0">
            <x v="3"/>
          </reference>
          <reference field="3" count="1" selected="0">
            <x v="1"/>
          </reference>
          <reference field="4" count="1" selected="0">
            <x v="86"/>
          </reference>
          <reference field="5" count="1" selected="0">
            <x v="2"/>
          </reference>
          <reference field="6" count="1">
            <x v="2"/>
          </reference>
        </references>
      </pivotArea>
    </format>
    <format dxfId="544">
      <pivotArea dataOnly="0" labelOnly="1" outline="0" fieldPosition="0">
        <references count="5">
          <reference field="2" count="1" selected="0">
            <x v="4"/>
          </reference>
          <reference field="3" count="1" selected="0">
            <x v="0"/>
          </reference>
          <reference field="4" count="1" selected="0">
            <x v="28"/>
          </reference>
          <reference field="5" count="1" selected="0">
            <x v="3"/>
          </reference>
          <reference field="6" count="1">
            <x v="2"/>
          </reference>
        </references>
      </pivotArea>
    </format>
    <format dxfId="543">
      <pivotArea dataOnly="0" labelOnly="1" outline="0" fieldPosition="0">
        <references count="2">
          <reference field="2" count="1" selected="0">
            <x v="1"/>
          </reference>
          <reference field="4" count="1">
            <x v="113"/>
          </reference>
        </references>
      </pivotArea>
    </format>
    <format dxfId="542">
      <pivotArea dataOnly="0" labelOnly="1" outline="0" fieldPosition="0">
        <references count="2">
          <reference field="2" count="1" selected="0">
            <x v="2"/>
          </reference>
          <reference field="4" count="4">
            <x v="19"/>
            <x v="49"/>
            <x v="114"/>
            <x v="137"/>
          </reference>
        </references>
      </pivotArea>
    </format>
    <format dxfId="541">
      <pivotArea dataOnly="0" labelOnly="1" outline="0" fieldPosition="0">
        <references count="2">
          <reference field="2" count="1" selected="0">
            <x v="3"/>
          </reference>
          <reference field="4" count="5">
            <x v="14"/>
            <x v="77"/>
            <x v="106"/>
            <x v="116"/>
            <x v="117"/>
          </reference>
        </references>
      </pivotArea>
    </format>
    <format dxfId="540">
      <pivotArea dataOnly="0" labelOnly="1" outline="0" fieldPosition="0">
        <references count="2">
          <reference field="2" count="1" selected="0">
            <x v="4"/>
          </reference>
          <reference field="4" count="3">
            <x v="7"/>
            <x v="66"/>
            <x v="118"/>
          </reference>
        </references>
      </pivotArea>
    </format>
    <format dxfId="539">
      <pivotArea dataOnly="0" labelOnly="1" outline="0" fieldPosition="0">
        <references count="2">
          <reference field="2" count="1" selected="0">
            <x v="6"/>
          </reference>
          <reference field="4" count="2">
            <x v="83"/>
            <x v="84"/>
          </reference>
        </references>
      </pivotArea>
    </format>
    <format dxfId="538">
      <pivotArea dataOnly="0" labelOnly="1" outline="0" fieldPosition="0">
        <references count="3">
          <reference field="2" count="1" selected="0">
            <x v="1"/>
          </reference>
          <reference field="4" count="1" selected="0">
            <x v="113"/>
          </reference>
          <reference field="5" count="1">
            <x v="0"/>
          </reference>
        </references>
      </pivotArea>
    </format>
    <format dxfId="537">
      <pivotArea dataOnly="0" labelOnly="1" outline="0" fieldPosition="0">
        <references count="3">
          <reference field="2" count="1" selected="0">
            <x v="4"/>
          </reference>
          <reference field="4" count="1" selected="0">
            <x v="66"/>
          </reference>
          <reference field="5" count="1">
            <x v="1"/>
          </reference>
        </references>
      </pivotArea>
    </format>
    <format dxfId="536">
      <pivotArea dataOnly="0" labelOnly="1" outline="0" fieldPosition="0">
        <references count="3">
          <reference field="2" count="1" selected="0">
            <x v="6"/>
          </reference>
          <reference field="4" count="1" selected="0">
            <x v="83"/>
          </reference>
          <reference field="5" count="1">
            <x v="3"/>
          </reference>
        </references>
      </pivotArea>
    </format>
    <format dxfId="535">
      <pivotArea dataOnly="0" labelOnly="1" outline="0" fieldPosition="0">
        <references count="4">
          <reference field="2" count="1" selected="0">
            <x v="1"/>
          </reference>
          <reference field="3" count="1">
            <x v="1"/>
          </reference>
          <reference field="4" count="1" selected="0">
            <x v="113"/>
          </reference>
          <reference field="5" count="1" selected="0">
            <x v="0"/>
          </reference>
        </references>
      </pivotArea>
    </format>
    <format dxfId="534">
      <pivotArea dataOnly="0" labelOnly="1" outline="0" fieldPosition="0">
        <references count="4">
          <reference field="2" count="1" selected="0">
            <x v="4"/>
          </reference>
          <reference field="3" count="1">
            <x v="0"/>
          </reference>
          <reference field="4" count="1" selected="0">
            <x v="66"/>
          </reference>
          <reference field="5" count="1" selected="0">
            <x v="1"/>
          </reference>
        </references>
      </pivotArea>
    </format>
    <format dxfId="533">
      <pivotArea dataOnly="0" labelOnly="1" outline="0" fieldPosition="0">
        <references count="4">
          <reference field="2" count="1" selected="0">
            <x v="6"/>
          </reference>
          <reference field="3" count="1">
            <x v="3"/>
          </reference>
          <reference field="4" count="1" selected="0">
            <x v="83"/>
          </reference>
          <reference field="5" count="1" selected="0">
            <x v="3"/>
          </reference>
        </references>
      </pivotArea>
    </format>
    <format dxfId="532">
      <pivotArea dataOnly="0" labelOnly="1" outline="0" fieldPosition="0">
        <references count="5">
          <reference field="2" count="1" selected="0">
            <x v="1"/>
          </reference>
          <reference field="3" count="1" selected="0">
            <x v="1"/>
          </reference>
          <reference field="4" count="1" selected="0">
            <x v="113"/>
          </reference>
          <reference field="5" count="1" selected="0">
            <x v="0"/>
          </reference>
          <reference field="6" count="1">
            <x v="2"/>
          </reference>
        </references>
      </pivotArea>
    </format>
    <format dxfId="531">
      <pivotArea dataOnly="0" labelOnly="1" outline="0" fieldPosition="0">
        <references count="5">
          <reference field="2" count="1" selected="0">
            <x v="2"/>
          </reference>
          <reference field="3" count="1" selected="0">
            <x v="1"/>
          </reference>
          <reference field="4" count="1" selected="0">
            <x v="49"/>
          </reference>
          <reference field="5" count="1" selected="0">
            <x v="0"/>
          </reference>
          <reference field="6" count="1">
            <x v="0"/>
          </reference>
        </references>
      </pivotArea>
    </format>
    <format dxfId="530">
      <pivotArea dataOnly="0" labelOnly="1" outline="0" fieldPosition="0">
        <references count="5">
          <reference field="2" count="1" selected="0">
            <x v="2"/>
          </reference>
          <reference field="3" count="1" selected="0">
            <x v="1"/>
          </reference>
          <reference field="4" count="1" selected="0">
            <x v="114"/>
          </reference>
          <reference field="5" count="1" selected="0">
            <x v="0"/>
          </reference>
          <reference field="6" count="1">
            <x v="2"/>
          </reference>
        </references>
      </pivotArea>
    </format>
    <format dxfId="529">
      <pivotArea dataOnly="0" labelOnly="1" outline="0" fieldPosition="0">
        <references count="5">
          <reference field="2" count="1" selected="0">
            <x v="2"/>
          </reference>
          <reference field="3" count="1" selected="0">
            <x v="1"/>
          </reference>
          <reference field="4" count="1" selected="0">
            <x v="137"/>
          </reference>
          <reference field="5" count="1" selected="0">
            <x v="0"/>
          </reference>
          <reference field="6" count="1">
            <x v="2"/>
          </reference>
        </references>
      </pivotArea>
    </format>
    <format dxfId="528">
      <pivotArea dataOnly="0" labelOnly="1" outline="0" fieldPosition="0">
        <references count="5">
          <reference field="2" count="1" selected="0">
            <x v="3"/>
          </reference>
          <reference field="3" count="1" selected="0">
            <x v="0"/>
          </reference>
          <reference field="4" count="1" selected="0">
            <x v="116"/>
          </reference>
          <reference field="5" count="1" selected="0">
            <x v="1"/>
          </reference>
          <reference field="6" count="1">
            <x v="2"/>
          </reference>
        </references>
      </pivotArea>
    </format>
    <format dxfId="527">
      <pivotArea dataOnly="0" labelOnly="1" outline="0" fieldPosition="0">
        <references count="5">
          <reference field="2" count="1" selected="0">
            <x v="3"/>
          </reference>
          <reference field="3" count="1" selected="0">
            <x v="0"/>
          </reference>
          <reference field="4" count="1" selected="0">
            <x v="117"/>
          </reference>
          <reference field="5" count="1" selected="0">
            <x v="1"/>
          </reference>
          <reference field="6" count="1">
            <x v="2"/>
          </reference>
        </references>
      </pivotArea>
    </format>
    <format dxfId="526">
      <pivotArea dataOnly="0" labelOnly="1" outline="0" fieldPosition="0">
        <references count="5">
          <reference field="2" count="1" selected="0">
            <x v="4"/>
          </reference>
          <reference field="3" count="1" selected="0">
            <x v="0"/>
          </reference>
          <reference field="4" count="1" selected="0">
            <x v="118"/>
          </reference>
          <reference field="5" count="1" selected="0">
            <x v="1"/>
          </reference>
          <reference field="6" count="1">
            <x v="2"/>
          </reference>
        </references>
      </pivotArea>
    </format>
    <format dxfId="525">
      <pivotArea dataOnly="0" labelOnly="1" outline="0" fieldPosition="0">
        <references count="5">
          <reference field="2" count="1" selected="0">
            <x v="6"/>
          </reference>
          <reference field="3" count="1" selected="0">
            <x v="3"/>
          </reference>
          <reference field="4" count="1" selected="0">
            <x v="83"/>
          </reference>
          <reference field="5" count="1" selected="0">
            <x v="3"/>
          </reference>
          <reference field="6" count="1">
            <x v="6"/>
          </reference>
        </references>
      </pivotArea>
    </format>
    <format dxfId="524">
      <pivotArea dataOnly="0" labelOnly="1" outline="0" fieldPosition="0">
        <references count="5">
          <reference field="2" count="1" selected="0">
            <x v="6"/>
          </reference>
          <reference field="3" count="1" selected="0">
            <x v="3"/>
          </reference>
          <reference field="4" count="1" selected="0">
            <x v="84"/>
          </reference>
          <reference field="5" count="1" selected="0">
            <x v="3"/>
          </reference>
          <reference field="6" count="1">
            <x v="6"/>
          </reference>
        </references>
      </pivotArea>
    </format>
    <format dxfId="523">
      <pivotArea dataOnly="0" labelOnly="1" outline="0" fieldPosition="0">
        <references count="2">
          <reference field="2" count="1" selected="0">
            <x v="3"/>
          </reference>
          <reference field="4" count="5">
            <x v="9"/>
            <x v="105"/>
            <x v="106"/>
            <x v="107"/>
            <x v="121"/>
          </reference>
        </references>
      </pivotArea>
    </format>
    <format dxfId="522">
      <pivotArea dataOnly="0" labelOnly="1" outline="0" fieldPosition="0">
        <references count="3">
          <reference field="2" count="1" selected="0">
            <x v="3"/>
          </reference>
          <reference field="4" count="1" selected="0">
            <x v="9"/>
          </reference>
          <reference field="5" count="1">
            <x v="1"/>
          </reference>
        </references>
      </pivotArea>
    </format>
    <format dxfId="521">
      <pivotArea dataOnly="0" labelOnly="1" outline="0" fieldPosition="0">
        <references count="4">
          <reference field="2" count="1" selected="0">
            <x v="3"/>
          </reference>
          <reference field="3" count="1">
            <x v="0"/>
          </reference>
          <reference field="4" count="1" selected="0">
            <x v="9"/>
          </reference>
          <reference field="5" count="1" selected="0">
            <x v="1"/>
          </reference>
        </references>
      </pivotArea>
    </format>
    <format dxfId="520">
      <pivotArea dataOnly="0" labelOnly="1" outline="0" fieldPosition="0">
        <references count="5">
          <reference field="2" count="1" selected="0">
            <x v="3"/>
          </reference>
          <reference field="3" count="1" selected="0">
            <x v="0"/>
          </reference>
          <reference field="4" count="1" selected="0">
            <x v="9"/>
          </reference>
          <reference field="5" count="1" selected="0">
            <x v="1"/>
          </reference>
          <reference field="6" count="1">
            <x v="2"/>
          </reference>
        </references>
      </pivotArea>
    </format>
    <format dxfId="519">
      <pivotArea dataOnly="0" labelOnly="1" outline="0" fieldPosition="0">
        <references count="2">
          <reference field="2" count="1" selected="0">
            <x v="3"/>
          </reference>
          <reference field="4" count="8">
            <x v="28"/>
            <x v="89"/>
            <x v="90"/>
            <x v="91"/>
            <x v="92"/>
            <x v="94"/>
            <x v="132"/>
            <x v="133"/>
          </reference>
        </references>
      </pivotArea>
    </format>
    <format dxfId="518">
      <pivotArea dataOnly="0" labelOnly="1" outline="0" fieldPosition="0">
        <references count="2">
          <reference field="2" count="1" selected="0">
            <x v="4"/>
          </reference>
          <reference field="4" count="6">
            <x v="2"/>
            <x v="7"/>
            <x v="95"/>
            <x v="97"/>
            <x v="98"/>
            <x v="134"/>
          </reference>
        </references>
      </pivotArea>
    </format>
    <format dxfId="517">
      <pivotArea dataOnly="0" labelOnly="1" outline="0" fieldPosition="0">
        <references count="2">
          <reference field="2" count="1" selected="0">
            <x v="6"/>
          </reference>
          <reference field="4" count="1">
            <x v="124"/>
          </reference>
        </references>
      </pivotArea>
    </format>
    <format dxfId="516">
      <pivotArea dataOnly="0" labelOnly="1" outline="0" fieldPosition="0">
        <references count="3">
          <reference field="2" count="1" selected="0">
            <x v="3"/>
          </reference>
          <reference field="4" count="1" selected="0">
            <x v="89"/>
          </reference>
          <reference field="5" count="1">
            <x v="0"/>
          </reference>
        </references>
      </pivotArea>
    </format>
    <format dxfId="515">
      <pivotArea dataOnly="0" labelOnly="1" outline="0" fieldPosition="0">
        <references count="3">
          <reference field="2" count="1" selected="0">
            <x v="3"/>
          </reference>
          <reference field="4" count="1" selected="0">
            <x v="133"/>
          </reference>
          <reference field="5" count="1">
            <x v="3"/>
          </reference>
        </references>
      </pivotArea>
    </format>
    <format dxfId="514">
      <pivotArea dataOnly="0" labelOnly="1" outline="0" fieldPosition="0">
        <references count="3">
          <reference field="2" count="1" selected="0">
            <x v="4"/>
          </reference>
          <reference field="4" count="1" selected="0">
            <x v="7"/>
          </reference>
          <reference field="5" count="1">
            <x v="2"/>
          </reference>
        </references>
      </pivotArea>
    </format>
    <format dxfId="513">
      <pivotArea dataOnly="0" labelOnly="1" outline="0" fieldPosition="0">
        <references count="3">
          <reference field="2" count="1" selected="0">
            <x v="4"/>
          </reference>
          <reference field="4" count="1" selected="0">
            <x v="95"/>
          </reference>
          <reference field="5" count="1">
            <x v="1"/>
          </reference>
        </references>
      </pivotArea>
    </format>
    <format dxfId="512">
      <pivotArea dataOnly="0" labelOnly="1" outline="0" fieldPosition="0">
        <references count="3">
          <reference field="2" count="1" selected="0">
            <x v="4"/>
          </reference>
          <reference field="4" count="1" selected="0">
            <x v="134"/>
          </reference>
          <reference field="5" count="1">
            <x v="1"/>
          </reference>
        </references>
      </pivotArea>
    </format>
    <format dxfId="511">
      <pivotArea dataOnly="0" labelOnly="1" outline="0" fieldPosition="0">
        <references count="3">
          <reference field="2" count="1" selected="0">
            <x v="6"/>
          </reference>
          <reference field="4" count="1" selected="0">
            <x v="124"/>
          </reference>
          <reference field="5" count="1">
            <x v="3"/>
          </reference>
        </references>
      </pivotArea>
    </format>
    <format dxfId="510">
      <pivotArea dataOnly="0" labelOnly="1" outline="0" fieldPosition="0">
        <references count="4">
          <reference field="2" count="1" selected="0">
            <x v="3"/>
          </reference>
          <reference field="3" count="1">
            <x v="1"/>
          </reference>
          <reference field="4" count="1" selected="0">
            <x v="89"/>
          </reference>
          <reference field="5" count="1" selected="0">
            <x v="0"/>
          </reference>
        </references>
      </pivotArea>
    </format>
    <format dxfId="509">
      <pivotArea dataOnly="0" labelOnly="1" outline="0" fieldPosition="0">
        <references count="4">
          <reference field="2" count="1" selected="0">
            <x v="3"/>
          </reference>
          <reference field="3" count="1">
            <x v="0"/>
          </reference>
          <reference field="4" count="1" selected="0">
            <x v="133"/>
          </reference>
          <reference field="5" count="1" selected="0">
            <x v="3"/>
          </reference>
        </references>
      </pivotArea>
    </format>
    <format dxfId="508">
      <pivotArea dataOnly="0" labelOnly="1" outline="0" fieldPosition="0">
        <references count="4">
          <reference field="2" count="1" selected="0">
            <x v="4"/>
          </reference>
          <reference field="3" count="1">
            <x v="2"/>
          </reference>
          <reference field="4" count="1" selected="0">
            <x v="7"/>
          </reference>
          <reference field="5" count="1" selected="0">
            <x v="2"/>
          </reference>
        </references>
      </pivotArea>
    </format>
    <format dxfId="507">
      <pivotArea dataOnly="0" labelOnly="1" outline="0" fieldPosition="0">
        <references count="4">
          <reference field="2" count="1" selected="0">
            <x v="4"/>
          </reference>
          <reference field="3" count="1">
            <x v="0"/>
          </reference>
          <reference field="4" count="1" selected="0">
            <x v="95"/>
          </reference>
          <reference field="5" count="1" selected="0">
            <x v="1"/>
          </reference>
        </references>
      </pivotArea>
    </format>
    <format dxfId="506">
      <pivotArea dataOnly="0" labelOnly="1" outline="0" fieldPosition="0">
        <references count="4">
          <reference field="2" count="1" selected="0">
            <x v="4"/>
          </reference>
          <reference field="3" count="1">
            <x v="0"/>
          </reference>
          <reference field="4" count="1" selected="0">
            <x v="134"/>
          </reference>
          <reference field="5" count="1" selected="0">
            <x v="1"/>
          </reference>
        </references>
      </pivotArea>
    </format>
    <format dxfId="505">
      <pivotArea dataOnly="0" labelOnly="1" outline="0" fieldPosition="0">
        <references count="4">
          <reference field="2" count="1" selected="0">
            <x v="6"/>
          </reference>
          <reference field="3" count="1">
            <x v="3"/>
          </reference>
          <reference field="4" count="1" selected="0">
            <x v="124"/>
          </reference>
          <reference field="5" count="1" selected="0">
            <x v="3"/>
          </reference>
        </references>
      </pivotArea>
    </format>
    <format dxfId="504">
      <pivotArea dataOnly="0" labelOnly="1" outline="0" fieldPosition="0">
        <references count="5">
          <reference field="2" count="1" selected="0">
            <x v="3"/>
          </reference>
          <reference field="3" count="1" selected="0">
            <x v="1"/>
          </reference>
          <reference field="4" count="1" selected="0">
            <x v="89"/>
          </reference>
          <reference field="5" count="1" selected="0">
            <x v="0"/>
          </reference>
          <reference field="6" count="1">
            <x v="0"/>
          </reference>
        </references>
      </pivotArea>
    </format>
    <format dxfId="503">
      <pivotArea dataOnly="0" labelOnly="1" outline="0" fieldPosition="0">
        <references count="5">
          <reference field="2" count="1" selected="0">
            <x v="3"/>
          </reference>
          <reference field="3" count="1" selected="0">
            <x v="1"/>
          </reference>
          <reference field="4" count="1" selected="0">
            <x v="91"/>
          </reference>
          <reference field="5" count="1" selected="0">
            <x v="0"/>
          </reference>
          <reference field="6" count="1">
            <x v="0"/>
          </reference>
        </references>
      </pivotArea>
    </format>
    <format dxfId="502">
      <pivotArea dataOnly="0" labelOnly="1" outline="0" fieldPosition="0">
        <references count="5">
          <reference field="2" count="1" selected="0">
            <x v="3"/>
          </reference>
          <reference field="3" count="1" selected="0">
            <x v="0"/>
          </reference>
          <reference field="4" count="1" selected="0">
            <x v="133"/>
          </reference>
          <reference field="5" count="1" selected="0">
            <x v="3"/>
          </reference>
          <reference field="6" count="1">
            <x v="2"/>
          </reference>
        </references>
      </pivotArea>
    </format>
    <format dxfId="501">
      <pivotArea dataOnly="0" labelOnly="1" outline="0" fieldPosition="0">
        <references count="5">
          <reference field="2" count="1" selected="0">
            <x v="4"/>
          </reference>
          <reference field="3" count="1" selected="0">
            <x v="2"/>
          </reference>
          <reference field="4" count="1" selected="0">
            <x v="7"/>
          </reference>
          <reference field="5" count="1" selected="0">
            <x v="2"/>
          </reference>
          <reference field="6" count="1">
            <x v="2"/>
          </reference>
        </references>
      </pivotArea>
    </format>
    <format dxfId="500">
      <pivotArea dataOnly="0" labelOnly="1" outline="0" fieldPosition="0">
        <references count="5">
          <reference field="2" count="1" selected="0">
            <x v="4"/>
          </reference>
          <reference field="3" count="1" selected="0">
            <x v="0"/>
          </reference>
          <reference field="4" count="1" selected="0">
            <x v="134"/>
          </reference>
          <reference field="5" count="1" selected="0">
            <x v="1"/>
          </reference>
          <reference field="6" count="1">
            <x v="2"/>
          </reference>
        </references>
      </pivotArea>
    </format>
    <format dxfId="499">
      <pivotArea dataOnly="0" labelOnly="1" outline="0" fieldPosition="0">
        <references count="5">
          <reference field="2" count="1" selected="0">
            <x v="6"/>
          </reference>
          <reference field="3" count="1" selected="0">
            <x v="3"/>
          </reference>
          <reference field="4" count="1" selected="0">
            <x v="124"/>
          </reference>
          <reference field="5" count="1" selected="0">
            <x v="3"/>
          </reference>
          <reference field="6" count="1">
            <x v="6"/>
          </reference>
        </references>
      </pivotArea>
    </format>
    <format dxfId="498">
      <pivotArea dataOnly="0" labelOnly="1" outline="0" fieldPosition="0">
        <references count="1">
          <reference field="2" count="0"/>
        </references>
      </pivotArea>
    </format>
    <format dxfId="497">
      <pivotArea dataOnly="0" labelOnly="1" outline="0" fieldPosition="0">
        <references count="2">
          <reference field="2" count="1" selected="0">
            <x v="0"/>
          </reference>
          <reference field="4" count="1">
            <x v="30"/>
          </reference>
        </references>
      </pivotArea>
    </format>
    <format dxfId="496">
      <pivotArea dataOnly="0" labelOnly="1" outline="0" fieldPosition="0">
        <references count="2">
          <reference field="2" count="1" selected="0">
            <x v="1"/>
          </reference>
          <reference field="4" count="1">
            <x v="130"/>
          </reference>
        </references>
      </pivotArea>
    </format>
    <format dxfId="495">
      <pivotArea dataOnly="0" labelOnly="1" outline="0" fieldPosition="0">
        <references count="2">
          <reference field="2" count="1" selected="0">
            <x v="2"/>
          </reference>
          <reference field="4" count="5">
            <x v="17"/>
            <x v="70"/>
            <x v="71"/>
            <x v="72"/>
            <x v="73"/>
          </reference>
        </references>
      </pivotArea>
    </format>
    <format dxfId="494">
      <pivotArea dataOnly="0" labelOnly="1" outline="0" fieldPosition="0">
        <references count="2">
          <reference field="2" count="1" selected="0">
            <x v="3"/>
          </reference>
          <reference field="4" count="6">
            <x v="14"/>
            <x v="74"/>
            <x v="75"/>
            <x v="76"/>
            <x v="77"/>
            <x v="131"/>
          </reference>
        </references>
      </pivotArea>
    </format>
    <format dxfId="493">
      <pivotArea dataOnly="0" labelOnly="1" outline="0" fieldPosition="0">
        <references count="2">
          <reference field="2" count="1" selected="0">
            <x v="4"/>
          </reference>
          <reference field="4" count="6">
            <x v="0"/>
            <x v="29"/>
            <x v="37"/>
            <x v="38"/>
            <x v="39"/>
            <x v="79"/>
          </reference>
        </references>
      </pivotArea>
    </format>
    <format dxfId="492">
      <pivotArea dataOnly="0" labelOnly="1" outline="0" fieldPosition="0">
        <references count="2">
          <reference field="2" count="1" selected="0">
            <x v="5"/>
          </reference>
          <reference field="4" count="1">
            <x v="43"/>
          </reference>
        </references>
      </pivotArea>
    </format>
    <format dxfId="491">
      <pivotArea dataOnly="0" labelOnly="1" outline="0" fieldPosition="0">
        <references count="2">
          <reference field="2" count="1" selected="0">
            <x v="6"/>
          </reference>
          <reference field="4" count="3">
            <x v="80"/>
            <x v="81"/>
            <x v="100"/>
          </reference>
        </references>
      </pivotArea>
    </format>
    <format dxfId="490">
      <pivotArea dataOnly="0" labelOnly="1" outline="0" fieldPosition="0">
        <references count="3">
          <reference field="2" count="1" selected="0">
            <x v="0"/>
          </reference>
          <reference field="4" count="1" selected="0">
            <x v="30"/>
          </reference>
          <reference field="5" count="1">
            <x v="4"/>
          </reference>
        </references>
      </pivotArea>
    </format>
    <format dxfId="489">
      <pivotArea dataOnly="0" labelOnly="1" outline="0" fieldPosition="0">
        <references count="3">
          <reference field="2" count="1" selected="0">
            <x v="1"/>
          </reference>
          <reference field="4" count="1" selected="0">
            <x v="130"/>
          </reference>
          <reference field="5" count="1">
            <x v="0"/>
          </reference>
        </references>
      </pivotArea>
    </format>
    <format dxfId="488">
      <pivotArea dataOnly="0" labelOnly="1" outline="0" fieldPosition="0">
        <references count="3">
          <reference field="2" count="1" selected="0">
            <x v="3"/>
          </reference>
          <reference field="4" count="1" selected="0">
            <x v="14"/>
          </reference>
          <reference field="5" count="1">
            <x v="1"/>
          </reference>
        </references>
      </pivotArea>
    </format>
    <format dxfId="487">
      <pivotArea dataOnly="0" labelOnly="1" outline="0" fieldPosition="0">
        <references count="3">
          <reference field="2" count="1" selected="0">
            <x v="3"/>
          </reference>
          <reference field="4" count="1" selected="0">
            <x v="74"/>
          </reference>
          <reference field="5" count="1">
            <x v="0"/>
          </reference>
        </references>
      </pivotArea>
    </format>
    <format dxfId="486">
      <pivotArea dataOnly="0" labelOnly="1" outline="0" fieldPosition="0">
        <references count="3">
          <reference field="2" count="1" selected="0">
            <x v="3"/>
          </reference>
          <reference field="4" count="1" selected="0">
            <x v="75"/>
          </reference>
          <reference field="5" count="1">
            <x v="1"/>
          </reference>
        </references>
      </pivotArea>
    </format>
    <format dxfId="485">
      <pivotArea dataOnly="0" labelOnly="1" outline="0" fieldPosition="0">
        <references count="3">
          <reference field="2" count="1" selected="0">
            <x v="4"/>
          </reference>
          <reference field="4" count="1" selected="0">
            <x v="79"/>
          </reference>
          <reference field="5" count="1">
            <x v="2"/>
          </reference>
        </references>
      </pivotArea>
    </format>
    <format dxfId="484">
      <pivotArea dataOnly="0" labelOnly="1" outline="0" fieldPosition="0">
        <references count="3">
          <reference field="2" count="1" selected="0">
            <x v="5"/>
          </reference>
          <reference field="4" count="1" selected="0">
            <x v="43"/>
          </reference>
          <reference field="5" count="1">
            <x v="6"/>
          </reference>
        </references>
      </pivotArea>
    </format>
    <format dxfId="483">
      <pivotArea dataOnly="0" labelOnly="1" outline="0" fieldPosition="0">
        <references count="3">
          <reference field="2" count="1" selected="0">
            <x v="6"/>
          </reference>
          <reference field="4" count="1" selected="0">
            <x v="80"/>
          </reference>
          <reference field="5" count="1">
            <x v="3"/>
          </reference>
        </references>
      </pivotArea>
    </format>
    <format dxfId="482">
      <pivotArea dataOnly="0" labelOnly="1" outline="0" fieldPosition="0">
        <references count="4">
          <reference field="2" count="1" selected="0">
            <x v="0"/>
          </reference>
          <reference field="3" count="1">
            <x v="2"/>
          </reference>
          <reference field="4" count="1" selected="0">
            <x v="30"/>
          </reference>
          <reference field="5" count="1" selected="0">
            <x v="4"/>
          </reference>
        </references>
      </pivotArea>
    </format>
    <format dxfId="481">
      <pivotArea dataOnly="0" labelOnly="1" outline="0" fieldPosition="0">
        <references count="4">
          <reference field="2" count="1" selected="0">
            <x v="1"/>
          </reference>
          <reference field="3" count="1">
            <x v="1"/>
          </reference>
          <reference field="4" count="1" selected="0">
            <x v="130"/>
          </reference>
          <reference field="5" count="1" selected="0">
            <x v="0"/>
          </reference>
        </references>
      </pivotArea>
    </format>
    <format dxfId="480">
      <pivotArea dataOnly="0" labelOnly="1" outline="0" fieldPosition="0">
        <references count="4">
          <reference field="2" count="1" selected="0">
            <x v="3"/>
          </reference>
          <reference field="3" count="1">
            <x v="0"/>
          </reference>
          <reference field="4" count="1" selected="0">
            <x v="14"/>
          </reference>
          <reference field="5" count="1" selected="0">
            <x v="1"/>
          </reference>
        </references>
      </pivotArea>
    </format>
    <format dxfId="479">
      <pivotArea dataOnly="0" labelOnly="1" outline="0" fieldPosition="0">
        <references count="4">
          <reference field="2" count="1" selected="0">
            <x v="3"/>
          </reference>
          <reference field="3" count="1">
            <x v="1"/>
          </reference>
          <reference field="4" count="1" selected="0">
            <x v="74"/>
          </reference>
          <reference field="5" count="1" selected="0">
            <x v="0"/>
          </reference>
        </references>
      </pivotArea>
    </format>
    <format dxfId="478">
      <pivotArea dataOnly="0" labelOnly="1" outline="0" fieldPosition="0">
        <references count="4">
          <reference field="2" count="1" selected="0">
            <x v="3"/>
          </reference>
          <reference field="3" count="1">
            <x v="0"/>
          </reference>
          <reference field="4" count="1" selected="0">
            <x v="75"/>
          </reference>
          <reference field="5" count="1" selected="0">
            <x v="1"/>
          </reference>
        </references>
      </pivotArea>
    </format>
    <format dxfId="477">
      <pivotArea dataOnly="0" labelOnly="1" outline="0" fieldPosition="0">
        <references count="4">
          <reference field="2" count="1" selected="0">
            <x v="4"/>
          </reference>
          <reference field="3" count="1">
            <x v="2"/>
          </reference>
          <reference field="4" count="1" selected="0">
            <x v="79"/>
          </reference>
          <reference field="5" count="1" selected="0">
            <x v="2"/>
          </reference>
        </references>
      </pivotArea>
    </format>
    <format dxfId="476">
      <pivotArea dataOnly="0" labelOnly="1" outline="0" fieldPosition="0">
        <references count="4">
          <reference field="2" count="1" selected="0">
            <x v="5"/>
          </reference>
          <reference field="3" count="1">
            <x v="3"/>
          </reference>
          <reference field="4" count="1" selected="0">
            <x v="43"/>
          </reference>
          <reference field="5" count="1" selected="0">
            <x v="6"/>
          </reference>
        </references>
      </pivotArea>
    </format>
    <format dxfId="475">
      <pivotArea dataOnly="0" labelOnly="1" outline="0" fieldPosition="0">
        <references count="4">
          <reference field="2" count="1" selected="0">
            <x v="6"/>
          </reference>
          <reference field="3" count="1">
            <x v="2"/>
          </reference>
          <reference field="4" count="1" selected="0">
            <x v="80"/>
          </reference>
          <reference field="5" count="1" selected="0">
            <x v="3"/>
          </reference>
        </references>
      </pivotArea>
    </format>
    <format dxfId="474">
      <pivotArea dataOnly="0" labelOnly="1" outline="0" fieldPosition="0">
        <references count="4">
          <reference field="2" count="1" selected="0">
            <x v="6"/>
          </reference>
          <reference field="3" count="1">
            <x v="3"/>
          </reference>
          <reference field="4" count="1" selected="0">
            <x v="100"/>
          </reference>
          <reference field="5" count="1" selected="0">
            <x v="3"/>
          </reference>
        </references>
      </pivotArea>
    </format>
    <format dxfId="473">
      <pivotArea dataOnly="0" labelOnly="1" outline="0" fieldPosition="0">
        <references count="5">
          <reference field="2" count="1" selected="0">
            <x v="0"/>
          </reference>
          <reference field="3" count="1" selected="0">
            <x v="2"/>
          </reference>
          <reference field="4" count="1" selected="0">
            <x v="30"/>
          </reference>
          <reference field="5" count="1" selected="0">
            <x v="4"/>
          </reference>
          <reference field="6" count="1">
            <x v="2"/>
          </reference>
        </references>
      </pivotArea>
    </format>
    <format dxfId="472">
      <pivotArea dataOnly="0" labelOnly="1" outline="0" fieldPosition="0">
        <references count="5">
          <reference field="2" count="1" selected="0">
            <x v="1"/>
          </reference>
          <reference field="3" count="1" selected="0">
            <x v="1"/>
          </reference>
          <reference field="4" count="1" selected="0">
            <x v="130"/>
          </reference>
          <reference field="5" count="1" selected="0">
            <x v="0"/>
          </reference>
          <reference field="6" count="1">
            <x v="2"/>
          </reference>
        </references>
      </pivotArea>
    </format>
    <format dxfId="471">
      <pivotArea dataOnly="0" labelOnly="1" outline="0" fieldPosition="0">
        <references count="5">
          <reference field="2" count="1" selected="0">
            <x v="2"/>
          </reference>
          <reference field="3" count="1" selected="0">
            <x v="1"/>
          </reference>
          <reference field="4" count="1" selected="0">
            <x v="17"/>
          </reference>
          <reference field="5" count="1" selected="0">
            <x v="0"/>
          </reference>
          <reference field="6" count="1">
            <x v="3"/>
          </reference>
        </references>
      </pivotArea>
    </format>
    <format dxfId="470">
      <pivotArea dataOnly="0" labelOnly="1" outline="0" fieldPosition="0">
        <references count="5">
          <reference field="2" count="1" selected="0">
            <x v="2"/>
          </reference>
          <reference field="3" count="1" selected="0">
            <x v="1"/>
          </reference>
          <reference field="4" count="1" selected="0">
            <x v="70"/>
          </reference>
          <reference field="5" count="1" selected="0">
            <x v="0"/>
          </reference>
          <reference field="6" count="1">
            <x v="0"/>
          </reference>
        </references>
      </pivotArea>
    </format>
    <format dxfId="469">
      <pivotArea dataOnly="0" labelOnly="1" outline="0" fieldPosition="0">
        <references count="5">
          <reference field="2" count="1" selected="0">
            <x v="2"/>
          </reference>
          <reference field="3" count="1" selected="0">
            <x v="1"/>
          </reference>
          <reference field="4" count="1" selected="0">
            <x v="71"/>
          </reference>
          <reference field="5" count="1" selected="0">
            <x v="0"/>
          </reference>
          <reference field="6" count="1">
            <x v="2"/>
          </reference>
        </references>
      </pivotArea>
    </format>
    <format dxfId="468">
      <pivotArea dataOnly="0" labelOnly="1" outline="0" fieldPosition="0">
        <references count="5">
          <reference field="2" count="1" selected="0">
            <x v="2"/>
          </reference>
          <reference field="3" count="1" selected="0">
            <x v="1"/>
          </reference>
          <reference field="4" count="1" selected="0">
            <x v="72"/>
          </reference>
          <reference field="5" count="1" selected="0">
            <x v="0"/>
          </reference>
          <reference field="6" count="1">
            <x v="2"/>
          </reference>
        </references>
      </pivotArea>
    </format>
    <format dxfId="467">
      <pivotArea dataOnly="0" labelOnly="1" outline="0" fieldPosition="0">
        <references count="5">
          <reference field="2" count="1" selected="0">
            <x v="3"/>
          </reference>
          <reference field="3" count="1" selected="0">
            <x v="0"/>
          </reference>
          <reference field="4" count="1" selected="0">
            <x v="14"/>
          </reference>
          <reference field="5" count="1" selected="0">
            <x v="1"/>
          </reference>
          <reference field="6" count="1">
            <x v="2"/>
          </reference>
        </references>
      </pivotArea>
    </format>
    <format dxfId="466">
      <pivotArea dataOnly="0" labelOnly="1" outline="0" fieldPosition="0">
        <references count="5">
          <reference field="2" count="1" selected="0">
            <x v="3"/>
          </reference>
          <reference field="3" count="1" selected="0">
            <x v="1"/>
          </reference>
          <reference field="4" count="1" selected="0">
            <x v="74"/>
          </reference>
          <reference field="5" count="1" selected="0">
            <x v="0"/>
          </reference>
          <reference field="6" count="1">
            <x v="0"/>
          </reference>
        </references>
      </pivotArea>
    </format>
    <format dxfId="465">
      <pivotArea dataOnly="0" labelOnly="1" outline="0" fieldPosition="0">
        <references count="5">
          <reference field="2" count="1" selected="0">
            <x v="3"/>
          </reference>
          <reference field="3" count="1" selected="0">
            <x v="0"/>
          </reference>
          <reference field="4" count="1" selected="0">
            <x v="75"/>
          </reference>
          <reference field="5" count="1" selected="0">
            <x v="1"/>
          </reference>
          <reference field="6" count="1">
            <x v="2"/>
          </reference>
        </references>
      </pivotArea>
    </format>
    <format dxfId="464">
      <pivotArea dataOnly="0" labelOnly="1" outline="0" fieldPosition="0">
        <references count="5">
          <reference field="2" count="1" selected="0">
            <x v="3"/>
          </reference>
          <reference field="3" count="1" selected="0">
            <x v="0"/>
          </reference>
          <reference field="4" count="1" selected="0">
            <x v="76"/>
          </reference>
          <reference field="5" count="1" selected="0">
            <x v="1"/>
          </reference>
          <reference field="6" count="1">
            <x v="2"/>
          </reference>
        </references>
      </pivotArea>
    </format>
    <format dxfId="463">
      <pivotArea dataOnly="0" labelOnly="1" outline="0" fieldPosition="0">
        <references count="5">
          <reference field="2" count="1" selected="0">
            <x v="3"/>
          </reference>
          <reference field="3" count="1" selected="0">
            <x v="0"/>
          </reference>
          <reference field="4" count="1" selected="0">
            <x v="77"/>
          </reference>
          <reference field="5" count="1" selected="0">
            <x v="1"/>
          </reference>
          <reference field="6" count="1">
            <x v="2"/>
          </reference>
        </references>
      </pivotArea>
    </format>
    <format dxfId="462">
      <pivotArea dataOnly="0" labelOnly="1" outline="0" fieldPosition="0">
        <references count="5">
          <reference field="2" count="1" selected="0">
            <x v="3"/>
          </reference>
          <reference field="3" count="1" selected="0">
            <x v="0"/>
          </reference>
          <reference field="4" count="1" selected="0">
            <x v="131"/>
          </reference>
          <reference field="5" count="1" selected="0">
            <x v="1"/>
          </reference>
          <reference field="6" count="1">
            <x v="2"/>
          </reference>
        </references>
      </pivotArea>
    </format>
    <format dxfId="461">
      <pivotArea dataOnly="0" labelOnly="1" outline="0" fieldPosition="0">
        <references count="5">
          <reference field="2" count="1" selected="0">
            <x v="4"/>
          </reference>
          <reference field="3" count="1" selected="0">
            <x v="0"/>
          </reference>
          <reference field="4" count="1" selected="0">
            <x v="0"/>
          </reference>
          <reference field="5" count="1" selected="0">
            <x v="1"/>
          </reference>
          <reference field="6" count="1">
            <x v="2"/>
          </reference>
        </references>
      </pivotArea>
    </format>
    <format dxfId="460">
      <pivotArea dataOnly="0" labelOnly="1" outline="0" fieldPosition="0">
        <references count="5">
          <reference field="2" count="1" selected="0">
            <x v="4"/>
          </reference>
          <reference field="3" count="1" selected="0">
            <x v="0"/>
          </reference>
          <reference field="4" count="1" selected="0">
            <x v="29"/>
          </reference>
          <reference field="5" count="1" selected="0">
            <x v="1"/>
          </reference>
          <reference field="6" count="1">
            <x v="2"/>
          </reference>
        </references>
      </pivotArea>
    </format>
    <format dxfId="459">
      <pivotArea dataOnly="0" labelOnly="1" outline="0" fieldPosition="0">
        <references count="5">
          <reference field="2" count="1" selected="0">
            <x v="4"/>
          </reference>
          <reference field="3" count="1" selected="0">
            <x v="0"/>
          </reference>
          <reference field="4" count="1" selected="0">
            <x v="37"/>
          </reference>
          <reference field="5" count="1" selected="0">
            <x v="1"/>
          </reference>
          <reference field="6" count="1">
            <x v="2"/>
          </reference>
        </references>
      </pivotArea>
    </format>
    <format dxfId="458">
      <pivotArea dataOnly="0" labelOnly="1" outline="0" fieldPosition="0">
        <references count="5">
          <reference field="2" count="1" selected="0">
            <x v="4"/>
          </reference>
          <reference field="3" count="1" selected="0">
            <x v="0"/>
          </reference>
          <reference field="4" count="1" selected="0">
            <x v="38"/>
          </reference>
          <reference field="5" count="1" selected="0">
            <x v="1"/>
          </reference>
          <reference field="6" count="1">
            <x v="2"/>
          </reference>
        </references>
      </pivotArea>
    </format>
    <format dxfId="457">
      <pivotArea dataOnly="0" labelOnly="1" outline="0" fieldPosition="0">
        <references count="5">
          <reference field="2" count="1" selected="0">
            <x v="4"/>
          </reference>
          <reference field="3" count="1" selected="0">
            <x v="0"/>
          </reference>
          <reference field="4" count="1" selected="0">
            <x v="39"/>
          </reference>
          <reference field="5" count="1" selected="0">
            <x v="1"/>
          </reference>
          <reference field="6" count="1">
            <x v="2"/>
          </reference>
        </references>
      </pivotArea>
    </format>
    <format dxfId="456">
      <pivotArea dataOnly="0" labelOnly="1" outline="0" fieldPosition="0">
        <references count="5">
          <reference field="2" count="1" selected="0">
            <x v="4"/>
          </reference>
          <reference field="3" count="1" selected="0">
            <x v="2"/>
          </reference>
          <reference field="4" count="1" selected="0">
            <x v="79"/>
          </reference>
          <reference field="5" count="1" selected="0">
            <x v="2"/>
          </reference>
          <reference field="6" count="1">
            <x v="2"/>
          </reference>
        </references>
      </pivotArea>
    </format>
    <format dxfId="455">
      <pivotArea dataOnly="0" labelOnly="1" outline="0" fieldPosition="0">
        <references count="5">
          <reference field="2" count="1" selected="0">
            <x v="5"/>
          </reference>
          <reference field="3" count="1" selected="0">
            <x v="3"/>
          </reference>
          <reference field="4" count="1" selected="0">
            <x v="43"/>
          </reference>
          <reference field="5" count="1" selected="0">
            <x v="6"/>
          </reference>
          <reference field="6" count="1">
            <x v="5"/>
          </reference>
        </references>
      </pivotArea>
    </format>
    <format dxfId="454">
      <pivotArea dataOnly="0" labelOnly="1" outline="0" fieldPosition="0">
        <references count="5">
          <reference field="2" count="1" selected="0">
            <x v="6"/>
          </reference>
          <reference field="3" count="1" selected="0">
            <x v="2"/>
          </reference>
          <reference field="4" count="1" selected="0">
            <x v="80"/>
          </reference>
          <reference field="5" count="1" selected="0">
            <x v="3"/>
          </reference>
          <reference field="6" count="1">
            <x v="3"/>
          </reference>
        </references>
      </pivotArea>
    </format>
    <format dxfId="453">
      <pivotArea dataOnly="0" labelOnly="1" outline="0" fieldPosition="0">
        <references count="5">
          <reference field="2" count="1" selected="0">
            <x v="6"/>
          </reference>
          <reference field="3" count="1" selected="0">
            <x v="2"/>
          </reference>
          <reference field="4" count="1" selected="0">
            <x v="81"/>
          </reference>
          <reference field="5" count="1" selected="0">
            <x v="3"/>
          </reference>
          <reference field="6" count="1">
            <x v="6"/>
          </reference>
        </references>
      </pivotArea>
    </format>
    <format dxfId="452">
      <pivotArea dataOnly="0" labelOnly="1" outline="0" fieldPosition="0">
        <references count="5">
          <reference field="2" count="1" selected="0">
            <x v="6"/>
          </reference>
          <reference field="3" count="1" selected="0">
            <x v="3"/>
          </reference>
          <reference field="4" count="1" selected="0">
            <x v="100"/>
          </reference>
          <reference field="5" count="1" selected="0">
            <x v="3"/>
          </reference>
          <reference field="6" count="1">
            <x v="6"/>
          </reference>
        </references>
      </pivotArea>
    </format>
    <format dxfId="451">
      <pivotArea dataOnly="0" labelOnly="1" outline="0" fieldPosition="0">
        <references count="1">
          <reference field="2" count="6">
            <x v="1"/>
            <x v="2"/>
            <x v="3"/>
            <x v="4"/>
            <x v="5"/>
            <x v="6"/>
          </reference>
        </references>
      </pivotArea>
    </format>
    <format dxfId="450">
      <pivotArea dataOnly="0" labelOnly="1" outline="0" fieldPosition="0">
        <references count="2">
          <reference field="2" count="1" selected="0">
            <x v="1"/>
          </reference>
          <reference field="4" count="1">
            <x v="31"/>
          </reference>
        </references>
      </pivotArea>
    </format>
    <format dxfId="449">
      <pivotArea dataOnly="0" labelOnly="1" outline="0" fieldPosition="0">
        <references count="2">
          <reference field="2" count="1" selected="0">
            <x v="2"/>
          </reference>
          <reference field="4" count="7">
            <x v="6"/>
            <x v="32"/>
            <x v="34"/>
            <x v="58"/>
            <x v="59"/>
            <x v="60"/>
            <x v="61"/>
          </reference>
        </references>
      </pivotArea>
    </format>
    <format dxfId="448">
      <pivotArea dataOnly="0" labelOnly="1" outline="0" fieldPosition="0">
        <references count="2">
          <reference field="2" count="1" selected="0">
            <x v="3"/>
          </reference>
          <reference field="4" count="7">
            <x v="23"/>
            <x v="25"/>
            <x v="26"/>
            <x v="62"/>
            <x v="63"/>
            <x v="64"/>
            <x v="65"/>
          </reference>
        </references>
      </pivotArea>
    </format>
    <format dxfId="447">
      <pivotArea dataOnly="0" labelOnly="1" outline="0" fieldPosition="0">
        <references count="2">
          <reference field="2" count="1" selected="0">
            <x v="4"/>
          </reference>
          <reference field="4" count="3">
            <x v="66"/>
            <x v="67"/>
            <x v="68"/>
          </reference>
        </references>
      </pivotArea>
    </format>
    <format dxfId="446">
      <pivotArea dataOnly="0" labelOnly="1" outline="0" fieldPosition="0">
        <references count="2">
          <reference field="2" count="1" selected="0">
            <x v="5"/>
          </reference>
          <reference field="4" count="2">
            <x v="12"/>
            <x v="42"/>
          </reference>
        </references>
      </pivotArea>
    </format>
    <format dxfId="445">
      <pivotArea dataOnly="0" labelOnly="1" outline="0" fieldPosition="0">
        <references count="2">
          <reference field="2" count="1" selected="0">
            <x v="6"/>
          </reference>
          <reference field="4" count="1">
            <x v="5"/>
          </reference>
        </references>
      </pivotArea>
    </format>
    <format dxfId="444">
      <pivotArea dataOnly="0" labelOnly="1" outline="0" fieldPosition="0">
        <references count="3">
          <reference field="2" count="1" selected="0">
            <x v="1"/>
          </reference>
          <reference field="4" count="1" selected="0">
            <x v="31"/>
          </reference>
          <reference field="5" count="1">
            <x v="0"/>
          </reference>
        </references>
      </pivotArea>
    </format>
    <format dxfId="443">
      <pivotArea dataOnly="0" labelOnly="1" outline="0" fieldPosition="0">
        <references count="3">
          <reference field="2" count="1" selected="0">
            <x v="2"/>
          </reference>
          <reference field="4" count="1" selected="0">
            <x v="32"/>
          </reference>
          <reference field="5" count="1">
            <x v="1"/>
          </reference>
        </references>
      </pivotArea>
    </format>
    <format dxfId="442">
      <pivotArea dataOnly="0" labelOnly="1" outline="0" fieldPosition="0">
        <references count="3">
          <reference field="2" count="1" selected="0">
            <x v="2"/>
          </reference>
          <reference field="4" count="1" selected="0">
            <x v="34"/>
          </reference>
          <reference field="5" count="1">
            <x v="0"/>
          </reference>
        </references>
      </pivotArea>
    </format>
    <format dxfId="441">
      <pivotArea dataOnly="0" labelOnly="1" outline="0" fieldPosition="0">
        <references count="3">
          <reference field="2" count="1" selected="0">
            <x v="3"/>
          </reference>
          <reference field="4" count="1" selected="0">
            <x v="25"/>
          </reference>
          <reference field="5" count="1">
            <x v="1"/>
          </reference>
        </references>
      </pivotArea>
    </format>
    <format dxfId="440">
      <pivotArea dataOnly="0" labelOnly="1" outline="0" fieldPosition="0">
        <references count="3">
          <reference field="2" count="1" selected="0">
            <x v="3"/>
          </reference>
          <reference field="4" count="1" selected="0">
            <x v="62"/>
          </reference>
          <reference field="5" count="1">
            <x v="0"/>
          </reference>
        </references>
      </pivotArea>
    </format>
    <format dxfId="439">
      <pivotArea dataOnly="0" labelOnly="1" outline="0" fieldPosition="0">
        <references count="3">
          <reference field="2" count="1" selected="0">
            <x v="3"/>
          </reference>
          <reference field="4" count="1" selected="0">
            <x v="63"/>
          </reference>
          <reference field="5" count="1">
            <x v="1"/>
          </reference>
        </references>
      </pivotArea>
    </format>
    <format dxfId="438">
      <pivotArea dataOnly="0" labelOnly="1" outline="0" fieldPosition="0">
        <references count="3">
          <reference field="2" count="1" selected="0">
            <x v="4"/>
          </reference>
          <reference field="4" count="1" selected="0">
            <x v="67"/>
          </reference>
          <reference field="5" count="1">
            <x v="2"/>
          </reference>
        </references>
      </pivotArea>
    </format>
    <format dxfId="437">
      <pivotArea dataOnly="0" labelOnly="1" outline="0" fieldPosition="0">
        <references count="3">
          <reference field="2" count="1" selected="0">
            <x v="5"/>
          </reference>
          <reference field="4" count="1" selected="0">
            <x v="12"/>
          </reference>
          <reference field="5" count="1">
            <x v="3"/>
          </reference>
        </references>
      </pivotArea>
    </format>
    <format dxfId="436">
      <pivotArea dataOnly="0" labelOnly="1" outline="0" fieldPosition="0">
        <references count="4">
          <reference field="2" count="1" selected="0">
            <x v="1"/>
          </reference>
          <reference field="3" count="1">
            <x v="1"/>
          </reference>
          <reference field="4" count="1" selected="0">
            <x v="31"/>
          </reference>
          <reference field="5" count="1" selected="0">
            <x v="0"/>
          </reference>
        </references>
      </pivotArea>
    </format>
    <format dxfId="435">
      <pivotArea dataOnly="0" labelOnly="1" outline="0" fieldPosition="0">
        <references count="4">
          <reference field="2" count="1" selected="0">
            <x v="3"/>
          </reference>
          <reference field="3" count="1">
            <x v="0"/>
          </reference>
          <reference field="4" count="1" selected="0">
            <x v="25"/>
          </reference>
          <reference field="5" count="1" selected="0">
            <x v="1"/>
          </reference>
        </references>
      </pivotArea>
    </format>
    <format dxfId="434">
      <pivotArea dataOnly="0" labelOnly="1" outline="0" fieldPosition="0">
        <references count="4">
          <reference field="2" count="1" selected="0">
            <x v="3"/>
          </reference>
          <reference field="3" count="1">
            <x v="1"/>
          </reference>
          <reference field="4" count="1" selected="0">
            <x v="62"/>
          </reference>
          <reference field="5" count="1" selected="0">
            <x v="0"/>
          </reference>
        </references>
      </pivotArea>
    </format>
    <format dxfId="433">
      <pivotArea dataOnly="0" labelOnly="1" outline="0" fieldPosition="0">
        <references count="4">
          <reference field="2" count="1" selected="0">
            <x v="3"/>
          </reference>
          <reference field="3" count="1">
            <x v="0"/>
          </reference>
          <reference field="4" count="1" selected="0">
            <x v="63"/>
          </reference>
          <reference field="5" count="1" selected="0">
            <x v="1"/>
          </reference>
        </references>
      </pivotArea>
    </format>
    <format dxfId="432">
      <pivotArea dataOnly="0" labelOnly="1" outline="0" fieldPosition="0">
        <references count="4">
          <reference field="2" count="1" selected="0">
            <x v="4"/>
          </reference>
          <reference field="3" count="1">
            <x v="2"/>
          </reference>
          <reference field="4" count="1" selected="0">
            <x v="67"/>
          </reference>
          <reference field="5" count="1" selected="0">
            <x v="2"/>
          </reference>
        </references>
      </pivotArea>
    </format>
    <format dxfId="431">
      <pivotArea dataOnly="0" labelOnly="1" outline="0" fieldPosition="0">
        <references count="4">
          <reference field="2" count="1" selected="0">
            <x v="5"/>
          </reference>
          <reference field="3" count="1">
            <x v="3"/>
          </reference>
          <reference field="4" count="1" selected="0">
            <x v="42"/>
          </reference>
          <reference field="5" count="1" selected="0">
            <x v="3"/>
          </reference>
        </references>
      </pivotArea>
    </format>
    <format dxfId="430">
      <pivotArea dataOnly="0" labelOnly="1" outline="0" fieldPosition="0">
        <references count="5">
          <reference field="2" count="1" selected="0">
            <x v="1"/>
          </reference>
          <reference field="3" count="1" selected="0">
            <x v="1"/>
          </reference>
          <reference field="4" count="1" selected="0">
            <x v="31"/>
          </reference>
          <reference field="5" count="1" selected="0">
            <x v="0"/>
          </reference>
          <reference field="6" count="1">
            <x v="2"/>
          </reference>
        </references>
      </pivotArea>
    </format>
    <format dxfId="429">
      <pivotArea dataOnly="0" labelOnly="1" outline="0" fieldPosition="0">
        <references count="5">
          <reference field="2" count="1" selected="0">
            <x v="2"/>
          </reference>
          <reference field="3" count="1" selected="0">
            <x v="1"/>
          </reference>
          <reference field="4" count="1" selected="0">
            <x v="6"/>
          </reference>
          <reference field="5" count="1" selected="0">
            <x v="0"/>
          </reference>
          <reference field="6" count="1">
            <x v="0"/>
          </reference>
        </references>
      </pivotArea>
    </format>
    <format dxfId="428">
      <pivotArea dataOnly="0" labelOnly="1" outline="0" fieldPosition="0">
        <references count="5">
          <reference field="2" count="1" selected="0">
            <x v="2"/>
          </reference>
          <reference field="3" count="1" selected="0">
            <x v="1"/>
          </reference>
          <reference field="4" count="1" selected="0">
            <x v="32"/>
          </reference>
          <reference field="5" count="1" selected="0">
            <x v="1"/>
          </reference>
          <reference field="6" count="1">
            <x v="4"/>
          </reference>
        </references>
      </pivotArea>
    </format>
    <format dxfId="427">
      <pivotArea dataOnly="0" labelOnly="1" outline="0" fieldPosition="0">
        <references count="5">
          <reference field="2" count="1" selected="0">
            <x v="2"/>
          </reference>
          <reference field="3" count="1" selected="0">
            <x v="1"/>
          </reference>
          <reference field="4" count="1" selected="0">
            <x v="34"/>
          </reference>
          <reference field="5" count="1" selected="0">
            <x v="0"/>
          </reference>
          <reference field="6" count="1">
            <x v="3"/>
          </reference>
        </references>
      </pivotArea>
    </format>
    <format dxfId="426">
      <pivotArea dataOnly="0" labelOnly="1" outline="0" fieldPosition="0">
        <references count="5">
          <reference field="2" count="1" selected="0">
            <x v="2"/>
          </reference>
          <reference field="3" count="1" selected="0">
            <x v="1"/>
          </reference>
          <reference field="4" count="1" selected="0">
            <x v="58"/>
          </reference>
          <reference field="5" count="1" selected="0">
            <x v="0"/>
          </reference>
          <reference field="6" count="1">
            <x v="3"/>
          </reference>
        </references>
      </pivotArea>
    </format>
    <format dxfId="425">
      <pivotArea dataOnly="0" labelOnly="1" outline="0" fieldPosition="0">
        <references count="5">
          <reference field="2" count="1" selected="0">
            <x v="2"/>
          </reference>
          <reference field="3" count="1" selected="0">
            <x v="1"/>
          </reference>
          <reference field="4" count="1" selected="0">
            <x v="59"/>
          </reference>
          <reference field="5" count="1" selected="0">
            <x v="0"/>
          </reference>
          <reference field="6" count="1">
            <x v="3"/>
          </reference>
        </references>
      </pivotArea>
    </format>
    <format dxfId="424">
      <pivotArea dataOnly="0" labelOnly="1" outline="0" fieldPosition="0">
        <references count="5">
          <reference field="2" count="1" selected="0">
            <x v="2"/>
          </reference>
          <reference field="3" count="1" selected="0">
            <x v="1"/>
          </reference>
          <reference field="4" count="1" selected="0">
            <x v="60"/>
          </reference>
          <reference field="5" count="1" selected="0">
            <x v="0"/>
          </reference>
          <reference field="6" count="1">
            <x v="2"/>
          </reference>
        </references>
      </pivotArea>
    </format>
    <format dxfId="423">
      <pivotArea dataOnly="0" labelOnly="1" outline="0" fieldPosition="0">
        <references count="5">
          <reference field="2" count="1" selected="0">
            <x v="2"/>
          </reference>
          <reference field="3" count="1" selected="0">
            <x v="1"/>
          </reference>
          <reference field="4" count="1" selected="0">
            <x v="61"/>
          </reference>
          <reference field="5" count="1" selected="0">
            <x v="0"/>
          </reference>
          <reference field="6" count="1">
            <x v="3"/>
          </reference>
        </references>
      </pivotArea>
    </format>
    <format dxfId="422">
      <pivotArea dataOnly="0" labelOnly="1" outline="0" fieldPosition="0">
        <references count="5">
          <reference field="2" count="1" selected="0">
            <x v="3"/>
          </reference>
          <reference field="3" count="1" selected="0">
            <x v="1"/>
          </reference>
          <reference field="4" count="1" selected="0">
            <x v="23"/>
          </reference>
          <reference field="5" count="1" selected="0">
            <x v="0"/>
          </reference>
          <reference field="6" count="1">
            <x v="3"/>
          </reference>
        </references>
      </pivotArea>
    </format>
    <format dxfId="421">
      <pivotArea dataOnly="0" labelOnly="1" outline="0" fieldPosition="0">
        <references count="5">
          <reference field="2" count="1" selected="0">
            <x v="3"/>
          </reference>
          <reference field="3" count="1" selected="0">
            <x v="0"/>
          </reference>
          <reference field="4" count="1" selected="0">
            <x v="25"/>
          </reference>
          <reference field="5" count="1" selected="0">
            <x v="1"/>
          </reference>
          <reference field="6" count="1">
            <x v="2"/>
          </reference>
        </references>
      </pivotArea>
    </format>
    <format dxfId="420">
      <pivotArea dataOnly="0" labelOnly="1" outline="0" fieldPosition="0">
        <references count="5">
          <reference field="2" count="1" selected="0">
            <x v="3"/>
          </reference>
          <reference field="3" count="1" selected="0">
            <x v="0"/>
          </reference>
          <reference field="4" count="1" selected="0">
            <x v="26"/>
          </reference>
          <reference field="5" count="1" selected="0">
            <x v="1"/>
          </reference>
          <reference field="6" count="1">
            <x v="2"/>
          </reference>
        </references>
      </pivotArea>
    </format>
    <format dxfId="419">
      <pivotArea dataOnly="0" labelOnly="1" outline="0" fieldPosition="0">
        <references count="5">
          <reference field="2" count="1" selected="0">
            <x v="3"/>
          </reference>
          <reference field="3" count="1" selected="0">
            <x v="1"/>
          </reference>
          <reference field="4" count="1" selected="0">
            <x v="62"/>
          </reference>
          <reference field="5" count="1" selected="0">
            <x v="0"/>
          </reference>
          <reference field="6" count="1">
            <x v="0"/>
          </reference>
        </references>
      </pivotArea>
    </format>
    <format dxfId="418">
      <pivotArea dataOnly="0" labelOnly="1" outline="0" fieldPosition="0">
        <references count="5">
          <reference field="2" count="1" selected="0">
            <x v="3"/>
          </reference>
          <reference field="3" count="1" selected="0">
            <x v="0"/>
          </reference>
          <reference field="4" count="1" selected="0">
            <x v="63"/>
          </reference>
          <reference field="5" count="1" selected="0">
            <x v="1"/>
          </reference>
          <reference field="6" count="1">
            <x v="2"/>
          </reference>
        </references>
      </pivotArea>
    </format>
    <format dxfId="417">
      <pivotArea dataOnly="0" labelOnly="1" outline="0" fieldPosition="0">
        <references count="5">
          <reference field="2" count="1" selected="0">
            <x v="3"/>
          </reference>
          <reference field="3" count="1" selected="0">
            <x v="0"/>
          </reference>
          <reference field="4" count="1" selected="0">
            <x v="64"/>
          </reference>
          <reference field="5" count="1" selected="0">
            <x v="1"/>
          </reference>
          <reference field="6" count="1">
            <x v="2"/>
          </reference>
        </references>
      </pivotArea>
    </format>
    <format dxfId="416">
      <pivotArea dataOnly="0" labelOnly="1" outline="0" fieldPosition="0">
        <references count="5">
          <reference field="2" count="1" selected="0">
            <x v="3"/>
          </reference>
          <reference field="3" count="1" selected="0">
            <x v="0"/>
          </reference>
          <reference field="4" count="1" selected="0">
            <x v="65"/>
          </reference>
          <reference field="5" count="1" selected="0">
            <x v="1"/>
          </reference>
          <reference field="6" count="1">
            <x v="2"/>
          </reference>
        </references>
      </pivotArea>
    </format>
    <format dxfId="415">
      <pivotArea dataOnly="0" labelOnly="1" outline="0" fieldPosition="0">
        <references count="5">
          <reference field="2" count="1" selected="0">
            <x v="4"/>
          </reference>
          <reference field="3" count="1" selected="0">
            <x v="0"/>
          </reference>
          <reference field="4" count="1" selected="0">
            <x v="66"/>
          </reference>
          <reference field="5" count="1" selected="0">
            <x v="1"/>
          </reference>
          <reference field="6" count="1">
            <x v="2"/>
          </reference>
        </references>
      </pivotArea>
    </format>
    <format dxfId="414">
      <pivotArea dataOnly="0" labelOnly="1" outline="0" fieldPosition="0">
        <references count="5">
          <reference field="2" count="1" selected="0">
            <x v="4"/>
          </reference>
          <reference field="3" count="1" selected="0">
            <x v="2"/>
          </reference>
          <reference field="4" count="1" selected="0">
            <x v="67"/>
          </reference>
          <reference field="5" count="1" selected="0">
            <x v="2"/>
          </reference>
          <reference field="6" count="1">
            <x v="2"/>
          </reference>
        </references>
      </pivotArea>
    </format>
    <format dxfId="413">
      <pivotArea dataOnly="0" labelOnly="1" outline="0" fieldPosition="0">
        <references count="5">
          <reference field="2" count="1" selected="0">
            <x v="4"/>
          </reference>
          <reference field="3" count="1" selected="0">
            <x v="2"/>
          </reference>
          <reference field="4" count="1" selected="0">
            <x v="68"/>
          </reference>
          <reference field="5" count="1" selected="0">
            <x v="2"/>
          </reference>
          <reference field="6" count="1">
            <x v="2"/>
          </reference>
        </references>
      </pivotArea>
    </format>
    <format dxfId="412">
      <pivotArea dataOnly="0" labelOnly="1" outline="0" fieldPosition="0">
        <references count="5">
          <reference field="2" count="1" selected="0">
            <x v="5"/>
          </reference>
          <reference field="3" count="1" selected="0">
            <x v="2"/>
          </reference>
          <reference field="4" count="1" selected="0">
            <x v="12"/>
          </reference>
          <reference field="5" count="1" selected="0">
            <x v="3"/>
          </reference>
          <reference field="6" count="1">
            <x v="2"/>
          </reference>
        </references>
      </pivotArea>
    </format>
    <format dxfId="411">
      <pivotArea dataOnly="0" labelOnly="1" outline="0" fieldPosition="0">
        <references count="5">
          <reference field="2" count="1" selected="0">
            <x v="5"/>
          </reference>
          <reference field="3" count="1" selected="0">
            <x v="3"/>
          </reference>
          <reference field="4" count="1" selected="0">
            <x v="42"/>
          </reference>
          <reference field="5" count="1" selected="0">
            <x v="3"/>
          </reference>
          <reference field="6" count="1">
            <x v="2"/>
          </reference>
        </references>
      </pivotArea>
    </format>
    <format dxfId="410">
      <pivotArea dataOnly="0" labelOnly="1" outline="0" fieldPosition="0">
        <references count="5">
          <reference field="2" count="1" selected="0">
            <x v="6"/>
          </reference>
          <reference field="3" count="1" selected="0">
            <x v="3"/>
          </reference>
          <reference field="4" count="1" selected="0">
            <x v="5"/>
          </reference>
          <reference field="5" count="1" selected="0">
            <x v="3"/>
          </reference>
          <reference field="6" count="1">
            <x v="1"/>
          </reference>
        </references>
      </pivotArea>
    </format>
    <format dxfId="409">
      <pivotArea dataOnly="0" labelOnly="1" outline="0" fieldPosition="0">
        <references count="2">
          <reference field="2" count="1" selected="0">
            <x v="1"/>
          </reference>
          <reference field="4" count="2">
            <x v="101"/>
            <x v="102"/>
          </reference>
        </references>
      </pivotArea>
    </format>
    <format dxfId="408">
      <pivotArea dataOnly="0" labelOnly="1" outline="0" fieldPosition="0">
        <references count="2">
          <reference field="2" count="1" selected="0">
            <x v="2"/>
          </reference>
          <reference field="4" count="3">
            <x v="73"/>
            <x v="135"/>
            <x v="136"/>
          </reference>
        </references>
      </pivotArea>
    </format>
    <format dxfId="407">
      <pivotArea dataOnly="0" labelOnly="1" outline="0" fieldPosition="0">
        <references count="2">
          <reference field="2" count="1" selected="0">
            <x v="3"/>
          </reference>
          <reference field="4" count="4">
            <x v="105"/>
            <x v="106"/>
            <x v="107"/>
            <x v="121"/>
          </reference>
        </references>
      </pivotArea>
    </format>
    <format dxfId="406">
      <pivotArea dataOnly="0" labelOnly="1" outline="0" fieldPosition="0">
        <references count="2">
          <reference field="2" count="1" selected="0">
            <x v="4"/>
          </reference>
          <reference field="4" count="4">
            <x v="97"/>
            <x v="108"/>
            <x v="109"/>
            <x v="110"/>
          </reference>
        </references>
      </pivotArea>
    </format>
    <format dxfId="405">
      <pivotArea dataOnly="0" labelOnly="1" outline="0" fieldPosition="0">
        <references count="2">
          <reference field="2" count="1" selected="0">
            <x v="6"/>
          </reference>
          <reference field="4" count="2">
            <x v="111"/>
            <x v="112"/>
          </reference>
        </references>
      </pivotArea>
    </format>
    <format dxfId="404">
      <pivotArea dataOnly="0" labelOnly="1" outline="0" fieldPosition="0">
        <references count="3">
          <reference field="2" count="1" selected="0">
            <x v="1"/>
          </reference>
          <reference field="4" count="1" selected="0">
            <x v="101"/>
          </reference>
          <reference field="5" count="1">
            <x v="0"/>
          </reference>
        </references>
      </pivotArea>
    </format>
    <format dxfId="403">
      <pivotArea dataOnly="0" labelOnly="1" outline="0" fieldPosition="0">
        <references count="3">
          <reference field="2" count="1" selected="0">
            <x v="3"/>
          </reference>
          <reference field="4" count="1" selected="0">
            <x v="105"/>
          </reference>
          <reference field="5" count="1">
            <x v="1"/>
          </reference>
        </references>
      </pivotArea>
    </format>
    <format dxfId="402">
      <pivotArea dataOnly="0" labelOnly="1" outline="0" fieldPosition="0">
        <references count="3">
          <reference field="2" count="1" selected="0">
            <x v="3"/>
          </reference>
          <reference field="4" count="1" selected="0">
            <x v="121"/>
          </reference>
          <reference field="5" count="1">
            <x v="0"/>
          </reference>
        </references>
      </pivotArea>
    </format>
    <format dxfId="401">
      <pivotArea dataOnly="0" labelOnly="1" outline="0" fieldPosition="0">
        <references count="3">
          <reference field="2" count="1" selected="0">
            <x v="4"/>
          </reference>
          <reference field="4" count="1" selected="0">
            <x v="97"/>
          </reference>
          <reference field="5" count="1">
            <x v="1"/>
          </reference>
        </references>
      </pivotArea>
    </format>
    <format dxfId="400">
      <pivotArea dataOnly="0" labelOnly="1" outline="0" fieldPosition="0">
        <references count="3">
          <reference field="2" count="1" selected="0">
            <x v="6"/>
          </reference>
          <reference field="4" count="1" selected="0">
            <x v="111"/>
          </reference>
          <reference field="5" count="1">
            <x v="3"/>
          </reference>
        </references>
      </pivotArea>
    </format>
    <format dxfId="399">
      <pivotArea dataOnly="0" labelOnly="1" outline="0" fieldPosition="0">
        <references count="4">
          <reference field="2" count="1" selected="0">
            <x v="1"/>
          </reference>
          <reference field="3" count="1">
            <x v="1"/>
          </reference>
          <reference field="4" count="1" selected="0">
            <x v="101"/>
          </reference>
          <reference field="5" count="1" selected="0">
            <x v="0"/>
          </reference>
        </references>
      </pivotArea>
    </format>
    <format dxfId="398">
      <pivotArea dataOnly="0" labelOnly="1" outline="0" fieldPosition="0">
        <references count="4">
          <reference field="2" count="1" selected="0">
            <x v="3"/>
          </reference>
          <reference field="3" count="1">
            <x v="0"/>
          </reference>
          <reference field="4" count="1" selected="0">
            <x v="105"/>
          </reference>
          <reference field="5" count="1" selected="0">
            <x v="1"/>
          </reference>
        </references>
      </pivotArea>
    </format>
    <format dxfId="397">
      <pivotArea dataOnly="0" labelOnly="1" outline="0" fieldPosition="0">
        <references count="4">
          <reference field="2" count="1" selected="0">
            <x v="3"/>
          </reference>
          <reference field="3" count="1">
            <x v="1"/>
          </reference>
          <reference field="4" count="1" selected="0">
            <x v="121"/>
          </reference>
          <reference field="5" count="1" selected="0">
            <x v="0"/>
          </reference>
        </references>
      </pivotArea>
    </format>
    <format dxfId="396">
      <pivotArea dataOnly="0" labelOnly="1" outline="0" fieldPosition="0">
        <references count="4">
          <reference field="2" count="1" selected="0">
            <x v="4"/>
          </reference>
          <reference field="3" count="1">
            <x v="0"/>
          </reference>
          <reference field="4" count="1" selected="0">
            <x v="97"/>
          </reference>
          <reference field="5" count="1" selected="0">
            <x v="1"/>
          </reference>
        </references>
      </pivotArea>
    </format>
    <format dxfId="395">
      <pivotArea dataOnly="0" labelOnly="1" outline="0" fieldPosition="0">
        <references count="4">
          <reference field="2" count="1" selected="0">
            <x v="6"/>
          </reference>
          <reference field="3" count="1">
            <x v="2"/>
          </reference>
          <reference field="4" count="1" selected="0">
            <x v="111"/>
          </reference>
          <reference field="5" count="1" selected="0">
            <x v="3"/>
          </reference>
        </references>
      </pivotArea>
    </format>
    <format dxfId="394">
      <pivotArea dataOnly="0" labelOnly="1" outline="0" fieldPosition="0">
        <references count="4">
          <reference field="2" count="1" selected="0">
            <x v="6"/>
          </reference>
          <reference field="3" count="1">
            <x v="3"/>
          </reference>
          <reference field="4" count="1" selected="0">
            <x v="112"/>
          </reference>
          <reference field="5" count="1" selected="0">
            <x v="3"/>
          </reference>
        </references>
      </pivotArea>
    </format>
    <format dxfId="393">
      <pivotArea dataOnly="0" labelOnly="1" outline="0" fieldPosition="0">
        <references count="5">
          <reference field="2" count="1" selected="0">
            <x v="1"/>
          </reference>
          <reference field="3" count="1" selected="0">
            <x v="1"/>
          </reference>
          <reference field="4" count="1" selected="0">
            <x v="101"/>
          </reference>
          <reference field="5" count="1" selected="0">
            <x v="0"/>
          </reference>
          <reference field="6" count="1">
            <x v="2"/>
          </reference>
        </references>
      </pivotArea>
    </format>
    <format dxfId="392">
      <pivotArea dataOnly="0" labelOnly="1" outline="0" fieldPosition="0">
        <references count="5">
          <reference field="2" count="1" selected="0">
            <x v="1"/>
          </reference>
          <reference field="3" count="1" selected="0">
            <x v="1"/>
          </reference>
          <reference field="4" count="1" selected="0">
            <x v="102"/>
          </reference>
          <reference field="5" count="1" selected="0">
            <x v="0"/>
          </reference>
          <reference field="6" count="1">
            <x v="2"/>
          </reference>
        </references>
      </pivotArea>
    </format>
    <format dxfId="391">
      <pivotArea dataOnly="0" labelOnly="1" outline="0" fieldPosition="0">
        <references count="5">
          <reference field="2" count="1" selected="0">
            <x v="2"/>
          </reference>
          <reference field="3" count="1" selected="0">
            <x v="1"/>
          </reference>
          <reference field="4" count="1" selected="0">
            <x v="73"/>
          </reference>
          <reference field="5" count="1" selected="0">
            <x v="0"/>
          </reference>
          <reference field="6" count="1">
            <x v="2"/>
          </reference>
        </references>
      </pivotArea>
    </format>
    <format dxfId="390">
      <pivotArea dataOnly="0" labelOnly="1" outline="0" fieldPosition="0">
        <references count="5">
          <reference field="2" count="1" selected="0">
            <x v="2"/>
          </reference>
          <reference field="3" count="1" selected="0">
            <x v="1"/>
          </reference>
          <reference field="4" count="1" selected="0">
            <x v="135"/>
          </reference>
          <reference field="5" count="1" selected="0">
            <x v="0"/>
          </reference>
          <reference field="6" count="1">
            <x v="0"/>
          </reference>
        </references>
      </pivotArea>
    </format>
    <format dxfId="389">
      <pivotArea dataOnly="0" labelOnly="1" outline="0" fieldPosition="0">
        <references count="5">
          <reference field="2" count="1" selected="0">
            <x v="2"/>
          </reference>
          <reference field="3" count="1" selected="0">
            <x v="1"/>
          </reference>
          <reference field="4" count="1" selected="0">
            <x v="136"/>
          </reference>
          <reference field="5" count="1" selected="0">
            <x v="0"/>
          </reference>
          <reference field="6" count="1">
            <x v="2"/>
          </reference>
        </references>
      </pivotArea>
    </format>
    <format dxfId="388">
      <pivotArea dataOnly="0" labelOnly="1" outline="0" fieldPosition="0">
        <references count="5">
          <reference field="2" count="1" selected="0">
            <x v="3"/>
          </reference>
          <reference field="3" count="1" selected="0">
            <x v="0"/>
          </reference>
          <reference field="4" count="1" selected="0">
            <x v="105"/>
          </reference>
          <reference field="5" count="1" selected="0">
            <x v="1"/>
          </reference>
          <reference field="6" count="1">
            <x v="2"/>
          </reference>
        </references>
      </pivotArea>
    </format>
    <format dxfId="387">
      <pivotArea dataOnly="0" labelOnly="1" outline="0" fieldPosition="0">
        <references count="5">
          <reference field="2" count="1" selected="0">
            <x v="3"/>
          </reference>
          <reference field="3" count="1" selected="0">
            <x v="0"/>
          </reference>
          <reference field="4" count="1" selected="0">
            <x v="106"/>
          </reference>
          <reference field="5" count="1" selected="0">
            <x v="1"/>
          </reference>
          <reference field="6" count="1">
            <x v="2"/>
          </reference>
        </references>
      </pivotArea>
    </format>
    <format dxfId="386">
      <pivotArea dataOnly="0" labelOnly="1" outline="0" fieldPosition="0">
        <references count="5">
          <reference field="2" count="1" selected="0">
            <x v="3"/>
          </reference>
          <reference field="3" count="1" selected="0">
            <x v="0"/>
          </reference>
          <reference field="4" count="1" selected="0">
            <x v="107"/>
          </reference>
          <reference field="5" count="1" selected="0">
            <x v="1"/>
          </reference>
          <reference field="6" count="1">
            <x v="2"/>
          </reference>
        </references>
      </pivotArea>
    </format>
    <format dxfId="385">
      <pivotArea dataOnly="0" labelOnly="1" outline="0" fieldPosition="0">
        <references count="5">
          <reference field="2" count="1" selected="0">
            <x v="3"/>
          </reference>
          <reference field="3" count="1" selected="0">
            <x v="1"/>
          </reference>
          <reference field="4" count="1" selected="0">
            <x v="121"/>
          </reference>
          <reference field="5" count="1" selected="0">
            <x v="0"/>
          </reference>
          <reference field="6" count="1">
            <x v="3"/>
          </reference>
        </references>
      </pivotArea>
    </format>
    <format dxfId="384">
      <pivotArea dataOnly="0" labelOnly="1" outline="0" fieldPosition="0">
        <references count="5">
          <reference field="2" count="1" selected="0">
            <x v="4"/>
          </reference>
          <reference field="3" count="1" selected="0">
            <x v="0"/>
          </reference>
          <reference field="4" count="1" selected="0">
            <x v="108"/>
          </reference>
          <reference field="5" count="1" selected="0">
            <x v="1"/>
          </reference>
          <reference field="6" count="1">
            <x v="5"/>
          </reference>
        </references>
      </pivotArea>
    </format>
    <format dxfId="383">
      <pivotArea dataOnly="0" labelOnly="1" outline="0" fieldPosition="0">
        <references count="5">
          <reference field="2" count="1" selected="0">
            <x v="4"/>
          </reference>
          <reference field="3" count="1" selected="0">
            <x v="0"/>
          </reference>
          <reference field="4" count="1" selected="0">
            <x v="109"/>
          </reference>
          <reference field="5" count="1" selected="0">
            <x v="1"/>
          </reference>
          <reference field="6" count="1">
            <x v="2"/>
          </reference>
        </references>
      </pivotArea>
    </format>
    <format dxfId="382">
      <pivotArea dataOnly="0" labelOnly="1" outline="0" fieldPosition="0">
        <references count="5">
          <reference field="2" count="1" selected="0">
            <x v="4"/>
          </reference>
          <reference field="3" count="1" selected="0">
            <x v="0"/>
          </reference>
          <reference field="4" count="1" selected="0">
            <x v="110"/>
          </reference>
          <reference field="5" count="1" selected="0">
            <x v="1"/>
          </reference>
          <reference field="6" count="1">
            <x v="2"/>
          </reference>
        </references>
      </pivotArea>
    </format>
    <format dxfId="381">
      <pivotArea dataOnly="0" labelOnly="1" outline="0" fieldPosition="0">
        <references count="5">
          <reference field="2" count="1" selected="0">
            <x v="6"/>
          </reference>
          <reference field="3" count="1" selected="0">
            <x v="2"/>
          </reference>
          <reference field="4" count="1" selected="0">
            <x v="111"/>
          </reference>
          <reference field="5" count="1" selected="0">
            <x v="3"/>
          </reference>
          <reference field="6" count="1">
            <x v="3"/>
          </reference>
        </references>
      </pivotArea>
    </format>
    <format dxfId="380">
      <pivotArea dataOnly="0" labelOnly="1" outline="0" fieldPosition="0">
        <references count="5">
          <reference field="2" count="1" selected="0">
            <x v="6"/>
          </reference>
          <reference field="3" count="1" selected="0">
            <x v="3"/>
          </reference>
          <reference field="4" count="1" selected="0">
            <x v="112"/>
          </reference>
          <reference field="5" count="1" selected="0">
            <x v="3"/>
          </reference>
          <reference field="6" count="1">
            <x v="3"/>
          </reference>
        </references>
      </pivotArea>
    </format>
    <format dxfId="379">
      <pivotArea dataOnly="0" labelOnly="1" outline="0" fieldPosition="0">
        <references count="1">
          <reference field="2" count="5">
            <x v="1"/>
            <x v="2"/>
            <x v="3"/>
            <x v="4"/>
            <x v="5"/>
          </reference>
        </references>
      </pivotArea>
    </format>
    <format dxfId="378">
      <pivotArea dataOnly="0" labelOnly="1" outline="0" fieldPosition="0">
        <references count="2">
          <reference field="2" count="1" selected="0">
            <x v="1"/>
          </reference>
          <reference field="4" count="2">
            <x v="10"/>
            <x v="15"/>
          </reference>
        </references>
      </pivotArea>
    </format>
    <format dxfId="377">
      <pivotArea dataOnly="0" labelOnly="1" outline="0" fieldPosition="0">
        <references count="2">
          <reference field="2" count="1" selected="0">
            <x v="2"/>
          </reference>
          <reference field="4" count="2">
            <x v="86"/>
            <x v="87"/>
          </reference>
        </references>
      </pivotArea>
    </format>
    <format dxfId="376">
      <pivotArea dataOnly="0" labelOnly="1" outline="0" fieldPosition="0">
        <references count="2">
          <reference field="2" count="1" selected="0">
            <x v="3"/>
          </reference>
          <reference field="4" count="5">
            <x v="28"/>
            <x v="90"/>
            <x v="92"/>
            <x v="94"/>
            <x v="132"/>
          </reference>
        </references>
      </pivotArea>
    </format>
    <format dxfId="375">
      <pivotArea dataOnly="0" labelOnly="1" outline="0" fieldPosition="0">
        <references count="2">
          <reference field="2" count="1" selected="0">
            <x v="4"/>
          </reference>
          <reference field="4" count="4">
            <x v="2"/>
            <x v="95"/>
            <x v="97"/>
            <x v="98"/>
          </reference>
        </references>
      </pivotArea>
    </format>
    <format dxfId="374">
      <pivotArea dataOnly="0" labelOnly="1" outline="0" fieldPosition="0">
        <references count="2">
          <reference field="2" count="1" selected="0">
            <x v="5"/>
          </reference>
          <reference field="4" count="1">
            <x v="99"/>
          </reference>
        </references>
      </pivotArea>
    </format>
    <format dxfId="373">
      <pivotArea dataOnly="0" labelOnly="1" outline="0" fieldPosition="0">
        <references count="3">
          <reference field="2" count="1" selected="0">
            <x v="1"/>
          </reference>
          <reference field="4" count="1" selected="0">
            <x v="10"/>
          </reference>
          <reference field="5" count="1">
            <x v="0"/>
          </reference>
        </references>
      </pivotArea>
    </format>
    <format dxfId="372">
      <pivotArea dataOnly="0" labelOnly="1" outline="0" fieldPosition="0">
        <references count="3">
          <reference field="2" count="1" selected="0">
            <x v="2"/>
          </reference>
          <reference field="4" count="1" selected="0">
            <x v="86"/>
          </reference>
          <reference field="5" count="1">
            <x v="2"/>
          </reference>
        </references>
      </pivotArea>
    </format>
    <format dxfId="371">
      <pivotArea dataOnly="0" labelOnly="1" outline="0" fieldPosition="0">
        <references count="3">
          <reference field="2" count="1" selected="0">
            <x v="2"/>
          </reference>
          <reference field="4" count="1" selected="0">
            <x v="87"/>
          </reference>
          <reference field="5" count="1">
            <x v="0"/>
          </reference>
        </references>
      </pivotArea>
    </format>
    <format dxfId="370">
      <pivotArea dataOnly="0" labelOnly="1" outline="0" fieldPosition="0">
        <references count="3">
          <reference field="2" count="1" selected="0">
            <x v="3"/>
          </reference>
          <reference field="4" count="1" selected="0">
            <x v="28"/>
          </reference>
          <reference field="5" count="1">
            <x v="3"/>
          </reference>
        </references>
      </pivotArea>
    </format>
    <format dxfId="369">
      <pivotArea dataOnly="0" labelOnly="1" outline="0" fieldPosition="0">
        <references count="3">
          <reference field="2" count="1" selected="0">
            <x v="3"/>
          </reference>
          <reference field="4" count="1" selected="0">
            <x v="90"/>
          </reference>
          <reference field="5" count="1">
            <x v="0"/>
          </reference>
        </references>
      </pivotArea>
    </format>
    <format dxfId="368">
      <pivotArea dataOnly="0" labelOnly="1" outline="0" fieldPosition="0">
        <references count="3">
          <reference field="2" count="1" selected="0">
            <x v="3"/>
          </reference>
          <reference field="4" count="1" selected="0">
            <x v="94"/>
          </reference>
          <reference field="5" count="1">
            <x v="1"/>
          </reference>
        </references>
      </pivotArea>
    </format>
    <format dxfId="367">
      <pivotArea dataOnly="0" labelOnly="1" outline="0" fieldPosition="0">
        <references count="3">
          <reference field="2" count="1" selected="0">
            <x v="3"/>
          </reference>
          <reference field="4" count="1" selected="0">
            <x v="132"/>
          </reference>
          <reference field="5" count="1">
            <x v="0"/>
          </reference>
        </references>
      </pivotArea>
    </format>
    <format dxfId="366">
      <pivotArea dataOnly="0" labelOnly="1" outline="0" fieldPosition="0">
        <references count="3">
          <reference field="2" count="1" selected="0">
            <x v="4"/>
          </reference>
          <reference field="4" count="1" selected="0">
            <x v="2"/>
          </reference>
          <reference field="5" count="1">
            <x v="1"/>
          </reference>
        </references>
      </pivotArea>
    </format>
    <format dxfId="365">
      <pivotArea dataOnly="0" labelOnly="1" outline="0" fieldPosition="0">
        <references count="3">
          <reference field="2" count="1" selected="0">
            <x v="4"/>
          </reference>
          <reference field="4" count="1" selected="0">
            <x v="98"/>
          </reference>
          <reference field="5" count="1">
            <x v="3"/>
          </reference>
        </references>
      </pivotArea>
    </format>
    <format dxfId="364">
      <pivotArea dataOnly="0" labelOnly="1" outline="0" fieldPosition="0">
        <references count="3">
          <reference field="2" count="1" selected="0">
            <x v="5"/>
          </reference>
          <reference field="4" count="1" selected="0">
            <x v="99"/>
          </reference>
          <reference field="5" count="1">
            <x v="7"/>
          </reference>
        </references>
      </pivotArea>
    </format>
    <format dxfId="363">
      <pivotArea dataOnly="0" labelOnly="1" outline="0" fieldPosition="0">
        <references count="4">
          <reference field="2" count="1" selected="0">
            <x v="1"/>
          </reference>
          <reference field="3" count="1">
            <x v="1"/>
          </reference>
          <reference field="4" count="1" selected="0">
            <x v="10"/>
          </reference>
          <reference field="5" count="1" selected="0">
            <x v="0"/>
          </reference>
        </references>
      </pivotArea>
    </format>
    <format dxfId="362">
      <pivotArea dataOnly="0" labelOnly="1" outline="0" fieldPosition="0">
        <references count="4">
          <reference field="2" count="1" selected="0">
            <x v="3"/>
          </reference>
          <reference field="3" count="1">
            <x v="0"/>
          </reference>
          <reference field="4" count="1" selected="0">
            <x v="28"/>
          </reference>
          <reference field="5" count="1" selected="0">
            <x v="3"/>
          </reference>
        </references>
      </pivotArea>
    </format>
    <format dxfId="361">
      <pivotArea dataOnly="0" labelOnly="1" outline="0" fieldPosition="0">
        <references count="4">
          <reference field="2" count="1" selected="0">
            <x v="3"/>
          </reference>
          <reference field="3" count="1">
            <x v="1"/>
          </reference>
          <reference field="4" count="1" selected="0">
            <x v="90"/>
          </reference>
          <reference field="5" count="1" selected="0">
            <x v="0"/>
          </reference>
        </references>
      </pivotArea>
    </format>
    <format dxfId="360">
      <pivotArea dataOnly="0" labelOnly="1" outline="0" fieldPosition="0">
        <references count="4">
          <reference field="2" count="1" selected="0">
            <x v="3"/>
          </reference>
          <reference field="3" count="1">
            <x v="0"/>
          </reference>
          <reference field="4" count="1" selected="0">
            <x v="94"/>
          </reference>
          <reference field="5" count="1" selected="0">
            <x v="1"/>
          </reference>
        </references>
      </pivotArea>
    </format>
    <format dxfId="359">
      <pivotArea dataOnly="0" labelOnly="1" outline="0" fieldPosition="0">
        <references count="4">
          <reference field="2" count="1" selected="0">
            <x v="3"/>
          </reference>
          <reference field="3" count="1">
            <x v="1"/>
          </reference>
          <reference field="4" count="1" selected="0">
            <x v="132"/>
          </reference>
          <reference field="5" count="1" selected="0">
            <x v="0"/>
          </reference>
        </references>
      </pivotArea>
    </format>
    <format dxfId="358">
      <pivotArea dataOnly="0" labelOnly="1" outline="0" fieldPosition="0">
        <references count="4">
          <reference field="2" count="1" selected="0">
            <x v="4"/>
          </reference>
          <reference field="3" count="1">
            <x v="0"/>
          </reference>
          <reference field="4" count="1" selected="0">
            <x v="2"/>
          </reference>
          <reference field="5" count="1" selected="0">
            <x v="1"/>
          </reference>
        </references>
      </pivotArea>
    </format>
    <format dxfId="357">
      <pivotArea dataOnly="0" labelOnly="1" outline="0" fieldPosition="0">
        <references count="4">
          <reference field="2" count="1" selected="0">
            <x v="4"/>
          </reference>
          <reference field="3" count="1">
            <x v="3"/>
          </reference>
          <reference field="4" count="1" selected="0">
            <x v="98"/>
          </reference>
          <reference field="5" count="1" selected="0">
            <x v="3"/>
          </reference>
        </references>
      </pivotArea>
    </format>
    <format dxfId="356">
      <pivotArea dataOnly="0" labelOnly="1" outline="0" fieldPosition="0">
        <references count="4">
          <reference field="2" count="1" selected="0">
            <x v="5"/>
          </reference>
          <reference field="3" count="1">
            <x v="2"/>
          </reference>
          <reference field="4" count="1" selected="0">
            <x v="99"/>
          </reference>
          <reference field="5" count="1" selected="0">
            <x v="7"/>
          </reference>
        </references>
      </pivotArea>
    </format>
    <format dxfId="355">
      <pivotArea dataOnly="0" labelOnly="1" outline="0" fieldPosition="0">
        <references count="5">
          <reference field="2" count="1" selected="0">
            <x v="1"/>
          </reference>
          <reference field="3" count="1" selected="0">
            <x v="1"/>
          </reference>
          <reference field="4" count="1" selected="0">
            <x v="10"/>
          </reference>
          <reference field="5" count="1" selected="0">
            <x v="0"/>
          </reference>
          <reference field="6" count="1">
            <x v="2"/>
          </reference>
        </references>
      </pivotArea>
    </format>
    <format dxfId="354">
      <pivotArea dataOnly="0" labelOnly="1" outline="0" fieldPosition="0">
        <references count="5">
          <reference field="2" count="1" selected="0">
            <x v="1"/>
          </reference>
          <reference field="3" count="1" selected="0">
            <x v="1"/>
          </reference>
          <reference field="4" count="1" selected="0">
            <x v="15"/>
          </reference>
          <reference field="5" count="1" selected="0">
            <x v="0"/>
          </reference>
          <reference field="6" count="1">
            <x v="2"/>
          </reference>
        </references>
      </pivotArea>
    </format>
    <format dxfId="353">
      <pivotArea dataOnly="0" labelOnly="1" outline="0" fieldPosition="0">
        <references count="5">
          <reference field="2" count="1" selected="0">
            <x v="2"/>
          </reference>
          <reference field="3" count="1" selected="0">
            <x v="1"/>
          </reference>
          <reference field="4" count="1" selected="0">
            <x v="86"/>
          </reference>
          <reference field="5" count="1" selected="0">
            <x v="2"/>
          </reference>
          <reference field="6" count="1">
            <x v="2"/>
          </reference>
        </references>
      </pivotArea>
    </format>
    <format dxfId="352">
      <pivotArea dataOnly="0" labelOnly="1" outline="0" fieldPosition="0">
        <references count="5">
          <reference field="2" count="1" selected="0">
            <x v="2"/>
          </reference>
          <reference field="3" count="1" selected="0">
            <x v="1"/>
          </reference>
          <reference field="4" count="1" selected="0">
            <x v="87"/>
          </reference>
          <reference field="5" count="1" selected="0">
            <x v="0"/>
          </reference>
          <reference field="6" count="1">
            <x v="2"/>
          </reference>
        </references>
      </pivotArea>
    </format>
    <format dxfId="351">
      <pivotArea dataOnly="0" labelOnly="1" outline="0" fieldPosition="0">
        <references count="5">
          <reference field="2" count="1" selected="0">
            <x v="3"/>
          </reference>
          <reference field="3" count="1" selected="0">
            <x v="0"/>
          </reference>
          <reference field="4" count="1" selected="0">
            <x v="28"/>
          </reference>
          <reference field="5" count="1" selected="0">
            <x v="3"/>
          </reference>
          <reference field="6" count="1">
            <x v="2"/>
          </reference>
        </references>
      </pivotArea>
    </format>
    <format dxfId="350">
      <pivotArea dataOnly="0" labelOnly="1" outline="0" fieldPosition="0">
        <references count="5">
          <reference field="2" count="1" selected="0">
            <x v="3"/>
          </reference>
          <reference field="3" count="1" selected="0">
            <x v="1"/>
          </reference>
          <reference field="4" count="1" selected="0">
            <x v="90"/>
          </reference>
          <reference field="5" count="1" selected="0">
            <x v="0"/>
          </reference>
          <reference field="6" count="1">
            <x v="7"/>
          </reference>
        </references>
      </pivotArea>
    </format>
    <format dxfId="349">
      <pivotArea dataOnly="0" labelOnly="1" outline="0" fieldPosition="0">
        <references count="5">
          <reference field="2" count="1" selected="0">
            <x v="3"/>
          </reference>
          <reference field="3" count="1" selected="0">
            <x v="1"/>
          </reference>
          <reference field="4" count="1" selected="0">
            <x v="92"/>
          </reference>
          <reference field="5" count="1" selected="0">
            <x v="0"/>
          </reference>
          <reference field="6" count="1">
            <x v="3"/>
          </reference>
        </references>
      </pivotArea>
    </format>
    <format dxfId="348">
      <pivotArea dataOnly="0" labelOnly="1" outline="0" fieldPosition="0">
        <references count="5">
          <reference field="2" count="1" selected="0">
            <x v="3"/>
          </reference>
          <reference field="3" count="1" selected="0">
            <x v="0"/>
          </reference>
          <reference field="4" count="1" selected="0">
            <x v="94"/>
          </reference>
          <reference field="5" count="1" selected="0">
            <x v="1"/>
          </reference>
          <reference field="6" count="1">
            <x v="2"/>
          </reference>
        </references>
      </pivotArea>
    </format>
    <format dxfId="347">
      <pivotArea dataOnly="0" labelOnly="1" outline="0" fieldPosition="0">
        <references count="5">
          <reference field="2" count="1" selected="0">
            <x v="3"/>
          </reference>
          <reference field="3" count="1" selected="0">
            <x v="1"/>
          </reference>
          <reference field="4" count="1" selected="0">
            <x v="132"/>
          </reference>
          <reference field="5" count="1" selected="0">
            <x v="0"/>
          </reference>
          <reference field="6" count="1">
            <x v="2"/>
          </reference>
        </references>
      </pivotArea>
    </format>
    <format dxfId="346">
      <pivotArea dataOnly="0" labelOnly="1" outline="0" fieldPosition="0">
        <references count="5">
          <reference field="2" count="1" selected="0">
            <x v="4"/>
          </reference>
          <reference field="3" count="1" selected="0">
            <x v="0"/>
          </reference>
          <reference field="4" count="1" selected="0">
            <x v="2"/>
          </reference>
          <reference field="5" count="1" selected="0">
            <x v="1"/>
          </reference>
          <reference field="6" count="1">
            <x v="2"/>
          </reference>
        </references>
      </pivotArea>
    </format>
    <format dxfId="345">
      <pivotArea dataOnly="0" labelOnly="1" outline="0" fieldPosition="0">
        <references count="5">
          <reference field="2" count="1" selected="0">
            <x v="4"/>
          </reference>
          <reference field="3" count="1" selected="0">
            <x v="0"/>
          </reference>
          <reference field="4" count="1" selected="0">
            <x v="95"/>
          </reference>
          <reference field="5" count="1" selected="0">
            <x v="1"/>
          </reference>
          <reference field="6" count="1">
            <x v="2"/>
          </reference>
        </references>
      </pivotArea>
    </format>
    <format dxfId="344">
      <pivotArea dataOnly="0" labelOnly="1" outline="0" fieldPosition="0">
        <references count="5">
          <reference field="2" count="1" selected="0">
            <x v="4"/>
          </reference>
          <reference field="3" count="1" selected="0">
            <x v="0"/>
          </reference>
          <reference field="4" count="1" selected="0">
            <x v="97"/>
          </reference>
          <reference field="5" count="1" selected="0">
            <x v="1"/>
          </reference>
          <reference field="6" count="1">
            <x v="2"/>
          </reference>
        </references>
      </pivotArea>
    </format>
    <format dxfId="343">
      <pivotArea dataOnly="0" labelOnly="1" outline="0" fieldPosition="0">
        <references count="5">
          <reference field="2" count="1" selected="0">
            <x v="4"/>
          </reference>
          <reference field="3" count="1" selected="0">
            <x v="3"/>
          </reference>
          <reference field="4" count="1" selected="0">
            <x v="98"/>
          </reference>
          <reference field="5" count="1" selected="0">
            <x v="3"/>
          </reference>
          <reference field="6" count="1">
            <x v="2"/>
          </reference>
        </references>
      </pivotArea>
    </format>
    <format dxfId="342">
      <pivotArea dataOnly="0" labelOnly="1" outline="0" fieldPosition="0">
        <references count="5">
          <reference field="2" count="1" selected="0">
            <x v="5"/>
          </reference>
          <reference field="3" count="1" selected="0">
            <x v="2"/>
          </reference>
          <reference field="4" count="1" selected="0">
            <x v="99"/>
          </reference>
          <reference field="5" count="1" selected="0">
            <x v="7"/>
          </reference>
          <reference field="6" count="1">
            <x v="6"/>
          </reference>
        </references>
      </pivotArea>
    </format>
    <format dxfId="341">
      <pivotArea dataOnly="0" labelOnly="1" outline="0" fieldPosition="0">
        <references count="1">
          <reference field="2" count="6">
            <x v="0"/>
            <x v="1"/>
            <x v="2"/>
            <x v="3"/>
            <x v="4"/>
            <x v="6"/>
          </reference>
        </references>
      </pivotArea>
    </format>
    <format dxfId="340">
      <pivotArea dataOnly="0" labelOnly="1" outline="0" fieldPosition="0">
        <references count="2">
          <reference field="2" count="1" selected="0">
            <x v="0"/>
          </reference>
          <reference field="4" count="1">
            <x v="125"/>
          </reference>
        </references>
      </pivotArea>
    </format>
    <format dxfId="339">
      <pivotArea dataOnly="0" labelOnly="1" outline="0" fieldPosition="0">
        <references count="2">
          <reference field="2" count="1" selected="0">
            <x v="1"/>
          </reference>
          <reference field="4" count="1">
            <x v="47"/>
          </reference>
        </references>
      </pivotArea>
    </format>
    <format dxfId="338">
      <pivotArea dataOnly="0" labelOnly="1" outline="0" fieldPosition="0">
        <references count="2">
          <reference field="2" count="1" selected="0">
            <x v="2"/>
          </reference>
          <reference field="4" count="1">
            <x v="19"/>
          </reference>
        </references>
      </pivotArea>
    </format>
    <format dxfId="337">
      <pivotArea dataOnly="0" labelOnly="1" outline="0" fieldPosition="0">
        <references count="2">
          <reference field="2" count="1" selected="0">
            <x v="3"/>
          </reference>
          <reference field="4" count="7">
            <x v="24"/>
            <x v="33"/>
            <x v="35"/>
            <x v="54"/>
            <x v="119"/>
            <x v="127"/>
            <x v="128"/>
          </reference>
        </references>
      </pivotArea>
    </format>
    <format dxfId="336">
      <pivotArea dataOnly="0" labelOnly="1" outline="0" fieldPosition="0">
        <references count="2">
          <reference field="2" count="1" selected="0">
            <x v="4"/>
          </reference>
          <reference field="4" count="4">
            <x v="4"/>
            <x v="8"/>
            <x v="56"/>
            <x v="123"/>
          </reference>
        </references>
      </pivotArea>
    </format>
    <format dxfId="335">
      <pivotArea dataOnly="0" labelOnly="1" outline="0" fieldPosition="0">
        <references count="2">
          <reference field="2" count="1" selected="0">
            <x v="6"/>
          </reference>
          <reference field="4" count="2">
            <x v="44"/>
            <x v="57"/>
          </reference>
        </references>
      </pivotArea>
    </format>
    <format dxfId="334">
      <pivotArea dataOnly="0" labelOnly="1" outline="0" fieldPosition="0">
        <references count="3">
          <reference field="2" count="1" selected="0">
            <x v="0"/>
          </reference>
          <reference field="4" count="1" selected="0">
            <x v="125"/>
          </reference>
          <reference field="5" count="1">
            <x v="4"/>
          </reference>
        </references>
      </pivotArea>
    </format>
    <format dxfId="333">
      <pivotArea dataOnly="0" labelOnly="1" outline="0" fieldPosition="0">
        <references count="3">
          <reference field="2" count="1" selected="0">
            <x v="1"/>
          </reference>
          <reference field="4" count="1" selected="0">
            <x v="47"/>
          </reference>
          <reference field="5" count="1">
            <x v="0"/>
          </reference>
        </references>
      </pivotArea>
    </format>
    <format dxfId="332">
      <pivotArea dataOnly="0" labelOnly="1" outline="0" fieldPosition="0">
        <references count="3">
          <reference field="2" count="1" selected="0">
            <x v="3"/>
          </reference>
          <reference field="4" count="1" selected="0">
            <x v="35"/>
          </reference>
          <reference field="5" count="1">
            <x v="1"/>
          </reference>
        </references>
      </pivotArea>
    </format>
    <format dxfId="331">
      <pivotArea dataOnly="0" labelOnly="1" outline="0" fieldPosition="0">
        <references count="3">
          <reference field="2" count="1" selected="0">
            <x v="3"/>
          </reference>
          <reference field="4" count="1" selected="0">
            <x v="119"/>
          </reference>
          <reference field="5" count="1">
            <x v="0"/>
          </reference>
        </references>
      </pivotArea>
    </format>
    <format dxfId="330">
      <pivotArea dataOnly="0" labelOnly="1" outline="0" fieldPosition="0">
        <references count="3">
          <reference field="2" count="1" selected="0">
            <x v="3"/>
          </reference>
          <reference field="4" count="1" selected="0">
            <x v="127"/>
          </reference>
          <reference field="5" count="1">
            <x v="3"/>
          </reference>
        </references>
      </pivotArea>
    </format>
    <format dxfId="329">
      <pivotArea dataOnly="0" labelOnly="1" outline="0" fieldPosition="0">
        <references count="3">
          <reference field="2" count="1" selected="0">
            <x v="3"/>
          </reference>
          <reference field="4" count="1" selected="0">
            <x v="128"/>
          </reference>
          <reference field="5" count="1">
            <x v="1"/>
          </reference>
        </references>
      </pivotArea>
    </format>
    <format dxfId="328">
      <pivotArea dataOnly="0" labelOnly="1" outline="0" fieldPosition="0">
        <references count="3">
          <reference field="2" count="1" selected="0">
            <x v="4"/>
          </reference>
          <reference field="4" count="1" selected="0">
            <x v="8"/>
          </reference>
          <reference field="5" count="1">
            <x v="2"/>
          </reference>
        </references>
      </pivotArea>
    </format>
    <format dxfId="327">
      <pivotArea dataOnly="0" labelOnly="1" outline="0" fieldPosition="0">
        <references count="3">
          <reference field="2" count="1" selected="0">
            <x v="6"/>
          </reference>
          <reference field="4" count="1" selected="0">
            <x v="44"/>
          </reference>
          <reference field="5" count="1">
            <x v="3"/>
          </reference>
        </references>
      </pivotArea>
    </format>
    <format dxfId="326">
      <pivotArea dataOnly="0" labelOnly="1" outline="0" fieldPosition="0">
        <references count="4">
          <reference field="2" count="1" selected="0">
            <x v="0"/>
          </reference>
          <reference field="3" count="1">
            <x v="1"/>
          </reference>
          <reference field="4" count="1" selected="0">
            <x v="125"/>
          </reference>
          <reference field="5" count="1" selected="0">
            <x v="4"/>
          </reference>
        </references>
      </pivotArea>
    </format>
    <format dxfId="325">
      <pivotArea dataOnly="0" labelOnly="1" outline="0" fieldPosition="0">
        <references count="4">
          <reference field="2" count="1" selected="0">
            <x v="3"/>
          </reference>
          <reference field="3" count="1">
            <x v="0"/>
          </reference>
          <reference field="4" count="1" selected="0">
            <x v="35"/>
          </reference>
          <reference field="5" count="1" selected="0">
            <x v="1"/>
          </reference>
        </references>
      </pivotArea>
    </format>
    <format dxfId="324">
      <pivotArea dataOnly="0" labelOnly="1" outline="0" fieldPosition="0">
        <references count="4">
          <reference field="2" count="1" selected="0">
            <x v="3"/>
          </reference>
          <reference field="3" count="1">
            <x v="1"/>
          </reference>
          <reference field="4" count="1" selected="0">
            <x v="119"/>
          </reference>
          <reference field="5" count="1" selected="0">
            <x v="0"/>
          </reference>
        </references>
      </pivotArea>
    </format>
    <format dxfId="323">
      <pivotArea dataOnly="0" labelOnly="1" outline="0" fieldPosition="0">
        <references count="4">
          <reference field="2" count="1" selected="0">
            <x v="3"/>
          </reference>
          <reference field="3" count="1">
            <x v="0"/>
          </reference>
          <reference field="4" count="1" selected="0">
            <x v="127"/>
          </reference>
          <reference field="5" count="1" selected="0">
            <x v="3"/>
          </reference>
        </references>
      </pivotArea>
    </format>
    <format dxfId="322">
      <pivotArea dataOnly="0" labelOnly="1" outline="0" fieldPosition="0">
        <references count="4">
          <reference field="2" count="1" selected="0">
            <x v="4"/>
          </reference>
          <reference field="3" count="1">
            <x v="2"/>
          </reference>
          <reference field="4" count="1" selected="0">
            <x v="8"/>
          </reference>
          <reference field="5" count="1" selected="0">
            <x v="2"/>
          </reference>
        </references>
      </pivotArea>
    </format>
    <format dxfId="321">
      <pivotArea dataOnly="0" labelOnly="1" outline="0" fieldPosition="0">
        <references count="4">
          <reference field="2" count="1" selected="0">
            <x v="6"/>
          </reference>
          <reference field="3" count="1">
            <x v="3"/>
          </reference>
          <reference field="4" count="1" selected="0">
            <x v="44"/>
          </reference>
          <reference field="5" count="1" selected="0">
            <x v="3"/>
          </reference>
        </references>
      </pivotArea>
    </format>
    <format dxfId="320">
      <pivotArea dataOnly="0" labelOnly="1" outline="0" fieldPosition="0">
        <references count="5">
          <reference field="2" count="1" selected="0">
            <x v="0"/>
          </reference>
          <reference field="3" count="1" selected="0">
            <x v="1"/>
          </reference>
          <reference field="4" count="1" selected="0">
            <x v="125"/>
          </reference>
          <reference field="5" count="1" selected="0">
            <x v="4"/>
          </reference>
          <reference field="6" count="1">
            <x v="2"/>
          </reference>
        </references>
      </pivotArea>
    </format>
    <format dxfId="319">
      <pivotArea dataOnly="0" labelOnly="1" outline="0" fieldPosition="0">
        <references count="5">
          <reference field="2" count="1" selected="0">
            <x v="1"/>
          </reference>
          <reference field="3" count="1" selected="0">
            <x v="1"/>
          </reference>
          <reference field="4" count="1" selected="0">
            <x v="47"/>
          </reference>
          <reference field="5" count="1" selected="0">
            <x v="0"/>
          </reference>
          <reference field="6" count="1">
            <x v="2"/>
          </reference>
        </references>
      </pivotArea>
    </format>
    <format dxfId="318">
      <pivotArea dataOnly="0" labelOnly="1" outline="0" fieldPosition="0">
        <references count="5">
          <reference field="2" count="1" selected="0">
            <x v="2"/>
          </reference>
          <reference field="3" count="1" selected="0">
            <x v="1"/>
          </reference>
          <reference field="4" count="1" selected="0">
            <x v="19"/>
          </reference>
          <reference field="5" count="1" selected="0">
            <x v="0"/>
          </reference>
          <reference field="6" count="1">
            <x v="2"/>
          </reference>
        </references>
      </pivotArea>
    </format>
    <format dxfId="317">
      <pivotArea dataOnly="0" labelOnly="1" outline="0" fieldPosition="0">
        <references count="5">
          <reference field="2" count="1" selected="0">
            <x v="3"/>
          </reference>
          <reference field="3" count="1" selected="0">
            <x v="1"/>
          </reference>
          <reference field="4" count="1" selected="0">
            <x v="24"/>
          </reference>
          <reference field="5" count="1" selected="0">
            <x v="0"/>
          </reference>
          <reference field="6" count="1">
            <x v="0"/>
          </reference>
        </references>
      </pivotArea>
    </format>
    <format dxfId="316">
      <pivotArea dataOnly="0" labelOnly="1" outline="0" fieldPosition="0">
        <references count="5">
          <reference field="2" count="1" selected="0">
            <x v="3"/>
          </reference>
          <reference field="3" count="1" selected="0">
            <x v="1"/>
          </reference>
          <reference field="4" count="1" selected="0">
            <x v="33"/>
          </reference>
          <reference field="5" count="1" selected="0">
            <x v="0"/>
          </reference>
          <reference field="6" count="1">
            <x v="3"/>
          </reference>
        </references>
      </pivotArea>
    </format>
    <format dxfId="315">
      <pivotArea dataOnly="0" labelOnly="1" outline="0" fieldPosition="0">
        <references count="5">
          <reference field="2" count="1" selected="0">
            <x v="3"/>
          </reference>
          <reference field="3" count="1" selected="0">
            <x v="0"/>
          </reference>
          <reference field="4" count="1" selected="0">
            <x v="35"/>
          </reference>
          <reference field="5" count="1" selected="0">
            <x v="1"/>
          </reference>
          <reference field="6" count="1">
            <x v="2"/>
          </reference>
        </references>
      </pivotArea>
    </format>
    <format dxfId="314">
      <pivotArea dataOnly="0" labelOnly="1" outline="0" fieldPosition="0">
        <references count="5">
          <reference field="2" count="1" selected="0">
            <x v="3"/>
          </reference>
          <reference field="3" count="1" selected="0">
            <x v="0"/>
          </reference>
          <reference field="4" count="1" selected="0">
            <x v="54"/>
          </reference>
          <reference field="5" count="1" selected="0">
            <x v="1"/>
          </reference>
          <reference field="6" count="1">
            <x v="2"/>
          </reference>
        </references>
      </pivotArea>
    </format>
    <format dxfId="313">
      <pivotArea dataOnly="0" labelOnly="1" outline="0" fieldPosition="0">
        <references count="5">
          <reference field="2" count="1" selected="0">
            <x v="3"/>
          </reference>
          <reference field="3" count="1" selected="0">
            <x v="1"/>
          </reference>
          <reference field="4" count="1" selected="0">
            <x v="119"/>
          </reference>
          <reference field="5" count="1" selected="0">
            <x v="0"/>
          </reference>
          <reference field="6" count="1">
            <x v="2"/>
          </reference>
        </references>
      </pivotArea>
    </format>
    <format dxfId="312">
      <pivotArea dataOnly="0" labelOnly="1" outline="0" fieldPosition="0">
        <references count="5">
          <reference field="2" count="1" selected="0">
            <x v="3"/>
          </reference>
          <reference field="3" count="1" selected="0">
            <x v="0"/>
          </reference>
          <reference field="4" count="1" selected="0">
            <x v="127"/>
          </reference>
          <reference field="5" count="1" selected="0">
            <x v="3"/>
          </reference>
          <reference field="6" count="1">
            <x v="2"/>
          </reference>
        </references>
      </pivotArea>
    </format>
    <format dxfId="311">
      <pivotArea dataOnly="0" labelOnly="1" outline="0" fieldPosition="0">
        <references count="5">
          <reference field="2" count="1" selected="0">
            <x v="3"/>
          </reference>
          <reference field="3" count="1" selected="0">
            <x v="0"/>
          </reference>
          <reference field="4" count="1" selected="0">
            <x v="128"/>
          </reference>
          <reference field="5" count="1" selected="0">
            <x v="1"/>
          </reference>
          <reference field="6" count="1">
            <x v="2"/>
          </reference>
        </references>
      </pivotArea>
    </format>
    <format dxfId="310">
      <pivotArea dataOnly="0" labelOnly="1" outline="0" fieldPosition="0">
        <references count="5">
          <reference field="2" count="1" selected="0">
            <x v="4"/>
          </reference>
          <reference field="3" count="1" selected="0">
            <x v="0"/>
          </reference>
          <reference field="4" count="1" selected="0">
            <x v="4"/>
          </reference>
          <reference field="5" count="1" selected="0">
            <x v="1"/>
          </reference>
          <reference field="6" count="1">
            <x v="2"/>
          </reference>
        </references>
      </pivotArea>
    </format>
    <format dxfId="309">
      <pivotArea dataOnly="0" labelOnly="1" outline="0" fieldPosition="0">
        <references count="5">
          <reference field="2" count="1" selected="0">
            <x v="4"/>
          </reference>
          <reference field="3" count="1" selected="0">
            <x v="2"/>
          </reference>
          <reference field="4" count="1" selected="0">
            <x v="8"/>
          </reference>
          <reference field="5" count="1" selected="0">
            <x v="2"/>
          </reference>
          <reference field="6" count="1">
            <x v="2"/>
          </reference>
        </references>
      </pivotArea>
    </format>
    <format dxfId="308">
      <pivotArea dataOnly="0" labelOnly="1" outline="0" fieldPosition="0">
        <references count="5">
          <reference field="2" count="1" selected="0">
            <x v="4"/>
          </reference>
          <reference field="3" count="1" selected="0">
            <x v="2"/>
          </reference>
          <reference field="4" count="1" selected="0">
            <x v="56"/>
          </reference>
          <reference field="5" count="1" selected="0">
            <x v="2"/>
          </reference>
          <reference field="6" count="1">
            <x v="2"/>
          </reference>
        </references>
      </pivotArea>
    </format>
    <format dxfId="307">
      <pivotArea dataOnly="0" labelOnly="1" outline="0" fieldPosition="0">
        <references count="5">
          <reference field="2" count="1" selected="0">
            <x v="4"/>
          </reference>
          <reference field="3" count="1" selected="0">
            <x v="2"/>
          </reference>
          <reference field="4" count="1" selected="0">
            <x v="123"/>
          </reference>
          <reference field="5" count="1" selected="0">
            <x v="2"/>
          </reference>
          <reference field="6" count="1">
            <x v="2"/>
          </reference>
        </references>
      </pivotArea>
    </format>
    <format dxfId="306">
      <pivotArea dataOnly="0" labelOnly="1" outline="0" fieldPosition="0">
        <references count="5">
          <reference field="2" count="1" selected="0">
            <x v="6"/>
          </reference>
          <reference field="3" count="1" selected="0">
            <x v="3"/>
          </reference>
          <reference field="4" count="1" selected="0">
            <x v="44"/>
          </reference>
          <reference field="5" count="1" selected="0">
            <x v="3"/>
          </reference>
          <reference field="6" count="1">
            <x v="6"/>
          </reference>
        </references>
      </pivotArea>
    </format>
    <format dxfId="305">
      <pivotArea dataOnly="0" labelOnly="1" outline="0" fieldPosition="0">
        <references count="5">
          <reference field="2" count="1" selected="0">
            <x v="6"/>
          </reference>
          <reference field="3" count="1" selected="0">
            <x v="3"/>
          </reference>
          <reference field="4" count="1" selected="0">
            <x v="57"/>
          </reference>
          <reference field="5" count="1" selected="0">
            <x v="3"/>
          </reference>
          <reference field="6" count="1">
            <x v="6"/>
          </reference>
        </references>
      </pivotArea>
    </format>
    <format dxfId="304">
      <pivotArea dataOnly="0" labelOnly="1" outline="0" fieldPosition="0">
        <references count="5">
          <reference field="2" count="1" selected="0">
            <x v="0"/>
          </reference>
          <reference field="3" count="1" selected="0">
            <x v="1"/>
          </reference>
          <reference field="4" count="1" selected="0">
            <x v="139"/>
          </reference>
          <reference field="5" count="1" selected="0">
            <x v="4"/>
          </reference>
          <reference field="6" count="1">
            <x v="2"/>
          </reference>
        </references>
      </pivotArea>
    </format>
    <format dxfId="303">
      <pivotArea dataOnly="0" labelOnly="1" outline="0" fieldPosition="0">
        <references count="5">
          <reference field="2" count="1" selected="0">
            <x v="4"/>
          </reference>
          <reference field="3" count="1" selected="0">
            <x v="4"/>
          </reference>
          <reference field="4" count="1" selected="0">
            <x v="142"/>
          </reference>
          <reference field="5" count="1" selected="0">
            <x v="2"/>
          </reference>
          <reference field="6" count="1">
            <x v="2"/>
          </reference>
        </references>
      </pivotArea>
    </format>
    <format dxfId="302">
      <pivotArea dataOnly="0" labelOnly="1" outline="0" fieldPosition="0">
        <references count="5">
          <reference field="2" count="1" selected="0">
            <x v="2"/>
          </reference>
          <reference field="3" count="1" selected="0">
            <x v="1"/>
          </reference>
          <reference field="4" count="1" selected="0">
            <x v="141"/>
          </reference>
          <reference field="5" count="1" selected="0">
            <x v="0"/>
          </reference>
          <reference field="6" count="1">
            <x v="3"/>
          </reference>
        </references>
      </pivotArea>
    </format>
    <format dxfId="301">
      <pivotArea dataOnly="0" labelOnly="1" outline="0" fieldPosition="0">
        <references count="5">
          <reference field="2" count="1" selected="0">
            <x v="3"/>
          </reference>
          <reference field="3" count="1" selected="0">
            <x v="0"/>
          </reference>
          <reference field="4" count="1" selected="0">
            <x v="39"/>
          </reference>
          <reference field="5" count="1" selected="0">
            <x v="1"/>
          </reference>
          <reference field="6" count="1">
            <x v="2"/>
          </reference>
        </references>
      </pivotArea>
    </format>
    <format dxfId="300">
      <pivotArea dataOnly="0" labelOnly="1" outline="0" fieldPosition="0">
        <references count="5">
          <reference field="2" count="1" selected="0">
            <x v="4"/>
          </reference>
          <reference field="3" count="1" selected="0">
            <x v="2"/>
          </reference>
          <reference field="4" count="1" selected="0">
            <x v="142"/>
          </reference>
          <reference field="5" count="1" selected="0">
            <x v="2"/>
          </reference>
          <reference field="6" count="1">
            <x v="2"/>
          </reference>
        </references>
      </pivotArea>
    </format>
    <format dxfId="299">
      <pivotArea dataOnly="0" labelOnly="1" outline="0" fieldPosition="0">
        <references count="5">
          <reference field="2" count="1" selected="0">
            <x v="5"/>
          </reference>
          <reference field="3" count="1" selected="0">
            <x v="3"/>
          </reference>
          <reference field="4" count="1" selected="0">
            <x v="143"/>
          </reference>
          <reference field="5" count="1" selected="0">
            <x v="3"/>
          </reference>
          <reference field="6" count="1">
            <x v="2"/>
          </reference>
        </references>
      </pivotArea>
    </format>
    <format dxfId="298">
      <pivotArea dataOnly="0" labelOnly="1" outline="0" fieldPosition="0">
        <references count="5">
          <reference field="2" count="1" selected="0">
            <x v="4"/>
          </reference>
          <reference field="3" count="1" selected="0">
            <x v="0"/>
          </reference>
          <reference field="4" count="1" selected="0">
            <x v="146"/>
          </reference>
          <reference field="5" count="1" selected="0">
            <x v="1"/>
          </reference>
          <reference field="6" count="1">
            <x v="2"/>
          </reference>
        </references>
      </pivotArea>
    </format>
    <format dxfId="297">
      <pivotArea dataOnly="0" labelOnly="1" outline="0" fieldPosition="0">
        <references count="5">
          <reference field="2" count="1" selected="0">
            <x v="5"/>
          </reference>
          <reference field="3" count="1" selected="0">
            <x v="3"/>
          </reference>
          <reference field="4" count="1" selected="0">
            <x v="147"/>
          </reference>
          <reference field="5" count="1" selected="0">
            <x v="3"/>
          </reference>
          <reference field="6" count="1">
            <x v="2"/>
          </reference>
        </references>
      </pivotArea>
    </format>
    <format dxfId="296">
      <pivotArea dataOnly="0" labelOnly="1" outline="0" fieldPosition="0">
        <references count="5">
          <reference field="2" count="1" selected="0">
            <x v="3"/>
          </reference>
          <reference field="3" count="1" selected="0">
            <x v="0"/>
          </reference>
          <reference field="4" count="1" selected="0">
            <x v="145"/>
          </reference>
          <reference field="5" count="1" selected="0">
            <x v="1"/>
          </reference>
          <reference field="6" count="1">
            <x v="2"/>
          </reference>
        </references>
      </pivotArea>
    </format>
    <format dxfId="295">
      <pivotArea dataOnly="0" labelOnly="1" outline="0" fieldPosition="0">
        <references count="5">
          <reference field="2" count="1" selected="0">
            <x v="0"/>
          </reference>
          <reference field="3" count="1" selected="0">
            <x v="3"/>
          </reference>
          <reference field="4" count="1" selected="0">
            <x v="30"/>
          </reference>
          <reference field="5" count="1" selected="0">
            <x v="4"/>
          </reference>
          <reference field="6" count="1">
            <x v="2"/>
          </reference>
        </references>
      </pivotArea>
    </format>
    <format dxfId="294">
      <pivotArea dataOnly="0" labelOnly="1" outline="0" fieldPosition="0">
        <references count="5">
          <reference field="2" count="1" selected="0">
            <x v="2"/>
          </reference>
          <reference field="3" count="1" selected="0">
            <x v="1"/>
          </reference>
          <reference field="4" count="1" selected="0">
            <x v="144"/>
          </reference>
          <reference field="5" count="1" selected="0">
            <x v="0"/>
          </reference>
          <reference field="6" count="1">
            <x v="2"/>
          </reference>
        </references>
      </pivotArea>
    </format>
    <format dxfId="293">
      <pivotArea dataOnly="0" labelOnly="1" outline="0" fieldPosition="0">
        <references count="5">
          <reference field="2" count="1" selected="0">
            <x v="2"/>
          </reference>
          <reference field="3" count="1" selected="0">
            <x v="1"/>
          </reference>
          <reference field="4" count="1" selected="0">
            <x v="148"/>
          </reference>
          <reference field="5" count="1" selected="0">
            <x v="0"/>
          </reference>
          <reference field="6" count="1">
            <x v="3"/>
          </reference>
        </references>
      </pivotArea>
    </format>
    <format dxfId="292">
      <pivotArea dataOnly="0" labelOnly="1" outline="0" fieldPosition="0">
        <references count="5">
          <reference field="2" count="1" selected="0">
            <x v="3"/>
          </reference>
          <reference field="3" count="1" selected="0">
            <x v="0"/>
          </reference>
          <reference field="4" count="1" selected="0">
            <x v="149"/>
          </reference>
          <reference field="5" count="1" selected="0">
            <x v="1"/>
          </reference>
          <reference field="6" count="1">
            <x v="2"/>
          </reference>
        </references>
      </pivotArea>
    </format>
    <format dxfId="291">
      <pivotArea dataOnly="0" labelOnly="1" outline="0" fieldPosition="0">
        <references count="5">
          <reference field="2" count="1" selected="0">
            <x v="4"/>
          </reference>
          <reference field="3" count="1" selected="0">
            <x v="3"/>
          </reference>
          <reference field="4" count="1" selected="0">
            <x v="150"/>
          </reference>
          <reference field="5" count="1" selected="0">
            <x v="3"/>
          </reference>
          <reference field="6" count="1">
            <x v="2"/>
          </reference>
        </references>
      </pivotArea>
    </format>
    <format dxfId="290">
      <pivotArea dataOnly="0" labelOnly="1" outline="0" fieldPosition="0">
        <references count="5">
          <reference field="2" count="1" selected="0">
            <x v="2"/>
          </reference>
          <reference field="3" count="1" selected="0">
            <x v="1"/>
          </reference>
          <reference field="4" count="1" selected="0">
            <x v="151"/>
          </reference>
          <reference field="5" count="1" selected="0">
            <x v="0"/>
          </reference>
          <reference field="6" count="1">
            <x v="2"/>
          </reference>
        </references>
      </pivotArea>
    </format>
    <format dxfId="289">
      <pivotArea dataOnly="0" labelOnly="1" outline="0" fieldPosition="0">
        <references count="5">
          <reference field="2" count="1" selected="0">
            <x v="2"/>
          </reference>
          <reference field="3" count="1" selected="0">
            <x v="1"/>
          </reference>
          <reference field="4" count="1" selected="0">
            <x v="152"/>
          </reference>
          <reference field="5" count="1" selected="0">
            <x v="0"/>
          </reference>
          <reference field="6" count="1">
            <x v="2"/>
          </reference>
        </references>
      </pivotArea>
    </format>
    <format dxfId="288">
      <pivotArea dataOnly="0" labelOnly="1" outline="0" fieldPosition="0">
        <references count="5">
          <reference field="2" count="1" selected="0">
            <x v="3"/>
          </reference>
          <reference field="3" count="1" selected="0">
            <x v="0"/>
          </reference>
          <reference field="4" count="1" selected="0">
            <x v="154"/>
          </reference>
          <reference field="5" count="1" selected="0">
            <x v="1"/>
          </reference>
          <reference field="6" count="1">
            <x v="2"/>
          </reference>
        </references>
      </pivotArea>
    </format>
    <format dxfId="287">
      <pivotArea dataOnly="0" labelOnly="1" outline="0" fieldPosition="0">
        <references count="5">
          <reference field="2" count="1" selected="0">
            <x v="4"/>
          </reference>
          <reference field="3" count="1" selected="0">
            <x v="0"/>
          </reference>
          <reference field="4" count="1" selected="0">
            <x v="155"/>
          </reference>
          <reference field="5" count="1" selected="0">
            <x v="1"/>
          </reference>
          <reference field="6" count="1">
            <x v="2"/>
          </reference>
        </references>
      </pivotArea>
    </format>
    <format dxfId="286">
      <pivotArea dataOnly="0" labelOnly="1" outline="0" fieldPosition="0">
        <references count="5">
          <reference field="2" count="1" selected="0">
            <x v="8"/>
          </reference>
          <reference field="3" count="1" selected="0">
            <x v="2"/>
          </reference>
          <reference field="4" count="1" selected="0">
            <x v="153"/>
          </reference>
          <reference field="5" count="1" selected="0">
            <x v="2"/>
          </reference>
          <reference field="6" count="1">
            <x v="2"/>
          </reference>
        </references>
      </pivotArea>
    </format>
    <format dxfId="285">
      <pivotArea dataOnly="0" labelOnly="1" outline="0" fieldPosition="0">
        <references count="5">
          <reference field="2" count="1" selected="0">
            <x v="1"/>
          </reference>
          <reference field="3" count="1" selected="0">
            <x v="1"/>
          </reference>
          <reference field="4" count="1" selected="0">
            <x v="156"/>
          </reference>
          <reference field="5" count="1" selected="0">
            <x v="0"/>
          </reference>
          <reference field="6" count="1">
            <x v="2"/>
          </reference>
        </references>
      </pivotArea>
    </format>
    <format dxfId="284">
      <pivotArea dataOnly="0" labelOnly="1" outline="0" fieldPosition="0">
        <references count="5">
          <reference field="2" count="1" selected="0">
            <x v="2"/>
          </reference>
          <reference field="3" count="1" selected="0">
            <x v="1"/>
          </reference>
          <reference field="4" count="1" selected="0">
            <x v="157"/>
          </reference>
          <reference field="5" count="1" selected="0">
            <x v="0"/>
          </reference>
          <reference field="6" count="1">
            <x v="2"/>
          </reference>
        </references>
      </pivotArea>
    </format>
    <format dxfId="283">
      <pivotArea dataOnly="0" labelOnly="1" outline="0" fieldPosition="0">
        <references count="5">
          <reference field="2" count="1" selected="0">
            <x v="3"/>
          </reference>
          <reference field="3" count="1" selected="0">
            <x v="1"/>
          </reference>
          <reference field="4" count="1" selected="0">
            <x v="158"/>
          </reference>
          <reference field="5" count="1" selected="0">
            <x v="0"/>
          </reference>
          <reference field="6" count="1">
            <x v="0"/>
          </reference>
        </references>
      </pivotArea>
    </format>
    <format dxfId="282">
      <pivotArea dataOnly="0" labelOnly="1" outline="0" fieldPosition="0">
        <references count="5">
          <reference field="2" count="1" selected="0">
            <x v="3"/>
          </reference>
          <reference field="3" count="1" selected="0">
            <x v="1"/>
          </reference>
          <reference field="4" count="1" selected="0">
            <x v="159"/>
          </reference>
          <reference field="5" count="1" selected="0">
            <x v="0"/>
          </reference>
          <reference field="6" count="1">
            <x v="0"/>
          </reference>
        </references>
      </pivotArea>
    </format>
    <format dxfId="281">
      <pivotArea dataOnly="0" labelOnly="1" outline="0" fieldPosition="0">
        <references count="5">
          <reference field="2" count="1" selected="0">
            <x v="3"/>
          </reference>
          <reference field="3" count="1" selected="0">
            <x v="0"/>
          </reference>
          <reference field="4" count="1" selected="0">
            <x v="160"/>
          </reference>
          <reference field="5" count="1" selected="0">
            <x v="1"/>
          </reference>
          <reference field="6" count="1">
            <x v="2"/>
          </reference>
        </references>
      </pivotArea>
    </format>
    <format dxfId="280">
      <pivotArea dataOnly="0" labelOnly="1" outline="0" fieldPosition="0">
        <references count="5">
          <reference field="2" count="1" selected="0">
            <x v="3"/>
          </reference>
          <reference field="3" count="1" selected="0">
            <x v="0"/>
          </reference>
          <reference field="4" count="1" selected="0">
            <x v="161"/>
          </reference>
          <reference field="5" count="1" selected="0">
            <x v="1"/>
          </reference>
          <reference field="6" count="1">
            <x v="2"/>
          </reference>
        </references>
      </pivotArea>
    </format>
    <format dxfId="279">
      <pivotArea dataOnly="0" labelOnly="1" outline="0" fieldPosition="0">
        <references count="5">
          <reference field="2" count="1" selected="0">
            <x v="3"/>
          </reference>
          <reference field="3" count="1" selected="0">
            <x v="0"/>
          </reference>
          <reference field="4" count="1" selected="0">
            <x v="162"/>
          </reference>
          <reference field="5" count="1" selected="0">
            <x v="1"/>
          </reference>
          <reference field="6" count="1">
            <x v="2"/>
          </reference>
        </references>
      </pivotArea>
    </format>
    <format dxfId="278">
      <pivotArea dataOnly="0" labelOnly="1" outline="0" fieldPosition="0">
        <references count="5">
          <reference field="2" count="1" selected="0">
            <x v="4"/>
          </reference>
          <reference field="3" count="1" selected="0">
            <x v="0"/>
          </reference>
          <reference field="4" count="1" selected="0">
            <x v="97"/>
          </reference>
          <reference field="5" count="1" selected="0">
            <x v="1"/>
          </reference>
          <reference field="6" count="1">
            <x v="2"/>
          </reference>
        </references>
      </pivotArea>
    </format>
    <format dxfId="277">
      <pivotArea dataOnly="0" labelOnly="1" outline="0" fieldPosition="0">
        <references count="5">
          <reference field="2" count="1" selected="0">
            <x v="4"/>
          </reference>
          <reference field="3" count="1" selected="0">
            <x v="0"/>
          </reference>
          <reference field="4" count="1" selected="0">
            <x v="163"/>
          </reference>
          <reference field="5" count="1" selected="0">
            <x v="1"/>
          </reference>
          <reference field="6" count="1">
            <x v="2"/>
          </reference>
        </references>
      </pivotArea>
    </format>
    <format dxfId="276">
      <pivotArea dataOnly="0" labelOnly="1" outline="0" fieldPosition="0">
        <references count="5">
          <reference field="2" count="1" selected="0">
            <x v="4"/>
          </reference>
          <reference field="3" count="1" selected="0">
            <x v="0"/>
          </reference>
          <reference field="4" count="1" selected="0">
            <x v="164"/>
          </reference>
          <reference field="5" count="1" selected="0">
            <x v="1"/>
          </reference>
          <reference field="6" count="1">
            <x v="2"/>
          </reference>
        </references>
      </pivotArea>
    </format>
    <format dxfId="275">
      <pivotArea dataOnly="0" labelOnly="1" outline="0" fieldPosition="0">
        <references count="5">
          <reference field="2" count="1" selected="0">
            <x v="3"/>
          </reference>
          <reference field="3" count="1" selected="0">
            <x v="0"/>
          </reference>
          <reference field="4" count="1" selected="0">
            <x v="165"/>
          </reference>
          <reference field="5" count="1" selected="0">
            <x v="1"/>
          </reference>
          <reference field="6" count="1">
            <x v="2"/>
          </reference>
        </references>
      </pivotArea>
    </format>
    <format dxfId="274">
      <pivotArea dataOnly="0" labelOnly="1" outline="0" fieldPosition="0">
        <references count="5">
          <reference field="2" count="1" selected="0">
            <x v="3"/>
          </reference>
          <reference field="3" count="1" selected="0">
            <x v="0"/>
          </reference>
          <reference field="4" count="1" selected="0">
            <x v="166"/>
          </reference>
          <reference field="5" count="1" selected="0">
            <x v="1"/>
          </reference>
          <reference field="6" count="1">
            <x v="2"/>
          </reference>
        </references>
      </pivotArea>
    </format>
    <format dxfId="273">
      <pivotArea dataOnly="0" labelOnly="1" outline="0" fieldPosition="0">
        <references count="5">
          <reference field="2" count="1" selected="0">
            <x v="3"/>
          </reference>
          <reference field="3" count="1" selected="0">
            <x v="0"/>
          </reference>
          <reference field="4" count="1" selected="0">
            <x v="167"/>
          </reference>
          <reference field="5" count="1" selected="0">
            <x v="1"/>
          </reference>
          <reference field="6" count="1">
            <x v="2"/>
          </reference>
        </references>
      </pivotArea>
    </format>
    <format dxfId="272">
      <pivotArea dataOnly="0" labelOnly="1" outline="0" fieldPosition="0">
        <references count="5">
          <reference field="2" count="1" selected="0">
            <x v="3"/>
          </reference>
          <reference field="3" count="1" selected="0">
            <x v="0"/>
          </reference>
          <reference field="4" count="1" selected="0">
            <x v="168"/>
          </reference>
          <reference field="5" count="1" selected="0">
            <x v="1"/>
          </reference>
          <reference field="6" count="1">
            <x v="2"/>
          </reference>
        </references>
      </pivotArea>
    </format>
    <format dxfId="271">
      <pivotArea dataOnly="0" labelOnly="1" outline="0" fieldPosition="0">
        <references count="5">
          <reference field="2" count="1" selected="0">
            <x v="4"/>
          </reference>
          <reference field="3" count="1" selected="0">
            <x v="0"/>
          </reference>
          <reference field="4" count="1" selected="0">
            <x v="66"/>
          </reference>
          <reference field="5" count="1" selected="0">
            <x v="1"/>
          </reference>
          <reference field="6" count="1">
            <x v="2"/>
          </reference>
        </references>
      </pivotArea>
    </format>
    <format dxfId="270">
      <pivotArea dataOnly="0" labelOnly="1" outline="0" fieldPosition="0">
        <references count="5">
          <reference field="2" count="1" selected="0">
            <x v="4"/>
          </reference>
          <reference field="3" count="1" selected="0">
            <x v="2"/>
          </reference>
          <reference field="4" count="1" selected="0">
            <x v="68"/>
          </reference>
          <reference field="5" count="1" selected="0">
            <x v="2"/>
          </reference>
          <reference field="6" count="1">
            <x v="2"/>
          </reference>
        </references>
      </pivotArea>
    </format>
    <format dxfId="269">
      <pivotArea dataOnly="0" labelOnly="1" outline="0" fieldPosition="0">
        <references count="5">
          <reference field="2" count="1" selected="0">
            <x v="5"/>
          </reference>
          <reference field="3" count="1" selected="0">
            <x v="0"/>
          </reference>
          <reference field="4" count="1" selected="0">
            <x v="43"/>
          </reference>
          <reference field="5" count="1" selected="0">
            <x v="7"/>
          </reference>
          <reference field="6" count="1">
            <x v="5"/>
          </reference>
        </references>
      </pivotArea>
    </format>
    <format dxfId="268">
      <pivotArea dataOnly="0" labelOnly="1" outline="0" fieldPosition="0">
        <references count="5">
          <reference field="2" count="1" selected="0">
            <x v="6"/>
          </reference>
          <reference field="3" count="1" selected="0">
            <x v="3"/>
          </reference>
          <reference field="4" count="1" selected="0">
            <x v="112"/>
          </reference>
          <reference field="5" count="1" selected="0">
            <x v="3"/>
          </reference>
          <reference field="6" count="1">
            <x v="3"/>
          </reference>
        </references>
      </pivotArea>
    </format>
    <format dxfId="267">
      <pivotArea dataOnly="0" labelOnly="1" outline="0" fieldPosition="0">
        <references count="5">
          <reference field="2" count="1" selected="0">
            <x v="6"/>
          </reference>
          <reference field="3" count="1" selected="0">
            <x v="3"/>
          </reference>
          <reference field="4" count="1" selected="0">
            <x v="169"/>
          </reference>
          <reference field="5" count="1" selected="0">
            <x v="3"/>
          </reference>
          <reference field="6" count="1">
            <x v="2"/>
          </reference>
        </references>
      </pivotArea>
    </format>
    <format dxfId="266">
      <pivotArea dataOnly="0" labelOnly="1" outline="0" fieldPosition="0">
        <references count="5">
          <reference field="2" count="1" selected="0">
            <x v="2"/>
          </reference>
          <reference field="3" count="1" selected="0">
            <x v="1"/>
          </reference>
          <reference field="4" count="1" selected="0">
            <x v="171"/>
          </reference>
          <reference field="5" count="1" selected="0">
            <x v="0"/>
          </reference>
          <reference field="6" count="1">
            <x v="2"/>
          </reference>
        </references>
      </pivotArea>
    </format>
    <format dxfId="265">
      <pivotArea dataOnly="0" labelOnly="1" outline="0" fieldPosition="0">
        <references count="5">
          <reference field="2" count="1" selected="0">
            <x v="3"/>
          </reference>
          <reference field="3" count="1" selected="0">
            <x v="1"/>
          </reference>
          <reference field="4" count="1" selected="0">
            <x v="33"/>
          </reference>
          <reference field="5" count="1" selected="0">
            <x v="0"/>
          </reference>
          <reference field="6" count="1">
            <x v="3"/>
          </reference>
        </references>
      </pivotArea>
    </format>
    <format dxfId="264">
      <pivotArea dataOnly="0" labelOnly="1" outline="0" fieldPosition="0">
        <references count="5">
          <reference field="2" count="1" selected="0">
            <x v="3"/>
          </reference>
          <reference field="3" count="1" selected="0">
            <x v="0"/>
          </reference>
          <reference field="4" count="1" selected="0">
            <x v="54"/>
          </reference>
          <reference field="5" count="1" selected="0">
            <x v="1"/>
          </reference>
          <reference field="6" count="1">
            <x v="2"/>
          </reference>
        </references>
      </pivotArea>
    </format>
    <format dxfId="263">
      <pivotArea dataOnly="0" labelOnly="1" outline="0" fieldPosition="0">
        <references count="5">
          <reference field="2" count="1" selected="0">
            <x v="3"/>
          </reference>
          <reference field="3" count="1" selected="0">
            <x v="0"/>
          </reference>
          <reference field="4" count="1" selected="0">
            <x v="65"/>
          </reference>
          <reference field="5" count="1" selected="0">
            <x v="1"/>
          </reference>
          <reference field="6" count="1">
            <x v="2"/>
          </reference>
        </references>
      </pivotArea>
    </format>
    <format dxfId="262">
      <pivotArea dataOnly="0" labelOnly="1" outline="0" fieldPosition="0">
        <references count="5">
          <reference field="2" count="1" selected="0">
            <x v="3"/>
          </reference>
          <reference field="3" count="1" selected="0">
            <x v="0"/>
          </reference>
          <reference field="4" count="1" selected="0">
            <x v="122"/>
          </reference>
          <reference field="5" count="1" selected="0">
            <x v="1"/>
          </reference>
          <reference field="6" count="1">
            <x v="2"/>
          </reference>
        </references>
      </pivotArea>
    </format>
    <format dxfId="261">
      <pivotArea dataOnly="0" labelOnly="1" outline="0" fieldPosition="0">
        <references count="5">
          <reference field="2" count="1" selected="0">
            <x v="3"/>
          </reference>
          <reference field="3" count="1" selected="0">
            <x v="0"/>
          </reference>
          <reference field="4" count="1" selected="0">
            <x v="127"/>
          </reference>
          <reference field="5" count="1" selected="0">
            <x v="3"/>
          </reference>
          <reference field="6" count="1">
            <x v="2"/>
          </reference>
        </references>
      </pivotArea>
    </format>
    <format dxfId="260">
      <pivotArea dataOnly="0" labelOnly="1" outline="0" fieldPosition="0">
        <references count="5">
          <reference field="2" count="1" selected="0">
            <x v="3"/>
          </reference>
          <reference field="3" count="1" selected="0">
            <x v="0"/>
          </reference>
          <reference field="4" count="1" selected="0">
            <x v="172"/>
          </reference>
          <reference field="5" count="1" selected="0">
            <x v="1"/>
          </reference>
          <reference field="6" count="1">
            <x v="2"/>
          </reference>
        </references>
      </pivotArea>
    </format>
    <format dxfId="259">
      <pivotArea dataOnly="0" labelOnly="1" outline="0" fieldPosition="0">
        <references count="5">
          <reference field="2" count="1" selected="0">
            <x v="3"/>
          </reference>
          <reference field="3" count="1" selected="0">
            <x v="0"/>
          </reference>
          <reference field="4" count="1" selected="0">
            <x v="173"/>
          </reference>
          <reference field="5" count="1" selected="0">
            <x v="1"/>
          </reference>
          <reference field="6" count="1">
            <x v="2"/>
          </reference>
        </references>
      </pivotArea>
    </format>
    <format dxfId="258">
      <pivotArea dataOnly="0" labelOnly="1" outline="0" fieldPosition="0">
        <references count="5">
          <reference field="2" count="1" selected="0">
            <x v="4"/>
          </reference>
          <reference field="3" count="1" selected="0">
            <x v="0"/>
          </reference>
          <reference field="4" count="1" selected="0">
            <x v="4"/>
          </reference>
          <reference field="5" count="1" selected="0">
            <x v="1"/>
          </reference>
          <reference field="6" count="1">
            <x v="2"/>
          </reference>
        </references>
      </pivotArea>
    </format>
    <format dxfId="257">
      <pivotArea dataOnly="0" labelOnly="1" outline="0" fieldPosition="0">
        <references count="5">
          <reference field="2" count="1" selected="0">
            <x v="4"/>
          </reference>
          <reference field="3" count="1" selected="0">
            <x v="0"/>
          </reference>
          <reference field="4" count="1" selected="0">
            <x v="174"/>
          </reference>
          <reference field="5" count="1" selected="0">
            <x v="1"/>
          </reference>
          <reference field="6" count="1">
            <x v="2"/>
          </reference>
        </references>
      </pivotArea>
    </format>
    <format dxfId="256">
      <pivotArea dataOnly="0" labelOnly="1" outline="0" fieldPosition="0">
        <references count="5">
          <reference field="2" count="1" selected="0">
            <x v="4"/>
          </reference>
          <reference field="3" count="1" selected="0">
            <x v="0"/>
          </reference>
          <reference field="4" count="1" selected="0">
            <x v="175"/>
          </reference>
          <reference field="5" count="1" selected="0">
            <x v="1"/>
          </reference>
          <reference field="6" count="1">
            <x v="2"/>
          </reference>
        </references>
      </pivotArea>
    </format>
    <format dxfId="255">
      <pivotArea dataOnly="0" labelOnly="1" outline="0" fieldPosition="0">
        <references count="5">
          <reference field="2" count="1" selected="0">
            <x v="4"/>
          </reference>
          <reference field="3" count="1" selected="0">
            <x v="2"/>
          </reference>
          <reference field="4" count="1" selected="0">
            <x v="177"/>
          </reference>
          <reference field="5" count="1" selected="0">
            <x v="2"/>
          </reference>
          <reference field="6" count="1">
            <x v="2"/>
          </reference>
        </references>
      </pivotArea>
    </format>
    <format dxfId="254">
      <pivotArea dataOnly="0" labelOnly="1" outline="0" fieldPosition="0">
        <references count="5">
          <reference field="2" count="1" selected="0">
            <x v="5"/>
          </reference>
          <reference field="3" count="1" selected="0">
            <x v="2"/>
          </reference>
          <reference field="4" count="1" selected="0">
            <x v="99"/>
          </reference>
          <reference field="5" count="1" selected="0">
            <x v="3"/>
          </reference>
          <reference field="6" count="1">
            <x v="6"/>
          </reference>
        </references>
      </pivotArea>
    </format>
    <format dxfId="253">
      <pivotArea dataOnly="0" labelOnly="1" outline="0" fieldPosition="0">
        <references count="5">
          <reference field="2" count="1" selected="0">
            <x v="5"/>
          </reference>
          <reference field="3" count="1" selected="0">
            <x v="2"/>
          </reference>
          <reference field="4" count="1" selected="0">
            <x v="176"/>
          </reference>
          <reference field="5" count="1" selected="0">
            <x v="3"/>
          </reference>
          <reference field="6" count="1">
            <x v="2"/>
          </reference>
        </references>
      </pivotArea>
    </format>
    <format dxfId="252">
      <pivotArea dataOnly="0" labelOnly="1" outline="0" fieldPosition="0">
        <references count="3">
          <reference field="2" count="1" selected="0">
            <x v="5"/>
          </reference>
          <reference field="4" count="1" selected="0">
            <x v="11"/>
          </reference>
          <reference field="5" count="1">
            <x v="3"/>
          </reference>
        </references>
      </pivotArea>
    </format>
    <format dxfId="251">
      <pivotArea dataOnly="0" labelOnly="1" outline="0" fieldPosition="0">
        <references count="3">
          <reference field="2" count="1" selected="0">
            <x v="0"/>
          </reference>
          <reference field="4" count="1" selected="0">
            <x v="16"/>
          </reference>
          <reference field="5" count="1">
            <x v="4"/>
          </reference>
        </references>
      </pivotArea>
    </format>
    <format dxfId="250">
      <pivotArea dataOnly="0" labelOnly="1" outline="0" offset="IV1" fieldPosition="0">
        <references count="3">
          <reference field="2" count="1" selected="0">
            <x v="0"/>
          </reference>
          <reference field="4" count="1" selected="0">
            <x v="16"/>
          </reference>
          <reference field="5" count="1">
            <x v="4"/>
          </reference>
        </references>
      </pivotArea>
    </format>
    <format dxfId="249">
      <pivotArea dataOnly="0" labelOnly="1" outline="0" fieldPosition="0">
        <references count="5">
          <reference field="2" count="1" selected="0">
            <x v="0"/>
          </reference>
          <reference field="3" count="1" selected="0">
            <x v="1"/>
          </reference>
          <reference field="4" count="1" selected="0">
            <x v="181"/>
          </reference>
          <reference field="5" count="1" selected="0">
            <x v="4"/>
          </reference>
          <reference field="6" count="1">
            <x v="2"/>
          </reference>
        </references>
      </pivotArea>
    </format>
    <format dxfId="248">
      <pivotArea dataOnly="0" labelOnly="1" outline="0" fieldPosition="0">
        <references count="5">
          <reference field="2" count="1" selected="0">
            <x v="0"/>
          </reference>
          <reference field="3" count="1" selected="0">
            <x v="1"/>
          </reference>
          <reference field="4" count="1" selected="0">
            <x v="182"/>
          </reference>
          <reference field="5" count="1" selected="0">
            <x v="4"/>
          </reference>
          <reference field="6" count="1">
            <x v="2"/>
          </reference>
        </references>
      </pivotArea>
    </format>
    <format dxfId="247">
      <pivotArea dataOnly="0" labelOnly="1" outline="0" offset="IV1" fieldPosition="0">
        <references count="3">
          <reference field="2" count="1" selected="0">
            <x v="5"/>
          </reference>
          <reference field="4" count="1" selected="0">
            <x v="11"/>
          </reference>
          <reference field="5" count="1">
            <x v="3"/>
          </reference>
        </references>
      </pivotArea>
    </format>
    <format dxfId="246">
      <pivotArea dataOnly="0" labelOnly="1" outline="0" fieldPosition="0">
        <references count="5">
          <reference field="2" count="1" selected="0">
            <x v="3"/>
          </reference>
          <reference field="3" count="1" selected="0">
            <x v="1"/>
          </reference>
          <reference field="4" count="1" selected="0">
            <x v="23"/>
          </reference>
          <reference field="5" count="1" selected="0">
            <x v="0"/>
          </reference>
          <reference field="6" count="1">
            <x v="2"/>
          </reference>
        </references>
      </pivotArea>
    </format>
    <format dxfId="245">
      <pivotArea dataOnly="0" labelOnly="1" outline="0" fieldPosition="0">
        <references count="5">
          <reference field="2" count="1" selected="0">
            <x v="3"/>
          </reference>
          <reference field="3" count="1" selected="0">
            <x v="1"/>
          </reference>
          <reference field="4" count="1" selected="0">
            <x v="185"/>
          </reference>
          <reference field="5" count="1" selected="0">
            <x v="0"/>
          </reference>
          <reference field="6" count="1">
            <x v="3"/>
          </reference>
        </references>
      </pivotArea>
    </format>
    <format dxfId="244">
      <pivotArea dataOnly="0" labelOnly="1" outline="0" fieldPosition="0">
        <references count="5">
          <reference field="2" count="1" selected="0">
            <x v="5"/>
          </reference>
          <reference field="3" count="1" selected="0">
            <x v="2"/>
          </reference>
          <reference field="4" count="1" selected="0">
            <x v="186"/>
          </reference>
          <reference field="5" count="1" selected="0">
            <x v="2"/>
          </reference>
          <reference field="6" count="1">
            <x v="2"/>
          </reference>
        </references>
      </pivotArea>
    </format>
    <format dxfId="243">
      <pivotArea dataOnly="0" labelOnly="1" outline="0" fieldPosition="0">
        <references count="5">
          <reference field="2" count="1" selected="0">
            <x v="3"/>
          </reference>
          <reference field="3" count="1" selected="0">
            <x v="0"/>
          </reference>
          <reference field="4" count="1" selected="0">
            <x v="180"/>
          </reference>
          <reference field="5" count="1" selected="0">
            <x v="1"/>
          </reference>
          <reference field="6" count="1">
            <x v="2"/>
          </reference>
        </references>
      </pivotArea>
    </format>
    <format dxfId="242">
      <pivotArea dataOnly="0" labelOnly="1" outline="0" fieldPosition="0">
        <references count="5">
          <reference field="2" count="1" selected="0">
            <x v="4"/>
          </reference>
          <reference field="3" count="1" selected="0">
            <x v="0"/>
          </reference>
          <reference field="4" count="1" selected="0">
            <x v="167"/>
          </reference>
          <reference field="5" count="1" selected="0">
            <x v="2"/>
          </reference>
          <reference field="6" count="1">
            <x v="2"/>
          </reference>
        </references>
      </pivotArea>
    </format>
    <format dxfId="241">
      <pivotArea dataOnly="0" labelOnly="1" outline="0" fieldPosition="0">
        <references count="5">
          <reference field="2" count="1" selected="0">
            <x v="4"/>
          </reference>
          <reference field="3" count="1" selected="0">
            <x v="0"/>
          </reference>
          <reference field="4" count="1" selected="0">
            <x v="189"/>
          </reference>
          <reference field="5" count="1" selected="0">
            <x v="2"/>
          </reference>
          <reference field="6" count="1">
            <x v="2"/>
          </reference>
        </references>
      </pivotArea>
    </format>
    <format dxfId="240">
      <pivotArea dataOnly="0" labelOnly="1" outline="0" fieldPosition="0">
        <references count="5">
          <reference field="2" count="1" selected="0">
            <x v="0"/>
          </reference>
          <reference field="3" count="1" selected="0">
            <x v="1"/>
          </reference>
          <reference field="4" count="1" selected="0">
            <x v="190"/>
          </reference>
          <reference field="5" count="1" selected="0">
            <x v="4"/>
          </reference>
          <reference field="6" count="1">
            <x v="2"/>
          </reference>
        </references>
      </pivotArea>
    </format>
    <format dxfId="239">
      <pivotArea dataOnly="0" labelOnly="1" outline="0" fieldPosition="0">
        <references count="5">
          <reference field="2" count="1" selected="0">
            <x v="5"/>
          </reference>
          <reference field="3" count="1" selected="0">
            <x v="3"/>
          </reference>
          <reference field="4" count="1" selected="0">
            <x v="143"/>
          </reference>
          <reference field="5" count="1" selected="0">
            <x v="8"/>
          </reference>
          <reference field="6" count="1">
            <x v="2"/>
          </reference>
        </references>
      </pivotArea>
    </format>
    <format dxfId="238">
      <pivotArea dataOnly="0" labelOnly="1" outline="0" fieldPosition="0">
        <references count="5">
          <reference field="2" count="1" selected="0">
            <x v="3"/>
          </reference>
          <reference field="3" count="1" selected="0">
            <x v="0"/>
          </reference>
          <reference field="4" count="1" selected="0">
            <x v="179"/>
          </reference>
          <reference field="5" count="1" selected="0">
            <x v="1"/>
          </reference>
          <reference field="6" count="1">
            <x v="2"/>
          </reference>
        </references>
      </pivotArea>
    </format>
    <format dxfId="237">
      <pivotArea dataOnly="0" labelOnly="1" outline="0" fieldPosition="0">
        <references count="5">
          <reference field="2" count="1" selected="0">
            <x v="2"/>
          </reference>
          <reference field="3" count="1" selected="0">
            <x v="1"/>
          </reference>
          <reference field="4" count="1" selected="0">
            <x v="19"/>
          </reference>
          <reference field="5" count="1" selected="0">
            <x v="1"/>
          </reference>
          <reference field="6" count="1">
            <x v="2"/>
          </reference>
        </references>
      </pivotArea>
    </format>
    <format dxfId="236">
      <pivotArea dataOnly="0" labelOnly="1" outline="0" fieldPosition="0">
        <references count="5">
          <reference field="2" count="1" selected="0">
            <x v="2"/>
          </reference>
          <reference field="3" count="1" selected="0">
            <x v="1"/>
          </reference>
          <reference field="4" count="1" selected="0">
            <x v="141"/>
          </reference>
          <reference field="5" count="1" selected="0">
            <x v="1"/>
          </reference>
          <reference field="6" count="1">
            <x v="3"/>
          </reference>
        </references>
      </pivotArea>
    </format>
    <format dxfId="235">
      <pivotArea dataOnly="0" labelOnly="1" outline="0" fieldPosition="0">
        <references count="5">
          <reference field="2" count="1" selected="0">
            <x v="2"/>
          </reference>
          <reference field="3" count="1" selected="0">
            <x v="1"/>
          </reference>
          <reference field="4" count="1" selected="0">
            <x v="6"/>
          </reference>
          <reference field="5" count="1" selected="0">
            <x v="1"/>
          </reference>
          <reference field="6" count="1">
            <x v="0"/>
          </reference>
        </references>
      </pivotArea>
    </format>
    <format dxfId="234">
      <pivotArea dataOnly="0" labelOnly="1" outline="0" fieldPosition="0">
        <references count="5">
          <reference field="2" count="1" selected="0">
            <x v="3"/>
          </reference>
          <reference field="3" count="1" selected="0">
            <x v="0"/>
          </reference>
          <reference field="4" count="1" selected="0">
            <x v="14"/>
          </reference>
          <reference field="5" count="1" selected="0">
            <x v="2"/>
          </reference>
          <reference field="6" count="1">
            <x v="2"/>
          </reference>
        </references>
      </pivotArea>
    </format>
    <format dxfId="233">
      <pivotArea dataOnly="0" labelOnly="1" outline="0" fieldPosition="0">
        <references count="5">
          <reference field="2" count="1" selected="0">
            <x v="3"/>
          </reference>
          <reference field="3" count="1" selected="0">
            <x v="0"/>
          </reference>
          <reference field="4" count="1" selected="0">
            <x v="179"/>
          </reference>
          <reference field="5" count="1" selected="0">
            <x v="2"/>
          </reference>
          <reference field="6" count="1">
            <x v="2"/>
          </reference>
        </references>
      </pivotArea>
    </format>
    <format dxfId="232">
      <pivotArea dataOnly="0" labelOnly="1" outline="0" fieldPosition="0">
        <references count="5">
          <reference field="2" count="1" selected="0">
            <x v="4"/>
          </reference>
          <reference field="3" count="1" selected="0">
            <x v="2"/>
          </reference>
          <reference field="4" count="1" selected="0">
            <x v="123"/>
          </reference>
          <reference field="5" count="1" selected="0">
            <x v="3"/>
          </reference>
          <reference field="6" count="1">
            <x v="2"/>
          </reference>
        </references>
      </pivotArea>
    </format>
    <format dxfId="231">
      <pivotArea dataOnly="0" labelOnly="1" outline="0" fieldPosition="0">
        <references count="5">
          <reference field="2" count="1" selected="0">
            <x v="1"/>
          </reference>
          <reference field="3" count="1" selected="0">
            <x v="1"/>
          </reference>
          <reference field="4" count="1" selected="0">
            <x v="10"/>
          </reference>
          <reference field="5" count="1" selected="0">
            <x v="1"/>
          </reference>
          <reference field="6" count="1">
            <x v="2"/>
          </reference>
        </references>
      </pivotArea>
    </format>
    <format dxfId="230">
      <pivotArea dataOnly="0" labelOnly="1" outline="0" fieldPosition="0">
        <references count="5">
          <reference field="2" count="1" selected="0">
            <x v="1"/>
          </reference>
          <reference field="3" count="1" selected="0">
            <x v="1"/>
          </reference>
          <reference field="4" count="1" selected="0">
            <x v="15"/>
          </reference>
          <reference field="5" count="1" selected="0">
            <x v="1"/>
          </reference>
          <reference field="6" count="1">
            <x v="2"/>
          </reference>
        </references>
      </pivotArea>
    </format>
    <format dxfId="229">
      <pivotArea dataOnly="0" labelOnly="1" outline="0" fieldPosition="0">
        <references count="5">
          <reference field="2" count="1" selected="0">
            <x v="2"/>
          </reference>
          <reference field="3" count="1" selected="0">
            <x v="1"/>
          </reference>
          <reference field="4" count="1" selected="0">
            <x v="144"/>
          </reference>
          <reference field="5" count="1" selected="0">
            <x v="1"/>
          </reference>
          <reference field="6" count="1">
            <x v="2"/>
          </reference>
        </references>
      </pivotArea>
    </format>
    <format dxfId="228">
      <pivotArea dataOnly="0" labelOnly="1" outline="0" fieldPosition="0">
        <references count="5">
          <reference field="2" count="1" selected="0">
            <x v="3"/>
          </reference>
          <reference field="3" count="1" selected="0">
            <x v="0"/>
          </reference>
          <reference field="4" count="1" selected="0">
            <x v="9"/>
          </reference>
          <reference field="5" count="1" selected="0">
            <x v="2"/>
          </reference>
          <reference field="6" count="1">
            <x v="2"/>
          </reference>
        </references>
      </pivotArea>
    </format>
    <format dxfId="227">
      <pivotArea dataOnly="0" labelOnly="1" outline="0" fieldPosition="0">
        <references count="5">
          <reference field="2" count="1" selected="0">
            <x v="3"/>
          </reference>
          <reference field="3" count="1" selected="0">
            <x v="0"/>
          </reference>
          <reference field="4" count="1" selected="0">
            <x v="13"/>
          </reference>
          <reference field="5" count="1" selected="0">
            <x v="2"/>
          </reference>
          <reference field="6" count="1">
            <x v="2"/>
          </reference>
        </references>
      </pivotArea>
    </format>
    <format dxfId="226">
      <pivotArea dataOnly="0" labelOnly="1" outline="0" fieldPosition="0">
        <references count="5">
          <reference field="2" count="1" selected="0">
            <x v="3"/>
          </reference>
          <reference field="3" count="1" selected="0">
            <x v="0"/>
          </reference>
          <reference field="4" count="1" selected="0">
            <x v="25"/>
          </reference>
          <reference field="5" count="1" selected="0">
            <x v="2"/>
          </reference>
          <reference field="6" count="1">
            <x v="2"/>
          </reference>
        </references>
      </pivotArea>
    </format>
    <format dxfId="225">
      <pivotArea dataOnly="0" labelOnly="1" outline="0" fieldPosition="0">
        <references count="5">
          <reference field="2" count="1" selected="0">
            <x v="3"/>
          </reference>
          <reference field="3" count="1" selected="0">
            <x v="0"/>
          </reference>
          <reference field="4" count="1" selected="0">
            <x v="26"/>
          </reference>
          <reference field="5" count="1" selected="0">
            <x v="2"/>
          </reference>
          <reference field="6" count="1">
            <x v="2"/>
          </reference>
        </references>
      </pivotArea>
    </format>
    <format dxfId="224">
      <pivotArea dataOnly="0" labelOnly="1" outline="0" fieldPosition="0">
        <references count="5">
          <reference field="2" count="1" selected="0">
            <x v="3"/>
          </reference>
          <reference field="3" count="1" selected="0">
            <x v="0"/>
          </reference>
          <reference field="4" count="1" selected="0">
            <x v="35"/>
          </reference>
          <reference field="5" count="1" selected="0">
            <x v="2"/>
          </reference>
          <reference field="6" count="1">
            <x v="2"/>
          </reference>
        </references>
      </pivotArea>
    </format>
    <format dxfId="223">
      <pivotArea dataOnly="0" labelOnly="1" outline="0" fieldPosition="0">
        <references count="5">
          <reference field="2" count="1" selected="0">
            <x v="3"/>
          </reference>
          <reference field="3" count="1" selected="0">
            <x v="0"/>
          </reference>
          <reference field="4" count="1" selected="0">
            <x v="180"/>
          </reference>
          <reference field="5" count="1" selected="0">
            <x v="2"/>
          </reference>
          <reference field="6" count="1">
            <x v="2"/>
          </reference>
        </references>
      </pivotArea>
    </format>
    <format dxfId="222">
      <pivotArea dataOnly="0" labelOnly="1" outline="0" fieldPosition="0">
        <references count="5">
          <reference field="2" count="1" selected="0">
            <x v="4"/>
          </reference>
          <reference field="3" count="1" selected="0">
            <x v="2"/>
          </reference>
          <reference field="4" count="1" selected="0">
            <x v="142"/>
          </reference>
          <reference field="5" count="1" selected="0">
            <x v="3"/>
          </reference>
          <reference field="6" count="1">
            <x v="2"/>
          </reference>
        </references>
      </pivotArea>
    </format>
    <format dxfId="221">
      <pivotArea dataOnly="0" labelOnly="1" outline="0" fieldPosition="0">
        <references count="5">
          <reference field="2" count="1" selected="0">
            <x v="2"/>
          </reference>
          <reference field="3" count="1" selected="0">
            <x v="1"/>
          </reference>
          <reference field="4" count="1" selected="0">
            <x v="34"/>
          </reference>
          <reference field="5" count="1" selected="0">
            <x v="1"/>
          </reference>
          <reference field="6" count="1">
            <x v="3"/>
          </reference>
        </references>
      </pivotArea>
    </format>
    <format dxfId="220">
      <pivotArea dataOnly="0" labelOnly="1" outline="0" fieldPosition="0">
        <references count="5">
          <reference field="2" count="1" selected="0">
            <x v="2"/>
          </reference>
          <reference field="3" count="1" selected="0">
            <x v="1"/>
          </reference>
          <reference field="4" count="1" selected="0">
            <x v="73"/>
          </reference>
          <reference field="5" count="1" selected="0">
            <x v="1"/>
          </reference>
          <reference field="6" count="1">
            <x v="2"/>
          </reference>
        </references>
      </pivotArea>
    </format>
    <format dxfId="219">
      <pivotArea dataOnly="0" labelOnly="1" outline="0" fieldPosition="0">
        <references count="5">
          <reference field="2" count="1" selected="0">
            <x v="3"/>
          </reference>
          <reference field="3" count="1" selected="0">
            <x v="0"/>
          </reference>
          <reference field="4" count="1" selected="0">
            <x v="149"/>
          </reference>
          <reference field="5" count="1" selected="0">
            <x v="2"/>
          </reference>
          <reference field="6" count="1">
            <x v="2"/>
          </reference>
        </references>
      </pivotArea>
    </format>
    <format dxfId="218">
      <pivotArea dataOnly="0" labelOnly="1" outline="0" fieldPosition="0">
        <references count="5">
          <reference field="2" count="1" selected="0">
            <x v="5"/>
          </reference>
          <reference field="3" count="1" selected="0">
            <x v="3"/>
          </reference>
          <reference field="4" count="1" selected="0">
            <x v="42"/>
          </reference>
          <reference field="5" count="1" selected="0">
            <x v="8"/>
          </reference>
          <reference field="6" count="1">
            <x v="2"/>
          </reference>
        </references>
      </pivotArea>
    </format>
    <format dxfId="217">
      <pivotArea dataOnly="0" labelOnly="1" outline="0" fieldPosition="0">
        <references count="5">
          <reference field="2" count="1" selected="0">
            <x v="1"/>
          </reference>
          <reference field="3" count="1" selected="0">
            <x v="1"/>
          </reference>
          <reference field="4" count="1" selected="0">
            <x v="101"/>
          </reference>
          <reference field="5" count="1" selected="0">
            <x v="1"/>
          </reference>
          <reference field="6" count="1">
            <x v="2"/>
          </reference>
        </references>
      </pivotArea>
    </format>
    <format dxfId="216">
      <pivotArea dataOnly="0" labelOnly="1" outline="0" fieldPosition="0">
        <references count="5">
          <reference field="2" count="1" selected="0">
            <x v="2"/>
          </reference>
          <reference field="3" count="1" selected="0">
            <x v="1"/>
          </reference>
          <reference field="4" count="1" selected="0">
            <x v="32"/>
          </reference>
          <reference field="5" count="1" selected="0">
            <x v="2"/>
          </reference>
          <reference field="6" count="1">
            <x v="9"/>
          </reference>
        </references>
      </pivotArea>
    </format>
    <format dxfId="215">
      <pivotArea dataOnly="0" labelOnly="1" outline="0" fieldPosition="0">
        <references count="5">
          <reference field="2" count="1" selected="0">
            <x v="2"/>
          </reference>
          <reference field="3" count="1" selected="0">
            <x v="1"/>
          </reference>
          <reference field="4" count="1" selected="0">
            <x v="70"/>
          </reference>
          <reference field="5" count="1" selected="0">
            <x v="1"/>
          </reference>
          <reference field="6" count="1">
            <x v="0"/>
          </reference>
        </references>
      </pivotArea>
    </format>
    <format dxfId="214">
      <pivotArea dataOnly="0" labelOnly="1" outline="0" fieldPosition="0">
        <references count="5">
          <reference field="2" count="1" selected="0">
            <x v="2"/>
          </reference>
          <reference field="3" count="1" selected="0">
            <x v="1"/>
          </reference>
          <reference field="4" count="1" selected="0">
            <x v="151"/>
          </reference>
          <reference field="5" count="1" selected="0">
            <x v="1"/>
          </reference>
          <reference field="6" count="1">
            <x v="2"/>
          </reference>
        </references>
      </pivotArea>
    </format>
    <format dxfId="213">
      <pivotArea dataOnly="0" labelOnly="1" outline="0" fieldPosition="0">
        <references count="5">
          <reference field="2" count="1" selected="0">
            <x v="2"/>
          </reference>
          <reference field="3" count="1" selected="0">
            <x v="1"/>
          </reference>
          <reference field="4" count="1" selected="0">
            <x v="152"/>
          </reference>
          <reference field="5" count="1" selected="0">
            <x v="1"/>
          </reference>
          <reference field="6" count="1">
            <x v="2"/>
          </reference>
        </references>
      </pivotArea>
    </format>
    <format dxfId="212">
      <pivotArea dataOnly="0" labelOnly="1" outline="0" fieldPosition="0">
        <references count="5">
          <reference field="2" count="1" selected="0">
            <x v="3"/>
          </reference>
          <reference field="3" count="1" selected="0">
            <x v="0"/>
          </reference>
          <reference field="4" count="1" selected="0">
            <x v="52"/>
          </reference>
          <reference field="5" count="1" selected="0">
            <x v="2"/>
          </reference>
          <reference field="6" count="1">
            <x v="2"/>
          </reference>
        </references>
      </pivotArea>
    </format>
    <format dxfId="211">
      <pivotArea dataOnly="0" labelOnly="1" outline="0" fieldPosition="0">
        <references count="5">
          <reference field="2" count="1" selected="0">
            <x v="3"/>
          </reference>
          <reference field="3" count="1" selected="0">
            <x v="0"/>
          </reference>
          <reference field="4" count="1" selected="0">
            <x v="63"/>
          </reference>
          <reference field="5" count="1" selected="0">
            <x v="2"/>
          </reference>
          <reference field="6" count="1">
            <x v="2"/>
          </reference>
        </references>
      </pivotArea>
    </format>
    <format dxfId="210">
      <pivotArea dataOnly="0" labelOnly="1" outline="0" fieldPosition="0">
        <references count="5">
          <reference field="2" count="1" selected="0">
            <x v="3"/>
          </reference>
          <reference field="3" count="1" selected="0">
            <x v="0"/>
          </reference>
          <reference field="4" count="1" selected="0">
            <x v="116"/>
          </reference>
          <reference field="5" count="1" selected="0">
            <x v="2"/>
          </reference>
          <reference field="6" count="1">
            <x v="2"/>
          </reference>
        </references>
      </pivotArea>
    </format>
    <format dxfId="209">
      <pivotArea dataOnly="0" labelOnly="1" outline="0" fieldPosition="0">
        <references count="5">
          <reference field="2" count="1" selected="0">
            <x v="3"/>
          </reference>
          <reference field="3" count="1" selected="0">
            <x v="0"/>
          </reference>
          <reference field="4" count="1" selected="0">
            <x v="154"/>
          </reference>
          <reference field="5" count="1" selected="0">
            <x v="2"/>
          </reference>
          <reference field="6" count="1">
            <x v="2"/>
          </reference>
        </references>
      </pivotArea>
    </format>
    <format dxfId="208">
      <pivotArea dataOnly="0" labelOnly="1" outline="0" fieldPosition="0">
        <references count="5">
          <reference field="2" count="1" selected="0">
            <x v="8"/>
          </reference>
          <reference field="3" count="1" selected="0">
            <x v="2"/>
          </reference>
          <reference field="4" count="1" selected="0">
            <x v="153"/>
          </reference>
          <reference field="5" count="1" selected="0">
            <x v="3"/>
          </reference>
          <reference field="6" count="1">
            <x v="2"/>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C76648E-602D-4A7C-BCAE-7E9EBF98360D}" name="alphabetical" cacheId="43"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V2:V14" firstHeaderRow="1" firstDataRow="1" firstDataCol="1"/>
  <pivotFields count="17">
    <pivotField compact="0" outline="0" subtotalTop="0" showAll="0" defaultSubtotal="0"/>
    <pivotField compact="0" outline="0" showAll="0" defaultSubtotal="0">
      <items count="10">
        <item h="1" x="0"/>
        <item h="1" x="1"/>
        <item h="1" x="2"/>
        <item h="1" x="3"/>
        <item x="4"/>
        <item h="1" x="5"/>
        <item h="1" x="6"/>
        <item h="1" x="7"/>
        <item h="1" x="8"/>
        <item h="1" x="9"/>
      </items>
    </pivotField>
    <pivotField compact="0" outline="0" showAll="0" defaultSubtotal="0">
      <items count="10">
        <item h="1" x="0"/>
        <item h="1" x="1"/>
        <item h="1" x="2"/>
        <item h="1" x="3"/>
        <item x="4"/>
        <item h="1" x="5"/>
        <item h="1" x="6"/>
        <item h="1" x="7"/>
        <item h="1" x="8"/>
        <item h="1" x="9"/>
      </items>
    </pivotField>
    <pivotField axis="axisRow" compact="0" outline="0" showAll="0" sortType="ascending" defaultSubtotal="0">
      <items count="62">
        <item x="0"/>
        <item x="1"/>
        <item x="2"/>
        <item x="3"/>
        <item x="4"/>
        <item x="5"/>
        <item x="6"/>
        <item x="7"/>
        <item x="8"/>
        <item x="9"/>
        <item x="10"/>
        <item x="11"/>
        <item x="12"/>
        <item x="13"/>
        <item x="14"/>
        <item x="15"/>
        <item x="16"/>
        <item x="17"/>
        <item x="18"/>
        <item x="19"/>
        <item x="60"/>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1"/>
      </items>
    </pivotField>
    <pivotField compact="0" outline="0" showAll="0" defaultSubtotal="0"/>
    <pivotField compact="0" outline="0" showAll="0" defaultSubtotal="0"/>
    <pivotField compact="0" outline="0" showAll="0" includeNewItemsInFilter="1" defaultSubtotal="0">
      <items count="8">
        <item x="1"/>
        <item x="0"/>
        <item x="2"/>
        <item x="4"/>
        <item x="3"/>
        <item x="5"/>
        <item x="6"/>
        <item x="7"/>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3"/>
  </rowFields>
  <rowItems count="12">
    <i>
      <x/>
    </i>
    <i>
      <x v="4"/>
    </i>
    <i>
      <x v="8"/>
    </i>
    <i>
      <x v="13"/>
    </i>
    <i>
      <x v="21"/>
    </i>
    <i>
      <x v="32"/>
    </i>
    <i>
      <x v="33"/>
    </i>
    <i>
      <x v="41"/>
    </i>
    <i>
      <x v="48"/>
    </i>
    <i>
      <x v="50"/>
    </i>
    <i>
      <x v="58"/>
    </i>
    <i>
      <x v="59"/>
    </i>
  </rowItems>
  <colItems count="1">
    <i/>
  </colItems>
  <formats count="13">
    <format dxfId="645">
      <pivotArea field="3" type="button" dataOnly="0" labelOnly="1" outline="0" axis="axisRow" fieldPosition="0"/>
    </format>
    <format dxfId="644">
      <pivotArea type="all" dataOnly="0" outline="0" fieldPosition="0"/>
    </format>
    <format dxfId="643">
      <pivotArea field="3" type="button" dataOnly="0" labelOnly="1" outline="0" axis="axisRow" fieldPosition="0"/>
    </format>
    <format dxfId="642">
      <pivotArea type="all" dataOnly="0" outline="0" fieldPosition="0"/>
    </format>
    <format dxfId="641">
      <pivotArea field="3" type="button" dataOnly="0" labelOnly="1" outline="0" axis="axisRow" fieldPosition="0"/>
    </format>
    <format dxfId="640">
      <pivotArea dataOnly="0" labelOnly="1" fieldPosition="0">
        <references count="1">
          <reference field="3" count="1">
            <x v="35"/>
          </reference>
        </references>
      </pivotArea>
    </format>
    <format dxfId="639">
      <pivotArea dataOnly="0" labelOnly="1" fieldPosition="0">
        <references count="1">
          <reference field="3" count="2">
            <x v="51"/>
            <x v="52"/>
          </reference>
        </references>
      </pivotArea>
    </format>
    <format dxfId="638">
      <pivotArea dataOnly="0" labelOnly="1" fieldPosition="0">
        <references count="1">
          <reference field="3" count="2">
            <x v="54"/>
            <x v="55"/>
          </reference>
        </references>
      </pivotArea>
    </format>
    <format dxfId="637">
      <pivotArea dataOnly="0" labelOnly="1" fieldPosition="0">
        <references count="1">
          <reference field="3" count="1">
            <x v="35"/>
          </reference>
        </references>
      </pivotArea>
    </format>
    <format dxfId="636">
      <pivotArea dataOnly="0" labelOnly="1" fieldPosition="0">
        <references count="1">
          <reference field="3" count="2">
            <x v="51"/>
            <x v="52"/>
          </reference>
        </references>
      </pivotArea>
    </format>
    <format dxfId="635">
      <pivotArea dataOnly="0" labelOnly="1" fieldPosition="0">
        <references count="1">
          <reference field="3" count="2">
            <x v="54"/>
            <x v="55"/>
          </reference>
        </references>
      </pivotArea>
    </format>
    <format dxfId="634">
      <pivotArea field="3" type="button" dataOnly="0" labelOnly="1" outline="0" axis="axisRow" fieldPosition="0"/>
    </format>
    <format dxfId="633">
      <pivotArea field="6" type="button" dataOnly="0" labelOnly="1" outline="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07FB323-F2D7-43B0-9E49-06EA17FCC2C4}" name="Operation Split" cacheId="43"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Operators Split">
  <location ref="C12:L13" firstHeaderRow="1" firstDataRow="2" firstDataCol="0"/>
  <pivotFields count="17">
    <pivotField showAll="0"/>
    <pivotField axis="axisCol" showAll="0">
      <items count="11">
        <item x="3"/>
        <item x="4"/>
        <item x="5"/>
        <item x="6"/>
        <item x="0"/>
        <item x="1"/>
        <item x="2"/>
        <item x="7"/>
        <item x="8"/>
        <item x="9"/>
        <item t="default"/>
      </items>
    </pivotField>
    <pivotField showAll="0">
      <items count="11">
        <item x="0"/>
        <item h="1" x="1"/>
        <item h="1" x="2"/>
        <item h="1" x="3"/>
        <item h="1" x="4"/>
        <item h="1" x="5"/>
        <item h="1" x="6"/>
        <item h="1" x="7"/>
        <item h="1" x="8"/>
        <item h="1" x="9"/>
        <item t="default"/>
      </items>
    </pivotField>
    <pivotField showAll="0">
      <items count="63">
        <item x="34"/>
        <item x="51"/>
        <item x="53"/>
        <item x="54"/>
        <item x="50"/>
        <item x="59"/>
        <item x="35"/>
        <item x="31"/>
        <item x="55"/>
        <item x="1"/>
        <item x="41"/>
        <item x="43"/>
        <item x="48"/>
        <item x="49"/>
        <item x="38"/>
        <item x="33"/>
        <item x="27"/>
        <item x="16"/>
        <item x="58"/>
        <item x="39"/>
        <item x="47"/>
        <item x="45"/>
        <item x="42"/>
        <item x="44"/>
        <item x="2"/>
        <item x="37"/>
        <item x="46"/>
        <item x="32"/>
        <item x="30"/>
        <item x="9"/>
        <item x="56"/>
        <item x="52"/>
        <item x="0"/>
        <item x="3"/>
        <item x="4"/>
        <item x="5"/>
        <item x="6"/>
        <item x="8"/>
        <item x="10"/>
        <item x="13"/>
        <item x="20"/>
        <item x="23"/>
        <item x="24"/>
        <item x="12"/>
        <item x="57"/>
        <item x="36"/>
        <item x="15"/>
        <item x="22"/>
        <item x="29"/>
        <item x="25"/>
        <item x="26"/>
        <item x="18"/>
        <item x="61"/>
        <item x="11"/>
        <item x="17"/>
        <item x="21"/>
        <item x="14"/>
        <item x="19"/>
        <item x="28"/>
        <item x="7"/>
        <item x="60"/>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10">
    <i>
      <x/>
    </i>
    <i>
      <x v="1"/>
    </i>
    <i>
      <x v="2"/>
    </i>
    <i>
      <x v="3"/>
    </i>
    <i>
      <x v="4"/>
    </i>
    <i>
      <x v="5"/>
    </i>
    <i>
      <x v="6"/>
    </i>
    <i>
      <x v="7"/>
    </i>
    <i>
      <x v="8"/>
    </i>
    <i>
      <x v="9"/>
    </i>
  </colItems>
  <formats count="13">
    <format dxfId="658">
      <pivotArea field="3" type="button" dataOnly="0" labelOnly="1" outline="0"/>
    </format>
    <format dxfId="657">
      <pivotArea dataOnly="0" labelOnly="1" outline="0" axis="axisValues" fieldPosition="0"/>
    </format>
    <format dxfId="656">
      <pivotArea outline="0" collapsedLevelsAreSubtotals="1" fieldPosition="0"/>
    </format>
    <format dxfId="655">
      <pivotArea outline="0" collapsedLevelsAreSubtotals="1" fieldPosition="0"/>
    </format>
    <format dxfId="654">
      <pivotArea field="2" type="button" dataOnly="0" labelOnly="1" outline="0"/>
    </format>
    <format dxfId="653">
      <pivotArea field="1" type="button" dataOnly="0" labelOnly="1" outline="0" axis="axisCol" fieldPosition="0"/>
    </format>
    <format dxfId="652">
      <pivotArea dataOnly="0" labelOnly="1" fieldPosition="0">
        <references count="1">
          <reference field="1" count="0"/>
        </references>
      </pivotArea>
    </format>
    <format dxfId="651">
      <pivotArea dataOnly="0" outline="0" fieldPosition="0">
        <references count="1">
          <reference field="1" count="0"/>
        </references>
      </pivotArea>
    </format>
    <format dxfId="650">
      <pivotArea dataOnly="0" outline="0" fieldPosition="0">
        <references count="1">
          <reference field="1" count="0"/>
        </references>
      </pivotArea>
    </format>
    <format dxfId="649">
      <pivotArea dataOnly="0" labelOnly="1" fieldPosition="0">
        <references count="1">
          <reference field="1" count="0"/>
        </references>
      </pivotArea>
    </format>
    <format dxfId="648">
      <pivotArea dataOnly="0" labelOnly="1" fieldPosition="0">
        <references count="1">
          <reference field="1" count="0"/>
        </references>
      </pivotArea>
    </format>
    <format dxfId="647">
      <pivotArea dataOnly="0" labelOnly="1" fieldPosition="0">
        <references count="1">
          <reference field="1" count="0"/>
        </references>
      </pivotArea>
    </format>
    <format dxfId="646">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A0F1B3D-040C-4774-A0A9-ADD2777155EE}" name="Searcher" cacheId="43"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I5:I6" firstHeaderRow="1" firstDataRow="1" firstDataCol="0" rowPageCount="1" colPageCount="1"/>
  <pivotFields count="17">
    <pivotField showAll="0"/>
    <pivotField multipleItemSelectionAllowed="1" showAll="0">
      <items count="11">
        <item x="0"/>
        <item x="1"/>
        <item x="2"/>
        <item x="3"/>
        <item x="4"/>
        <item x="5"/>
        <item x="6"/>
        <item x="7"/>
        <item x="8"/>
        <item x="9"/>
        <item t="default"/>
      </items>
    </pivotField>
    <pivotField dataField="1" multipleItemSelectionAllowed="1" showAll="0"/>
    <pivotField axis="axisPage" showAll="0">
      <items count="63">
        <item x="34"/>
        <item x="51"/>
        <item x="53"/>
        <item x="54"/>
        <item x="50"/>
        <item x="59"/>
        <item x="35"/>
        <item x="31"/>
        <item x="55"/>
        <item x="1"/>
        <item x="41"/>
        <item x="43"/>
        <item x="48"/>
        <item x="49"/>
        <item x="38"/>
        <item x="33"/>
        <item x="27"/>
        <item x="16"/>
        <item x="58"/>
        <item x="39"/>
        <item x="47"/>
        <item x="45"/>
        <item x="42"/>
        <item x="44"/>
        <item x="2"/>
        <item x="37"/>
        <item x="46"/>
        <item x="32"/>
        <item x="30"/>
        <item x="9"/>
        <item x="56"/>
        <item x="52"/>
        <item x="0"/>
        <item x="3"/>
        <item x="4"/>
        <item x="5"/>
        <item x="6"/>
        <item x="8"/>
        <item x="10"/>
        <item x="13"/>
        <item x="20"/>
        <item x="23"/>
        <item x="24"/>
        <item x="12"/>
        <item x="57"/>
        <item x="36"/>
        <item x="15"/>
        <item x="22"/>
        <item x="29"/>
        <item x="25"/>
        <item x="26"/>
        <item x="18"/>
        <item x="61"/>
        <item x="11"/>
        <item x="17"/>
        <item x="21"/>
        <item x="14"/>
        <item x="19"/>
        <item x="28"/>
        <item x="7"/>
        <item x="60"/>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3" item="5" hier="-1"/>
  </pageFields>
  <dataFields count="1">
    <dataField name=" Station" fld="2" baseField="0" baseItem="0"/>
  </dataFields>
  <formats count="7">
    <format dxfId="665">
      <pivotArea field="3" type="button" dataOnly="0" labelOnly="1" outline="0" axis="axisPage" fieldPosition="0"/>
    </format>
    <format dxfId="664">
      <pivotArea dataOnly="0" labelOnly="1" outline="0" axis="axisValues" fieldPosition="0"/>
    </format>
    <format dxfId="663">
      <pivotArea outline="0" collapsedLevelsAreSubtotals="1" fieldPosition="0"/>
    </format>
    <format dxfId="662">
      <pivotArea outline="0" collapsedLevelsAreSubtotals="1" fieldPosition="0"/>
    </format>
    <format dxfId="661">
      <pivotArea type="all" dataOnly="0" outline="0" fieldPosition="0"/>
    </format>
    <format dxfId="660">
      <pivotArea outline="0" collapsedLevelsAreSubtotals="1" fieldPosition="0"/>
    </format>
    <format dxfId="6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 xr10:uid="{D651267F-B96D-407B-B8C4-F4502E74191C}" sourceName="Split">
  <pivotTables>
    <pivotTable tabId="4" name="Split Principal"/>
    <pivotTable tabId="4" name="Drop pivot"/>
    <pivotTable tabId="4" name="H.A. Split"/>
    <pivotTable tabId="4" name="H.A. Station"/>
  </pivotTables>
  <data>
    <tabular pivotCacheId="101812412">
      <items count="8">
        <i x="0" s="1"/>
        <i x="1"/>
        <i x="2"/>
        <i x="3"/>
        <i x="5" nd="1"/>
        <i x="6" nd="1"/>
        <i x="7"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 xr10:uid="{FE112965-2A55-49C1-A929-3B83C398B72F}" sourceName="Station">
  <pivotTables>
    <pivotTable tabId="4" name="Split Principal"/>
    <pivotTable tabId="4" name="Drop pivot"/>
    <pivotTable tabId="4" name="H.A. Station"/>
  </pivotTables>
  <data>
    <tabular pivotCacheId="101812412">
      <items count="7">
        <i x="0" s="1"/>
        <i x="2" nd="1"/>
        <i x="3" nd="1"/>
        <i x="1" nd="1"/>
        <i x="4" nd="1"/>
        <i x="5" nd="1"/>
        <i x="6"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1" xr10:uid="{6328D42E-99B3-436F-B25C-785313E4C183}" sourceName="Split">
  <pivotTables>
    <pivotTable tabId="4" name="Searcher"/>
    <pivotTable tabId="4" name="Operation Split"/>
  </pivotTables>
  <data>
    <tabular pivotCacheId="1384272727">
      <items count="10">
        <i x="0" s="1"/>
        <i x="1" s="1"/>
        <i x="2" s="1"/>
        <i x="3" s="1"/>
        <i x="4" s="1"/>
        <i x="5" s="1"/>
        <i x="6" s="1"/>
        <i x="7" s="1"/>
        <i x="8" s="1"/>
        <i x="9"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2" xr10:uid="{3C173188-D87F-4E48-B4F1-4DF85534F94C}" sourceName="Split">
  <pivotTables>
    <pivotTable tabId="15" name="Split Principal PT2"/>
    <pivotTable tabId="15" name="Split Principal"/>
    <pivotTable tabId="4" name="alphabetical"/>
    <pivotTable tabId="15" name="TablaDinámica5"/>
    <pivotTable tabId="15" name="Station t1"/>
    <pivotTable tabId="15" name="Total sites 1"/>
    <pivotTable tabId="15" name="Buscador"/>
    <pivotTable tabId="15" name="alphabetical"/>
  </pivotTables>
  <data>
    <tabular pivotCacheId="1384272727">
      <items count="10">
        <i x="0"/>
        <i x="1"/>
        <i x="2"/>
        <i x="3"/>
        <i x="4" s="1"/>
        <i x="5"/>
        <i x="6"/>
        <i x="7"/>
        <i x="8"/>
        <i x="9"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1" xr10:uid="{9D6188E9-B4D7-4381-B906-3F87B2B03010}" sourceName="Station">
  <pivotTables>
    <pivotTable tabId="15" name="Split Principal PT2"/>
    <pivotTable tabId="15" name="Split Principal"/>
    <pivotTable tabId="4" name="alphabetical"/>
    <pivotTable tabId="15" name="TablaDinámica5"/>
    <pivotTable tabId="15" name="Station t1"/>
    <pivotTable tabId="15" name="Total sites 1"/>
    <pivotTable tabId="15" name="alphabetical"/>
  </pivotTables>
  <data>
    <tabular pivotCacheId="1384272727">
      <items count="10">
        <i x="0"/>
        <i x="1"/>
        <i x="2"/>
        <i x="3"/>
        <i x="4" s="1"/>
        <i x="5" nd="1"/>
        <i x="6" nd="1"/>
        <i x="7" nd="1"/>
        <i x="8" nd="1"/>
        <i x="9"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11" xr10:uid="{55B34D0F-0CAC-4D5C-AED3-752E6C646D84}" sourceName="Split">
  <pivotTables>
    <pivotTable tabId="20" name="Cuenta 2"/>
    <pivotTable tabId="20" name="Cambio de Split"/>
    <pivotTable tabId="20" name="Cambio de Split PT2"/>
  </pivotTables>
  <data>
    <tabular pivotCacheId="1384272727">
      <items count="10">
        <i x="0" s="1"/>
        <i x="1"/>
        <i x="2"/>
        <i x="3"/>
        <i x="4"/>
        <i x="5"/>
        <i x="6"/>
        <i x="7"/>
        <i x="8"/>
        <i x="9"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11" xr10:uid="{A29B1FF5-94A2-4C87-8594-7D84CD311D1C}" sourceName="Station">
  <pivotTables>
    <pivotTable tabId="20" name="Cuenta 2"/>
    <pivotTable tabId="20" name="Cambio de Split"/>
    <pivotTable tabId="20" name="Cambio de Split PT2"/>
  </pivotTables>
  <data>
    <tabular pivotCacheId="1384272727">
      <items count="10">
        <i x="0" s="1"/>
        <i x="1" nd="1"/>
        <i x="2" nd="1"/>
        <i x="3" nd="1"/>
        <i x="4" nd="1"/>
        <i x="5" nd="1"/>
        <i x="6" nd="1"/>
        <i x="7" nd="1"/>
        <i x="8" nd="1"/>
        <i x="9"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1" xr10:uid="{EFB26B2C-9FDC-489E-9907-D37AA94C15B0}" cache="SegmentaciónDeDatos_Split2" caption="Split" columnCount="7" rowHeight="241300"/>
  <slicer name="Station 1" xr10:uid="{6EBA14D9-CA4C-4122-B31B-F210B87B150A}" cache="SegmentaciónDeDatos_Station1" caption="Station" columnCount="8"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2" xr10:uid="{4BBBD5C4-4A28-42F3-A6BD-0B7D1AF5A53E}" cache="SegmentaciónDeDatos_Split11" caption="Split" columnCount="8" rowHeight="241300"/>
  <slicer name="Station 2" xr10:uid="{97C90419-015E-40DF-82B7-7D56ABF6C576}" cache="SegmentaciónDeDatos_Station11" caption="Station" columnCount="8"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xr10:uid="{3336BC6F-14FB-41B7-AC61-97475B7655EA}" cache="SegmentaciónDeDatos_Split" caption="H.A. Split" columnCount="2" rowHeight="241300"/>
  <slicer name="Station" xr10:uid="{FE4DD895-A5E2-43DA-8FCE-4E3274DD30FE}" cache="SegmentaciónDeDatos_Station" caption="H.A.Station" columnCount="2" rowHeight="241300"/>
  <slicer name="Operation Split" xr10:uid="{CE441AAD-6419-4030-882D-9520ECB3E1A5}" cache="SegmentaciónDeDatos_Split1" caption="Operation Split" columnCount="8" rowHeight="237744"/>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7BC913-29A6-4C7E-99F3-0CDE931E4FB2}" name="Tabla3" displayName="Tabla3" ref="A1:Q559" totalsRowShown="0" headerRowDxfId="689">
  <autoFilter ref="A1:Q559" xr:uid="{A37BC913-29A6-4C7E-99F3-0CDE931E4FB2}">
    <filterColumn colId="3">
      <filters>
        <filter val="(LT) Luther Bloomington Hyundai"/>
      </filters>
    </filterColumn>
  </autoFilter>
  <sortState xmlns:xlrd2="http://schemas.microsoft.com/office/spreadsheetml/2017/richdata2" ref="A2:Q559">
    <sortCondition ref="B2:B559"/>
    <sortCondition ref="C2:C559"/>
    <sortCondition ref="D2:D559"/>
  </sortState>
  <tableColumns count="17">
    <tableColumn id="11" xr3:uid="{FF5F5664-984C-460E-B843-4DD05CABC98A}" name="Key">
      <calculatedColumnFormula>+Tabla3[[#This Row],[Site]]&amp;Tabla3[[#This Row],[Split]]</calculatedColumnFormula>
    </tableColumn>
    <tableColumn id="1" xr3:uid="{E1A2C834-F87A-482B-8736-8F10E5521E1C}" name="Split"/>
    <tableColumn id="2" xr3:uid="{717AD207-DA87-439E-90E3-ECE03D2FB9AA}" name="Station"/>
    <tableColumn id="5" xr3:uid="{1DB08AA5-F8A7-4299-AFB0-313AEB9D3107}" name="Site"/>
    <tableColumn id="3" xr3:uid="{D4A35BD4-EA5E-4D08-AB15-96DCC6A705A5}" name="Hour"/>
    <tableColumn id="4" xr3:uid="{7563744E-8890-4E03-926C-C305F3464DA2}" name="Time"/>
    <tableColumn id="6" xr3:uid="{827E4F95-9112-414A-B55D-AE16DF7181EF}" name="Drop time"/>
    <tableColumn id="7" xr3:uid="{2DA7BFC4-1389-4921-9A19-FD19287D8F35}" name="SIG Tools" dataDxfId="688">
      <calculatedColumnFormula>HYPERLINK(VLOOKUP(Tabla3[[#This Row],[Site]],Table35[#All],9,FALSE))</calculatedColumnFormula>
    </tableColumn>
    <tableColumn id="9" xr3:uid="{C7A21E92-C6C6-42E1-BC8B-759CEDC81A7A}" name="Map">
      <calculatedColumnFormula>VLOOKUP(Tabla3[[#This Row],[Site]],Table35[],13,FALSE)</calculatedColumnFormula>
    </tableColumn>
    <tableColumn id="8" xr3:uid="{DFFA9CE2-CD31-415C-B651-961A8BCC0F4B}" name="SUNDAY (D.T.)"/>
    <tableColumn id="10" xr3:uid="{362BBA9F-EDB0-4350-BE62-63D1DC755B0C}" name="Notes*"/>
    <tableColumn id="12" xr3:uid="{18A4B9F2-03B0-4262-9181-5C03AB6BFCBF}" name="Gates" dataDxfId="687">
      <calculatedColumnFormula>VLOOKUP(Tabla3[[#This Row],[Site]],Table35[#All],2,FALSE)</calculatedColumnFormula>
    </tableColumn>
    <tableColumn id="13" xr3:uid="{21CD94D7-181A-4E32-ACA6-10CE4CB857FB}" name="Entrances" dataDxfId="686">
      <calculatedColumnFormula>VLOOKUP(Tabla3[[#This Row],[Site]],Table35[#All],3,FALSE)</calculatedColumnFormula>
    </tableColumn>
    <tableColumn id="14" xr3:uid="{291657B3-D991-41CE-AC02-1818E23C2841}" name="LPR" dataDxfId="685">
      <calculatedColumnFormula>VLOOKUP(Tabla3[[#This Row],[Site]],Table35[#All],4,FALSE)</calculatedColumnFormula>
    </tableColumn>
    <tableColumn id="15" xr3:uid="{E3CA2A8B-712B-418C-BCF9-57571B784248}" name="PTZ" dataDxfId="684">
      <calculatedColumnFormula>VLOOKUP(Tabla3[[#This Row],[Site]],Table35[#All],5,FALSE)</calculatedColumnFormula>
    </tableColumn>
    <tableColumn id="16" xr3:uid="{3A71D871-05D6-4D5C-A9F0-048148E8A54B}" name="Important Cameras" dataDxfId="683">
      <calculatedColumnFormula>VLOOKUP(Tabla3[[#This Row],[Site]],Table35[#All],6,FALSE)</calculatedColumnFormula>
    </tableColumn>
    <tableColumn id="17" xr3:uid="{07F1C37F-D151-4167-B0C4-AC70CBE1A29C}" name="ID" dataDxfId="682">
      <calculatedColumnFormula>VLOOKUP(Tabla3[[#This Row],[Site]],Table35[#All],8,FALSE)</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DFFE6A-417E-4CD6-8EA3-44E2DE651E56}" name="Table35" displayName="Table35" ref="A1:N65" totalsRowShown="0" headerRowDxfId="681" dataDxfId="680">
  <autoFilter ref="A1:N65" xr:uid="{5ADFFE6A-417E-4CD6-8EA3-44E2DE651E56}"/>
  <sortState xmlns:xlrd2="http://schemas.microsoft.com/office/spreadsheetml/2017/richdata2" ref="A2:N64">
    <sortCondition ref="A2:A64"/>
  </sortState>
  <tableColumns count="14">
    <tableColumn id="1" xr3:uid="{5BD0805F-7340-4ED0-874A-8F800D844A91}" name="SITES" dataDxfId="679"/>
    <tableColumn id="2" xr3:uid="{B8614D96-DE36-49FC-A0CD-6B56D364E286}" name="GATES" dataDxfId="678"/>
    <tableColumn id="3" xr3:uid="{E1A3ECE6-1608-4E41-B07C-11198794E068}" name="ENTRANCES" dataDxfId="677"/>
    <tableColumn id="4" xr3:uid="{61106BB2-5C91-4521-823E-197ACD30C129}" name="LPR GATES" dataDxfId="676"/>
    <tableColumn id="5" xr3:uid="{31705383-959E-434B-AE67-D3A453A8444F}" name="PTZ" dataDxfId="675"/>
    <tableColumn id="6" xr3:uid="{195DF98C-8F62-4BA3-92C4-68EF45187429}" name="IMPORTANT CAMERAS" dataDxfId="674"/>
    <tableColumn id="7" xr3:uid="{9ECFD390-8981-4979-BFA4-530F7971B47E}" name="BLIND SPOTS" dataDxfId="673"/>
    <tableColumn id="8" xr3:uid="{06122AE3-8D73-4660-8BD8-373D73B398FF}" name="ID" dataDxfId="672"/>
    <tableColumn id="9" xr3:uid="{35F33236-2B16-4C96-B326-F6461E670CC5}" name="SIG TOOLS" dataDxfId="671"/>
    <tableColumn id="10" xr3:uid="{1977C45A-CD8F-471D-A0A2-C130946777BE}" name="HOUR" dataDxfId="670"/>
    <tableColumn id="12" xr3:uid="{DCA7DBD1-50A5-4118-8A51-BF4E10F30970}" name="TIME" dataDxfId="669"/>
    <tableColumn id="13" xr3:uid="{C6F3334D-7F14-4A6D-BA55-12D332A28005}" name="DROP TIME" dataDxfId="668"/>
    <tableColumn id="14" xr3:uid="{D7355B04-1428-40E3-9077-E0F51B12F2D5}" name="MAP" dataDxfId="667"/>
    <tableColumn id="15" xr3:uid="{5CC4F378-8A5D-4E86-94DF-A07D19DF9E40}" name="SUNDAY D.T." dataDxfId="666"/>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A16AEC-0C5A-46C6-917A-5AB21C993C77}" name="Tabla33" displayName="Tabla33" ref="A2:H87" totalsRowShown="0">
  <autoFilter ref="A2:H87" xr:uid="{73F8F041-3DE8-48A1-8449-D7F73E219F0E}"/>
  <tableColumns count="8">
    <tableColumn id="1" xr3:uid="{79CC7470-1C6C-4A88-A3AA-0365F685080C}" name="Split"/>
    <tableColumn id="2" xr3:uid="{0E1D628A-3E7D-44CB-9F50-278DA4745A65}" name="Station"/>
    <tableColumn id="3" xr3:uid="{8DFD52A1-781F-4B68-99DC-A8FB4FE29B73}" name="Hour"/>
    <tableColumn id="4" xr3:uid="{A6443A63-CA85-4C14-A09D-5C1C18C851AB}" name="Time"/>
    <tableColumn id="5" xr3:uid="{3DDCEC79-CEEC-4520-9403-0C2B3ACC4ABE}" name="Site"/>
    <tableColumn id="6" xr3:uid="{931B9C10-AB5A-44EB-8502-0ED7B1CE5DE9}" name="Drop time"/>
    <tableColumn id="8" xr3:uid="{CF2A01AC-7273-4346-BD94-303E9AAB9CE5}" name="SUNDAY (D.T.)"/>
    <tableColumn id="10" xr3:uid="{656BAD71-8335-4786-ABBE-8F522CF62FC3}" name="Notes*"/>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475AE28-A728-4C3D-A051-3A7FD5B493F9}">
  <we:reference id="wa104006972" version="1.0.0.0" store="es-MX" storeType="OMEX"/>
  <we:alternateReferences>
    <we:reference id="WA104006972" version="1.0.0.0" store="WA104006972"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3" Type="http://schemas.openxmlformats.org/officeDocument/2006/relationships/hyperlink" Target="https://tools.sig.systems/site/details/345" TargetMode="External"/><Relationship Id="rId18" Type="http://schemas.openxmlformats.org/officeDocument/2006/relationships/hyperlink" Target="https://tools.sig.systems/site/details/336" TargetMode="External"/><Relationship Id="rId26" Type="http://schemas.openxmlformats.org/officeDocument/2006/relationships/hyperlink" Target="https://tools.sig.systems/site/details/301" TargetMode="External"/><Relationship Id="rId39" Type="http://schemas.openxmlformats.org/officeDocument/2006/relationships/printerSettings" Target="../printerSettings/printerSettings3.bin"/><Relationship Id="rId21" Type="http://schemas.openxmlformats.org/officeDocument/2006/relationships/hyperlink" Target="https://tools.sig.systems/site/details/344" TargetMode="External"/><Relationship Id="rId34" Type="http://schemas.openxmlformats.org/officeDocument/2006/relationships/hyperlink" Target="https://tools.sig.systems/site/details/177" TargetMode="External"/><Relationship Id="rId7" Type="http://schemas.openxmlformats.org/officeDocument/2006/relationships/hyperlink" Target="https://tools.sig.systems/site/details/334" TargetMode="External"/><Relationship Id="rId12" Type="http://schemas.openxmlformats.org/officeDocument/2006/relationships/hyperlink" Target="https://tools.sig.systems/site/details/189" TargetMode="External"/><Relationship Id="rId17" Type="http://schemas.openxmlformats.org/officeDocument/2006/relationships/hyperlink" Target="https://tools.sig.systems/site/details/348" TargetMode="External"/><Relationship Id="rId25" Type="http://schemas.openxmlformats.org/officeDocument/2006/relationships/hyperlink" Target="https://tools.sig.systems/site/details/331" TargetMode="External"/><Relationship Id="rId33" Type="http://schemas.openxmlformats.org/officeDocument/2006/relationships/hyperlink" Target="https://tools.sig.systems/site/details/188" TargetMode="External"/><Relationship Id="rId38" Type="http://schemas.openxmlformats.org/officeDocument/2006/relationships/hyperlink" Target="https://tools.sig.systems/site/details/355" TargetMode="External"/><Relationship Id="rId2" Type="http://schemas.openxmlformats.org/officeDocument/2006/relationships/hyperlink" Target="https://tools.sig.systems/site/details/343" TargetMode="External"/><Relationship Id="rId16" Type="http://schemas.openxmlformats.org/officeDocument/2006/relationships/hyperlink" Target="https://tools.sig.systems/site/details/346" TargetMode="External"/><Relationship Id="rId20" Type="http://schemas.openxmlformats.org/officeDocument/2006/relationships/hyperlink" Target="https://tools.sig.systems/site/details/340" TargetMode="External"/><Relationship Id="rId29" Type="http://schemas.openxmlformats.org/officeDocument/2006/relationships/hyperlink" Target="https://tools.sig.systems/site/details/308" TargetMode="External"/><Relationship Id="rId1" Type="http://schemas.openxmlformats.org/officeDocument/2006/relationships/hyperlink" Target="https://tools.sig.systems/site/details/305" TargetMode="External"/><Relationship Id="rId6" Type="http://schemas.openxmlformats.org/officeDocument/2006/relationships/hyperlink" Target="https://tools.sig.systems/site/details/335" TargetMode="External"/><Relationship Id="rId11" Type="http://schemas.openxmlformats.org/officeDocument/2006/relationships/hyperlink" Target="https://tools.sig.systems/site/details/352" TargetMode="External"/><Relationship Id="rId24" Type="http://schemas.openxmlformats.org/officeDocument/2006/relationships/hyperlink" Target="https://tools.sig.systems/site/details/324" TargetMode="External"/><Relationship Id="rId32" Type="http://schemas.openxmlformats.org/officeDocument/2006/relationships/hyperlink" Target="https://tools.sig.systems/site/details/159" TargetMode="External"/><Relationship Id="rId37" Type="http://schemas.openxmlformats.org/officeDocument/2006/relationships/hyperlink" Target="https://tools.sig.systems/site/details/337" TargetMode="External"/><Relationship Id="rId40" Type="http://schemas.openxmlformats.org/officeDocument/2006/relationships/table" Target="../tables/table2.xml"/><Relationship Id="rId5" Type="http://schemas.openxmlformats.org/officeDocument/2006/relationships/hyperlink" Target="https://tools.sig.systems/site/details/335" TargetMode="External"/><Relationship Id="rId15" Type="http://schemas.openxmlformats.org/officeDocument/2006/relationships/hyperlink" Target="https://tools.sig.systems/site/details/349" TargetMode="External"/><Relationship Id="rId23" Type="http://schemas.openxmlformats.org/officeDocument/2006/relationships/hyperlink" Target="https://tools.sig.systems/site/details/119" TargetMode="External"/><Relationship Id="rId28" Type="http://schemas.openxmlformats.org/officeDocument/2006/relationships/hyperlink" Target="https://tools.sig.systems/site/details/282" TargetMode="External"/><Relationship Id="rId36" Type="http://schemas.openxmlformats.org/officeDocument/2006/relationships/hyperlink" Target="https://tools.sig.systems/site/details/184" TargetMode="External"/><Relationship Id="rId10" Type="http://schemas.openxmlformats.org/officeDocument/2006/relationships/hyperlink" Target="https://tools.sig.systems/site/details/194" TargetMode="External"/><Relationship Id="rId19" Type="http://schemas.openxmlformats.org/officeDocument/2006/relationships/hyperlink" Target="https://tools.sig.systems/site/details/341" TargetMode="External"/><Relationship Id="rId31" Type="http://schemas.openxmlformats.org/officeDocument/2006/relationships/hyperlink" Target="https://tools.sig.systems/site/details/313" TargetMode="External"/><Relationship Id="rId4" Type="http://schemas.openxmlformats.org/officeDocument/2006/relationships/hyperlink" Target="https://tools.sig.systems/site/details/335" TargetMode="External"/><Relationship Id="rId9" Type="http://schemas.openxmlformats.org/officeDocument/2006/relationships/hyperlink" Target="https://tools.sig.systems/site/details/199" TargetMode="External"/><Relationship Id="rId14" Type="http://schemas.openxmlformats.org/officeDocument/2006/relationships/hyperlink" Target="https://tools.sig.systems/site/details/339" TargetMode="External"/><Relationship Id="rId22" Type="http://schemas.openxmlformats.org/officeDocument/2006/relationships/hyperlink" Target="https://tools.sig.systems/site/details/350" TargetMode="External"/><Relationship Id="rId27" Type="http://schemas.openxmlformats.org/officeDocument/2006/relationships/hyperlink" Target="https://tools.sig.systems/site/details/300" TargetMode="External"/><Relationship Id="rId30" Type="http://schemas.openxmlformats.org/officeDocument/2006/relationships/hyperlink" Target="https://tools.sig.systems/site/details/148" TargetMode="External"/><Relationship Id="rId35" Type="http://schemas.openxmlformats.org/officeDocument/2006/relationships/hyperlink" Target="https://tools.sig.systems/site/details/178" TargetMode="External"/><Relationship Id="rId8" Type="http://schemas.openxmlformats.org/officeDocument/2006/relationships/hyperlink" Target="https://tools.sig.systems/site/details/338" TargetMode="External"/><Relationship Id="rId3" Type="http://schemas.openxmlformats.org/officeDocument/2006/relationships/hyperlink" Target="https://tools.sig.systems/site/details/342"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10" Type="http://schemas.microsoft.com/office/2007/relationships/slicer" Target="../slicers/slicer3.xml"/><Relationship Id="rId4" Type="http://schemas.openxmlformats.org/officeDocument/2006/relationships/pivotTable" Target="../pivotTables/pivotTable14.xml"/><Relationship Id="rId9"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774F7-0139-4286-943F-A43533F1B9D6}">
  <sheetPr codeName="Sheet1"/>
  <dimension ref="A1:AH110"/>
  <sheetViews>
    <sheetView showGridLines="0" tabSelected="1" zoomScale="85" zoomScaleNormal="85" zoomScaleSheetLayoutView="100" zoomScalePageLayoutView="55" workbookViewId="0">
      <selection activeCell="C31" sqref="C31"/>
    </sheetView>
  </sheetViews>
  <sheetFormatPr defaultColWidth="11.5703125" defaultRowHeight="15" customHeight="1" outlineLevelCol="1" x14ac:dyDescent="0.25"/>
  <cols>
    <col min="1" max="1" width="7.42578125" customWidth="1"/>
    <col min="2" max="2" width="14.42578125" style="3" customWidth="1"/>
    <col min="3" max="3" width="82.140625" style="3" customWidth="1"/>
    <col min="4" max="4" width="12.140625" style="32" customWidth="1"/>
    <col min="5" max="5" width="7.28515625" style="32" customWidth="1"/>
    <col min="6" max="6" width="7" style="32" customWidth="1"/>
    <col min="7" max="9" width="11.140625" style="3" hidden="1" customWidth="1"/>
    <col min="10" max="10" width="16.42578125" style="3" customWidth="1"/>
    <col min="11" max="11" width="14.5703125" style="3" customWidth="1"/>
    <col min="12" max="12" width="12.85546875" hidden="1" customWidth="1"/>
    <col min="13" max="13" width="19.28515625" hidden="1" customWidth="1"/>
    <col min="14" max="14" width="34.85546875" hidden="1" customWidth="1"/>
    <col min="15" max="15" width="16.7109375" customWidth="1"/>
    <col min="16" max="16" width="10.5703125" customWidth="1"/>
    <col min="17" max="17" width="20.28515625" customWidth="1"/>
    <col min="18" max="18" width="22" style="3" customWidth="1"/>
    <col min="19" max="19" width="22.28515625" style="47" customWidth="1"/>
    <col min="20" max="20" width="12.140625" style="3" bestFit="1" customWidth="1"/>
    <col min="21" max="21" width="21.7109375" style="3" customWidth="1"/>
    <col min="22" max="22" width="32.5703125" style="3" customWidth="1"/>
    <col min="23" max="24" width="14.5703125" style="3" hidden="1" customWidth="1"/>
    <col min="25" max="26" width="14.5703125" style="3" customWidth="1"/>
    <col min="27" max="27" width="6.7109375" style="3" customWidth="1"/>
    <col min="28" max="28" width="7.85546875" style="3" customWidth="1"/>
    <col min="29" max="29" width="16.7109375" style="3" bestFit="1" customWidth="1"/>
    <col min="30" max="30" width="8.140625" style="3" customWidth="1"/>
    <col min="31" max="31" width="2" style="3" customWidth="1"/>
    <col min="32" max="32" width="55.7109375" style="3" hidden="1" customWidth="1" outlineLevel="1"/>
    <col min="33" max="33" width="7.85546875" style="3" customWidth="1" collapsed="1"/>
    <col min="34" max="34" width="14.5703125" style="3" customWidth="1"/>
    <col min="35" max="35" width="8.85546875" customWidth="1"/>
    <col min="36" max="55" width="11.5703125" customWidth="1"/>
  </cols>
  <sheetData>
    <row r="1" spans="1:34" s="24" customFormat="1" ht="14.25" customHeight="1" x14ac:dyDescent="0.25">
      <c r="D1" s="32"/>
      <c r="E1" s="32"/>
      <c r="F1" s="32"/>
      <c r="J1" s="33"/>
      <c r="K1" s="32"/>
      <c r="R1" s="32"/>
      <c r="S1" s="46"/>
      <c r="T1" s="32"/>
      <c r="U1" s="32"/>
      <c r="V1" s="32"/>
      <c r="W1" s="32"/>
      <c r="X1" s="32"/>
      <c r="Y1" s="32"/>
      <c r="Z1" s="32"/>
      <c r="AA1" s="32"/>
      <c r="AB1" s="32"/>
      <c r="AC1" s="32"/>
      <c r="AD1" s="32"/>
      <c r="AE1" s="32"/>
      <c r="AF1" s="34" t="s">
        <v>61</v>
      </c>
      <c r="AH1" s="32"/>
    </row>
    <row r="2" spans="1:34" ht="19.5" x14ac:dyDescent="0.3">
      <c r="A2" s="85" t="s">
        <v>44</v>
      </c>
      <c r="B2" s="86"/>
      <c r="C2" s="86"/>
      <c r="J2" s="19"/>
      <c r="AF2" s="105" t="s">
        <v>27</v>
      </c>
      <c r="AG2"/>
    </row>
    <row r="3" spans="1:34" ht="18.75" x14ac:dyDescent="0.3">
      <c r="B3"/>
      <c r="C3" s="1"/>
      <c r="K3" s="6" t="s">
        <v>93</v>
      </c>
      <c r="L3" s="31"/>
      <c r="M3" s="31"/>
      <c r="N3" s="52" t="s">
        <v>83</v>
      </c>
      <c r="O3" s="3" t="s">
        <v>455</v>
      </c>
      <c r="R3"/>
      <c r="S3"/>
      <c r="T3"/>
      <c r="W3"/>
      <c r="X3"/>
      <c r="Y3"/>
      <c r="Z3"/>
      <c r="AA3"/>
      <c r="AB3"/>
      <c r="AC3"/>
      <c r="AD3"/>
      <c r="AF3" s="104" t="s">
        <v>374</v>
      </c>
      <c r="AG3"/>
      <c r="AH3"/>
    </row>
    <row r="4" spans="1:34" x14ac:dyDescent="0.25">
      <c r="B4"/>
      <c r="C4" s="1"/>
      <c r="R4"/>
      <c r="S4"/>
      <c r="T4"/>
      <c r="W4"/>
      <c r="X4"/>
      <c r="Y4"/>
      <c r="Z4"/>
      <c r="AA4"/>
      <c r="AB4"/>
      <c r="AC4"/>
      <c r="AD4"/>
      <c r="AF4" s="104" t="s">
        <v>376</v>
      </c>
      <c r="AG4"/>
      <c r="AH4"/>
    </row>
    <row r="5" spans="1:34" ht="18.75" customHeight="1" x14ac:dyDescent="0.3">
      <c r="B5"/>
      <c r="C5" s="1"/>
      <c r="K5" s="82" t="s">
        <v>57</v>
      </c>
      <c r="N5" s="52" t="s">
        <v>84</v>
      </c>
      <c r="O5" s="6" t="str">
        <f>+N5</f>
        <v xml:space="preserve">Station </v>
      </c>
      <c r="R5"/>
      <c r="S5"/>
      <c r="T5"/>
      <c r="W5"/>
      <c r="X5"/>
      <c r="Y5"/>
      <c r="Z5"/>
      <c r="AA5"/>
      <c r="AB5"/>
      <c r="AC5"/>
      <c r="AD5"/>
      <c r="AF5" s="104" t="s">
        <v>380</v>
      </c>
      <c r="AG5"/>
      <c r="AH5"/>
    </row>
    <row r="6" spans="1:34" ht="18.75" x14ac:dyDescent="0.3">
      <c r="B6"/>
      <c r="C6" s="1"/>
      <c r="K6" s="87"/>
      <c r="N6" s="97">
        <v>5</v>
      </c>
      <c r="O6" s="16">
        <f>+N6</f>
        <v>5</v>
      </c>
      <c r="AF6" s="104" t="s">
        <v>385</v>
      </c>
      <c r="AG6"/>
    </row>
    <row r="7" spans="1:34" ht="42" x14ac:dyDescent="0.25">
      <c r="B7"/>
      <c r="C7" s="1"/>
      <c r="G7"/>
      <c r="H7"/>
      <c r="I7"/>
      <c r="Q7" s="50"/>
      <c r="R7" s="50"/>
      <c r="S7" s="50"/>
      <c r="T7" s="50"/>
      <c r="AF7" s="104" t="s">
        <v>382</v>
      </c>
      <c r="AG7"/>
    </row>
    <row r="8" spans="1:34" ht="42" x14ac:dyDescent="0.25">
      <c r="B8"/>
      <c r="C8" s="1"/>
      <c r="E8"/>
      <c r="G8"/>
      <c r="H8"/>
      <c r="I8"/>
      <c r="J8"/>
      <c r="Q8" s="50"/>
      <c r="R8" s="50"/>
      <c r="S8" s="50"/>
      <c r="AF8" s="104" t="s">
        <v>119</v>
      </c>
      <c r="AG8"/>
    </row>
    <row r="9" spans="1:34" ht="42" x14ac:dyDescent="0.25">
      <c r="B9"/>
      <c r="C9" s="1"/>
      <c r="G9"/>
      <c r="H9"/>
      <c r="I9"/>
      <c r="Q9" s="50"/>
      <c r="R9" s="50"/>
      <c r="S9" s="50"/>
      <c r="AF9" s="104" t="s">
        <v>18</v>
      </c>
      <c r="AG9"/>
    </row>
    <row r="10" spans="1:34" ht="42" hidden="1" x14ac:dyDescent="0.25">
      <c r="G10"/>
      <c r="H10"/>
      <c r="I10"/>
      <c r="J10"/>
      <c r="Q10" s="50"/>
      <c r="R10" s="50"/>
      <c r="S10" s="50"/>
      <c r="AF10" s="104" t="s">
        <v>455</v>
      </c>
      <c r="AG10"/>
    </row>
    <row r="11" spans="1:34" ht="42" hidden="1" x14ac:dyDescent="0.25">
      <c r="G11"/>
      <c r="H11"/>
      <c r="I11"/>
      <c r="J11"/>
      <c r="Q11" s="50"/>
      <c r="R11" s="50"/>
      <c r="S11" s="50"/>
      <c r="AF11" s="104" t="s">
        <v>253</v>
      </c>
      <c r="AG11"/>
    </row>
    <row r="12" spans="1:34" ht="42" hidden="1" x14ac:dyDescent="0.25">
      <c r="G12"/>
      <c r="H12"/>
      <c r="I12"/>
      <c r="J12"/>
      <c r="Q12" s="50"/>
      <c r="R12" s="50"/>
      <c r="S12" s="50"/>
      <c r="AF12" s="104" t="s">
        <v>127</v>
      </c>
      <c r="AG12"/>
    </row>
    <row r="13" spans="1:34" ht="42" hidden="1" x14ac:dyDescent="0.25">
      <c r="G13"/>
      <c r="H13"/>
      <c r="I13"/>
      <c r="J13"/>
      <c r="Q13" s="50"/>
      <c r="R13" s="50"/>
      <c r="S13" s="50"/>
      <c r="AF13" s="104" t="s">
        <v>387</v>
      </c>
      <c r="AG13"/>
    </row>
    <row r="14" spans="1:34" ht="42" x14ac:dyDescent="0.25">
      <c r="J14"/>
      <c r="Q14" s="50"/>
      <c r="R14" s="50"/>
      <c r="S14" s="50"/>
      <c r="AF14" s="104" t="s">
        <v>234</v>
      </c>
      <c r="AG14"/>
    </row>
    <row r="15" spans="1:34" s="32" customFormat="1" ht="18.75" x14ac:dyDescent="0.25">
      <c r="A15" s="51" t="s">
        <v>25</v>
      </c>
      <c r="B15" s="51" t="s">
        <v>29</v>
      </c>
      <c r="C15" s="51" t="s">
        <v>85</v>
      </c>
      <c r="D15" s="18"/>
      <c r="E15" s="18"/>
      <c r="F15" s="18"/>
      <c r="G15" s="42" t="s">
        <v>86</v>
      </c>
      <c r="H15" s="51"/>
      <c r="I15" s="51"/>
      <c r="J15" s="82" t="s">
        <v>87</v>
      </c>
      <c r="K15" s="82"/>
      <c r="S15" s="46"/>
      <c r="W15" s="42"/>
      <c r="X15" s="42"/>
      <c r="AE15" s="18"/>
      <c r="AF15"/>
    </row>
    <row r="16" spans="1:34" ht="18.75" x14ac:dyDescent="0.3">
      <c r="A16" s="56">
        <v>5</v>
      </c>
      <c r="B16" s="56">
        <v>5</v>
      </c>
      <c r="C16" s="98">
        <v>12</v>
      </c>
      <c r="D16" s="18"/>
      <c r="E16" s="18"/>
      <c r="F16" s="18"/>
      <c r="G16" s="16">
        <f>+COUNTIF('Dynamic Split'!G19:G75,"Log Out")</f>
        <v>0</v>
      </c>
      <c r="H16" s="70"/>
      <c r="I16" s="70"/>
      <c r="J16" s="83">
        <f>+GETPIVOTDATA("Site",$C$15)-G16</f>
        <v>12</v>
      </c>
      <c r="K16" s="84"/>
      <c r="M16" s="4" t="s">
        <v>109</v>
      </c>
      <c r="N16" s="4"/>
      <c r="O16" s="4"/>
      <c r="P16" s="4"/>
      <c r="W16" s="16"/>
      <c r="X16" s="16"/>
      <c r="Z16" s="9"/>
      <c r="AA16" s="9"/>
      <c r="AB16" s="9"/>
      <c r="AC16" s="9"/>
      <c r="AD16" s="9"/>
      <c r="AF16"/>
      <c r="AG16"/>
      <c r="AH16" s="9"/>
    </row>
    <row r="17" spans="1:34" ht="18.75" x14ac:dyDescent="0.3">
      <c r="B17"/>
      <c r="C17" s="1"/>
      <c r="G17"/>
      <c r="H17"/>
      <c r="I17"/>
      <c r="J17"/>
      <c r="T17" s="19"/>
      <c r="W17"/>
      <c r="X17"/>
      <c r="Y17"/>
      <c r="Z17"/>
      <c r="AA17"/>
      <c r="AB17"/>
      <c r="AC17"/>
      <c r="AD17"/>
      <c r="AE17"/>
      <c r="AF17"/>
    </row>
    <row r="18" spans="1:34" s="32" customFormat="1" ht="18.75" x14ac:dyDescent="0.25">
      <c r="A18" s="51" t="s">
        <v>25</v>
      </c>
      <c r="B18" s="51" t="s">
        <v>90</v>
      </c>
      <c r="C18" s="51" t="s">
        <v>50</v>
      </c>
      <c r="D18" s="51" t="s">
        <v>30</v>
      </c>
      <c r="E18" s="51" t="s">
        <v>54</v>
      </c>
      <c r="F18" s="51" t="s">
        <v>286</v>
      </c>
      <c r="G18" s="18" t="s">
        <v>55</v>
      </c>
      <c r="H18" s="71"/>
      <c r="I18" s="71"/>
      <c r="J18" s="80" t="s">
        <v>1</v>
      </c>
      <c r="K18" s="81"/>
      <c r="L18" s="57" t="s">
        <v>25</v>
      </c>
      <c r="M18" s="57" t="s">
        <v>91</v>
      </c>
      <c r="N18" s="57" t="s">
        <v>50</v>
      </c>
      <c r="O18" s="51" t="s">
        <v>28</v>
      </c>
      <c r="P18" s="51" t="s">
        <v>114</v>
      </c>
      <c r="Q18" s="51" t="s">
        <v>115</v>
      </c>
      <c r="R18" s="51" t="s">
        <v>116</v>
      </c>
      <c r="S18" s="51" t="s">
        <v>102</v>
      </c>
      <c r="T18" s="51" t="s">
        <v>117</v>
      </c>
      <c r="U18" s="18" t="s">
        <v>59</v>
      </c>
      <c r="V18"/>
      <c r="W18"/>
      <c r="X18"/>
      <c r="Y18"/>
      <c r="Z18"/>
      <c r="AA18"/>
      <c r="AB18"/>
      <c r="AE18" s="45"/>
      <c r="AF18"/>
    </row>
    <row r="19" spans="1:34" ht="18.75" x14ac:dyDescent="0.3">
      <c r="A19" s="53">
        <v>5</v>
      </c>
      <c r="B19" s="76" t="s">
        <v>122</v>
      </c>
      <c r="C19" s="102" t="s">
        <v>119</v>
      </c>
      <c r="D19" s="18" t="s">
        <v>96</v>
      </c>
      <c r="E19" s="18" t="s">
        <v>2</v>
      </c>
      <c r="F19" s="18" t="s">
        <v>294</v>
      </c>
      <c r="G19" s="100">
        <v>5</v>
      </c>
      <c r="H19" s="18"/>
      <c r="I19" s="18"/>
      <c r="J19" s="49" t="str">
        <f>IFERROR(HYPERLINK(VLOOKUP(C19,'Flat Base'!D:J,5,0),"SIG TOOLS"),"")</f>
        <v>SIG TOOLS</v>
      </c>
      <c r="K19" s="49" t="str">
        <f>IFERROR(HYPERLINK(VLOOKUP(C19,'Flat Base'!D:J,4,0),"SITE MAP"),"")</f>
        <v>SITE MAP</v>
      </c>
      <c r="L19" s="18">
        <v>5</v>
      </c>
      <c r="M19" s="18" t="s">
        <v>122</v>
      </c>
      <c r="N19" s="18" t="s">
        <v>119</v>
      </c>
      <c r="O19" s="18" t="s">
        <v>96</v>
      </c>
      <c r="P19" s="18" t="s">
        <v>96</v>
      </c>
      <c r="Q19" s="18" t="s">
        <v>153</v>
      </c>
      <c r="R19" s="18" t="s">
        <v>96</v>
      </c>
      <c r="S19" s="18" t="s">
        <v>154</v>
      </c>
      <c r="T19" s="18" t="s">
        <v>155</v>
      </c>
      <c r="U19" s="106">
        <v>5</v>
      </c>
      <c r="V19"/>
      <c r="W19"/>
      <c r="X19"/>
      <c r="Y19"/>
      <c r="Z19"/>
      <c r="AA19"/>
      <c r="AB19"/>
      <c r="AE19" s="22"/>
      <c r="AF19"/>
      <c r="AG19"/>
      <c r="AH19"/>
    </row>
    <row r="20" spans="1:34" ht="18.75" x14ac:dyDescent="0.3">
      <c r="A20" s="54"/>
      <c r="B20" s="79" t="s">
        <v>63</v>
      </c>
      <c r="C20" s="48" t="s">
        <v>234</v>
      </c>
      <c r="D20" s="48" t="s">
        <v>246</v>
      </c>
      <c r="E20" s="18" t="s">
        <v>2</v>
      </c>
      <c r="F20" s="18" t="s">
        <v>322</v>
      </c>
      <c r="G20" s="101">
        <v>5</v>
      </c>
      <c r="H20" s="18"/>
      <c r="I20" s="18"/>
      <c r="J20" s="49" t="str">
        <f>IFERROR(HYPERLINK(VLOOKUP(C20,'Flat Base'!D:J,5,0),"SIG TOOLS"),"")</f>
        <v>SIG TOOLS</v>
      </c>
      <c r="K20" s="49" t="str">
        <f>IFERROR(HYPERLINK(VLOOKUP(C20,'Flat Base'!D:J,4,0),"SITE MAP"),"")</f>
        <v>SITE MAP</v>
      </c>
      <c r="L20" s="18"/>
      <c r="M20" s="18" t="s">
        <v>63</v>
      </c>
      <c r="N20" s="18" t="s">
        <v>234</v>
      </c>
      <c r="O20" s="18" t="s">
        <v>96</v>
      </c>
      <c r="P20" s="18" t="s">
        <v>96</v>
      </c>
      <c r="Q20" s="18" t="s">
        <v>235</v>
      </c>
      <c r="R20" s="18" t="s">
        <v>96</v>
      </c>
      <c r="S20" s="18" t="s">
        <v>96</v>
      </c>
      <c r="T20" s="18" t="s">
        <v>96</v>
      </c>
      <c r="U20" s="106">
        <v>5</v>
      </c>
      <c r="V20"/>
      <c r="W20"/>
      <c r="X20"/>
      <c r="Y20"/>
      <c r="Z20"/>
      <c r="AA20"/>
      <c r="AB20"/>
      <c r="AE20" s="22"/>
      <c r="AF20"/>
      <c r="AG20"/>
      <c r="AH20"/>
    </row>
    <row r="21" spans="1:34" ht="18.75" x14ac:dyDescent="0.3">
      <c r="A21" s="54"/>
      <c r="B21" s="77"/>
      <c r="C21" s="48" t="s">
        <v>376</v>
      </c>
      <c r="D21" s="48" t="s">
        <v>246</v>
      </c>
      <c r="E21" s="48" t="s">
        <v>2</v>
      </c>
      <c r="F21" s="18" t="s">
        <v>289</v>
      </c>
      <c r="G21" s="101">
        <v>5</v>
      </c>
      <c r="H21" s="18"/>
      <c r="I21" s="18"/>
      <c r="J21" s="49" t="str">
        <f>IFERROR(HYPERLINK(VLOOKUP(C21,'Flat Base'!D:J,5,0),"SIG TOOLS"),"")</f>
        <v>SIG TOOLS</v>
      </c>
      <c r="K21" s="49" t="str">
        <f>IFERROR(HYPERLINK(VLOOKUP(C21,'Flat Base'!D:J,4,0),"SITE MAP"),"")</f>
        <v>SITE MAP</v>
      </c>
      <c r="L21" s="18"/>
      <c r="M21" s="18"/>
      <c r="N21" s="18" t="s">
        <v>376</v>
      </c>
      <c r="O21" s="18" t="s">
        <v>96</v>
      </c>
      <c r="P21" s="18" t="s">
        <v>168</v>
      </c>
      <c r="Q21" s="18" t="s">
        <v>169</v>
      </c>
      <c r="R21" s="18" t="s">
        <v>96</v>
      </c>
      <c r="S21" s="18">
        <v>5</v>
      </c>
      <c r="T21" s="18" t="s">
        <v>170</v>
      </c>
      <c r="U21" s="106">
        <v>5</v>
      </c>
      <c r="V21"/>
      <c r="W21"/>
      <c r="X21"/>
      <c r="Y21"/>
      <c r="Z21"/>
      <c r="AA21"/>
      <c r="AB21"/>
      <c r="AE21" s="22"/>
      <c r="AF21"/>
      <c r="AG21"/>
      <c r="AH21"/>
    </row>
    <row r="22" spans="1:34" ht="18.75" x14ac:dyDescent="0.3">
      <c r="A22" s="54"/>
      <c r="B22" s="77"/>
      <c r="C22" s="48" t="s">
        <v>380</v>
      </c>
      <c r="D22" s="48" t="s">
        <v>246</v>
      </c>
      <c r="E22" s="48" t="s">
        <v>2</v>
      </c>
      <c r="F22" s="18" t="s">
        <v>353</v>
      </c>
      <c r="G22" s="101">
        <v>5</v>
      </c>
      <c r="H22" s="18"/>
      <c r="I22" s="18"/>
      <c r="J22" s="49" t="str">
        <f>IFERROR(HYPERLINK(VLOOKUP(C22,'Flat Base'!D:J,5,0),"SIG TOOLS"),"")</f>
        <v>SIG TOOLS</v>
      </c>
      <c r="K22" s="49" t="str">
        <f>IFERROR(HYPERLINK(VLOOKUP(C22,'Flat Base'!D:J,4,0),"SITE MAP"),"")</f>
        <v>SITE MAP</v>
      </c>
      <c r="L22" s="18"/>
      <c r="M22" s="18"/>
      <c r="N22" s="18" t="s">
        <v>380</v>
      </c>
      <c r="O22" s="18" t="s">
        <v>68</v>
      </c>
      <c r="P22" s="18" t="s">
        <v>96</v>
      </c>
      <c r="Q22" s="18" t="s">
        <v>355</v>
      </c>
      <c r="R22" s="18" t="s">
        <v>96</v>
      </c>
      <c r="S22" s="18" t="s">
        <v>96</v>
      </c>
      <c r="T22" s="18" t="s">
        <v>356</v>
      </c>
      <c r="U22" s="106">
        <v>5</v>
      </c>
      <c r="V22"/>
      <c r="W22"/>
      <c r="X22"/>
      <c r="Y22"/>
      <c r="Z22"/>
      <c r="AA22"/>
      <c r="AB22"/>
      <c r="AE22" s="22"/>
      <c r="AF22"/>
      <c r="AG22"/>
      <c r="AH22"/>
    </row>
    <row r="23" spans="1:34" ht="18.75" x14ac:dyDescent="0.3">
      <c r="A23" s="54"/>
      <c r="B23" s="77"/>
      <c r="C23" s="48" t="s">
        <v>385</v>
      </c>
      <c r="D23" s="48" t="s">
        <v>246</v>
      </c>
      <c r="E23" s="48" t="s">
        <v>2</v>
      </c>
      <c r="F23" s="18" t="s">
        <v>345</v>
      </c>
      <c r="G23" s="101">
        <v>5</v>
      </c>
      <c r="H23" s="18"/>
      <c r="I23" s="18"/>
      <c r="J23" s="49" t="str">
        <f>IFERROR(HYPERLINK(VLOOKUP(C23,'Flat Base'!D:J,5,0),"SIG TOOLS"),"")</f>
        <v>SIG TOOLS</v>
      </c>
      <c r="K23" s="49" t="str">
        <f>IFERROR(HYPERLINK(VLOOKUP(C23,'Flat Base'!D:J,4,0),"SITE MAP"),"")</f>
        <v>SITE MAP</v>
      </c>
      <c r="L23" s="18"/>
      <c r="M23" s="18"/>
      <c r="N23" s="18" t="s">
        <v>385</v>
      </c>
      <c r="O23" s="18" t="s">
        <v>96</v>
      </c>
      <c r="P23" s="18" t="s">
        <v>96</v>
      </c>
      <c r="Q23" s="18">
        <v>6</v>
      </c>
      <c r="R23" s="18" t="s">
        <v>343</v>
      </c>
      <c r="S23" s="18" t="s">
        <v>342</v>
      </c>
      <c r="T23" s="18" t="s">
        <v>344</v>
      </c>
      <c r="U23" s="106">
        <v>5</v>
      </c>
      <c r="V23"/>
      <c r="W23"/>
      <c r="X23"/>
      <c r="Y23"/>
      <c r="Z23"/>
      <c r="AA23"/>
      <c r="AB23"/>
      <c r="AE23" s="22"/>
      <c r="AF23"/>
      <c r="AG23"/>
      <c r="AH23"/>
    </row>
    <row r="24" spans="1:34" ht="18.75" x14ac:dyDescent="0.3">
      <c r="A24" s="54"/>
      <c r="B24" s="77"/>
      <c r="C24" s="48" t="s">
        <v>382</v>
      </c>
      <c r="D24" s="48" t="s">
        <v>246</v>
      </c>
      <c r="E24" s="48" t="s">
        <v>2</v>
      </c>
      <c r="F24" s="18" t="s">
        <v>357</v>
      </c>
      <c r="G24" s="101">
        <v>5</v>
      </c>
      <c r="H24" s="18"/>
      <c r="I24" s="18"/>
      <c r="J24" s="49" t="str">
        <f>IFERROR(HYPERLINK(VLOOKUP(C24,'Flat Base'!D:J,5,0),"SIG TOOLS"),"")</f>
        <v>SIG TOOLS</v>
      </c>
      <c r="K24" s="49" t="str">
        <f>IFERROR(HYPERLINK(VLOOKUP(C23,'Flat Base'!D:J,4,0),"SITE MAP"),"")</f>
        <v>SITE MAP</v>
      </c>
      <c r="L24" s="18"/>
      <c r="M24" s="18"/>
      <c r="N24" s="18" t="s">
        <v>382</v>
      </c>
      <c r="O24" s="18" t="s">
        <v>96</v>
      </c>
      <c r="P24" s="18" t="s">
        <v>96</v>
      </c>
      <c r="Q24" s="18" t="s">
        <v>358</v>
      </c>
      <c r="R24" s="18" t="s">
        <v>96</v>
      </c>
      <c r="S24" s="18" t="s">
        <v>96</v>
      </c>
      <c r="T24" s="18" t="s">
        <v>359</v>
      </c>
      <c r="U24" s="106">
        <v>5</v>
      </c>
      <c r="V24"/>
      <c r="W24"/>
      <c r="X24"/>
      <c r="Y24"/>
      <c r="Z24"/>
      <c r="AA24"/>
      <c r="AB24"/>
      <c r="AC24"/>
      <c r="AD24"/>
      <c r="AE24" s="22"/>
      <c r="AF24"/>
      <c r="AG24"/>
      <c r="AH24"/>
    </row>
    <row r="25" spans="1:34" ht="18.75" x14ac:dyDescent="0.3">
      <c r="A25" s="54"/>
      <c r="B25" s="78"/>
      <c r="C25" s="48" t="s">
        <v>387</v>
      </c>
      <c r="D25" s="48" t="s">
        <v>246</v>
      </c>
      <c r="E25" s="48" t="s">
        <v>2</v>
      </c>
      <c r="F25" s="18" t="s">
        <v>318</v>
      </c>
      <c r="G25" s="101">
        <v>5</v>
      </c>
      <c r="H25" s="18"/>
      <c r="I25" s="18"/>
      <c r="J25" s="49" t="str">
        <f>IFERROR(HYPERLINK(VLOOKUP(C25,'Flat Base'!D:J,5,0),"SIG TOOLS"),"")</f>
        <v>SIG TOOLS</v>
      </c>
      <c r="K25" s="49" t="str">
        <f>IFERROR(HYPERLINK(VLOOKUP(C25,'Flat Base'!D:J,4,0),"SITE MAP"),"")</f>
        <v>SITE MAP</v>
      </c>
      <c r="L25" s="18"/>
      <c r="M25" s="18"/>
      <c r="N25" s="18" t="s">
        <v>387</v>
      </c>
      <c r="O25" s="18" t="s">
        <v>69</v>
      </c>
      <c r="P25" s="18" t="s">
        <v>315</v>
      </c>
      <c r="Q25" s="18" t="s">
        <v>316</v>
      </c>
      <c r="R25" s="18" t="s">
        <v>96</v>
      </c>
      <c r="S25" s="18" t="s">
        <v>96</v>
      </c>
      <c r="T25" s="18" t="s">
        <v>317</v>
      </c>
      <c r="U25" s="106">
        <v>5</v>
      </c>
      <c r="V25"/>
      <c r="W25"/>
      <c r="X25"/>
      <c r="Y25"/>
      <c r="Z25"/>
      <c r="AA25"/>
      <c r="AB25"/>
      <c r="AC25"/>
      <c r="AD25"/>
      <c r="AE25" s="22"/>
      <c r="AF25"/>
      <c r="AG25"/>
      <c r="AH25"/>
    </row>
    <row r="26" spans="1:34" ht="18.75" x14ac:dyDescent="0.3">
      <c r="A26" s="54"/>
      <c r="B26" s="79" t="s">
        <v>65</v>
      </c>
      <c r="C26" s="102" t="s">
        <v>127</v>
      </c>
      <c r="D26" s="18" t="s">
        <v>256</v>
      </c>
      <c r="E26" s="18" t="s">
        <v>4</v>
      </c>
      <c r="F26" s="18" t="s">
        <v>308</v>
      </c>
      <c r="G26" s="101">
        <v>5</v>
      </c>
      <c r="H26" s="18"/>
      <c r="I26" s="18"/>
      <c r="J26" s="49" t="str">
        <f>IFERROR(HYPERLINK(VLOOKUP(C26,'Flat Base'!D:J,5,0),"SIG TOOLS"),"")</f>
        <v>SIG TOOLS</v>
      </c>
      <c r="K26" s="49" t="str">
        <f>IFERROR(HYPERLINK(VLOOKUP(C26,'Flat Base'!D:J,4,0),"SITE MAP"),"")</f>
        <v>SITE MAP</v>
      </c>
      <c r="L26" s="18"/>
      <c r="M26" s="18" t="s">
        <v>65</v>
      </c>
      <c r="N26" s="18" t="s">
        <v>127</v>
      </c>
      <c r="O26" s="18" t="s">
        <v>96</v>
      </c>
      <c r="P26" s="18" t="s">
        <v>194</v>
      </c>
      <c r="Q26" s="18" t="s">
        <v>195</v>
      </c>
      <c r="R26" s="18" t="s">
        <v>196</v>
      </c>
      <c r="S26" s="18">
        <v>27</v>
      </c>
      <c r="T26" s="18" t="s">
        <v>197</v>
      </c>
      <c r="U26" s="106">
        <v>5</v>
      </c>
      <c r="V26"/>
      <c r="W26"/>
      <c r="X26"/>
      <c r="Y26"/>
      <c r="Z26"/>
      <c r="AA26"/>
      <c r="AB26"/>
      <c r="AC26"/>
      <c r="AD26"/>
      <c r="AE26" s="22"/>
      <c r="AF26"/>
      <c r="AG26"/>
      <c r="AH26"/>
    </row>
    <row r="27" spans="1:34" ht="18.75" x14ac:dyDescent="0.3">
      <c r="A27" s="54"/>
      <c r="B27" s="77"/>
      <c r="C27" s="48" t="s">
        <v>253</v>
      </c>
      <c r="D27" s="48" t="s">
        <v>72</v>
      </c>
      <c r="E27" s="48" t="s">
        <v>4</v>
      </c>
      <c r="F27" s="18" t="s">
        <v>324</v>
      </c>
      <c r="G27" s="101">
        <v>5</v>
      </c>
      <c r="H27" s="18"/>
      <c r="I27" s="18"/>
      <c r="J27" s="49" t="str">
        <f>IFERROR(HYPERLINK(VLOOKUP(C27,'Flat Base'!D:J,5,0),"SIG TOOLS"),"")</f>
        <v>SIG TOOLS</v>
      </c>
      <c r="K27" s="49" t="str">
        <f>IFERROR(HYPERLINK(VLOOKUP(C27,'Flat Base'!D:J,4,0),"SITE MAP"),"")</f>
        <v>SITE MAP</v>
      </c>
      <c r="L27" s="18"/>
      <c r="M27" s="18"/>
      <c r="N27" s="18" t="s">
        <v>253</v>
      </c>
      <c r="O27" s="18" t="s">
        <v>96</v>
      </c>
      <c r="P27" s="18" t="s">
        <v>263</v>
      </c>
      <c r="Q27" s="18" t="s">
        <v>96</v>
      </c>
      <c r="R27" s="18" t="s">
        <v>96</v>
      </c>
      <c r="S27" s="18" t="s">
        <v>96</v>
      </c>
      <c r="T27" s="18" t="s">
        <v>264</v>
      </c>
      <c r="U27" s="106">
        <v>5</v>
      </c>
      <c r="V27"/>
      <c r="W27"/>
      <c r="X27"/>
      <c r="Y27"/>
      <c r="Z27"/>
      <c r="AA27"/>
      <c r="AB27"/>
      <c r="AC27"/>
      <c r="AD27"/>
      <c r="AE27" s="22"/>
      <c r="AF27"/>
      <c r="AG27" s="7"/>
      <c r="AH27" s="7"/>
    </row>
    <row r="28" spans="1:34" ht="18.75" x14ac:dyDescent="0.3">
      <c r="A28" s="54"/>
      <c r="B28" s="77"/>
      <c r="C28" s="48" t="s">
        <v>18</v>
      </c>
      <c r="D28" s="48" t="s">
        <v>72</v>
      </c>
      <c r="E28" s="48" t="s">
        <v>4</v>
      </c>
      <c r="F28" s="18">
        <v>334</v>
      </c>
      <c r="G28" s="101">
        <v>5</v>
      </c>
      <c r="H28" s="18"/>
      <c r="I28" s="18"/>
      <c r="J28" s="49" t="str">
        <f>IFERROR(HYPERLINK(VLOOKUP(C28,'Flat Base'!D:J,5,0),"SIG TOOLS"),"")</f>
        <v>SIG TOOLS</v>
      </c>
      <c r="K28" s="49" t="str">
        <f>IFERROR(HYPERLINK(VLOOKUP(C28,'Flat Base'!D:J,4,0),"SITE MAP"),"")</f>
        <v>SITE MAP</v>
      </c>
      <c r="L28" s="18"/>
      <c r="M28" s="18"/>
      <c r="N28" s="18" t="s">
        <v>18</v>
      </c>
      <c r="O28" s="18" t="s">
        <v>96</v>
      </c>
      <c r="P28" s="18">
        <v>8</v>
      </c>
      <c r="Q28" s="18">
        <v>3</v>
      </c>
      <c r="R28" s="18" t="s">
        <v>96</v>
      </c>
      <c r="S28" s="18" t="s">
        <v>96</v>
      </c>
      <c r="T28" s="18" t="s">
        <v>360</v>
      </c>
      <c r="U28" s="106">
        <v>5</v>
      </c>
      <c r="V28"/>
      <c r="W28"/>
      <c r="X28"/>
      <c r="Y28"/>
      <c r="Z28"/>
      <c r="AA28"/>
      <c r="AB28"/>
      <c r="AC28"/>
      <c r="AD28"/>
      <c r="AE28" s="22"/>
      <c r="AF28"/>
      <c r="AG28" s="7"/>
      <c r="AH28" s="7"/>
    </row>
    <row r="29" spans="1:34" ht="18.75" x14ac:dyDescent="0.3">
      <c r="A29" s="54"/>
      <c r="B29" s="77"/>
      <c r="C29" s="48" t="s">
        <v>374</v>
      </c>
      <c r="D29" s="48" t="s">
        <v>72</v>
      </c>
      <c r="E29" s="48" t="s">
        <v>4</v>
      </c>
      <c r="F29" s="18">
        <v>305</v>
      </c>
      <c r="G29" s="101">
        <v>5</v>
      </c>
      <c r="H29" s="18"/>
      <c r="I29" s="18"/>
      <c r="J29" s="49" t="str">
        <f>IFERROR(HYPERLINK(VLOOKUP(C29,'Flat Base'!D:J,5,0),"SIG TOOLS"),"")</f>
        <v>SIG TOOLS</v>
      </c>
      <c r="K29" s="49" t="str">
        <f>IFERROR(HYPERLINK(VLOOKUP(C29,'Flat Base'!D:J,4,0),"SITE MAP"),"")</f>
        <v>SITE MAP</v>
      </c>
      <c r="L29" s="18"/>
      <c r="M29" s="18"/>
      <c r="N29" s="18" t="s">
        <v>374</v>
      </c>
      <c r="O29" s="18" t="s">
        <v>96</v>
      </c>
      <c r="P29" s="18" t="s">
        <v>96</v>
      </c>
      <c r="Q29" s="18" t="s">
        <v>159</v>
      </c>
      <c r="R29" s="18" t="s">
        <v>96</v>
      </c>
      <c r="S29" s="18" t="s">
        <v>96</v>
      </c>
      <c r="T29" s="18" t="s">
        <v>160</v>
      </c>
      <c r="U29" s="106">
        <v>5</v>
      </c>
      <c r="V29"/>
      <c r="W29"/>
      <c r="X29"/>
      <c r="Y29"/>
      <c r="Z29"/>
      <c r="AA29"/>
      <c r="AB29"/>
      <c r="AC29"/>
      <c r="AD29"/>
      <c r="AE29" s="22"/>
      <c r="AF29"/>
      <c r="AG29" s="7"/>
      <c r="AH29" s="7"/>
    </row>
    <row r="30" spans="1:34" ht="18.75" x14ac:dyDescent="0.3">
      <c r="A30" s="55"/>
      <c r="B30" s="78"/>
      <c r="C30" s="48" t="s">
        <v>455</v>
      </c>
      <c r="D30" s="48" t="s">
        <v>72</v>
      </c>
      <c r="E30" s="48" t="s">
        <v>4</v>
      </c>
      <c r="F30" s="48" t="s">
        <v>309</v>
      </c>
      <c r="G30" s="103">
        <v>5</v>
      </c>
      <c r="H30" s="18"/>
      <c r="I30" s="18"/>
      <c r="J30" s="49" t="str">
        <f>IFERROR(HYPERLINK(VLOOKUP(C30,'Flat Base'!D:J,5,0),"SIG TOOLS"),"")</f>
        <v>SIG TOOLS</v>
      </c>
      <c r="K30" s="49" t="str">
        <f>IFERROR(HYPERLINK(VLOOKUP(C30,'Flat Base'!D:J,4,0),"SITE MAP"),"")</f>
        <v>SITE MAP</v>
      </c>
      <c r="L30" s="18"/>
      <c r="M30" s="18"/>
      <c r="N30" s="18" t="s">
        <v>455</v>
      </c>
      <c r="O30" s="18" t="s">
        <v>96</v>
      </c>
      <c r="P30" s="18" t="s">
        <v>96</v>
      </c>
      <c r="Q30" s="18" t="s">
        <v>243</v>
      </c>
      <c r="R30" s="18" t="s">
        <v>244</v>
      </c>
      <c r="S30" s="18">
        <v>10</v>
      </c>
      <c r="T30" s="18" t="s">
        <v>245</v>
      </c>
      <c r="U30" s="106">
        <v>5</v>
      </c>
      <c r="V30"/>
      <c r="W30"/>
      <c r="X30"/>
      <c r="Y30"/>
      <c r="Z30"/>
      <c r="AA30"/>
      <c r="AB30"/>
      <c r="AC30"/>
      <c r="AD30"/>
      <c r="AE30" s="22"/>
      <c r="AF30"/>
      <c r="AG30" s="7"/>
      <c r="AH30" s="7"/>
    </row>
    <row r="31" spans="1:34" ht="18.75" x14ac:dyDescent="0.3">
      <c r="B31"/>
      <c r="C31"/>
      <c r="D31"/>
      <c r="E31"/>
      <c r="F31"/>
      <c r="G31"/>
      <c r="H31" s="18"/>
      <c r="I31" s="18"/>
      <c r="J31" s="49" t="str">
        <f>IFERROR(HYPERLINK(VLOOKUP(C31,'Flat Base'!D:J,5,0),"SIG TOOLS"),"")</f>
        <v/>
      </c>
      <c r="K31" s="49" t="str">
        <f>IFERROR(HYPERLINK(VLOOKUP(C31,'Flat Base'!D:J,4,0),"SITE MAP"),"")</f>
        <v/>
      </c>
      <c r="R31"/>
      <c r="S31"/>
      <c r="T31"/>
      <c r="U31"/>
      <c r="V31"/>
      <c r="W31"/>
      <c r="X31"/>
      <c r="Y31"/>
      <c r="Z31"/>
      <c r="AA31"/>
      <c r="AB31"/>
      <c r="AC31"/>
      <c r="AD31"/>
      <c r="AE31" s="22"/>
      <c r="AF31"/>
      <c r="AG31" s="7"/>
      <c r="AH31" s="7"/>
    </row>
    <row r="32" spans="1:34" ht="18.75" x14ac:dyDescent="0.3">
      <c r="B32"/>
      <c r="C32"/>
      <c r="D32"/>
      <c r="E32"/>
      <c r="F32"/>
      <c r="G32"/>
      <c r="H32" s="18"/>
      <c r="I32" s="18"/>
      <c r="J32" s="49" t="str">
        <f>IFERROR(HYPERLINK(VLOOKUP(C32,'Flat Base'!D:J,5,0),"SIG TOOLS"),"")</f>
        <v/>
      </c>
      <c r="K32" s="49" t="str">
        <f>IFERROR(HYPERLINK(VLOOKUP(C32,'Flat Base'!D:J,4,0),"SITE MAP"),"")</f>
        <v/>
      </c>
      <c r="R32"/>
      <c r="S32"/>
      <c r="T32"/>
      <c r="U32"/>
      <c r="V32"/>
      <c r="W32"/>
      <c r="X32"/>
      <c r="Y32"/>
      <c r="Z32"/>
      <c r="AA32"/>
      <c r="AB32"/>
      <c r="AC32"/>
      <c r="AD32"/>
      <c r="AE32" s="22"/>
      <c r="AF32"/>
      <c r="AG32" s="7"/>
      <c r="AH32" s="7"/>
    </row>
    <row r="33" spans="2:34" ht="18.75" x14ac:dyDescent="0.3">
      <c r="B33"/>
      <c r="C33"/>
      <c r="D33"/>
      <c r="E33"/>
      <c r="F33"/>
      <c r="G33"/>
      <c r="H33" s="18"/>
      <c r="I33" s="18"/>
      <c r="J33" s="49" t="str">
        <f>IFERROR(HYPERLINK(VLOOKUP(C33,'Flat Base'!D:J,5,0),"SIG TOOLS"),"")</f>
        <v/>
      </c>
      <c r="K33" s="49" t="str">
        <f>IFERROR(HYPERLINK(VLOOKUP(C33,'Flat Base'!D:J,4,0),"SITE MAP"),"")</f>
        <v/>
      </c>
      <c r="R33"/>
      <c r="S33"/>
      <c r="T33"/>
      <c r="U33"/>
      <c r="V33"/>
      <c r="W33"/>
      <c r="X33"/>
      <c r="Y33"/>
      <c r="Z33"/>
      <c r="AA33"/>
      <c r="AB33"/>
      <c r="AC33"/>
      <c r="AD33"/>
      <c r="AE33" s="22"/>
      <c r="AF33"/>
      <c r="AG33" s="7"/>
      <c r="AH33" s="7"/>
    </row>
    <row r="34" spans="2:34" ht="18.75" x14ac:dyDescent="0.3">
      <c r="B34"/>
      <c r="C34"/>
      <c r="D34"/>
      <c r="E34"/>
      <c r="F34"/>
      <c r="G34"/>
      <c r="H34" s="18"/>
      <c r="I34" s="18"/>
      <c r="J34" s="49" t="str">
        <f>IFERROR(HYPERLINK(VLOOKUP(C34,'Flat Base'!D:J,5,0),"SIG TOOLS"),"")</f>
        <v/>
      </c>
      <c r="K34" s="49" t="str">
        <f>IFERROR(HYPERLINK(VLOOKUP(C34,'Flat Base'!D:J,4,0),"SITE MAP"),"")</f>
        <v/>
      </c>
      <c r="R34"/>
      <c r="S34"/>
      <c r="T34"/>
      <c r="U34"/>
      <c r="V34"/>
      <c r="W34"/>
      <c r="X34"/>
      <c r="Y34"/>
      <c r="Z34"/>
      <c r="AA34"/>
      <c r="AB34"/>
      <c r="AC34"/>
      <c r="AD34"/>
      <c r="AE34" s="22"/>
      <c r="AF34"/>
      <c r="AG34" s="7"/>
      <c r="AH34" s="7"/>
    </row>
    <row r="35" spans="2:34" ht="18.75" x14ac:dyDescent="0.3">
      <c r="B35"/>
      <c r="C35"/>
      <c r="D35"/>
      <c r="E35"/>
      <c r="F35"/>
      <c r="G35"/>
      <c r="H35" s="18"/>
      <c r="I35" s="18"/>
      <c r="J35" s="49" t="str">
        <f>IFERROR(HYPERLINK(VLOOKUP(C35,'Flat Base'!D:J,5,0),"SIG TOOLS"),"")</f>
        <v/>
      </c>
      <c r="K35" s="49" t="str">
        <f>IFERROR(HYPERLINK(VLOOKUP(C35,'Flat Base'!D:J,4,0),"SITE MAP"),"")</f>
        <v/>
      </c>
      <c r="R35"/>
      <c r="S35"/>
      <c r="T35"/>
      <c r="U35"/>
      <c r="V35"/>
      <c r="W35"/>
      <c r="X35"/>
      <c r="Y35"/>
      <c r="Z35"/>
      <c r="AA35"/>
      <c r="AB35"/>
      <c r="AC35"/>
      <c r="AD35"/>
      <c r="AE35" s="22"/>
      <c r="AF35"/>
      <c r="AG35" s="7"/>
      <c r="AH35" s="7"/>
    </row>
    <row r="36" spans="2:34" ht="18.75" x14ac:dyDescent="0.3">
      <c r="B36"/>
      <c r="C36"/>
      <c r="D36"/>
      <c r="E36"/>
      <c r="F36"/>
      <c r="G36"/>
      <c r="H36" s="18"/>
      <c r="I36" s="18"/>
      <c r="J36" s="49" t="str">
        <f>IFERROR(HYPERLINK(VLOOKUP(C36,'Flat Base'!D:J,5,0),"SIG TOOLS"),"")</f>
        <v/>
      </c>
      <c r="K36" s="49" t="str">
        <f>IFERROR(HYPERLINK(VLOOKUP(C36,'Flat Base'!D:J,4,0),"SITE MAP"),"")</f>
        <v/>
      </c>
      <c r="R36"/>
      <c r="S36"/>
      <c r="T36"/>
      <c r="U36"/>
      <c r="V36"/>
      <c r="W36"/>
      <c r="X36"/>
      <c r="Y36"/>
      <c r="Z36"/>
      <c r="AA36"/>
      <c r="AB36"/>
      <c r="AC36"/>
      <c r="AD36"/>
      <c r="AE36" s="22"/>
      <c r="AF36"/>
      <c r="AG36" s="7"/>
      <c r="AH36" s="7"/>
    </row>
    <row r="37" spans="2:34" ht="18.75" x14ac:dyDescent="0.3">
      <c r="B37"/>
      <c r="C37"/>
      <c r="D37"/>
      <c r="E37"/>
      <c r="F37"/>
      <c r="G37"/>
      <c r="H37" s="18"/>
      <c r="I37" s="18"/>
      <c r="J37" s="49" t="str">
        <f>IFERROR(HYPERLINK(VLOOKUP(C37,'Flat Base'!D:J,5,0),"SIG TOOLS"),"")</f>
        <v/>
      </c>
      <c r="K37" s="49" t="str">
        <f>IFERROR(HYPERLINK(VLOOKUP(C37,'Flat Base'!D:J,4,0),"SITE MAP"),"")</f>
        <v/>
      </c>
      <c r="R37"/>
      <c r="S37"/>
      <c r="T37"/>
      <c r="U37"/>
      <c r="V37"/>
      <c r="W37"/>
      <c r="X37"/>
      <c r="Y37"/>
      <c r="Z37"/>
      <c r="AA37"/>
      <c r="AB37"/>
      <c r="AC37"/>
      <c r="AD37"/>
      <c r="AE37" s="22"/>
      <c r="AF37"/>
      <c r="AG37" s="7"/>
      <c r="AH37" s="7"/>
    </row>
    <row r="38" spans="2:34" ht="18.75" x14ac:dyDescent="0.3">
      <c r="B38"/>
      <c r="C38"/>
      <c r="D38"/>
      <c r="E38"/>
      <c r="F38"/>
      <c r="G38"/>
      <c r="H38" s="18"/>
      <c r="I38" s="18"/>
      <c r="J38" s="49" t="str">
        <f>IFERROR(HYPERLINK(VLOOKUP(C38,'Flat Base'!D:J,5,0),"SIG TOOLS"),"")</f>
        <v/>
      </c>
      <c r="K38" s="49" t="str">
        <f>IFERROR(HYPERLINK(VLOOKUP(C38,'Flat Base'!D:J,4,0),"SITE MAP"),"")</f>
        <v/>
      </c>
      <c r="R38"/>
      <c r="S38"/>
      <c r="T38"/>
      <c r="U38"/>
      <c r="V38"/>
      <c r="W38"/>
      <c r="X38"/>
      <c r="Y38"/>
      <c r="Z38"/>
      <c r="AA38"/>
      <c r="AB38"/>
      <c r="AC38"/>
      <c r="AD38"/>
      <c r="AE38" s="22"/>
      <c r="AF38"/>
      <c r="AG38" s="7"/>
      <c r="AH38" s="7"/>
    </row>
    <row r="39" spans="2:34" ht="18.75" x14ac:dyDescent="0.3">
      <c r="B39"/>
      <c r="C39"/>
      <c r="D39"/>
      <c r="E39"/>
      <c r="F39"/>
      <c r="G39"/>
      <c r="H39" s="18"/>
      <c r="I39" s="18"/>
      <c r="J39" s="49" t="str">
        <f>IFERROR(HYPERLINK(VLOOKUP(C39,'Flat Base'!D:J,5,0),"SIG TOOLS"),"")</f>
        <v/>
      </c>
      <c r="K39" s="49" t="str">
        <f>IFERROR(HYPERLINK(VLOOKUP(C39,'Flat Base'!D:J,4,0),"SITE MAP"),"")</f>
        <v/>
      </c>
      <c r="R39"/>
      <c r="S39"/>
      <c r="T39"/>
      <c r="U39"/>
      <c r="V39"/>
      <c r="W39"/>
      <c r="X39"/>
      <c r="Y39"/>
      <c r="Z39"/>
      <c r="AA39"/>
      <c r="AB39"/>
      <c r="AC39"/>
      <c r="AD39"/>
      <c r="AE39" s="22"/>
      <c r="AF39"/>
      <c r="AG39" s="7"/>
      <c r="AH39" s="7"/>
    </row>
    <row r="40" spans="2:34" ht="18.75" x14ac:dyDescent="0.3">
      <c r="B40"/>
      <c r="C40"/>
      <c r="D40"/>
      <c r="E40"/>
      <c r="F40"/>
      <c r="G40"/>
      <c r="H40" s="18"/>
      <c r="I40" s="18"/>
      <c r="J40" s="49" t="str">
        <f>IFERROR(HYPERLINK(VLOOKUP(C40,'Flat Base'!D:J,5,0),"SIG TOOLS"),"")</f>
        <v/>
      </c>
      <c r="K40" s="49" t="str">
        <f>IFERROR(HYPERLINK(VLOOKUP(C40,'Flat Base'!D:J,4,0),"SITE MAP"),"")</f>
        <v/>
      </c>
      <c r="R40"/>
      <c r="S40"/>
      <c r="T40"/>
      <c r="U40"/>
      <c r="V40"/>
      <c r="W40"/>
      <c r="X40"/>
      <c r="Y40"/>
      <c r="Z40"/>
      <c r="AA40"/>
      <c r="AB40"/>
      <c r="AC40"/>
      <c r="AD40"/>
      <c r="AE40" s="22"/>
      <c r="AF40"/>
      <c r="AG40" s="7"/>
      <c r="AH40" s="7"/>
    </row>
    <row r="41" spans="2:34" ht="18.75" x14ac:dyDescent="0.3">
      <c r="B41"/>
      <c r="C41"/>
      <c r="D41"/>
      <c r="E41"/>
      <c r="F41"/>
      <c r="G41"/>
      <c r="H41" s="18"/>
      <c r="I41" s="18"/>
      <c r="J41" s="49" t="str">
        <f>IFERROR(HYPERLINK(VLOOKUP(C41,'Flat Base'!D:J,5,0),"SIG TOOLS"),"")</f>
        <v/>
      </c>
      <c r="K41" s="49" t="str">
        <f>IFERROR(HYPERLINK(VLOOKUP(C41,'Flat Base'!D:J,4,0),"SITE MAP"),"")</f>
        <v/>
      </c>
      <c r="R41"/>
      <c r="S41"/>
      <c r="T41"/>
      <c r="U41"/>
      <c r="V41"/>
      <c r="W41"/>
      <c r="X41"/>
      <c r="Y41"/>
      <c r="Z41"/>
      <c r="AA41"/>
      <c r="AB41"/>
      <c r="AC41"/>
      <c r="AD41"/>
      <c r="AE41" s="22"/>
      <c r="AF41"/>
      <c r="AG41" s="7"/>
      <c r="AH41" s="7"/>
    </row>
    <row r="42" spans="2:34" ht="18.75" x14ac:dyDescent="0.3">
      <c r="B42"/>
      <c r="C42"/>
      <c r="D42"/>
      <c r="E42"/>
      <c r="F42"/>
      <c r="G42"/>
      <c r="H42" s="18"/>
      <c r="I42" s="18"/>
      <c r="J42" s="49" t="str">
        <f>IFERROR(HYPERLINK(VLOOKUP(C42,'Flat Base'!D:J,5,0),"SIG TOOLS"),"")</f>
        <v/>
      </c>
      <c r="K42" s="49" t="str">
        <f>IFERROR(HYPERLINK(VLOOKUP(C42,'Flat Base'!D:J,4,0),"SITE MAP"),"")</f>
        <v/>
      </c>
      <c r="R42"/>
      <c r="S42"/>
      <c r="T42"/>
      <c r="U42"/>
      <c r="V42"/>
      <c r="W42"/>
      <c r="X42"/>
      <c r="Y42"/>
      <c r="Z42"/>
      <c r="AA42"/>
      <c r="AB42"/>
      <c r="AC42"/>
      <c r="AD42"/>
      <c r="AE42" s="22"/>
      <c r="AF42"/>
      <c r="AG42" s="7"/>
      <c r="AH42" s="7"/>
    </row>
    <row r="43" spans="2:34" ht="18.75" x14ac:dyDescent="0.3">
      <c r="B43"/>
      <c r="C43"/>
      <c r="D43"/>
      <c r="E43"/>
      <c r="F43"/>
      <c r="G43"/>
      <c r="H43" s="18"/>
      <c r="I43" s="18"/>
      <c r="J43" s="49" t="str">
        <f>IFERROR(HYPERLINK(VLOOKUP(C43,'Flat Base'!D:J,5,0),"SIG TOOLS"),"")</f>
        <v/>
      </c>
      <c r="K43" s="49" t="str">
        <f>IFERROR(HYPERLINK(VLOOKUP(C43,'Flat Base'!D:J,4,0),"SITE MAP"),"")</f>
        <v/>
      </c>
      <c r="R43"/>
      <c r="S43"/>
      <c r="T43"/>
      <c r="U43"/>
      <c r="V43"/>
      <c r="W43"/>
      <c r="X43"/>
      <c r="Y43"/>
      <c r="Z43"/>
      <c r="AA43"/>
      <c r="AB43"/>
      <c r="AC43"/>
      <c r="AD43"/>
      <c r="AE43" s="22"/>
      <c r="AF43"/>
      <c r="AG43" s="7"/>
      <c r="AH43" s="7"/>
    </row>
    <row r="44" spans="2:34" ht="18.75" x14ac:dyDescent="0.3">
      <c r="B44"/>
      <c r="C44"/>
      <c r="D44"/>
      <c r="E44"/>
      <c r="F44"/>
      <c r="G44"/>
      <c r="H44" s="18"/>
      <c r="I44" s="18"/>
      <c r="J44" s="49" t="str">
        <f>IFERROR(HYPERLINK(VLOOKUP(C44,'Flat Base'!D:J,5,0),"SIG TOOLS"),"")</f>
        <v/>
      </c>
      <c r="K44" s="49" t="str">
        <f>IFERROR(HYPERLINK(VLOOKUP(C44,'Flat Base'!D:J,4,0),"SITE MAP"),"")</f>
        <v/>
      </c>
      <c r="R44"/>
      <c r="S44"/>
      <c r="T44"/>
      <c r="U44"/>
      <c r="V44"/>
      <c r="W44"/>
      <c r="X44"/>
      <c r="Y44"/>
      <c r="Z44"/>
      <c r="AA44"/>
      <c r="AB44"/>
      <c r="AC44"/>
      <c r="AD44"/>
      <c r="AE44" s="22"/>
      <c r="AF44"/>
      <c r="AG44" s="7"/>
      <c r="AH44" s="7"/>
    </row>
    <row r="45" spans="2:34" ht="18.75" x14ac:dyDescent="0.3">
      <c r="B45"/>
      <c r="C45"/>
      <c r="D45"/>
      <c r="E45"/>
      <c r="F45"/>
      <c r="G45"/>
      <c r="H45" s="18"/>
      <c r="I45" s="18"/>
      <c r="J45" s="49" t="str">
        <f>IFERROR(HYPERLINK(VLOOKUP(C45,'Flat Base'!D:J,5,0),"SIG TOOLS"),"")</f>
        <v/>
      </c>
      <c r="K45" s="49" t="str">
        <f>IFERROR(HYPERLINK(VLOOKUP(C45,'Flat Base'!D:J,4,0),"SITE MAP"),"")</f>
        <v/>
      </c>
      <c r="R45"/>
      <c r="S45"/>
      <c r="T45"/>
      <c r="U45"/>
      <c r="V45"/>
      <c r="W45"/>
      <c r="X45"/>
      <c r="Y45"/>
      <c r="Z45"/>
      <c r="AA45"/>
      <c r="AB45"/>
      <c r="AC45"/>
      <c r="AD45"/>
      <c r="AE45" s="22"/>
      <c r="AF45"/>
      <c r="AG45" s="7"/>
      <c r="AH45" s="7"/>
    </row>
    <row r="46" spans="2:34" ht="18.75" x14ac:dyDescent="0.3">
      <c r="B46"/>
      <c r="C46"/>
      <c r="D46"/>
      <c r="E46"/>
      <c r="F46"/>
      <c r="G46"/>
      <c r="H46" s="18"/>
      <c r="I46" s="18"/>
      <c r="J46" s="49" t="str">
        <f>IFERROR(HYPERLINK(VLOOKUP(C46,'Flat Base'!D:J,5,0),"SIG TOOLS"),"")</f>
        <v/>
      </c>
      <c r="K46" s="49" t="str">
        <f>IFERROR(HYPERLINK(VLOOKUP(C46,'Flat Base'!D:J,4,0),"SITE MAP"),"")</f>
        <v/>
      </c>
      <c r="R46"/>
      <c r="S46"/>
      <c r="T46"/>
      <c r="U46"/>
      <c r="V46"/>
      <c r="W46"/>
      <c r="X46"/>
      <c r="Y46"/>
      <c r="Z46"/>
      <c r="AA46"/>
      <c r="AB46"/>
      <c r="AC46"/>
      <c r="AD46"/>
      <c r="AE46" s="22"/>
      <c r="AF46"/>
      <c r="AG46" s="7"/>
      <c r="AH46" s="7"/>
    </row>
    <row r="47" spans="2:34" ht="18.75" x14ac:dyDescent="0.3">
      <c r="B47"/>
      <c r="C47"/>
      <c r="D47"/>
      <c r="E47"/>
      <c r="F47"/>
      <c r="G47"/>
      <c r="H47" s="18"/>
      <c r="I47" s="18"/>
      <c r="J47" s="49" t="str">
        <f>IFERROR(HYPERLINK(VLOOKUP(C47,'Flat Base'!D:J,5,0),"SIG TOOLS"),"")</f>
        <v/>
      </c>
      <c r="K47" s="49" t="str">
        <f>IFERROR(HYPERLINK(VLOOKUP(C47,'Flat Base'!D:J,4,0),"SITE MAP"),"")</f>
        <v/>
      </c>
      <c r="R47"/>
      <c r="S47"/>
      <c r="T47"/>
      <c r="U47"/>
      <c r="V47"/>
      <c r="W47"/>
      <c r="X47"/>
      <c r="Y47"/>
      <c r="Z47"/>
      <c r="AA47"/>
      <c r="AB47"/>
      <c r="AC47"/>
      <c r="AD47"/>
      <c r="AE47" s="22"/>
      <c r="AF47"/>
      <c r="AG47" s="7"/>
      <c r="AH47" s="7"/>
    </row>
    <row r="48" spans="2:34" ht="18.75" x14ac:dyDescent="0.3">
      <c r="B48"/>
      <c r="C48"/>
      <c r="D48"/>
      <c r="E48"/>
      <c r="F48"/>
      <c r="G48"/>
      <c r="H48" s="18"/>
      <c r="I48" s="18"/>
      <c r="J48" s="49" t="str">
        <f>IFERROR(HYPERLINK(VLOOKUP(C48,'Flat Base'!D:J,5,0),"SIG TOOLS"),"")</f>
        <v/>
      </c>
      <c r="K48" s="49" t="str">
        <f>IFERROR(HYPERLINK(VLOOKUP(C48,'Flat Base'!D:J,4,0),"SITE MAP"),"")</f>
        <v/>
      </c>
      <c r="R48"/>
      <c r="S48"/>
      <c r="T48"/>
      <c r="U48"/>
      <c r="V48"/>
      <c r="W48"/>
      <c r="X48"/>
      <c r="Y48"/>
      <c r="Z48"/>
      <c r="AA48"/>
      <c r="AB48"/>
      <c r="AC48"/>
      <c r="AD48"/>
      <c r="AE48" s="22"/>
      <c r="AF48"/>
      <c r="AG48" s="7"/>
      <c r="AH48" s="7"/>
    </row>
    <row r="49" spans="2:34" ht="18.75" x14ac:dyDescent="0.3">
      <c r="B49"/>
      <c r="C49"/>
      <c r="D49"/>
      <c r="E49"/>
      <c r="F49"/>
      <c r="G49"/>
      <c r="H49" s="18"/>
      <c r="I49" s="18"/>
      <c r="J49" s="49" t="str">
        <f>IFERROR(HYPERLINK(VLOOKUP(C49,'Flat Base'!D:J,5,0),"SIG TOOLS"),"")</f>
        <v/>
      </c>
      <c r="K49" s="49" t="str">
        <f>IFERROR(HYPERLINK(VLOOKUP(C49,'Flat Base'!D:J,4,0),"SITE MAP"),"")</f>
        <v/>
      </c>
      <c r="R49"/>
      <c r="S49"/>
      <c r="T49"/>
      <c r="U49"/>
      <c r="V49"/>
      <c r="W49"/>
      <c r="X49"/>
      <c r="Y49"/>
      <c r="Z49"/>
      <c r="AA49"/>
      <c r="AB49"/>
      <c r="AC49"/>
      <c r="AD49"/>
      <c r="AE49" s="22"/>
      <c r="AF49"/>
      <c r="AG49" s="7"/>
      <c r="AH49" s="7"/>
    </row>
    <row r="50" spans="2:34" ht="18.75" x14ac:dyDescent="0.3">
      <c r="B50"/>
      <c r="C50"/>
      <c r="D50"/>
      <c r="E50"/>
      <c r="F50"/>
      <c r="G50"/>
      <c r="H50" s="18"/>
      <c r="I50" s="18"/>
      <c r="J50" s="49" t="str">
        <f>IFERROR(HYPERLINK(VLOOKUP(C50,'Flat Base'!D:J,5,0),"SIG TOOLS"),"")</f>
        <v/>
      </c>
      <c r="K50" s="49" t="str">
        <f>IFERROR(HYPERLINK(VLOOKUP(C50,'Flat Base'!D:J,4,0),"SITE MAP"),"")</f>
        <v/>
      </c>
      <c r="R50"/>
      <c r="S50"/>
      <c r="T50"/>
      <c r="U50"/>
      <c r="V50"/>
      <c r="W50"/>
      <c r="X50"/>
      <c r="Y50"/>
      <c r="Z50"/>
      <c r="AA50"/>
      <c r="AB50"/>
      <c r="AC50"/>
      <c r="AD50"/>
      <c r="AE50" s="22"/>
      <c r="AF50"/>
      <c r="AG50" s="7"/>
      <c r="AH50" s="7"/>
    </row>
    <row r="51" spans="2:34" ht="18.75" x14ac:dyDescent="0.3">
      <c r="B51"/>
      <c r="C51"/>
      <c r="D51"/>
      <c r="E51"/>
      <c r="F51"/>
      <c r="G51"/>
      <c r="H51" s="18"/>
      <c r="I51" s="18"/>
      <c r="J51" s="49" t="str">
        <f>IFERROR(HYPERLINK(VLOOKUP(C51,'Flat Base'!D:J,5,0),"SIG TOOLS"),"")</f>
        <v/>
      </c>
      <c r="K51" s="49" t="str">
        <f>IFERROR(HYPERLINK(VLOOKUP(C51,'Flat Base'!D:J,4,0),"SITE MAP"),"")</f>
        <v/>
      </c>
      <c r="R51"/>
      <c r="S51"/>
      <c r="T51"/>
      <c r="U51"/>
      <c r="V51"/>
      <c r="W51"/>
      <c r="X51"/>
      <c r="Y51"/>
      <c r="Z51"/>
      <c r="AA51"/>
      <c r="AB51"/>
      <c r="AC51"/>
      <c r="AD51"/>
      <c r="AE51" s="22"/>
      <c r="AF51"/>
      <c r="AG51" s="7"/>
      <c r="AH51" s="7"/>
    </row>
    <row r="52" spans="2:34" ht="18.75" x14ac:dyDescent="0.3">
      <c r="B52"/>
      <c r="C52"/>
      <c r="D52"/>
      <c r="E52"/>
      <c r="F52"/>
      <c r="G52"/>
      <c r="H52" s="18"/>
      <c r="I52" s="18"/>
      <c r="J52" s="49" t="str">
        <f>IFERROR(HYPERLINK(VLOOKUP(C52,'Flat Base'!D:J,5,0),"SIG TOOLS"),"")</f>
        <v/>
      </c>
      <c r="K52" s="49" t="str">
        <f>IFERROR(HYPERLINK(VLOOKUP(C52,'Flat Base'!D:J,4,0),"SITE MAP"),"")</f>
        <v/>
      </c>
      <c r="R52"/>
      <c r="S52"/>
      <c r="T52"/>
      <c r="U52"/>
      <c r="V52"/>
      <c r="W52"/>
      <c r="X52"/>
      <c r="Y52"/>
      <c r="Z52"/>
      <c r="AA52"/>
      <c r="AB52"/>
      <c r="AC52"/>
      <c r="AD52"/>
      <c r="AE52" s="22"/>
      <c r="AF52"/>
      <c r="AG52" s="7"/>
      <c r="AH52" s="7"/>
    </row>
    <row r="53" spans="2:34" ht="18.75" x14ac:dyDescent="0.3">
      <c r="B53"/>
      <c r="C53"/>
      <c r="D53"/>
      <c r="E53"/>
      <c r="F53"/>
      <c r="G53"/>
      <c r="H53" s="18"/>
      <c r="I53" s="18"/>
      <c r="J53" s="49" t="str">
        <f>IFERROR(HYPERLINK(VLOOKUP(C53,'Flat Base'!D:J,5,0),"SIG TOOLS"),"")</f>
        <v/>
      </c>
      <c r="K53" s="49" t="str">
        <f>IFERROR(HYPERLINK(VLOOKUP(C53,'Flat Base'!D:J,4,0),"SITE MAP"),"")</f>
        <v/>
      </c>
      <c r="R53"/>
      <c r="S53"/>
      <c r="T53"/>
      <c r="U53"/>
      <c r="V53"/>
      <c r="W53"/>
      <c r="X53"/>
      <c r="Y53"/>
      <c r="Z53"/>
      <c r="AA53"/>
      <c r="AB53"/>
      <c r="AC53"/>
      <c r="AD53"/>
      <c r="AE53" s="22"/>
      <c r="AF53"/>
      <c r="AG53" s="7"/>
      <c r="AH53" s="7"/>
    </row>
    <row r="54" spans="2:34" ht="18.75" x14ac:dyDescent="0.3">
      <c r="B54"/>
      <c r="C54"/>
      <c r="D54"/>
      <c r="E54"/>
      <c r="F54"/>
      <c r="G54"/>
      <c r="H54" s="18"/>
      <c r="I54" s="18"/>
      <c r="J54" s="49" t="str">
        <f>IFERROR(HYPERLINK(VLOOKUP(C54,'Flat Base'!D:J,5,0),"SIG TOOLS"),"")</f>
        <v/>
      </c>
      <c r="K54" s="49" t="str">
        <f>IFERROR(HYPERLINK(VLOOKUP(C54,'Flat Base'!D:J,4,0),"SITE MAP"),"")</f>
        <v/>
      </c>
      <c r="R54"/>
      <c r="S54"/>
      <c r="T54"/>
      <c r="U54"/>
      <c r="V54"/>
      <c r="W54"/>
      <c r="X54"/>
      <c r="Y54"/>
      <c r="Z54"/>
      <c r="AA54"/>
      <c r="AB54"/>
      <c r="AC54"/>
      <c r="AD54"/>
      <c r="AE54" s="22"/>
      <c r="AF54"/>
      <c r="AG54" s="7"/>
      <c r="AH54" s="7"/>
    </row>
    <row r="55" spans="2:34" ht="18.75" x14ac:dyDescent="0.3">
      <c r="B55"/>
      <c r="C55"/>
      <c r="D55"/>
      <c r="E55"/>
      <c r="F55"/>
      <c r="G55"/>
      <c r="H55" s="18"/>
      <c r="I55" s="18"/>
      <c r="J55" s="49" t="str">
        <f>IFERROR(HYPERLINK(VLOOKUP(C55,'Flat Base'!D:J,5,0),"SIG TOOLS"),"")</f>
        <v/>
      </c>
      <c r="K55" s="49" t="str">
        <f>IFERROR(HYPERLINK(VLOOKUP(C55,'Flat Base'!D:J,4,0),"SITE MAP"),"")</f>
        <v/>
      </c>
      <c r="R55"/>
      <c r="S55"/>
      <c r="T55"/>
      <c r="U55"/>
      <c r="V55"/>
      <c r="W55"/>
      <c r="X55"/>
      <c r="Y55"/>
      <c r="Z55"/>
      <c r="AA55"/>
      <c r="AB55"/>
      <c r="AC55"/>
      <c r="AD55"/>
      <c r="AE55" s="22"/>
      <c r="AF55"/>
      <c r="AG55" s="7"/>
      <c r="AH55" s="7"/>
    </row>
    <row r="56" spans="2:34" ht="18.75" x14ac:dyDescent="0.3">
      <c r="B56"/>
      <c r="C56"/>
      <c r="D56"/>
      <c r="E56"/>
      <c r="F56"/>
      <c r="G56"/>
      <c r="H56" s="18"/>
      <c r="I56" s="18"/>
      <c r="J56" s="49" t="str">
        <f>IFERROR(HYPERLINK(VLOOKUP(C56,'Flat Base'!D:J,5,0),"SIG TOOLS"),"")</f>
        <v/>
      </c>
      <c r="K56" s="49" t="str">
        <f>IFERROR(HYPERLINK(VLOOKUP(C56,'Flat Base'!D:J,4,0),"SITE MAP"),"")</f>
        <v/>
      </c>
      <c r="R56"/>
      <c r="S56"/>
      <c r="T56"/>
      <c r="U56"/>
      <c r="V56"/>
      <c r="W56"/>
      <c r="X56"/>
      <c r="Y56"/>
      <c r="Z56"/>
      <c r="AA56"/>
      <c r="AB56"/>
      <c r="AC56"/>
      <c r="AD56"/>
      <c r="AE56" s="22"/>
      <c r="AF56"/>
      <c r="AG56" s="7"/>
      <c r="AH56" s="7"/>
    </row>
    <row r="57" spans="2:34" ht="18.75" x14ac:dyDescent="0.3">
      <c r="B57"/>
      <c r="C57"/>
      <c r="D57"/>
      <c r="E57"/>
      <c r="F57"/>
      <c r="G57"/>
      <c r="H57" s="18"/>
      <c r="I57" s="18"/>
      <c r="J57" s="49" t="str">
        <f>IFERROR(HYPERLINK(VLOOKUP(C57,'Flat Base'!D:J,5,0),"SIG TOOLS"),"")</f>
        <v/>
      </c>
      <c r="K57" s="49" t="str">
        <f>IFERROR(HYPERLINK(VLOOKUP(C57,'Flat Base'!D:J,4,0),"SITE MAP"),"")</f>
        <v/>
      </c>
      <c r="R57"/>
      <c r="S57"/>
      <c r="T57"/>
      <c r="U57"/>
      <c r="V57"/>
      <c r="W57"/>
      <c r="X57"/>
      <c r="Y57"/>
      <c r="Z57"/>
      <c r="AA57"/>
      <c r="AB57"/>
      <c r="AC57"/>
      <c r="AD57"/>
      <c r="AE57" s="22"/>
      <c r="AF57"/>
      <c r="AG57" s="7"/>
      <c r="AH57" s="7"/>
    </row>
    <row r="58" spans="2:34" ht="18.75" x14ac:dyDescent="0.3">
      <c r="B58"/>
      <c r="C58"/>
      <c r="D58"/>
      <c r="E58"/>
      <c r="F58"/>
      <c r="G58"/>
      <c r="H58" s="18"/>
      <c r="I58" s="18"/>
      <c r="J58" s="49" t="str">
        <f>IFERROR(HYPERLINK(VLOOKUP(C58,'Flat Base'!D:J,5,0),"SIG TOOLS"),"")</f>
        <v/>
      </c>
      <c r="K58" s="49" t="str">
        <f>IFERROR(HYPERLINK(VLOOKUP(C58,'Flat Base'!D:J,4,0),"SITE MAP"),"")</f>
        <v/>
      </c>
      <c r="R58"/>
      <c r="S58"/>
      <c r="T58"/>
      <c r="U58"/>
      <c r="V58"/>
      <c r="W58"/>
      <c r="X58"/>
      <c r="Y58"/>
      <c r="Z58"/>
      <c r="AA58"/>
      <c r="AB58"/>
      <c r="AC58"/>
      <c r="AD58"/>
      <c r="AE58" s="22"/>
      <c r="AF58"/>
      <c r="AG58" s="7"/>
      <c r="AH58" s="7"/>
    </row>
    <row r="59" spans="2:34" ht="18.75" x14ac:dyDescent="0.3">
      <c r="B59"/>
      <c r="C59"/>
      <c r="D59"/>
      <c r="E59"/>
      <c r="F59"/>
      <c r="G59"/>
      <c r="H59" s="18"/>
      <c r="I59" s="18"/>
      <c r="J59" s="49" t="str">
        <f>IFERROR(HYPERLINK(VLOOKUP(C59,'Flat Base'!D:J,5,0),"SIG TOOLS"),"")</f>
        <v/>
      </c>
      <c r="K59" s="49" t="str">
        <f>IFERROR(HYPERLINK(VLOOKUP(C59,'Flat Base'!D:J,4,0),"SITE MAP"),"")</f>
        <v/>
      </c>
      <c r="R59"/>
      <c r="S59"/>
      <c r="T59"/>
      <c r="U59"/>
      <c r="V59"/>
      <c r="W59"/>
      <c r="X59"/>
      <c r="Y59"/>
      <c r="Z59"/>
      <c r="AA59"/>
      <c r="AB59"/>
      <c r="AC59"/>
      <c r="AD59"/>
      <c r="AE59" s="22"/>
      <c r="AF59"/>
      <c r="AG59" s="7"/>
      <c r="AH59" s="7"/>
    </row>
    <row r="60" spans="2:34" ht="18.75" x14ac:dyDescent="0.3">
      <c r="B60"/>
      <c r="C60"/>
      <c r="D60"/>
      <c r="E60"/>
      <c r="F60"/>
      <c r="G60"/>
      <c r="H60" s="18"/>
      <c r="I60" s="18"/>
      <c r="J60" s="49" t="str">
        <f>IFERROR(HYPERLINK(VLOOKUP(C60,'Flat Base'!D:J,5,0),"SIG TOOLS"),"")</f>
        <v/>
      </c>
      <c r="K60" s="49" t="str">
        <f>IFERROR(HYPERLINK(VLOOKUP(C60,'Flat Base'!D:J,4,0),"SITE MAP"),"")</f>
        <v/>
      </c>
      <c r="R60"/>
      <c r="S60"/>
      <c r="T60"/>
      <c r="U60"/>
      <c r="V60"/>
      <c r="W60"/>
      <c r="X60"/>
      <c r="Y60"/>
      <c r="Z60"/>
      <c r="AA60"/>
      <c r="AB60"/>
      <c r="AC60"/>
      <c r="AD60"/>
      <c r="AE60" s="22"/>
      <c r="AF60"/>
      <c r="AG60" s="7"/>
      <c r="AH60" s="7"/>
    </row>
    <row r="61" spans="2:34" ht="18.75" x14ac:dyDescent="0.3">
      <c r="B61"/>
      <c r="C61"/>
      <c r="D61"/>
      <c r="E61"/>
      <c r="F61"/>
      <c r="G61"/>
      <c r="H61" s="18"/>
      <c r="I61" s="18"/>
      <c r="J61" s="49" t="str">
        <f>IFERROR(HYPERLINK(VLOOKUP(C61,'Flat Base'!D:J,5,0),"SIG TOOLS"),"")</f>
        <v/>
      </c>
      <c r="K61" s="49" t="str">
        <f>IFERROR(HYPERLINK(VLOOKUP(C61,'Flat Base'!D:J,4,0),"SITE MAP"),"")</f>
        <v/>
      </c>
      <c r="R61"/>
      <c r="S61"/>
      <c r="T61"/>
      <c r="U61"/>
      <c r="V61"/>
      <c r="W61"/>
      <c r="X61"/>
      <c r="Y61"/>
      <c r="Z61"/>
      <c r="AA61"/>
      <c r="AB61"/>
      <c r="AC61"/>
      <c r="AD61"/>
      <c r="AE61" s="22"/>
      <c r="AF61"/>
      <c r="AG61" s="7"/>
      <c r="AH61" s="7"/>
    </row>
    <row r="62" spans="2:34" ht="18.75" x14ac:dyDescent="0.3">
      <c r="B62"/>
      <c r="C62"/>
      <c r="D62"/>
      <c r="E62"/>
      <c r="F62"/>
      <c r="G62"/>
      <c r="H62" s="18"/>
      <c r="I62" s="18"/>
      <c r="J62" s="49" t="str">
        <f>IFERROR(HYPERLINK(VLOOKUP(C62,'Flat Base'!D:J,5,0),"SIG TOOLS"),"")</f>
        <v/>
      </c>
      <c r="K62" s="49" t="str">
        <f>IFERROR(HYPERLINK(VLOOKUP(C62,'Flat Base'!D:J,4,0),"SITE MAP"),"")</f>
        <v/>
      </c>
      <c r="R62"/>
      <c r="S62"/>
      <c r="T62"/>
      <c r="U62"/>
      <c r="V62"/>
      <c r="W62"/>
      <c r="X62"/>
      <c r="Y62"/>
      <c r="Z62"/>
      <c r="AA62"/>
      <c r="AB62"/>
      <c r="AC62"/>
      <c r="AD62"/>
      <c r="AE62" s="22"/>
      <c r="AF62"/>
      <c r="AG62" s="7"/>
      <c r="AH62" s="7"/>
    </row>
    <row r="63" spans="2:34" ht="18.75" x14ac:dyDescent="0.3">
      <c r="B63"/>
      <c r="C63"/>
      <c r="D63"/>
      <c r="E63"/>
      <c r="F63"/>
      <c r="G63"/>
      <c r="H63" s="18"/>
      <c r="I63" s="18"/>
      <c r="J63" s="49" t="str">
        <f>IFERROR(HYPERLINK(VLOOKUP(C63,'Flat Base'!D:J,5,0),"SIG TOOLS"),"")</f>
        <v/>
      </c>
      <c r="K63" s="49" t="str">
        <f>IFERROR(HYPERLINK(VLOOKUP(C63,'Flat Base'!D:J,4,0),"SITE MAP"),"")</f>
        <v/>
      </c>
      <c r="R63"/>
      <c r="S63"/>
      <c r="T63"/>
      <c r="U63"/>
      <c r="V63"/>
      <c r="W63"/>
      <c r="X63"/>
      <c r="Y63"/>
      <c r="Z63"/>
      <c r="AA63"/>
      <c r="AB63"/>
      <c r="AC63"/>
      <c r="AD63"/>
      <c r="AE63" s="22"/>
      <c r="AF63"/>
      <c r="AG63" s="7"/>
      <c r="AH63" s="7"/>
    </row>
    <row r="64" spans="2:34" ht="18.75" x14ac:dyDescent="0.3">
      <c r="B64"/>
      <c r="C64"/>
      <c r="D64"/>
      <c r="E64"/>
      <c r="F64"/>
      <c r="G64"/>
      <c r="H64" s="18"/>
      <c r="I64" s="18"/>
      <c r="J64" s="49" t="str">
        <f>IFERROR(HYPERLINK(VLOOKUP(C64,'Flat Base'!D:J,5,0),"SIG TOOLS"),"")</f>
        <v/>
      </c>
      <c r="K64" s="49" t="str">
        <f>IFERROR(HYPERLINK(VLOOKUP(C64,'Flat Base'!D:J,4,0),"SITE MAP"),"")</f>
        <v/>
      </c>
      <c r="R64"/>
      <c r="S64"/>
      <c r="T64"/>
      <c r="U64"/>
      <c r="V64"/>
      <c r="W64"/>
      <c r="X64"/>
      <c r="Y64"/>
      <c r="Z64"/>
      <c r="AA64"/>
      <c r="AB64"/>
      <c r="AC64"/>
      <c r="AD64"/>
      <c r="AE64" s="22"/>
      <c r="AF64"/>
      <c r="AG64" s="7"/>
      <c r="AH64" s="7"/>
    </row>
    <row r="65" spans="2:34" ht="18.75" x14ac:dyDescent="0.3">
      <c r="B65"/>
      <c r="C65"/>
      <c r="D65"/>
      <c r="E65"/>
      <c r="F65"/>
      <c r="G65"/>
      <c r="H65" s="18"/>
      <c r="I65" s="18"/>
      <c r="J65" s="49" t="str">
        <f>IFERROR(HYPERLINK(VLOOKUP(C65,'Flat Base'!D:J,5,0),"SIG TOOLS"),"")</f>
        <v/>
      </c>
      <c r="K65" s="49" t="str">
        <f>IFERROR(HYPERLINK(VLOOKUP(C65,'Flat Base'!D:J,4,0),"SITE MAP"),"")</f>
        <v/>
      </c>
      <c r="R65"/>
      <c r="S65"/>
      <c r="T65"/>
      <c r="U65"/>
      <c r="V65"/>
      <c r="W65"/>
      <c r="X65"/>
      <c r="Y65"/>
      <c r="Z65"/>
      <c r="AA65"/>
      <c r="AB65"/>
      <c r="AC65"/>
      <c r="AD65"/>
      <c r="AE65" s="22"/>
      <c r="AF65"/>
      <c r="AG65" s="7"/>
      <c r="AH65" s="7"/>
    </row>
    <row r="66" spans="2:34" ht="18.75" x14ac:dyDescent="0.3">
      <c r="B66"/>
      <c r="C66"/>
      <c r="D66"/>
      <c r="E66"/>
      <c r="F66"/>
      <c r="G66"/>
      <c r="H66" s="18"/>
      <c r="I66" s="18"/>
      <c r="J66" s="49" t="str">
        <f>IFERROR(HYPERLINK(VLOOKUP(C66,'Flat Base'!D:J,5,0),"SIG TOOLS"),"")</f>
        <v/>
      </c>
      <c r="K66" s="49" t="str">
        <f>IFERROR(HYPERLINK(VLOOKUP(C66,'Flat Base'!D:J,4,0),"SITE MAP"),"")</f>
        <v/>
      </c>
      <c r="R66"/>
      <c r="S66"/>
      <c r="T66"/>
      <c r="U66"/>
      <c r="V66"/>
      <c r="W66" s="48"/>
      <c r="X66"/>
      <c r="Y66" s="9"/>
      <c r="Z66"/>
      <c r="AA66"/>
      <c r="AB66"/>
      <c r="AC66"/>
      <c r="AD66"/>
      <c r="AE66" s="22"/>
      <c r="AF66"/>
      <c r="AG66" s="7"/>
      <c r="AH66" s="7"/>
    </row>
    <row r="67" spans="2:34" ht="18.75" x14ac:dyDescent="0.3">
      <c r="B67"/>
      <c r="C67"/>
      <c r="D67"/>
      <c r="E67"/>
      <c r="F67"/>
      <c r="G67"/>
      <c r="H67" s="18"/>
      <c r="I67" s="18"/>
      <c r="J67" s="49" t="str">
        <f>IFERROR(HYPERLINK(VLOOKUP(C67,'Flat Base'!D:J,5,0),"SIG TOOLS"),"")</f>
        <v/>
      </c>
      <c r="K67" s="49" t="str">
        <f>IFERROR(HYPERLINK(VLOOKUP(C67,'Flat Base'!D:J,4,0),"SITE MAP"),"")</f>
        <v/>
      </c>
      <c r="R67"/>
      <c r="S67"/>
      <c r="T67"/>
      <c r="U67"/>
      <c r="V67" s="18"/>
      <c r="W67" s="48"/>
      <c r="X67"/>
      <c r="Y67" s="9"/>
      <c r="Z67"/>
      <c r="AA67"/>
      <c r="AB67"/>
      <c r="AC67"/>
      <c r="AD67"/>
      <c r="AE67" s="22"/>
      <c r="AF67"/>
      <c r="AG67" s="7"/>
      <c r="AH67" s="7"/>
    </row>
    <row r="68" spans="2:34" ht="18.75" x14ac:dyDescent="0.3">
      <c r="B68"/>
      <c r="C68"/>
      <c r="D68"/>
      <c r="E68"/>
      <c r="F68"/>
      <c r="G68"/>
      <c r="H68" s="18"/>
      <c r="I68" s="18"/>
      <c r="J68" s="49" t="str">
        <f>IFERROR(HYPERLINK(VLOOKUP(C68,'Flat Base'!D:J,5,0),"SIG TOOLS"),"")</f>
        <v/>
      </c>
      <c r="K68" s="49" t="str">
        <f>IFERROR(HYPERLINK(VLOOKUP(C68,'Flat Base'!D:J,4,0),"SITE MAP"),"")</f>
        <v/>
      </c>
      <c r="R68"/>
      <c r="S68"/>
      <c r="T68"/>
      <c r="U68"/>
      <c r="V68" s="18"/>
      <c r="W68" s="48"/>
      <c r="X68"/>
      <c r="Y68" s="9"/>
      <c r="Z68"/>
      <c r="AA68"/>
      <c r="AB68"/>
      <c r="AC68"/>
      <c r="AD68"/>
      <c r="AE68" s="22"/>
      <c r="AF68"/>
      <c r="AG68" s="7"/>
      <c r="AH68" s="7"/>
    </row>
    <row r="69" spans="2:34" ht="18.75" x14ac:dyDescent="0.3">
      <c r="B69"/>
      <c r="C69"/>
      <c r="D69"/>
      <c r="E69"/>
      <c r="F69"/>
      <c r="G69"/>
      <c r="H69" s="18"/>
      <c r="I69" s="18"/>
      <c r="J69" s="49" t="str">
        <f>IFERROR(HYPERLINK(VLOOKUP(C69,'Flat Base'!D:J,5,0),"SIG TOOLS"),"")</f>
        <v/>
      </c>
      <c r="K69" s="49" t="str">
        <f>IFERROR(HYPERLINK(VLOOKUP(C69,'Flat Base'!D:J,4,0),"SITE MAP"),"")</f>
        <v/>
      </c>
      <c r="R69"/>
      <c r="S69"/>
      <c r="T69"/>
      <c r="U69"/>
      <c r="V69" s="18"/>
      <c r="W69" s="48"/>
      <c r="X69"/>
      <c r="Y69" s="9"/>
      <c r="Z69"/>
      <c r="AA69"/>
      <c r="AB69"/>
      <c r="AC69"/>
      <c r="AD69"/>
      <c r="AE69" s="22"/>
      <c r="AF69"/>
      <c r="AG69" s="7"/>
      <c r="AH69" s="7"/>
    </row>
    <row r="70" spans="2:34" ht="18.75" x14ac:dyDescent="0.3">
      <c r="B70"/>
      <c r="C70"/>
      <c r="D70"/>
      <c r="E70"/>
      <c r="F70"/>
      <c r="G70"/>
      <c r="H70" s="18"/>
      <c r="I70" s="18"/>
      <c r="J70" s="49" t="str">
        <f>IFERROR(HYPERLINK(VLOOKUP(C70,'Flat Base'!D:J,5,0),"SIG TOOLS"),"")</f>
        <v/>
      </c>
      <c r="K70" s="49" t="str">
        <f>IFERROR(HYPERLINK(VLOOKUP(C70,'Flat Base'!D:J,4,0),"SITE MAP"),"")</f>
        <v/>
      </c>
      <c r="R70"/>
      <c r="S70"/>
      <c r="T70"/>
      <c r="U70"/>
      <c r="V70" s="18"/>
      <c r="W70" s="48"/>
      <c r="X70"/>
      <c r="Y70" s="9"/>
      <c r="Z70"/>
      <c r="AA70"/>
      <c r="AB70"/>
      <c r="AC70"/>
      <c r="AD70"/>
      <c r="AE70" s="22"/>
      <c r="AF70"/>
      <c r="AG70" s="7"/>
      <c r="AH70" s="7"/>
    </row>
    <row r="71" spans="2:34" ht="18.75" x14ac:dyDescent="0.3">
      <c r="B71"/>
      <c r="C71"/>
      <c r="D71"/>
      <c r="E71"/>
      <c r="F71"/>
      <c r="G71"/>
      <c r="H71" s="18"/>
      <c r="I71" s="18"/>
      <c r="J71" s="49" t="str">
        <f>IFERROR(HYPERLINK(VLOOKUP(C71,'Flat Base'!D:J,5,0),"SIG TOOLS"),"")</f>
        <v/>
      </c>
      <c r="K71" s="49" t="str">
        <f>IFERROR(HYPERLINK(VLOOKUP(C71,'Flat Base'!D:J,4,0),"SITE MAP"),"")</f>
        <v/>
      </c>
      <c r="R71"/>
      <c r="S71"/>
      <c r="T71"/>
      <c r="U71"/>
      <c r="V71" s="18"/>
      <c r="W71" s="48"/>
      <c r="X71"/>
      <c r="Y71" s="9"/>
      <c r="Z71"/>
      <c r="AA71"/>
      <c r="AB71"/>
      <c r="AC71"/>
      <c r="AD71"/>
      <c r="AE71" s="22"/>
      <c r="AF71"/>
      <c r="AG71" s="7"/>
      <c r="AH71" s="7"/>
    </row>
    <row r="72" spans="2:34" ht="18.75" x14ac:dyDescent="0.3">
      <c r="B72"/>
      <c r="C72"/>
      <c r="D72"/>
      <c r="E72"/>
      <c r="F72"/>
      <c r="G72"/>
      <c r="H72" s="18"/>
      <c r="I72" s="18"/>
      <c r="J72" s="49" t="str">
        <f>IFERROR(HYPERLINK(VLOOKUP(C72,'Flat Base'!D:J,5,0),"SIG TOOLS"),"")</f>
        <v/>
      </c>
      <c r="K72" s="49" t="str">
        <f>IFERROR(HYPERLINK(VLOOKUP(C72,'Flat Base'!D:J,4,0),"SITE MAP"),"")</f>
        <v/>
      </c>
      <c r="R72"/>
      <c r="S72"/>
      <c r="T72"/>
      <c r="U72"/>
      <c r="V72" s="18"/>
      <c r="W72" s="48"/>
      <c r="X72"/>
      <c r="Y72" s="9"/>
      <c r="Z72"/>
      <c r="AA72"/>
      <c r="AB72"/>
      <c r="AC72"/>
      <c r="AD72"/>
      <c r="AE72" s="22"/>
      <c r="AF72"/>
      <c r="AG72" s="7"/>
      <c r="AH72" s="7"/>
    </row>
    <row r="73" spans="2:34" ht="18.75" x14ac:dyDescent="0.3">
      <c r="B73"/>
      <c r="C73"/>
      <c r="D73"/>
      <c r="E73"/>
      <c r="F73"/>
      <c r="G73"/>
      <c r="H73" s="18"/>
      <c r="I73" s="18"/>
      <c r="J73" s="49" t="str">
        <f>IFERROR(HYPERLINK(VLOOKUP(C73,'Flat Base'!D:J,5,0),"SIG TOOLS"),"")</f>
        <v/>
      </c>
      <c r="K73" s="49" t="str">
        <f>IFERROR(HYPERLINK(VLOOKUP(C73,'Flat Base'!D:J,4,0),"SITE MAP"),"")</f>
        <v/>
      </c>
      <c r="R73"/>
      <c r="S73"/>
      <c r="T73"/>
      <c r="U73"/>
      <c r="V73" s="18"/>
      <c r="W73" s="48"/>
      <c r="X73"/>
      <c r="Y73" s="9"/>
      <c r="Z73"/>
      <c r="AA73"/>
      <c r="AB73"/>
      <c r="AC73"/>
      <c r="AD73"/>
      <c r="AE73" s="22"/>
      <c r="AF73"/>
      <c r="AG73" s="7"/>
      <c r="AH73" s="7"/>
    </row>
    <row r="74" spans="2:34" ht="18.75" x14ac:dyDescent="0.3">
      <c r="B74"/>
      <c r="C74"/>
      <c r="D74"/>
      <c r="E74"/>
      <c r="F74"/>
      <c r="G74"/>
      <c r="H74" s="18"/>
      <c r="I74" s="18"/>
      <c r="J74" s="49" t="str">
        <f>IFERROR(HYPERLINK(VLOOKUP(C74,'Flat Base'!D:J,5,0),"SIG TOOLS"),"")</f>
        <v/>
      </c>
      <c r="K74" s="49" t="str">
        <f>IFERROR(HYPERLINK(VLOOKUP(C74,'Flat Base'!D:J,4,0),"SITE MAP"),"")</f>
        <v/>
      </c>
      <c r="R74"/>
      <c r="S74"/>
      <c r="T74"/>
      <c r="U74"/>
      <c r="V74" s="18"/>
      <c r="W74" s="48"/>
      <c r="X74"/>
      <c r="Y74" s="9"/>
      <c r="Z74"/>
      <c r="AA74"/>
      <c r="AB74"/>
      <c r="AC74"/>
      <c r="AD74"/>
      <c r="AE74" s="22"/>
      <c r="AF74"/>
      <c r="AG74" s="7"/>
      <c r="AH74" s="7"/>
    </row>
    <row r="75" spans="2:34" ht="18.75" x14ac:dyDescent="0.3">
      <c r="B75"/>
      <c r="C75"/>
      <c r="D75"/>
      <c r="E75"/>
      <c r="F75"/>
      <c r="G75"/>
      <c r="H75" s="18"/>
      <c r="I75" s="18"/>
      <c r="J75" s="49" t="str">
        <f>IFERROR(HYPERLINK(VLOOKUP(C75,'Flat Base'!D:J,5,0),"SIG TOOLS"),"")</f>
        <v/>
      </c>
      <c r="K75" s="49" t="str">
        <f>IFERROR(HYPERLINK(VLOOKUP(C75,'Flat Base'!D:J,4,0),"SITE MAP"),"")</f>
        <v/>
      </c>
      <c r="R75"/>
      <c r="S75"/>
      <c r="T75"/>
      <c r="U75"/>
      <c r="V75" s="18"/>
      <c r="W75" s="48"/>
      <c r="X75"/>
      <c r="Y75" s="9"/>
      <c r="Z75"/>
      <c r="AA75"/>
      <c r="AB75"/>
      <c r="AC75"/>
      <c r="AD75"/>
      <c r="AE75" s="22"/>
      <c r="AF75"/>
      <c r="AG75" s="7"/>
      <c r="AH75" s="7"/>
    </row>
    <row r="76" spans="2:34" ht="18.75" x14ac:dyDescent="0.3">
      <c r="B76"/>
      <c r="C76"/>
      <c r="D76"/>
      <c r="E76"/>
      <c r="F76"/>
      <c r="G76"/>
      <c r="H76" s="18"/>
      <c r="I76" s="18"/>
      <c r="J76" s="49" t="str">
        <f>IFERROR(HYPERLINK(VLOOKUP(C76,'Flat Base'!D:J,5,0),"SIG TOOLS"),"")</f>
        <v/>
      </c>
      <c r="K76" s="49" t="str">
        <f>IFERROR(HYPERLINK(VLOOKUP(C76,'Flat Base'!D:J,4,0),"SITE MAP"),"")</f>
        <v/>
      </c>
      <c r="R76"/>
      <c r="S76"/>
      <c r="T76"/>
      <c r="U76"/>
      <c r="V76" s="18"/>
      <c r="W76" s="48"/>
      <c r="X76"/>
      <c r="Y76" s="9"/>
      <c r="Z76"/>
      <c r="AA76"/>
      <c r="AB76"/>
      <c r="AC76"/>
      <c r="AD76"/>
      <c r="AE76" s="22"/>
      <c r="AF76"/>
      <c r="AG76" s="7"/>
      <c r="AH76" s="7"/>
    </row>
    <row r="77" spans="2:34" ht="18.75" x14ac:dyDescent="0.3">
      <c r="B77"/>
      <c r="C77"/>
      <c r="D77"/>
      <c r="E77"/>
      <c r="F77"/>
      <c r="G77"/>
      <c r="H77" s="18"/>
      <c r="I77" s="18"/>
      <c r="J77" s="49" t="str">
        <f>IFERROR(HYPERLINK(VLOOKUP(C77,'Flat Base'!D:J,5,0),"SIG TOOLS"),"")</f>
        <v/>
      </c>
      <c r="K77" s="49" t="str">
        <f>IFERROR(HYPERLINK(VLOOKUP(C77,'Flat Base'!D:J,4,0),"SITE MAP"),"")</f>
        <v/>
      </c>
      <c r="R77"/>
      <c r="S77"/>
      <c r="T77"/>
      <c r="U77"/>
      <c r="V77" s="18"/>
      <c r="W77" s="48"/>
      <c r="X77"/>
      <c r="Y77" s="9"/>
      <c r="Z77"/>
      <c r="AA77"/>
      <c r="AB77"/>
      <c r="AC77"/>
      <c r="AD77"/>
      <c r="AE77" s="22"/>
      <c r="AF77"/>
      <c r="AG77" s="7"/>
      <c r="AH77" s="7"/>
    </row>
    <row r="78" spans="2:34" ht="18.75" x14ac:dyDescent="0.3">
      <c r="B78"/>
      <c r="C78"/>
      <c r="D78"/>
      <c r="E78"/>
      <c r="F78"/>
      <c r="G78"/>
      <c r="H78"/>
      <c r="I78"/>
      <c r="J78"/>
      <c r="R78"/>
      <c r="S78"/>
      <c r="T78"/>
      <c r="U78"/>
      <c r="W78"/>
      <c r="X78"/>
      <c r="Y78" s="9"/>
      <c r="Z78"/>
      <c r="AA78"/>
      <c r="AB78"/>
      <c r="AC78"/>
      <c r="AD78"/>
      <c r="AE78" s="22"/>
      <c r="AF78"/>
      <c r="AG78" s="7"/>
      <c r="AH78" s="7"/>
    </row>
    <row r="79" spans="2:34" ht="18.75" x14ac:dyDescent="0.3">
      <c r="B79"/>
      <c r="C79"/>
      <c r="D79"/>
      <c r="E79"/>
      <c r="F79"/>
      <c r="G79"/>
      <c r="H79"/>
      <c r="I79"/>
      <c r="J79"/>
      <c r="R79"/>
      <c r="S79"/>
      <c r="T79"/>
      <c r="U79"/>
      <c r="W79"/>
      <c r="X79"/>
      <c r="Y79" s="9"/>
      <c r="Z79"/>
      <c r="AA79"/>
      <c r="AB79"/>
      <c r="AC79"/>
      <c r="AD79"/>
      <c r="AE79" s="22"/>
      <c r="AF79"/>
      <c r="AG79" s="7"/>
      <c r="AH79" s="7"/>
    </row>
    <row r="80" spans="2:34" ht="18.75" x14ac:dyDescent="0.3">
      <c r="B80"/>
      <c r="C80" s="48"/>
      <c r="G80"/>
      <c r="H80"/>
      <c r="I80"/>
      <c r="J80"/>
      <c r="W80"/>
      <c r="X80"/>
      <c r="Y80" s="9"/>
      <c r="Z80"/>
      <c r="AA80"/>
      <c r="AB80"/>
      <c r="AC80"/>
      <c r="AD80"/>
      <c r="AE80" s="22"/>
      <c r="AF80"/>
      <c r="AG80" s="7"/>
      <c r="AH80" s="7"/>
    </row>
    <row r="81" spans="2:3" ht="15" customHeight="1" x14ac:dyDescent="0.25">
      <c r="B81"/>
      <c r="C81" s="48"/>
    </row>
    <row r="82" spans="2:3" ht="15" customHeight="1" x14ac:dyDescent="0.25">
      <c r="B82"/>
      <c r="C82" s="48"/>
    </row>
    <row r="83" spans="2:3" ht="15" customHeight="1" x14ac:dyDescent="0.25">
      <c r="B83"/>
      <c r="C83" s="48"/>
    </row>
    <row r="84" spans="2:3" ht="15" customHeight="1" x14ac:dyDescent="0.25">
      <c r="B84"/>
      <c r="C84" s="48"/>
    </row>
    <row r="85" spans="2:3" ht="15" customHeight="1" x14ac:dyDescent="0.25">
      <c r="B85"/>
      <c r="C85" s="48"/>
    </row>
    <row r="86" spans="2:3" ht="15" customHeight="1" x14ac:dyDescent="0.25">
      <c r="B86"/>
      <c r="C86" s="48"/>
    </row>
    <row r="87" spans="2:3" ht="15" customHeight="1" x14ac:dyDescent="0.25">
      <c r="B87"/>
      <c r="C87" s="48"/>
    </row>
    <row r="88" spans="2:3" ht="15" customHeight="1" x14ac:dyDescent="0.25">
      <c r="B88"/>
      <c r="C88" s="48"/>
    </row>
    <row r="89" spans="2:3" ht="15" customHeight="1" x14ac:dyDescent="0.25">
      <c r="B89"/>
      <c r="C89" s="48"/>
    </row>
    <row r="90" spans="2:3" ht="15" customHeight="1" x14ac:dyDescent="0.25">
      <c r="B90"/>
      <c r="C90" s="48"/>
    </row>
    <row r="91" spans="2:3" ht="15" customHeight="1" x14ac:dyDescent="0.25">
      <c r="B91"/>
      <c r="C91" s="48"/>
    </row>
    <row r="92" spans="2:3" ht="15" customHeight="1" x14ac:dyDescent="0.25">
      <c r="B92"/>
      <c r="C92" s="48"/>
    </row>
    <row r="93" spans="2:3" ht="15" customHeight="1" x14ac:dyDescent="0.25">
      <c r="B93"/>
      <c r="C93" s="48"/>
    </row>
    <row r="94" spans="2:3" ht="15" customHeight="1" x14ac:dyDescent="0.25">
      <c r="B94"/>
      <c r="C94" s="48"/>
    </row>
    <row r="95" spans="2:3" ht="15" customHeight="1" x14ac:dyDescent="0.25">
      <c r="B95"/>
      <c r="C95" s="48"/>
    </row>
    <row r="96" spans="2:3" ht="15" customHeight="1" x14ac:dyDescent="0.25">
      <c r="B96"/>
      <c r="C96" s="48"/>
    </row>
    <row r="97" spans="2:3" ht="15" customHeight="1" x14ac:dyDescent="0.25">
      <c r="B97"/>
      <c r="C97" s="48"/>
    </row>
    <row r="98" spans="2:3" ht="15" customHeight="1" x14ac:dyDescent="0.25">
      <c r="B98"/>
      <c r="C98" s="48"/>
    </row>
    <row r="99" spans="2:3" ht="15" customHeight="1" x14ac:dyDescent="0.25">
      <c r="B99"/>
      <c r="C99" s="48"/>
    </row>
    <row r="100" spans="2:3" ht="15" customHeight="1" x14ac:dyDescent="0.25">
      <c r="B100"/>
      <c r="C100"/>
    </row>
    <row r="101" spans="2:3" ht="15" customHeight="1" x14ac:dyDescent="0.25">
      <c r="B101"/>
      <c r="C101"/>
    </row>
    <row r="102" spans="2:3" ht="15" customHeight="1" x14ac:dyDescent="0.25">
      <c r="B102"/>
      <c r="C102"/>
    </row>
    <row r="103" spans="2:3" ht="15" customHeight="1" x14ac:dyDescent="0.25">
      <c r="B103"/>
      <c r="C103"/>
    </row>
    <row r="104" spans="2:3" ht="15" customHeight="1" x14ac:dyDescent="0.25">
      <c r="B104"/>
      <c r="C104"/>
    </row>
    <row r="105" spans="2:3" ht="15" customHeight="1" x14ac:dyDescent="0.25">
      <c r="B105"/>
      <c r="C105"/>
    </row>
    <row r="106" spans="2:3" ht="15" customHeight="1" x14ac:dyDescent="0.25">
      <c r="B106"/>
      <c r="C106"/>
    </row>
    <row r="107" spans="2:3" ht="15" customHeight="1" x14ac:dyDescent="0.25">
      <c r="B107"/>
      <c r="C107"/>
    </row>
    <row r="108" spans="2:3" ht="15" customHeight="1" x14ac:dyDescent="0.25">
      <c r="B108"/>
      <c r="C108"/>
    </row>
    <row r="109" spans="2:3" ht="15" customHeight="1" x14ac:dyDescent="0.25">
      <c r="B109"/>
      <c r="C109"/>
    </row>
    <row r="110" spans="2:3" ht="15" customHeight="1" x14ac:dyDescent="0.25">
      <c r="B110"/>
      <c r="C110"/>
    </row>
  </sheetData>
  <sheetProtection algorithmName="SHA-512" hashValue="dEikDDqIEA4MA88ZClEMrypPMfcx8BHditxeBWKTqkemQuyOK5jvx2TDmz/N3jbr1THipbtalCEWg70si71v6g==" saltValue="nV/0pSBBJtSMbCr26ez8Lw==" spinCount="100000" sheet="1" formatCells="0" formatColumns="0" autoFilter="0" pivotTables="0"/>
  <mergeCells count="5">
    <mergeCell ref="J18:K18"/>
    <mergeCell ref="J15:K15"/>
    <mergeCell ref="J16:K16"/>
    <mergeCell ref="A2:C2"/>
    <mergeCell ref="K5:K6"/>
  </mergeCells>
  <conditionalFormatting sqref="C19:C99 N20">
    <cfRule type="expression" dxfId="41" priority="22">
      <formula>$C$19</formula>
    </cfRule>
  </conditionalFormatting>
  <conditionalFormatting sqref="C19:C6291 AE36:AE242 AF37:AH243 Y66:Y242">
    <cfRule type="endsWith" dxfId="40" priority="28" operator="endsWith" text="(NO TOURS)">
      <formula>RIGHT(C19,LEN("(NO TOURS)"))="(NO TOURS)"</formula>
    </cfRule>
  </conditionalFormatting>
  <conditionalFormatting sqref="K14 G18:I18 H19:I77 K39:K6291">
    <cfRule type="cellIs" dxfId="39" priority="29" operator="equal">
      <formula>"Log Out"</formula>
    </cfRule>
  </conditionalFormatting>
  <conditionalFormatting sqref="N19:N38">
    <cfRule type="endsWith" dxfId="38" priority="16" operator="endsWith" text="(NO SPEAKERS)">
      <formula>RIGHT(N19,LEN("(NO SPEAKERS)"))="(NO SPEAKERS)"</formula>
    </cfRule>
    <cfRule type="endsWith" dxfId="37" priority="17" operator="endsWith" text="(NO TOURS)">
      <formula>RIGHT(N19,LEN("(NO TOURS)"))="(NO TOURS)"</formula>
    </cfRule>
  </conditionalFormatting>
  <conditionalFormatting sqref="T36:T245 T246:U253 T254:V315">
    <cfRule type="endsWith" dxfId="36" priority="23" operator="endsWith" text="(NO SPEAKERS)">
      <formula>RIGHT(T36,LEN("(NO SPEAKERS)"))="(NO SPEAKERS)"</formula>
    </cfRule>
    <cfRule type="endsWith" dxfId="35" priority="24" operator="endsWith" text="(NO TOURS)">
      <formula>RIGHT(T36,LEN("(NO TOURS)"))="(NO TOURS)"</formula>
    </cfRule>
  </conditionalFormatting>
  <conditionalFormatting sqref="W14:AE14 AH15 AE18:AE6290 AF21:AF26 AF27:AH243 Y66:Y242">
    <cfRule type="cellIs" dxfId="34" priority="18" operator="equal">
      <formula>"Log In"</formula>
    </cfRule>
    <cfRule type="endsWith" dxfId="33" priority="19" operator="endsWith" text="(NO SPEAKERS)">
      <formula>RIGHT(W14,LEN("(NO SPEAKERS)"))="(NO SPEAKERS)"</formula>
    </cfRule>
    <cfRule type="endsWith" dxfId="32" priority="20" operator="endsWith" text="(NO TOURS)">
      <formula>RIGHT(W14,LEN("(NO TOURS)"))="(NO TOURS)"</formula>
    </cfRule>
  </conditionalFormatting>
  <conditionalFormatting sqref="Z66:Z245 Z246:AA253">
    <cfRule type="endsWith" dxfId="31" priority="13" operator="endsWith" text="(NO SPEAKERS)">
      <formula>RIGHT(Z66,LEN("(NO SPEAKERS)"))="(NO SPEAKERS)"</formula>
    </cfRule>
    <cfRule type="endsWith" dxfId="30" priority="14" operator="endsWith" text="(NO TOURS)">
      <formula>RIGHT(Z66,LEN("(NO TOURS)"))="(NO TOURS)"</formula>
    </cfRule>
  </conditionalFormatting>
  <conditionalFormatting sqref="Z15:AD15">
    <cfRule type="cellIs" dxfId="29" priority="10" operator="equal">
      <formula>"Log In"</formula>
    </cfRule>
    <cfRule type="endsWith" dxfId="28" priority="11" operator="endsWith" text="(NO SPEAKERS)">
      <formula>RIGHT(Z15,LEN("(NO SPEAKERS)"))="(NO SPEAKERS)"</formula>
    </cfRule>
    <cfRule type="endsWith" dxfId="27" priority="12" operator="endsWith" text="(NO TOURS)">
      <formula>RIGHT(Z15,LEN("(NO TOURS)"))="(NO TOURS)"</formula>
    </cfRule>
  </conditionalFormatting>
  <conditionalFormatting sqref="AE36:AE75 AF37:AH76 Y66:Y75">
    <cfRule type="cellIs" dxfId="26" priority="21" operator="equal">
      <formula>"Log In"</formula>
    </cfRule>
  </conditionalFormatting>
  <conditionalFormatting sqref="AE36:AE242 AF37:AH243 Y66:Y242 C19:C6291">
    <cfRule type="endsWith" dxfId="25" priority="27" operator="endsWith" text="(NO SPEAKERS)">
      <formula>RIGHT(C19,LEN("(NO SPEAKERS)"))="(NO SPEAKERS)"</formula>
    </cfRule>
  </conditionalFormatting>
  <conditionalFormatting sqref="AF11 AF15:AF16">
    <cfRule type="cellIs" dxfId="24" priority="1" operator="equal">
      <formula>"Log In"</formula>
    </cfRule>
    <cfRule type="endsWith" dxfId="23" priority="2" operator="endsWith" text="(NO SPEAKERS)">
      <formula>RIGHT(AF11,LEN("(NO SPEAKERS)"))="(NO SPEAKERS)"</formula>
    </cfRule>
    <cfRule type="endsWith" dxfId="22" priority="3" operator="endsWith" text="(NO TOURS)">
      <formula>RIGHT(AF11,LEN("(NO TOURS)"))="(NO TOURS)"</formula>
    </cfRule>
  </conditionalFormatting>
  <pageMargins left="0.7" right="0.7" top="0.75" bottom="0.75" header="0.3" footer="0.3"/>
  <pageSetup scale="29" orientation="portrait"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2AABE-53BE-46B5-A36C-CB67AFABE652}">
  <dimension ref="A1:K80"/>
  <sheetViews>
    <sheetView topLeftCell="A9" zoomScale="85" zoomScaleNormal="85" workbookViewId="0">
      <selection activeCell="I20" sqref="I20:J20"/>
    </sheetView>
  </sheetViews>
  <sheetFormatPr defaultColWidth="9.140625" defaultRowHeight="15" x14ac:dyDescent="0.25"/>
  <cols>
    <col min="1" max="1" width="13.42578125" bestFit="1" customWidth="1"/>
    <col min="2" max="2" width="13.7109375" bestFit="1" customWidth="1"/>
    <col min="3" max="3" width="45.28515625" bestFit="1" customWidth="1"/>
    <col min="4" max="4" width="15.85546875" bestFit="1" customWidth="1"/>
    <col min="5" max="5" width="15.42578125" bestFit="1" customWidth="1"/>
    <col min="6" max="6" width="8.28515625" bestFit="1" customWidth="1"/>
    <col min="7" max="7" width="10.85546875" bestFit="1" customWidth="1"/>
    <col min="8" max="8" width="11.28515625" bestFit="1" customWidth="1"/>
    <col min="9" max="9" width="45.28515625" bestFit="1" customWidth="1"/>
    <col min="10" max="10" width="13.5703125" bestFit="1" customWidth="1"/>
    <col min="11" max="11" width="15.42578125" bestFit="1" customWidth="1"/>
  </cols>
  <sheetData>
    <row r="1" spans="1:7" ht="19.5" x14ac:dyDescent="0.25">
      <c r="A1" s="88" t="s">
        <v>45</v>
      </c>
      <c r="B1" s="88"/>
      <c r="C1" s="88"/>
      <c r="D1" s="88"/>
      <c r="E1" s="88"/>
      <c r="F1" s="88"/>
    </row>
    <row r="15" spans="1:7" ht="18.75" x14ac:dyDescent="0.3">
      <c r="A15" s="52" t="s">
        <v>94</v>
      </c>
      <c r="G15" s="6" t="s">
        <v>88</v>
      </c>
    </row>
    <row r="16" spans="1:7" ht="18.75" x14ac:dyDescent="0.3">
      <c r="A16" s="107">
        <v>61</v>
      </c>
      <c r="G16" s="16">
        <f>+COUNTIF('Dynamic Split'!Y25:Y75,"Log iN")</f>
        <v>0</v>
      </c>
    </row>
    <row r="19" spans="1:11" ht="19.5" x14ac:dyDescent="0.3">
      <c r="A19" s="108" t="s">
        <v>25</v>
      </c>
      <c r="B19" s="110" t="s">
        <v>90</v>
      </c>
      <c r="C19" s="105" t="s">
        <v>27</v>
      </c>
      <c r="D19" s="105" t="s">
        <v>30</v>
      </c>
      <c r="E19" s="104" t="s">
        <v>55</v>
      </c>
      <c r="F19" s="11" t="s">
        <v>31</v>
      </c>
      <c r="G19" s="108" t="s">
        <v>25</v>
      </c>
      <c r="H19" s="110" t="s">
        <v>90</v>
      </c>
      <c r="I19" s="105" t="s">
        <v>27</v>
      </c>
      <c r="J19" s="105" t="s">
        <v>30</v>
      </c>
      <c r="K19" s="104" t="s">
        <v>55</v>
      </c>
    </row>
    <row r="20" spans="1:11" ht="18.75" x14ac:dyDescent="0.3">
      <c r="A20" s="104">
        <v>1</v>
      </c>
      <c r="B20" s="113" t="s">
        <v>62</v>
      </c>
      <c r="C20" s="99" t="s">
        <v>38</v>
      </c>
      <c r="D20" s="104" t="s">
        <v>246</v>
      </c>
      <c r="E20" s="109">
        <v>1</v>
      </c>
      <c r="F20" s="9" t="str">
        <f>IF('Cambio de Split'!C20="","",IFERROR(IF(Maestra!C16="#N/D","Log In",""),"Log In"))</f>
        <v>Log In</v>
      </c>
      <c r="G20" s="104">
        <v>1</v>
      </c>
      <c r="H20" s="104" t="s">
        <v>62</v>
      </c>
      <c r="I20" s="99" t="s">
        <v>38</v>
      </c>
      <c r="J20" s="99" t="s">
        <v>246</v>
      </c>
      <c r="K20" s="109">
        <v>1</v>
      </c>
    </row>
    <row r="21" spans="1:11" ht="18.75" x14ac:dyDescent="0.3">
      <c r="A21" s="104"/>
      <c r="B21" s="113"/>
      <c r="C21" s="99" t="s">
        <v>216</v>
      </c>
      <c r="D21" s="104" t="s">
        <v>246</v>
      </c>
      <c r="E21" s="109">
        <v>1</v>
      </c>
      <c r="F21" s="9" t="str">
        <f>IF('Cambio de Split'!C21="","",IFERROR(IF(Maestra!C17="#N/D","Log In",""),"Log In"))</f>
        <v>Log In</v>
      </c>
      <c r="G21" s="104"/>
      <c r="H21" s="104"/>
      <c r="I21" s="99" t="s">
        <v>216</v>
      </c>
      <c r="J21" s="99" t="s">
        <v>246</v>
      </c>
      <c r="K21" s="109">
        <v>1</v>
      </c>
    </row>
    <row r="22" spans="1:11" ht="18.75" x14ac:dyDescent="0.3">
      <c r="A22" s="104"/>
      <c r="B22" s="113"/>
      <c r="C22" s="99" t="s">
        <v>210</v>
      </c>
      <c r="D22" s="104" t="s">
        <v>246</v>
      </c>
      <c r="E22" s="109">
        <v>1</v>
      </c>
      <c r="F22" s="9" t="str">
        <f>IF('Cambio de Split'!C22="","",IFERROR(IF(Maestra!C18="#N/D","Log In",""),"Log In"))</f>
        <v>Log In</v>
      </c>
      <c r="G22" s="104"/>
      <c r="H22" s="104"/>
      <c r="I22" s="99" t="s">
        <v>210</v>
      </c>
      <c r="J22" s="99" t="s">
        <v>246</v>
      </c>
      <c r="K22" s="109">
        <v>1</v>
      </c>
    </row>
    <row r="23" spans="1:11" ht="18.75" x14ac:dyDescent="0.3">
      <c r="A23" s="104"/>
      <c r="B23" s="113"/>
      <c r="C23" s="104" t="s">
        <v>120</v>
      </c>
      <c r="D23" s="104" t="s">
        <v>246</v>
      </c>
      <c r="E23" s="109">
        <v>1</v>
      </c>
      <c r="F23" s="9" t="str">
        <f>IF('Cambio de Split'!C23="","",IFERROR(IF(Maestra!C19="#N/D","Log In",""),"Log In"))</f>
        <v>Log In</v>
      </c>
      <c r="G23" s="104"/>
      <c r="H23" s="104"/>
      <c r="I23" s="104" t="s">
        <v>120</v>
      </c>
      <c r="J23" s="104" t="s">
        <v>246</v>
      </c>
      <c r="K23" s="109">
        <v>1</v>
      </c>
    </row>
    <row r="24" spans="1:11" ht="18.75" x14ac:dyDescent="0.3">
      <c r="A24" s="104"/>
      <c r="B24" s="113"/>
      <c r="C24" s="104" t="s">
        <v>362</v>
      </c>
      <c r="D24" s="104" t="s">
        <v>246</v>
      </c>
      <c r="E24" s="109">
        <v>1</v>
      </c>
      <c r="F24" s="9" t="str">
        <f>IF('Cambio de Split'!C24="","",IFERROR(IF(Maestra!C20="#N/D","Log In",""),"Log In"))</f>
        <v>Log In</v>
      </c>
      <c r="G24" s="104"/>
      <c r="H24" s="104"/>
      <c r="I24" s="104" t="s">
        <v>362</v>
      </c>
      <c r="J24" s="104" t="s">
        <v>246</v>
      </c>
      <c r="K24" s="109">
        <v>1</v>
      </c>
    </row>
    <row r="25" spans="1:11" ht="18.75" x14ac:dyDescent="0.3">
      <c r="A25" s="104"/>
      <c r="B25" s="113"/>
      <c r="C25" s="104" t="s">
        <v>370</v>
      </c>
      <c r="D25" s="104" t="s">
        <v>246</v>
      </c>
      <c r="E25" s="109">
        <v>1</v>
      </c>
      <c r="F25" s="9" t="str">
        <f>IF('Dynamic Split'!V24="","",IFERROR(IF(Maestra!C21="#N/D","Log In",""),"Log In"))</f>
        <v/>
      </c>
      <c r="G25" s="104"/>
      <c r="H25" s="104"/>
      <c r="I25" s="104" t="s">
        <v>370</v>
      </c>
      <c r="J25" s="104" t="s">
        <v>246</v>
      </c>
      <c r="K25" s="109">
        <v>1</v>
      </c>
    </row>
    <row r="26" spans="1:11" ht="18.75" x14ac:dyDescent="0.3">
      <c r="A26" s="104"/>
      <c r="B26" s="114" t="s">
        <v>63</v>
      </c>
      <c r="C26" s="104" t="s">
        <v>121</v>
      </c>
      <c r="D26" s="104" t="s">
        <v>246</v>
      </c>
      <c r="E26" s="112">
        <v>1</v>
      </c>
      <c r="G26" s="104"/>
      <c r="H26" s="104" t="s">
        <v>63</v>
      </c>
      <c r="I26" s="104" t="s">
        <v>121</v>
      </c>
      <c r="J26" s="104" t="s">
        <v>246</v>
      </c>
      <c r="K26" s="109">
        <v>1</v>
      </c>
    </row>
    <row r="27" spans="1:11" ht="18.75" x14ac:dyDescent="0.3">
      <c r="A27" s="104"/>
      <c r="B27" s="114"/>
      <c r="C27" s="104" t="s">
        <v>150</v>
      </c>
      <c r="D27" s="104" t="s">
        <v>246</v>
      </c>
      <c r="E27" s="112">
        <v>1</v>
      </c>
      <c r="G27" s="104"/>
      <c r="H27" s="104"/>
      <c r="I27" s="104" t="s">
        <v>150</v>
      </c>
      <c r="J27" s="104" t="s">
        <v>246</v>
      </c>
      <c r="K27" s="109">
        <v>1</v>
      </c>
    </row>
    <row r="28" spans="1:11" ht="18.75" x14ac:dyDescent="0.3">
      <c r="A28" s="104"/>
      <c r="B28" s="114"/>
      <c r="C28" s="104" t="s">
        <v>233</v>
      </c>
      <c r="D28" s="104" t="s">
        <v>246</v>
      </c>
      <c r="E28" s="112">
        <v>1</v>
      </c>
      <c r="G28" s="104"/>
      <c r="H28" s="104"/>
      <c r="I28" s="104" t="s">
        <v>233</v>
      </c>
      <c r="J28" s="104" t="s">
        <v>246</v>
      </c>
      <c r="K28" s="109">
        <v>1</v>
      </c>
    </row>
    <row r="29" spans="1:11" ht="18.75" x14ac:dyDescent="0.3">
      <c r="A29" s="104"/>
      <c r="B29" s="114"/>
      <c r="C29" s="104" t="s">
        <v>234</v>
      </c>
      <c r="D29" s="104" t="s">
        <v>246</v>
      </c>
      <c r="E29" s="112">
        <v>1</v>
      </c>
      <c r="G29" s="104"/>
      <c r="H29" s="104"/>
      <c r="I29" s="104" t="s">
        <v>234</v>
      </c>
      <c r="J29" s="104" t="s">
        <v>246</v>
      </c>
      <c r="K29" s="109">
        <v>1</v>
      </c>
    </row>
    <row r="30" spans="1:11" ht="18.75" x14ac:dyDescent="0.3">
      <c r="A30" s="104"/>
      <c r="B30" s="114"/>
      <c r="C30" s="104" t="s">
        <v>285</v>
      </c>
      <c r="D30" s="104" t="s">
        <v>246</v>
      </c>
      <c r="E30" s="112">
        <v>1</v>
      </c>
      <c r="G30" s="104"/>
      <c r="H30" s="104"/>
      <c r="I30" s="104" t="s">
        <v>285</v>
      </c>
      <c r="J30" s="104" t="s">
        <v>246</v>
      </c>
      <c r="K30" s="109">
        <v>1</v>
      </c>
    </row>
    <row r="31" spans="1:11" ht="18.75" x14ac:dyDescent="0.3">
      <c r="A31" s="104"/>
      <c r="B31" s="114"/>
      <c r="C31" s="104" t="s">
        <v>351</v>
      </c>
      <c r="D31" s="104" t="s">
        <v>246</v>
      </c>
      <c r="E31" s="112">
        <v>1</v>
      </c>
      <c r="G31" s="104"/>
      <c r="H31" s="104"/>
      <c r="I31" s="104" t="s">
        <v>351</v>
      </c>
      <c r="J31" s="104" t="s">
        <v>246</v>
      </c>
      <c r="K31" s="109">
        <v>1</v>
      </c>
    </row>
    <row r="32" spans="1:11" ht="18.75" x14ac:dyDescent="0.3">
      <c r="A32" s="104"/>
      <c r="B32" s="114"/>
      <c r="C32" s="104" t="s">
        <v>375</v>
      </c>
      <c r="D32" s="104" t="s">
        <v>246</v>
      </c>
      <c r="E32" s="112">
        <v>1</v>
      </c>
      <c r="G32" s="104"/>
      <c r="H32" s="104"/>
      <c r="I32" s="104" t="s">
        <v>375</v>
      </c>
      <c r="J32" s="104" t="s">
        <v>246</v>
      </c>
      <c r="K32" s="109">
        <v>1</v>
      </c>
    </row>
    <row r="33" spans="1:11" ht="18.75" x14ac:dyDescent="0.3">
      <c r="A33" s="104"/>
      <c r="B33" s="114"/>
      <c r="C33" s="104" t="s">
        <v>376</v>
      </c>
      <c r="D33" s="104" t="s">
        <v>246</v>
      </c>
      <c r="E33" s="112">
        <v>1</v>
      </c>
      <c r="G33" s="104"/>
      <c r="H33" s="104"/>
      <c r="I33" s="104" t="s">
        <v>376</v>
      </c>
      <c r="J33" s="104" t="s">
        <v>246</v>
      </c>
      <c r="K33" s="109">
        <v>1</v>
      </c>
    </row>
    <row r="34" spans="1:11" ht="18.75" x14ac:dyDescent="0.3">
      <c r="A34" s="104"/>
      <c r="B34" s="114"/>
      <c r="C34" s="104" t="s">
        <v>377</v>
      </c>
      <c r="D34" s="104" t="s">
        <v>246</v>
      </c>
      <c r="E34" s="112">
        <v>1</v>
      </c>
      <c r="G34" s="104"/>
      <c r="H34" s="104"/>
      <c r="I34" s="104" t="s">
        <v>377</v>
      </c>
      <c r="J34" s="104" t="s">
        <v>246</v>
      </c>
      <c r="K34" s="109">
        <v>1</v>
      </c>
    </row>
    <row r="35" spans="1:11" ht="18.75" x14ac:dyDescent="0.3">
      <c r="A35" s="104"/>
      <c r="B35" s="114"/>
      <c r="C35" s="104" t="s">
        <v>378</v>
      </c>
      <c r="D35" s="104" t="s">
        <v>246</v>
      </c>
      <c r="E35" s="112">
        <v>1</v>
      </c>
      <c r="G35" s="104"/>
      <c r="H35" s="104"/>
      <c r="I35" s="104" t="s">
        <v>378</v>
      </c>
      <c r="J35" s="104" t="s">
        <v>246</v>
      </c>
      <c r="K35" s="109">
        <v>1</v>
      </c>
    </row>
    <row r="36" spans="1:11" ht="18.75" x14ac:dyDescent="0.3">
      <c r="A36" s="104"/>
      <c r="B36" s="114"/>
      <c r="C36" s="104" t="s">
        <v>380</v>
      </c>
      <c r="D36" s="104" t="s">
        <v>246</v>
      </c>
      <c r="E36" s="112">
        <v>1</v>
      </c>
      <c r="G36" s="104"/>
      <c r="H36" s="104"/>
      <c r="I36" s="104" t="s">
        <v>380</v>
      </c>
      <c r="J36" s="104" t="s">
        <v>246</v>
      </c>
      <c r="K36" s="109">
        <v>1</v>
      </c>
    </row>
    <row r="37" spans="1:11" ht="18.75" x14ac:dyDescent="0.3">
      <c r="A37" s="104"/>
      <c r="B37" s="114"/>
      <c r="C37" s="104" t="s">
        <v>379</v>
      </c>
      <c r="D37" s="104" t="s">
        <v>246</v>
      </c>
      <c r="E37" s="112">
        <v>1</v>
      </c>
      <c r="G37" s="104"/>
      <c r="H37" s="104"/>
      <c r="I37" s="104" t="s">
        <v>379</v>
      </c>
      <c r="J37" s="104" t="s">
        <v>246</v>
      </c>
      <c r="K37" s="109">
        <v>1</v>
      </c>
    </row>
    <row r="38" spans="1:11" ht="18.75" x14ac:dyDescent="0.3">
      <c r="A38" s="104"/>
      <c r="B38" s="114"/>
      <c r="C38" s="104" t="s">
        <v>385</v>
      </c>
      <c r="D38" s="104" t="s">
        <v>246</v>
      </c>
      <c r="E38" s="112">
        <v>1</v>
      </c>
      <c r="G38" s="104"/>
      <c r="H38" s="104"/>
      <c r="I38" s="104" t="s">
        <v>385</v>
      </c>
      <c r="J38" s="104" t="s">
        <v>246</v>
      </c>
      <c r="K38" s="109">
        <v>1</v>
      </c>
    </row>
    <row r="39" spans="1:11" ht="18.75" x14ac:dyDescent="0.3">
      <c r="A39" s="104"/>
      <c r="B39" s="114"/>
      <c r="C39" s="104" t="s">
        <v>382</v>
      </c>
      <c r="D39" s="104" t="s">
        <v>246</v>
      </c>
      <c r="E39" s="112">
        <v>1</v>
      </c>
      <c r="G39" s="104"/>
      <c r="H39" s="104"/>
      <c r="I39" s="104" t="s">
        <v>382</v>
      </c>
      <c r="J39" s="104" t="s">
        <v>246</v>
      </c>
      <c r="K39" s="109">
        <v>1</v>
      </c>
    </row>
    <row r="40" spans="1:11" ht="18.75" x14ac:dyDescent="0.3">
      <c r="A40" s="104"/>
      <c r="B40" s="114"/>
      <c r="C40" s="104" t="s">
        <v>384</v>
      </c>
      <c r="D40" s="104" t="s">
        <v>246</v>
      </c>
      <c r="E40" s="112">
        <v>1</v>
      </c>
      <c r="G40" s="104"/>
      <c r="H40" s="104"/>
      <c r="I40" s="104" t="s">
        <v>384</v>
      </c>
      <c r="J40" s="104" t="s">
        <v>246</v>
      </c>
      <c r="K40" s="109">
        <v>1</v>
      </c>
    </row>
    <row r="41" spans="1:11" ht="18.75" x14ac:dyDescent="0.3">
      <c r="A41" s="104"/>
      <c r="B41" s="114"/>
      <c r="C41" s="104" t="s">
        <v>383</v>
      </c>
      <c r="D41" s="104" t="s">
        <v>246</v>
      </c>
      <c r="E41" s="112">
        <v>1</v>
      </c>
      <c r="G41" s="104"/>
      <c r="H41" s="104"/>
      <c r="I41" s="104" t="s">
        <v>383</v>
      </c>
      <c r="J41" s="104" t="s">
        <v>246</v>
      </c>
      <c r="K41" s="109">
        <v>1</v>
      </c>
    </row>
    <row r="42" spans="1:11" ht="18.75" x14ac:dyDescent="0.3">
      <c r="A42" s="104"/>
      <c r="B42" s="114"/>
      <c r="C42" s="104" t="s">
        <v>386</v>
      </c>
      <c r="D42" s="104" t="s">
        <v>246</v>
      </c>
      <c r="E42" s="112">
        <v>1</v>
      </c>
      <c r="G42" s="104"/>
      <c r="H42" s="104"/>
      <c r="I42" s="104" t="s">
        <v>386</v>
      </c>
      <c r="J42" s="104" t="s">
        <v>246</v>
      </c>
      <c r="K42" s="109">
        <v>1</v>
      </c>
    </row>
    <row r="43" spans="1:11" ht="18.75" x14ac:dyDescent="0.3">
      <c r="A43" s="104"/>
      <c r="B43" s="114"/>
      <c r="C43" s="104" t="s">
        <v>387</v>
      </c>
      <c r="D43" s="104" t="s">
        <v>246</v>
      </c>
      <c r="E43" s="112">
        <v>1</v>
      </c>
      <c r="G43" s="104"/>
      <c r="H43" s="104"/>
      <c r="I43" s="104" t="s">
        <v>387</v>
      </c>
      <c r="J43" s="104" t="s">
        <v>246</v>
      </c>
      <c r="K43" s="109">
        <v>1</v>
      </c>
    </row>
    <row r="44" spans="1:11" ht="18.75" x14ac:dyDescent="0.3">
      <c r="A44" s="104"/>
      <c r="B44" s="114"/>
      <c r="C44" s="104" t="s">
        <v>388</v>
      </c>
      <c r="D44" s="104" t="s">
        <v>246</v>
      </c>
      <c r="E44" s="112">
        <v>1</v>
      </c>
      <c r="G44" s="104"/>
      <c r="H44" s="104"/>
      <c r="I44" s="104" t="s">
        <v>388</v>
      </c>
      <c r="J44" s="104" t="s">
        <v>246</v>
      </c>
      <c r="K44" s="109">
        <v>1</v>
      </c>
    </row>
    <row r="45" spans="1:11" ht="18.75" x14ac:dyDescent="0.3">
      <c r="A45" s="104"/>
      <c r="B45" s="114"/>
      <c r="C45" s="104" t="s">
        <v>393</v>
      </c>
      <c r="D45" s="104" t="s">
        <v>246</v>
      </c>
      <c r="E45" s="112">
        <v>1</v>
      </c>
      <c r="G45" s="104"/>
      <c r="H45" s="104"/>
      <c r="I45" s="104" t="s">
        <v>393</v>
      </c>
      <c r="J45" s="104" t="s">
        <v>246</v>
      </c>
      <c r="K45" s="109">
        <v>1</v>
      </c>
    </row>
    <row r="46" spans="1:11" ht="18.75" x14ac:dyDescent="0.3">
      <c r="A46" s="104"/>
      <c r="B46" s="114"/>
      <c r="C46" s="104" t="s">
        <v>406</v>
      </c>
      <c r="D46" s="104" t="s">
        <v>246</v>
      </c>
      <c r="E46" s="112">
        <v>1</v>
      </c>
      <c r="G46" s="104"/>
      <c r="H46" s="104"/>
      <c r="I46" s="104" t="s">
        <v>406</v>
      </c>
      <c r="J46" s="104" t="s">
        <v>246</v>
      </c>
      <c r="K46" s="109">
        <v>1</v>
      </c>
    </row>
    <row r="47" spans="1:11" ht="18.75" x14ac:dyDescent="0.3">
      <c r="A47" s="104"/>
      <c r="B47" s="114"/>
      <c r="C47" s="104" t="s">
        <v>407</v>
      </c>
      <c r="D47" s="104" t="s">
        <v>246</v>
      </c>
      <c r="E47" s="112">
        <v>1</v>
      </c>
      <c r="G47" s="104"/>
      <c r="H47" s="104"/>
      <c r="I47" s="104" t="s">
        <v>407</v>
      </c>
      <c r="J47" s="104" t="s">
        <v>246</v>
      </c>
      <c r="K47" s="109">
        <v>1</v>
      </c>
    </row>
    <row r="48" spans="1:11" ht="18.75" x14ac:dyDescent="0.3">
      <c r="A48" s="104"/>
      <c r="B48" s="114"/>
      <c r="C48" s="104" t="s">
        <v>411</v>
      </c>
      <c r="D48" s="104" t="s">
        <v>246</v>
      </c>
      <c r="E48" s="112">
        <v>1</v>
      </c>
      <c r="G48" s="104"/>
      <c r="H48" s="104"/>
      <c r="I48" s="104" t="s">
        <v>411</v>
      </c>
      <c r="J48" s="104" t="s">
        <v>246</v>
      </c>
      <c r="K48" s="109">
        <v>1</v>
      </c>
    </row>
    <row r="49" spans="1:11" ht="18.75" x14ac:dyDescent="0.3">
      <c r="A49" s="104"/>
      <c r="B49" s="114"/>
      <c r="C49" s="104" t="s">
        <v>415</v>
      </c>
      <c r="D49" s="104" t="s">
        <v>246</v>
      </c>
      <c r="E49" s="112">
        <v>1</v>
      </c>
      <c r="G49" s="104"/>
      <c r="H49" s="104"/>
      <c r="I49" s="104" t="s">
        <v>415</v>
      </c>
      <c r="J49" s="104" t="s">
        <v>246</v>
      </c>
      <c r="K49" s="109">
        <v>1</v>
      </c>
    </row>
    <row r="50" spans="1:11" ht="18.75" x14ac:dyDescent="0.3">
      <c r="A50" s="104"/>
      <c r="B50" s="114"/>
      <c r="C50" s="104" t="s">
        <v>416</v>
      </c>
      <c r="D50" s="104" t="s">
        <v>246</v>
      </c>
      <c r="E50" s="112">
        <v>1</v>
      </c>
      <c r="G50" s="104"/>
      <c r="H50" s="104"/>
      <c r="I50" s="104" t="s">
        <v>416</v>
      </c>
      <c r="J50" s="104" t="s">
        <v>246</v>
      </c>
      <c r="K50" s="109">
        <v>1</v>
      </c>
    </row>
    <row r="51" spans="1:11" ht="18.75" x14ac:dyDescent="0.3">
      <c r="A51" s="104"/>
      <c r="B51" s="114"/>
      <c r="C51" s="104" t="s">
        <v>422</v>
      </c>
      <c r="D51" s="104" t="s">
        <v>246</v>
      </c>
      <c r="E51" s="112">
        <v>1</v>
      </c>
      <c r="G51" s="104"/>
      <c r="H51" s="104"/>
      <c r="I51" s="104" t="s">
        <v>422</v>
      </c>
      <c r="J51" s="104" t="s">
        <v>246</v>
      </c>
      <c r="K51" s="109">
        <v>1</v>
      </c>
    </row>
    <row r="52" spans="1:11" ht="18.75" x14ac:dyDescent="0.3">
      <c r="A52" s="104"/>
      <c r="B52" s="114"/>
      <c r="C52" s="104" t="s">
        <v>426</v>
      </c>
      <c r="D52" s="104" t="s">
        <v>246</v>
      </c>
      <c r="E52" s="112">
        <v>1</v>
      </c>
      <c r="G52" s="104"/>
      <c r="H52" s="104"/>
      <c r="I52" s="104" t="s">
        <v>426</v>
      </c>
      <c r="J52" s="104" t="s">
        <v>246</v>
      </c>
      <c r="K52" s="109">
        <v>1</v>
      </c>
    </row>
    <row r="53" spans="1:11" ht="18.75" x14ac:dyDescent="0.3">
      <c r="A53" s="104"/>
      <c r="B53" s="114"/>
      <c r="C53" s="104" t="s">
        <v>432</v>
      </c>
      <c r="D53" s="104" t="s">
        <v>246</v>
      </c>
      <c r="E53" s="112">
        <v>1</v>
      </c>
      <c r="G53" s="104"/>
      <c r="H53" s="104"/>
      <c r="I53" s="104" t="s">
        <v>432</v>
      </c>
      <c r="J53" s="104" t="s">
        <v>246</v>
      </c>
      <c r="K53" s="109">
        <v>1</v>
      </c>
    </row>
    <row r="54" spans="1:11" ht="18.75" x14ac:dyDescent="0.3">
      <c r="A54" s="104"/>
      <c r="B54" s="114"/>
      <c r="C54" s="104" t="s">
        <v>446</v>
      </c>
      <c r="D54" s="104" t="s">
        <v>246</v>
      </c>
      <c r="E54" s="112">
        <v>1</v>
      </c>
      <c r="G54" s="104"/>
      <c r="H54" s="104"/>
      <c r="I54" s="104" t="s">
        <v>446</v>
      </c>
      <c r="J54" s="104" t="s">
        <v>246</v>
      </c>
      <c r="K54" s="109">
        <v>1</v>
      </c>
    </row>
    <row r="55" spans="1:11" ht="18.75" x14ac:dyDescent="0.3">
      <c r="A55" s="104"/>
      <c r="B55" s="114"/>
      <c r="C55" s="104" t="s">
        <v>454</v>
      </c>
      <c r="D55" s="104" t="s">
        <v>246</v>
      </c>
      <c r="E55" s="112">
        <v>1</v>
      </c>
      <c r="G55" s="104"/>
      <c r="H55" s="104"/>
      <c r="I55" s="104" t="s">
        <v>454</v>
      </c>
      <c r="J55" s="104" t="s">
        <v>246</v>
      </c>
      <c r="K55" s="109">
        <v>1</v>
      </c>
    </row>
    <row r="56" spans="1:11" ht="18.75" x14ac:dyDescent="0.3">
      <c r="A56" s="104"/>
      <c r="B56" s="114" t="s">
        <v>65</v>
      </c>
      <c r="C56" s="99" t="s">
        <v>124</v>
      </c>
      <c r="D56" s="104" t="s">
        <v>72</v>
      </c>
      <c r="E56" s="112">
        <v>1</v>
      </c>
      <c r="G56" s="104"/>
      <c r="H56" s="104" t="s">
        <v>65</v>
      </c>
      <c r="I56" s="99" t="s">
        <v>124</v>
      </c>
      <c r="J56" s="99" t="s">
        <v>72</v>
      </c>
      <c r="K56" s="109">
        <v>1</v>
      </c>
    </row>
    <row r="57" spans="1:11" ht="18.75" x14ac:dyDescent="0.3">
      <c r="A57" s="104"/>
      <c r="B57" s="114"/>
      <c r="C57" s="99" t="s">
        <v>237</v>
      </c>
      <c r="D57" s="104" t="s">
        <v>72</v>
      </c>
      <c r="E57" s="112">
        <v>1</v>
      </c>
      <c r="G57" s="104"/>
      <c r="H57" s="104"/>
      <c r="I57" s="104" t="s">
        <v>237</v>
      </c>
      <c r="J57" s="99" t="s">
        <v>72</v>
      </c>
      <c r="K57" s="109">
        <v>1</v>
      </c>
    </row>
    <row r="58" spans="1:11" ht="18.75" x14ac:dyDescent="0.3">
      <c r="A58" s="104"/>
      <c r="B58" s="114"/>
      <c r="C58" s="104" t="s">
        <v>125</v>
      </c>
      <c r="D58" s="104" t="s">
        <v>246</v>
      </c>
      <c r="E58" s="112">
        <v>1</v>
      </c>
      <c r="G58" s="104"/>
      <c r="H58" s="104"/>
      <c r="I58" s="104" t="s">
        <v>125</v>
      </c>
      <c r="J58" s="104" t="s">
        <v>246</v>
      </c>
      <c r="K58" s="109">
        <v>1</v>
      </c>
    </row>
    <row r="59" spans="1:11" ht="18.75" x14ac:dyDescent="0.3">
      <c r="A59" s="104"/>
      <c r="B59" s="114"/>
      <c r="C59" s="104" t="s">
        <v>126</v>
      </c>
      <c r="D59" s="104" t="s">
        <v>72</v>
      </c>
      <c r="E59" s="112">
        <v>1</v>
      </c>
      <c r="G59" s="104"/>
      <c r="H59" s="104"/>
      <c r="I59" s="104" t="s">
        <v>126</v>
      </c>
      <c r="J59" s="104" t="s">
        <v>72</v>
      </c>
      <c r="K59" s="109">
        <v>1</v>
      </c>
    </row>
    <row r="60" spans="1:11" ht="18.75" x14ac:dyDescent="0.3">
      <c r="A60" s="104"/>
      <c r="B60" s="114"/>
      <c r="C60" s="104" t="s">
        <v>127</v>
      </c>
      <c r="D60" s="104" t="s">
        <v>256</v>
      </c>
      <c r="E60" s="112">
        <v>1</v>
      </c>
      <c r="G60" s="104"/>
      <c r="H60" s="104"/>
      <c r="I60" s="104" t="s">
        <v>127</v>
      </c>
      <c r="J60" s="104" t="s">
        <v>256</v>
      </c>
      <c r="K60" s="109">
        <v>1</v>
      </c>
    </row>
    <row r="61" spans="1:11" ht="18.75" x14ac:dyDescent="0.3">
      <c r="A61" s="104"/>
      <c r="B61" s="114"/>
      <c r="C61" s="104" t="s">
        <v>247</v>
      </c>
      <c r="D61" s="104" t="s">
        <v>72</v>
      </c>
      <c r="E61" s="112">
        <v>1</v>
      </c>
      <c r="G61" s="104"/>
      <c r="H61" s="104"/>
      <c r="I61" s="104" t="s">
        <v>247</v>
      </c>
      <c r="J61" s="104" t="s">
        <v>72</v>
      </c>
      <c r="K61" s="109">
        <v>1</v>
      </c>
    </row>
    <row r="62" spans="1:11" ht="18.75" x14ac:dyDescent="0.3">
      <c r="A62" s="104"/>
      <c r="B62" s="114"/>
      <c r="C62" s="104" t="s">
        <v>253</v>
      </c>
      <c r="D62" s="104" t="s">
        <v>72</v>
      </c>
      <c r="E62" s="112">
        <v>1</v>
      </c>
      <c r="G62" s="104"/>
      <c r="H62" s="104"/>
      <c r="I62" s="104" t="s">
        <v>253</v>
      </c>
      <c r="J62" s="104" t="s">
        <v>72</v>
      </c>
      <c r="K62" s="109">
        <v>1</v>
      </c>
    </row>
    <row r="63" spans="1:11" ht="18.75" x14ac:dyDescent="0.3">
      <c r="A63" s="104"/>
      <c r="B63" s="114"/>
      <c r="C63" s="104" t="s">
        <v>260</v>
      </c>
      <c r="D63" s="104" t="s">
        <v>72</v>
      </c>
      <c r="E63" s="112">
        <v>1</v>
      </c>
      <c r="G63" s="104"/>
      <c r="H63" s="104"/>
      <c r="I63" s="104" t="s">
        <v>260</v>
      </c>
      <c r="J63" s="104" t="s">
        <v>72</v>
      </c>
      <c r="K63" s="109">
        <v>1</v>
      </c>
    </row>
    <row r="64" spans="1:11" ht="18.75" x14ac:dyDescent="0.3">
      <c r="A64" s="104"/>
      <c r="B64" s="114"/>
      <c r="C64" s="104" t="s">
        <v>271</v>
      </c>
      <c r="D64" s="104" t="s">
        <v>72</v>
      </c>
      <c r="E64" s="112">
        <v>1</v>
      </c>
      <c r="G64" s="104"/>
      <c r="H64" s="104"/>
      <c r="I64" s="104" t="s">
        <v>271</v>
      </c>
      <c r="J64" s="104" t="s">
        <v>72</v>
      </c>
      <c r="K64" s="109">
        <v>1</v>
      </c>
    </row>
    <row r="65" spans="1:11" ht="18.75" x14ac:dyDescent="0.3">
      <c r="A65" s="104"/>
      <c r="B65" s="114"/>
      <c r="C65" s="104" t="s">
        <v>280</v>
      </c>
      <c r="D65" s="104" t="s">
        <v>72</v>
      </c>
      <c r="E65" s="112">
        <v>1</v>
      </c>
      <c r="G65" s="104"/>
      <c r="H65" s="104"/>
      <c r="I65" s="104" t="s">
        <v>280</v>
      </c>
      <c r="J65" s="104" t="s">
        <v>72</v>
      </c>
      <c r="K65" s="109">
        <v>1</v>
      </c>
    </row>
    <row r="66" spans="1:11" ht="18.75" x14ac:dyDescent="0.3">
      <c r="A66" s="104"/>
      <c r="B66" s="114"/>
      <c r="C66" s="104" t="s">
        <v>303</v>
      </c>
      <c r="D66" s="104" t="s">
        <v>72</v>
      </c>
      <c r="E66" s="112">
        <v>1</v>
      </c>
      <c r="G66" s="104"/>
      <c r="H66" s="104"/>
      <c r="I66" s="104" t="s">
        <v>303</v>
      </c>
      <c r="J66" s="104" t="s">
        <v>72</v>
      </c>
      <c r="K66" s="109">
        <v>1</v>
      </c>
    </row>
    <row r="67" spans="1:11" ht="18.75" x14ac:dyDescent="0.3">
      <c r="A67" s="104"/>
      <c r="B67" s="114"/>
      <c r="C67" s="104" t="s">
        <v>18</v>
      </c>
      <c r="D67" s="104" t="s">
        <v>72</v>
      </c>
      <c r="E67" s="112">
        <v>1</v>
      </c>
      <c r="G67" s="104"/>
      <c r="H67" s="104"/>
      <c r="I67" s="104" t="s">
        <v>18</v>
      </c>
      <c r="J67" s="104" t="s">
        <v>72</v>
      </c>
      <c r="K67" s="109">
        <v>1</v>
      </c>
    </row>
    <row r="68" spans="1:11" ht="18.75" x14ac:dyDescent="0.3">
      <c r="A68" s="104"/>
      <c r="B68" s="114"/>
      <c r="C68" s="104" t="s">
        <v>374</v>
      </c>
      <c r="D68" s="104" t="s">
        <v>72</v>
      </c>
      <c r="E68" s="112">
        <v>1</v>
      </c>
      <c r="G68" s="104"/>
      <c r="H68" s="104"/>
      <c r="I68" s="104" t="s">
        <v>374</v>
      </c>
      <c r="J68" s="104" t="s">
        <v>72</v>
      </c>
      <c r="K68" s="109">
        <v>1</v>
      </c>
    </row>
    <row r="69" spans="1:11" ht="18.75" x14ac:dyDescent="0.3">
      <c r="A69" s="104"/>
      <c r="B69" s="114"/>
      <c r="C69" s="104" t="s">
        <v>128</v>
      </c>
      <c r="D69" s="104" t="s">
        <v>72</v>
      </c>
      <c r="E69" s="112">
        <v>1</v>
      </c>
      <c r="G69" s="104"/>
      <c r="H69" s="104"/>
      <c r="I69" s="104" t="s">
        <v>128</v>
      </c>
      <c r="J69" s="104" t="s">
        <v>72</v>
      </c>
      <c r="K69" s="109">
        <v>1</v>
      </c>
    </row>
    <row r="70" spans="1:11" ht="18.75" x14ac:dyDescent="0.3">
      <c r="A70" s="104"/>
      <c r="B70" s="114"/>
      <c r="C70" s="104" t="s">
        <v>394</v>
      </c>
      <c r="D70" s="104" t="s">
        <v>72</v>
      </c>
      <c r="E70" s="112">
        <v>1</v>
      </c>
      <c r="G70" s="104"/>
      <c r="H70" s="104"/>
      <c r="I70" s="104" t="s">
        <v>394</v>
      </c>
      <c r="J70" s="104" t="s">
        <v>72</v>
      </c>
      <c r="K70" s="109">
        <v>1</v>
      </c>
    </row>
    <row r="71" spans="1:11" ht="18.75" x14ac:dyDescent="0.3">
      <c r="A71" s="104"/>
      <c r="B71" s="114"/>
      <c r="C71" s="104" t="s">
        <v>437</v>
      </c>
      <c r="D71" s="104" t="s">
        <v>72</v>
      </c>
      <c r="E71" s="112">
        <v>1</v>
      </c>
      <c r="G71" s="104"/>
      <c r="H71" s="104"/>
      <c r="I71" s="104" t="s">
        <v>437</v>
      </c>
      <c r="J71" s="104" t="s">
        <v>72</v>
      </c>
      <c r="K71" s="109">
        <v>1</v>
      </c>
    </row>
    <row r="72" spans="1:11" ht="18.75" x14ac:dyDescent="0.3">
      <c r="A72" s="104"/>
      <c r="B72" s="114"/>
      <c r="C72" s="104" t="s">
        <v>455</v>
      </c>
      <c r="D72" s="104" t="s">
        <v>72</v>
      </c>
      <c r="E72" s="112">
        <v>1</v>
      </c>
      <c r="G72" s="104"/>
      <c r="H72" s="104"/>
      <c r="I72" s="104" t="s">
        <v>455</v>
      </c>
      <c r="J72" s="104" t="s">
        <v>72</v>
      </c>
      <c r="K72" s="109">
        <v>1</v>
      </c>
    </row>
    <row r="73" spans="1:11" ht="18.75" x14ac:dyDescent="0.3">
      <c r="A73" s="104"/>
      <c r="B73" s="113" t="s">
        <v>66</v>
      </c>
      <c r="C73" s="104" t="s">
        <v>215</v>
      </c>
      <c r="D73" s="104" t="s">
        <v>70</v>
      </c>
      <c r="E73" s="111">
        <v>1</v>
      </c>
      <c r="G73" s="104"/>
      <c r="H73" s="104" t="s">
        <v>66</v>
      </c>
      <c r="I73" s="104" t="s">
        <v>215</v>
      </c>
      <c r="J73" s="104" t="s">
        <v>70</v>
      </c>
      <c r="K73" s="109">
        <v>1</v>
      </c>
    </row>
    <row r="74" spans="1:11" ht="18.75" x14ac:dyDescent="0.3">
      <c r="A74" s="104"/>
      <c r="B74" s="114" t="s">
        <v>67</v>
      </c>
      <c r="C74" s="99" t="s">
        <v>14</v>
      </c>
      <c r="D74" s="104" t="s">
        <v>73</v>
      </c>
      <c r="E74" s="112">
        <v>1</v>
      </c>
      <c r="G74" s="104"/>
      <c r="H74" s="104" t="s">
        <v>67</v>
      </c>
      <c r="I74" s="99" t="s">
        <v>14</v>
      </c>
      <c r="J74" s="99" t="s">
        <v>73</v>
      </c>
      <c r="K74" s="109">
        <v>1</v>
      </c>
    </row>
    <row r="75" spans="1:11" ht="18.75" x14ac:dyDescent="0.3">
      <c r="A75" s="104"/>
      <c r="B75" s="114"/>
      <c r="C75" s="104" t="s">
        <v>129</v>
      </c>
      <c r="D75" s="104" t="s">
        <v>73</v>
      </c>
      <c r="E75" s="112">
        <v>1</v>
      </c>
      <c r="G75" s="104"/>
      <c r="H75" s="104"/>
      <c r="I75" s="104" t="s">
        <v>129</v>
      </c>
      <c r="J75" s="104" t="s">
        <v>73</v>
      </c>
      <c r="K75" s="109">
        <v>1</v>
      </c>
    </row>
    <row r="76" spans="1:11" ht="18.75" x14ac:dyDescent="0.3">
      <c r="A76" s="104"/>
      <c r="B76" s="114"/>
      <c r="C76" s="104" t="s">
        <v>297</v>
      </c>
      <c r="D76" s="104" t="s">
        <v>73</v>
      </c>
      <c r="E76" s="112">
        <v>1</v>
      </c>
      <c r="G76" s="104"/>
      <c r="H76" s="104"/>
      <c r="I76" s="104" t="s">
        <v>297</v>
      </c>
      <c r="J76" s="104" t="s">
        <v>73</v>
      </c>
      <c r="K76" s="109">
        <v>1</v>
      </c>
    </row>
    <row r="77" spans="1:11" x14ac:dyDescent="0.25">
      <c r="A77" s="104"/>
      <c r="B77" s="104" t="s">
        <v>122</v>
      </c>
      <c r="C77" s="104" t="s">
        <v>100</v>
      </c>
      <c r="D77" s="104" t="s">
        <v>96</v>
      </c>
      <c r="E77" s="109">
        <v>1</v>
      </c>
      <c r="G77" s="104"/>
      <c r="H77" s="104" t="s">
        <v>122</v>
      </c>
      <c r="I77" s="104" t="s">
        <v>100</v>
      </c>
      <c r="J77" s="104" t="s">
        <v>96</v>
      </c>
      <c r="K77" s="109">
        <v>1</v>
      </c>
    </row>
    <row r="78" spans="1:11" x14ac:dyDescent="0.25">
      <c r="A78" s="104"/>
      <c r="B78" s="104"/>
      <c r="C78" s="104" t="s">
        <v>119</v>
      </c>
      <c r="D78" s="104" t="s">
        <v>96</v>
      </c>
      <c r="E78" s="109">
        <v>1</v>
      </c>
      <c r="G78" s="104"/>
      <c r="H78" s="104"/>
      <c r="I78" s="104" t="s">
        <v>119</v>
      </c>
      <c r="J78" s="104" t="s">
        <v>96</v>
      </c>
      <c r="K78" s="109">
        <v>1</v>
      </c>
    </row>
    <row r="79" spans="1:11" x14ac:dyDescent="0.25">
      <c r="A79" s="104"/>
      <c r="B79" s="104"/>
      <c r="C79" s="104" t="s">
        <v>347</v>
      </c>
      <c r="D79" s="104" t="s">
        <v>96</v>
      </c>
      <c r="E79" s="109">
        <v>1</v>
      </c>
      <c r="G79" s="104"/>
      <c r="H79" s="104"/>
      <c r="I79" s="104" t="s">
        <v>347</v>
      </c>
      <c r="J79" s="104" t="s">
        <v>96</v>
      </c>
      <c r="K79" s="109">
        <v>1</v>
      </c>
    </row>
    <row r="80" spans="1:11" x14ac:dyDescent="0.25">
      <c r="A80" s="104"/>
      <c r="B80" s="104" t="s">
        <v>64</v>
      </c>
      <c r="C80" s="104" t="s">
        <v>123</v>
      </c>
      <c r="D80" s="104" t="s">
        <v>255</v>
      </c>
      <c r="E80" s="109">
        <v>1</v>
      </c>
      <c r="G80" s="104"/>
      <c r="H80" s="104" t="s">
        <v>64</v>
      </c>
      <c r="I80" s="104" t="s">
        <v>123</v>
      </c>
      <c r="J80" s="104" t="s">
        <v>255</v>
      </c>
      <c r="K80" s="109">
        <v>1</v>
      </c>
    </row>
  </sheetData>
  <mergeCells count="1">
    <mergeCell ref="A1:F1"/>
  </mergeCells>
  <conditionalFormatting sqref="D19:E19">
    <cfRule type="cellIs" dxfId="21" priority="10" operator="equal">
      <formula>"Log In"</formula>
    </cfRule>
    <cfRule type="endsWith" dxfId="20" priority="11" operator="endsWith" text="(NO SPEAKERS)">
      <formula>RIGHT(D19,LEN("(NO SPEAKERS)"))="(NO SPEAKERS)"</formula>
    </cfRule>
    <cfRule type="endsWith" dxfId="19" priority="12" operator="endsWith" text="(NO TOURS)">
      <formula>RIGHT(D19,LEN("(NO TOURS)"))="(NO TOURS)"</formula>
    </cfRule>
  </conditionalFormatting>
  <conditionalFormatting sqref="F19:F25">
    <cfRule type="cellIs" dxfId="18" priority="1" operator="equal">
      <formula>"Log In"</formula>
    </cfRule>
    <cfRule type="endsWith" dxfId="17" priority="2" operator="endsWith" text="(NO SPEAKERS)">
      <formula>RIGHT(F19,LEN("(NO SPEAKERS)"))="(NO SPEAKERS)"</formula>
    </cfRule>
    <cfRule type="endsWith" dxfId="16" priority="3" operator="endsWith" text="(NO TOURS)">
      <formula>RIGHT(F19,LEN("(NO TOURS)"))="(NO TOURS)"</formula>
    </cfRule>
  </conditionalFormatting>
  <conditionalFormatting sqref="J19:K19">
    <cfRule type="cellIs" dxfId="15" priority="4" operator="equal">
      <formula>"Log In"</formula>
    </cfRule>
    <cfRule type="endsWith" dxfId="14" priority="5" operator="endsWith" text="(NO SPEAKERS)">
      <formula>RIGHT(J19,LEN("(NO SPEAKERS)"))="(NO SPEAKERS)"</formula>
    </cfRule>
    <cfRule type="endsWith" dxfId="13" priority="6" operator="endsWith" text="(NO TOURS)">
      <formula>RIGHT(J19,LEN("(NO TOURS)"))="(NO TOURS)"</formula>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64F1F-2084-4088-BE18-1F9B8FDC4F13}">
  <dimension ref="A16:C72"/>
  <sheetViews>
    <sheetView workbookViewId="0">
      <selection activeCell="A32" sqref="A32"/>
    </sheetView>
  </sheetViews>
  <sheetFormatPr defaultColWidth="11.5703125" defaultRowHeight="15" x14ac:dyDescent="0.25"/>
  <cols>
    <col min="1" max="1" width="51" bestFit="1" customWidth="1"/>
    <col min="3" max="3" width="51" bestFit="1" customWidth="1"/>
  </cols>
  <sheetData>
    <row r="16" spans="1:3" x14ac:dyDescent="0.25">
      <c r="A16" t="e">
        <f>+VLOOKUP('Dynamic Split'!C19,'Dynamic Split'!V:V,1,0)</f>
        <v>#N/A</v>
      </c>
      <c r="C16" t="e">
        <f>VLOOKUP('Cambio de Split'!C20,'Dynamic Split'!C:C,1,0)</f>
        <v>#N/A</v>
      </c>
    </row>
    <row r="17" spans="1:3" x14ac:dyDescent="0.25">
      <c r="A17" t="e">
        <f>+VLOOKUP('Dynamic Split'!C20,'Dynamic Split'!V:V,1,0)</f>
        <v>#N/A</v>
      </c>
      <c r="C17" t="e">
        <f>VLOOKUP('Cambio de Split'!C21,'Dynamic Split'!C:C,1,0)</f>
        <v>#N/A</v>
      </c>
    </row>
    <row r="18" spans="1:3" x14ac:dyDescent="0.25">
      <c r="A18" t="e">
        <f>+VLOOKUP('Dynamic Split'!C21,'Dynamic Split'!V:V,1,0)</f>
        <v>#N/A</v>
      </c>
      <c r="C18" t="e">
        <f>VLOOKUP('Cambio de Split'!C22,'Dynamic Split'!C:C,1,0)</f>
        <v>#N/A</v>
      </c>
    </row>
    <row r="19" spans="1:3" x14ac:dyDescent="0.25">
      <c r="A19" t="e">
        <f>+VLOOKUP('Dynamic Split'!C22,'Dynamic Split'!V:V,1,0)</f>
        <v>#N/A</v>
      </c>
      <c r="C19" t="e">
        <f>VLOOKUP('Cambio de Split'!C23,'Dynamic Split'!C:C,1,0)</f>
        <v>#N/A</v>
      </c>
    </row>
    <row r="20" spans="1:3" x14ac:dyDescent="0.25">
      <c r="A20" t="e">
        <f>+VLOOKUP('Dynamic Split'!#REF!,'Dynamic Split'!V:V,1,0)</f>
        <v>#REF!</v>
      </c>
      <c r="C20" t="e">
        <f>VLOOKUP('Cambio de Split'!C24,'Dynamic Split'!C:C,1,0)</f>
        <v>#N/A</v>
      </c>
    </row>
    <row r="21" spans="1:3" x14ac:dyDescent="0.25">
      <c r="A21" t="e">
        <f>+VLOOKUP('Dynamic Split'!C23,'Dynamic Split'!V:V,1,0)</f>
        <v>#N/A</v>
      </c>
      <c r="C21" t="e">
        <f>VLOOKUP('Dynamic Split'!V24,'Dynamic Split'!C:C,1,0)</f>
        <v>#N/A</v>
      </c>
    </row>
    <row r="22" spans="1:3" x14ac:dyDescent="0.25">
      <c r="A22" t="e">
        <f>+VLOOKUP('Dynamic Split'!C25,'Dynamic Split'!V:V,1,0)</f>
        <v>#N/A</v>
      </c>
      <c r="C22" t="e">
        <f>VLOOKUP('Dynamic Split'!V25,'Dynamic Split'!C:C,1,0)</f>
        <v>#N/A</v>
      </c>
    </row>
    <row r="23" spans="1:3" x14ac:dyDescent="0.25">
      <c r="A23" t="e">
        <f>+VLOOKUP('Dynamic Split'!C26,'Dynamic Split'!V:V,1,0)</f>
        <v>#N/A</v>
      </c>
      <c r="C23" t="e">
        <f>VLOOKUP('Dynamic Split'!V26,'Dynamic Split'!C:C,1,0)</f>
        <v>#N/A</v>
      </c>
    </row>
    <row r="24" spans="1:3" x14ac:dyDescent="0.25">
      <c r="A24" t="e">
        <f>+VLOOKUP('Dynamic Split'!C27,'Dynamic Split'!V:V,1,0)</f>
        <v>#N/A</v>
      </c>
      <c r="C24" t="e">
        <f>VLOOKUP('Dynamic Split'!V27,'Dynamic Split'!C:C,1,0)</f>
        <v>#N/A</v>
      </c>
    </row>
    <row r="25" spans="1:3" x14ac:dyDescent="0.25">
      <c r="A25" t="e">
        <f>+VLOOKUP('Dynamic Split'!C28,'Dynamic Split'!V:V,1,0)</f>
        <v>#N/A</v>
      </c>
      <c r="C25" t="e">
        <f>VLOOKUP('Dynamic Split'!V28,'Dynamic Split'!C:C,1,0)</f>
        <v>#N/A</v>
      </c>
    </row>
    <row r="26" spans="1:3" x14ac:dyDescent="0.25">
      <c r="A26" t="e">
        <f>+VLOOKUP('Dynamic Split'!C29,'Dynamic Split'!V:V,1,0)</f>
        <v>#N/A</v>
      </c>
      <c r="C26" t="e">
        <f>VLOOKUP('Dynamic Split'!V29,'Dynamic Split'!C:C,1,0)</f>
        <v>#N/A</v>
      </c>
    </row>
    <row r="27" spans="1:3" x14ac:dyDescent="0.25">
      <c r="A27" t="e">
        <f>+VLOOKUP('Dynamic Split'!C30,'Dynamic Split'!V:V,1,0)</f>
        <v>#N/A</v>
      </c>
      <c r="C27" t="e">
        <f>VLOOKUP('Dynamic Split'!V30,'Dynamic Split'!C:C,1,0)</f>
        <v>#N/A</v>
      </c>
    </row>
    <row r="28" spans="1:3" x14ac:dyDescent="0.25">
      <c r="A28" t="e">
        <f>+VLOOKUP('Dynamic Split'!C31,'Dynamic Split'!V:V,1,0)</f>
        <v>#N/A</v>
      </c>
      <c r="C28" t="e">
        <f>VLOOKUP('Dynamic Split'!V31,'Dynamic Split'!C:C,1,0)</f>
        <v>#N/A</v>
      </c>
    </row>
    <row r="29" spans="1:3" x14ac:dyDescent="0.25">
      <c r="A29" t="e">
        <f>+VLOOKUP('Dynamic Split'!C32,'Dynamic Split'!V:V,1,0)</f>
        <v>#N/A</v>
      </c>
      <c r="C29" t="e">
        <f>VLOOKUP('Dynamic Split'!V32,'Dynamic Split'!C:C,1,0)</f>
        <v>#N/A</v>
      </c>
    </row>
    <row r="30" spans="1:3" x14ac:dyDescent="0.25">
      <c r="A30" t="e">
        <f>+VLOOKUP('Dynamic Split'!C33,'Dynamic Split'!V:V,1,0)</f>
        <v>#N/A</v>
      </c>
      <c r="C30" t="e">
        <f>VLOOKUP('Dynamic Split'!V33,'Dynamic Split'!C:C,1,0)</f>
        <v>#N/A</v>
      </c>
    </row>
    <row r="31" spans="1:3" x14ac:dyDescent="0.25">
      <c r="A31" t="e">
        <f>+VLOOKUP('Dynamic Split'!C34,'Dynamic Split'!V:V,1,0)</f>
        <v>#N/A</v>
      </c>
      <c r="C31" t="e">
        <f>VLOOKUP('Dynamic Split'!V34,'Dynamic Split'!C:C,1,0)</f>
        <v>#N/A</v>
      </c>
    </row>
    <row r="32" spans="1:3" x14ac:dyDescent="0.25">
      <c r="A32" t="e">
        <f>+VLOOKUP('Dynamic Split'!C35,'Dynamic Split'!V:V,1,0)</f>
        <v>#N/A</v>
      </c>
      <c r="C32" t="e">
        <f>VLOOKUP('Dynamic Split'!V35,'Dynamic Split'!C:C,1,0)</f>
        <v>#N/A</v>
      </c>
    </row>
    <row r="33" spans="1:3" x14ac:dyDescent="0.25">
      <c r="A33" t="e">
        <f>+VLOOKUP('Dynamic Split'!C36,'Dynamic Split'!V:V,1,0)</f>
        <v>#N/A</v>
      </c>
      <c r="C33" t="e">
        <f>VLOOKUP('Dynamic Split'!V36,'Dynamic Split'!C:C,1,0)</f>
        <v>#N/A</v>
      </c>
    </row>
    <row r="34" spans="1:3" x14ac:dyDescent="0.25">
      <c r="A34" t="e">
        <f>+VLOOKUP('Dynamic Split'!C37,'Dynamic Split'!V:V,1,0)</f>
        <v>#N/A</v>
      </c>
      <c r="C34" t="e">
        <f>VLOOKUP('Dynamic Split'!V37,'Dynamic Split'!C:C,1,0)</f>
        <v>#N/A</v>
      </c>
    </row>
    <row r="35" spans="1:3" x14ac:dyDescent="0.25">
      <c r="A35" t="e">
        <f>+VLOOKUP('Dynamic Split'!C38,'Dynamic Split'!V:V,1,0)</f>
        <v>#N/A</v>
      </c>
      <c r="C35" t="e">
        <f>VLOOKUP('Dynamic Split'!V38,'Dynamic Split'!C:C,1,0)</f>
        <v>#N/A</v>
      </c>
    </row>
    <row r="36" spans="1:3" x14ac:dyDescent="0.25">
      <c r="A36" t="e">
        <f>+VLOOKUP('Dynamic Split'!C39,'Dynamic Split'!V:V,1,0)</f>
        <v>#N/A</v>
      </c>
      <c r="C36" t="e">
        <f>VLOOKUP('Dynamic Split'!V39,'Dynamic Split'!C:C,1,0)</f>
        <v>#N/A</v>
      </c>
    </row>
    <row r="37" spans="1:3" x14ac:dyDescent="0.25">
      <c r="A37" t="e">
        <f>+VLOOKUP('Dynamic Split'!C40,'Dynamic Split'!V:V,1,0)</f>
        <v>#N/A</v>
      </c>
      <c r="C37" t="e">
        <f>VLOOKUP('Dynamic Split'!V40,'Dynamic Split'!C:C,1,0)</f>
        <v>#N/A</v>
      </c>
    </row>
    <row r="38" spans="1:3" x14ac:dyDescent="0.25">
      <c r="A38" t="e">
        <f>+VLOOKUP('Dynamic Split'!C41,'Dynamic Split'!V:V,1,0)</f>
        <v>#N/A</v>
      </c>
      <c r="C38" t="e">
        <f>VLOOKUP('Dynamic Split'!V41,'Dynamic Split'!C:C,1,0)</f>
        <v>#N/A</v>
      </c>
    </row>
    <row r="39" spans="1:3" x14ac:dyDescent="0.25">
      <c r="A39" t="e">
        <f>+VLOOKUP('Dynamic Split'!C42,'Dynamic Split'!V:V,1,0)</f>
        <v>#N/A</v>
      </c>
      <c r="C39" t="e">
        <f>VLOOKUP('Dynamic Split'!V42,'Dynamic Split'!C:C,1,0)</f>
        <v>#N/A</v>
      </c>
    </row>
    <row r="40" spans="1:3" x14ac:dyDescent="0.25">
      <c r="A40" t="e">
        <f>+VLOOKUP('Dynamic Split'!C43,'Dynamic Split'!V:V,1,0)</f>
        <v>#N/A</v>
      </c>
      <c r="C40" t="e">
        <f>VLOOKUP('Dynamic Split'!V43,'Dynamic Split'!C:C,1,0)</f>
        <v>#N/A</v>
      </c>
    </row>
    <row r="41" spans="1:3" x14ac:dyDescent="0.25">
      <c r="A41" t="e">
        <f>+VLOOKUP('Dynamic Split'!C44,'Dynamic Split'!V:V,1,0)</f>
        <v>#N/A</v>
      </c>
      <c r="C41" t="e">
        <f>VLOOKUP('Dynamic Split'!V44,'Dynamic Split'!C:C,1,0)</f>
        <v>#N/A</v>
      </c>
    </row>
    <row r="42" spans="1:3" x14ac:dyDescent="0.25">
      <c r="A42" t="e">
        <f>+VLOOKUP('Dynamic Split'!C45,'Dynamic Split'!V:V,1,0)</f>
        <v>#N/A</v>
      </c>
      <c r="C42" t="e">
        <f>VLOOKUP('Dynamic Split'!V45,'Dynamic Split'!C:C,1,0)</f>
        <v>#N/A</v>
      </c>
    </row>
    <row r="43" spans="1:3" x14ac:dyDescent="0.25">
      <c r="A43" t="e">
        <f>+VLOOKUP('Dynamic Split'!C46,'Dynamic Split'!V:V,1,0)</f>
        <v>#N/A</v>
      </c>
      <c r="C43" t="e">
        <f>VLOOKUP('Dynamic Split'!V46,'Dynamic Split'!C:C,1,0)</f>
        <v>#N/A</v>
      </c>
    </row>
    <row r="44" spans="1:3" x14ac:dyDescent="0.25">
      <c r="A44" t="e">
        <f>+VLOOKUP('Dynamic Split'!C47,'Dynamic Split'!V:V,1,0)</f>
        <v>#N/A</v>
      </c>
      <c r="C44" t="e">
        <f>VLOOKUP('Dynamic Split'!V47,'Dynamic Split'!C:C,1,0)</f>
        <v>#N/A</v>
      </c>
    </row>
    <row r="45" spans="1:3" x14ac:dyDescent="0.25">
      <c r="A45" t="e">
        <f>+VLOOKUP('Dynamic Split'!C48,'Dynamic Split'!V:V,1,0)</f>
        <v>#N/A</v>
      </c>
      <c r="C45" t="e">
        <f>VLOOKUP('Dynamic Split'!V48,'Dynamic Split'!C:C,1,0)</f>
        <v>#N/A</v>
      </c>
    </row>
    <row r="46" spans="1:3" x14ac:dyDescent="0.25">
      <c r="A46" t="e">
        <f>+VLOOKUP('Dynamic Split'!C49,'Dynamic Split'!V:V,1,0)</f>
        <v>#N/A</v>
      </c>
      <c r="C46" t="e">
        <f>VLOOKUP('Dynamic Split'!V49,'Dynamic Split'!C:C,1,0)</f>
        <v>#N/A</v>
      </c>
    </row>
    <row r="47" spans="1:3" x14ac:dyDescent="0.25">
      <c r="A47" t="e">
        <f>+VLOOKUP('Dynamic Split'!C50,'Dynamic Split'!V:V,1,0)</f>
        <v>#N/A</v>
      </c>
      <c r="C47" t="e">
        <f>VLOOKUP('Dynamic Split'!V50,'Dynamic Split'!C:C,1,0)</f>
        <v>#N/A</v>
      </c>
    </row>
    <row r="48" spans="1:3" x14ac:dyDescent="0.25">
      <c r="A48" t="e">
        <f>+VLOOKUP('Dynamic Split'!C51,'Dynamic Split'!V:V,1,0)</f>
        <v>#N/A</v>
      </c>
      <c r="C48" t="e">
        <f>VLOOKUP('Dynamic Split'!V51,'Dynamic Split'!C:C,1,0)</f>
        <v>#N/A</v>
      </c>
    </row>
    <row r="49" spans="1:3" x14ac:dyDescent="0.25">
      <c r="A49" t="e">
        <f>+VLOOKUP('Dynamic Split'!C52,'Dynamic Split'!V:V,1,0)</f>
        <v>#N/A</v>
      </c>
      <c r="C49" t="e">
        <f>VLOOKUP('Dynamic Split'!V52,'Dynamic Split'!C:C,1,0)</f>
        <v>#N/A</v>
      </c>
    </row>
    <row r="50" spans="1:3" x14ac:dyDescent="0.25">
      <c r="A50" t="e">
        <f>+VLOOKUP('Dynamic Split'!C53,'Dynamic Split'!V:V,1,0)</f>
        <v>#N/A</v>
      </c>
      <c r="C50" t="e">
        <f>VLOOKUP('Dynamic Split'!V53,'Dynamic Split'!C:C,1,0)</f>
        <v>#N/A</v>
      </c>
    </row>
    <row r="51" spans="1:3" x14ac:dyDescent="0.25">
      <c r="A51" t="e">
        <f>+VLOOKUP('Dynamic Split'!C54,'Dynamic Split'!V:V,1,0)</f>
        <v>#N/A</v>
      </c>
      <c r="C51" t="e">
        <f>VLOOKUP('Dynamic Split'!V54,'Dynamic Split'!C:C,1,0)</f>
        <v>#N/A</v>
      </c>
    </row>
    <row r="52" spans="1:3" x14ac:dyDescent="0.25">
      <c r="A52" t="e">
        <f>+VLOOKUP('Dynamic Split'!C55,'Dynamic Split'!V:V,1,0)</f>
        <v>#N/A</v>
      </c>
      <c r="C52" t="e">
        <f>VLOOKUP('Dynamic Split'!V55,'Dynamic Split'!C:C,1,0)</f>
        <v>#N/A</v>
      </c>
    </row>
    <row r="53" spans="1:3" x14ac:dyDescent="0.25">
      <c r="A53" t="e">
        <f>+VLOOKUP('Dynamic Split'!C56,'Dynamic Split'!V:V,1,0)</f>
        <v>#N/A</v>
      </c>
      <c r="C53" t="e">
        <f>VLOOKUP('Dynamic Split'!V56,'Dynamic Split'!C:C,1,0)</f>
        <v>#N/A</v>
      </c>
    </row>
    <row r="54" spans="1:3" x14ac:dyDescent="0.25">
      <c r="A54" t="e">
        <f>+VLOOKUP('Dynamic Split'!C57,'Dynamic Split'!V:V,1,0)</f>
        <v>#N/A</v>
      </c>
      <c r="C54" t="e">
        <f>VLOOKUP('Dynamic Split'!V57,'Dynamic Split'!C:C,1,0)</f>
        <v>#N/A</v>
      </c>
    </row>
    <row r="55" spans="1:3" x14ac:dyDescent="0.25">
      <c r="A55" t="e">
        <f>+VLOOKUP('Dynamic Split'!C58,'Dynamic Split'!V:V,1,0)</f>
        <v>#N/A</v>
      </c>
      <c r="C55" t="e">
        <f>VLOOKUP('Dynamic Split'!V58,'Dynamic Split'!C:C,1,0)</f>
        <v>#N/A</v>
      </c>
    </row>
    <row r="56" spans="1:3" x14ac:dyDescent="0.25">
      <c r="A56" t="e">
        <f>+VLOOKUP('Dynamic Split'!C59,'Dynamic Split'!V:V,1,0)</f>
        <v>#N/A</v>
      </c>
      <c r="C56" t="e">
        <f>VLOOKUP('Dynamic Split'!V59,'Dynamic Split'!C:C,1,0)</f>
        <v>#N/A</v>
      </c>
    </row>
    <row r="57" spans="1:3" x14ac:dyDescent="0.25">
      <c r="A57" t="e">
        <f>+VLOOKUP('Dynamic Split'!C60,'Dynamic Split'!V:V,1,0)</f>
        <v>#N/A</v>
      </c>
      <c r="C57" t="e">
        <f>VLOOKUP('Dynamic Split'!V60,'Dynamic Split'!C:C,1,0)</f>
        <v>#N/A</v>
      </c>
    </row>
    <row r="58" spans="1:3" x14ac:dyDescent="0.25">
      <c r="A58" t="e">
        <f>+VLOOKUP('Dynamic Split'!C61,'Dynamic Split'!V:V,1,0)</f>
        <v>#N/A</v>
      </c>
      <c r="C58" t="e">
        <f>VLOOKUP('Dynamic Split'!V61,'Dynamic Split'!C:C,1,0)</f>
        <v>#N/A</v>
      </c>
    </row>
    <row r="59" spans="1:3" x14ac:dyDescent="0.25">
      <c r="A59" t="e">
        <f>+VLOOKUP('Dynamic Split'!C62,'Dynamic Split'!V:V,1,0)</f>
        <v>#N/A</v>
      </c>
      <c r="C59" t="e">
        <f>VLOOKUP('Dynamic Split'!V62,'Dynamic Split'!C:C,1,0)</f>
        <v>#N/A</v>
      </c>
    </row>
    <row r="60" spans="1:3" x14ac:dyDescent="0.25">
      <c r="A60" t="e">
        <f>+VLOOKUP('Dynamic Split'!C63,'Dynamic Split'!V:V,1,0)</f>
        <v>#N/A</v>
      </c>
      <c r="C60" t="e">
        <f>VLOOKUP('Dynamic Split'!V63,'Dynamic Split'!C:C,1,0)</f>
        <v>#N/A</v>
      </c>
    </row>
    <row r="61" spans="1:3" x14ac:dyDescent="0.25">
      <c r="A61" t="e">
        <f>+VLOOKUP('Dynamic Split'!C64,'Dynamic Split'!V:V,1,0)</f>
        <v>#N/A</v>
      </c>
      <c r="C61" t="e">
        <f>VLOOKUP('Dynamic Split'!V64,'Dynamic Split'!C:C,1,0)</f>
        <v>#N/A</v>
      </c>
    </row>
    <row r="62" spans="1:3" x14ac:dyDescent="0.25">
      <c r="A62" t="e">
        <f>+VLOOKUP('Dynamic Split'!C65,'Dynamic Split'!V:V,1,0)</f>
        <v>#N/A</v>
      </c>
      <c r="C62" t="e">
        <f>VLOOKUP('Dynamic Split'!V65,'Dynamic Split'!C:C,1,0)</f>
        <v>#N/A</v>
      </c>
    </row>
    <row r="63" spans="1:3" x14ac:dyDescent="0.25">
      <c r="A63" t="e">
        <f>+VLOOKUP('Dynamic Split'!C66,'Dynamic Split'!V:V,1,0)</f>
        <v>#N/A</v>
      </c>
      <c r="C63" t="e">
        <f>VLOOKUP('Dynamic Split'!V66,'Dynamic Split'!C:C,1,0)</f>
        <v>#N/A</v>
      </c>
    </row>
    <row r="64" spans="1:3" x14ac:dyDescent="0.25">
      <c r="A64" t="e">
        <f>+VLOOKUP('Dynamic Split'!C67,'Dynamic Split'!V:V,1,0)</f>
        <v>#N/A</v>
      </c>
      <c r="C64" t="e">
        <f>VLOOKUP('Dynamic Split'!V67,'Dynamic Split'!C:C,1,0)</f>
        <v>#N/A</v>
      </c>
    </row>
    <row r="65" spans="1:3" x14ac:dyDescent="0.25">
      <c r="A65" t="e">
        <f>+VLOOKUP('Dynamic Split'!C68,'Dynamic Split'!V:V,1,0)</f>
        <v>#N/A</v>
      </c>
      <c r="C65" t="e">
        <f>VLOOKUP('Dynamic Split'!V68,'Dynamic Split'!C:C,1,0)</f>
        <v>#N/A</v>
      </c>
    </row>
    <row r="66" spans="1:3" x14ac:dyDescent="0.25">
      <c r="A66" t="e">
        <f>+VLOOKUP('Dynamic Split'!C69,'Dynamic Split'!V:V,1,0)</f>
        <v>#N/A</v>
      </c>
      <c r="C66" t="e">
        <f>VLOOKUP('Dynamic Split'!V69,'Dynamic Split'!C:C,1,0)</f>
        <v>#N/A</v>
      </c>
    </row>
    <row r="67" spans="1:3" x14ac:dyDescent="0.25">
      <c r="A67" t="e">
        <f>+VLOOKUP('Dynamic Split'!C70,'Dynamic Split'!V:V,1,0)</f>
        <v>#N/A</v>
      </c>
      <c r="C67" t="e">
        <f>VLOOKUP('Dynamic Split'!V70,'Dynamic Split'!C:C,1,0)</f>
        <v>#N/A</v>
      </c>
    </row>
    <row r="68" spans="1:3" x14ac:dyDescent="0.25">
      <c r="A68" t="e">
        <f>+VLOOKUP('Dynamic Split'!C71,'Dynamic Split'!V:V,1,0)</f>
        <v>#N/A</v>
      </c>
      <c r="C68" t="e">
        <f>VLOOKUP('Dynamic Split'!V71,'Dynamic Split'!C:C,1,0)</f>
        <v>#N/A</v>
      </c>
    </row>
    <row r="69" spans="1:3" x14ac:dyDescent="0.25">
      <c r="A69" t="e">
        <f>+VLOOKUP('Dynamic Split'!C72,'Dynamic Split'!V:V,1,0)</f>
        <v>#N/A</v>
      </c>
      <c r="C69" t="e">
        <f>VLOOKUP('Dynamic Split'!V72,'Dynamic Split'!C:C,1,0)</f>
        <v>#N/A</v>
      </c>
    </row>
    <row r="70" spans="1:3" x14ac:dyDescent="0.25">
      <c r="A70" t="e">
        <f>+VLOOKUP('Dynamic Split'!C73,'Dynamic Split'!V:V,1,0)</f>
        <v>#N/A</v>
      </c>
      <c r="C70" t="e">
        <f>VLOOKUP('Dynamic Split'!V73,'Dynamic Split'!C:C,1,0)</f>
        <v>#N/A</v>
      </c>
    </row>
    <row r="71" spans="1:3" x14ac:dyDescent="0.25">
      <c r="A71" t="e">
        <f>+VLOOKUP('Dynamic Split'!C74,'Dynamic Split'!V:V,1,0)</f>
        <v>#N/A</v>
      </c>
      <c r="C71" t="e">
        <f>VLOOKUP('Dynamic Split'!V74,'Dynamic Split'!C:C,1,0)</f>
        <v>#N/A</v>
      </c>
    </row>
    <row r="72" spans="1:3" x14ac:dyDescent="0.25">
      <c r="A72" t="e">
        <f>+VLOOKUP('Dynamic Split'!C75,'Dynamic Split'!V:V,1,0)</f>
        <v>#N/A</v>
      </c>
      <c r="C72" t="e">
        <f>VLOOKUP('Dynamic Split'!V75,'Dynamic Split'!C:C,1,0)</f>
        <v>#N/A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A2F55-1A6E-46B1-B204-80EC05E367E3}">
  <sheetPr codeName="Sheet2"/>
  <dimension ref="A1:Q559"/>
  <sheetViews>
    <sheetView zoomScale="115" zoomScaleNormal="115" workbookViewId="0">
      <pane ySplit="1" topLeftCell="A42" activePane="bottomLeft" state="frozen"/>
      <selection activeCell="D80" sqref="D80:D510"/>
      <selection pane="bottomLeft" activeCell="D80" sqref="D80:D510"/>
    </sheetView>
  </sheetViews>
  <sheetFormatPr defaultColWidth="11.5703125" defaultRowHeight="15" x14ac:dyDescent="0.25"/>
  <cols>
    <col min="1" max="1" width="57.140625" customWidth="1"/>
    <col min="2" max="2" width="7.28515625" bestFit="1" customWidth="1"/>
    <col min="3" max="3" width="9.5703125" bestFit="1" customWidth="1"/>
    <col min="4" max="4" width="52" customWidth="1"/>
    <col min="6" max="6" width="7.7109375" bestFit="1" customWidth="1"/>
    <col min="8" max="8" width="12" customWidth="1"/>
    <col min="9" max="9" width="38.5703125" bestFit="1" customWidth="1"/>
    <col min="10" max="10" width="51.5703125" customWidth="1"/>
    <col min="11" max="11" width="14.5703125" customWidth="1"/>
    <col min="12" max="12" width="7.140625" customWidth="1"/>
    <col min="13" max="16" width="18.42578125" style="32" customWidth="1"/>
    <col min="17" max="17" width="7.42578125" style="32" bestFit="1" customWidth="1"/>
  </cols>
  <sheetData>
    <row r="1" spans="1:17" s="32" customFormat="1" x14ac:dyDescent="0.25">
      <c r="A1" s="32" t="s">
        <v>92</v>
      </c>
      <c r="B1" s="73" t="s">
        <v>25</v>
      </c>
      <c r="C1" s="73" t="s">
        <v>29</v>
      </c>
      <c r="D1" s="73" t="s">
        <v>27</v>
      </c>
      <c r="E1" s="32" t="s">
        <v>26</v>
      </c>
      <c r="F1" s="32" t="s">
        <v>54</v>
      </c>
      <c r="G1" s="32" t="s">
        <v>30</v>
      </c>
      <c r="H1" s="32" t="s">
        <v>1</v>
      </c>
      <c r="I1" s="32" t="s">
        <v>52</v>
      </c>
      <c r="J1" s="32" t="s">
        <v>28</v>
      </c>
      <c r="K1" s="32" t="s">
        <v>53</v>
      </c>
      <c r="L1" s="32" t="s">
        <v>114</v>
      </c>
      <c r="M1" s="32" t="s">
        <v>115</v>
      </c>
      <c r="N1" s="32" t="s">
        <v>116</v>
      </c>
      <c r="O1" s="32" t="s">
        <v>102</v>
      </c>
      <c r="P1" s="32" t="s">
        <v>117</v>
      </c>
      <c r="Q1" s="32" t="s">
        <v>286</v>
      </c>
    </row>
    <row r="2" spans="1:17" hidden="1" x14ac:dyDescent="0.25">
      <c r="A2" t="str">
        <f>+Tabla3[[#This Row],[Site]]&amp;Tabla3[[#This Row],[Split]]</f>
        <v>(AS) 3281 Storage Lot (NO TOURS)1</v>
      </c>
      <c r="B2">
        <v>1</v>
      </c>
      <c r="C2">
        <v>1</v>
      </c>
      <c r="D2" t="s">
        <v>374</v>
      </c>
      <c r="E2" t="str">
        <f>VLOOKUP(Tabla3[[#This Row],[Site]],Table35[],10,FALSE)</f>
        <v>10:00 P.M.</v>
      </c>
      <c r="F2" t="str">
        <f>VLOOKUP(Tabla3[[#This Row],[Site]],Table35[],11,FALSE)</f>
        <v>CT</v>
      </c>
      <c r="G2" t="str">
        <f>VLOOKUP(Tabla3[[#This Row],[Site]],Table35[],12,FALSE)</f>
        <v>6:00 A.M.</v>
      </c>
      <c r="H2" s="74" t="str">
        <f>HYPERLINK(VLOOKUP(Tabla3[[#This Row],[Site]],Table35[#All],9,FALSE))</f>
        <v>https://tools.sig.systems/site/details/305</v>
      </c>
      <c r="I2" t="str">
        <f>VLOOKUP(Tabla3[[#This Row],[Site]],Table35[],13,FALSE)</f>
        <v>https://www.google.com/maps/d/edit?hl=es&amp;mid=1uPmsRMsXnp74hPFW2t-sp2totVWF_xY&amp;ll=32.83050137713022%2C-96.83197783061323&amp;z=17</v>
      </c>
      <c r="J2" t="str">
        <f>VLOOKUP(Tabla3[[#This Row],[Site]],Table35[],14,FALSE)</f>
        <v>-</v>
      </c>
      <c r="L2" s="32" t="str">
        <f>VLOOKUP(Tabla3[[#This Row],[Site]],Table35[#All],2,FALSE)</f>
        <v>-</v>
      </c>
      <c r="M2" s="32" t="str">
        <f>VLOOKUP(Tabla3[[#This Row],[Site]],Table35[#All],3,FALSE)</f>
        <v>2, 14</v>
      </c>
      <c r="N2" s="32" t="str">
        <f>VLOOKUP(Tabla3[[#This Row],[Site]],Table35[#All],4,FALSE)</f>
        <v>-</v>
      </c>
      <c r="O2" s="32" t="str">
        <f>VLOOKUP(Tabla3[[#This Row],[Site]],Table35[#All],5,FALSE)</f>
        <v>-</v>
      </c>
      <c r="P2" s="32" t="str">
        <f>VLOOKUP(Tabla3[[#This Row],[Site]],Table35[#All],6,FALSE)</f>
        <v>1, 3, 9, 10, 14</v>
      </c>
      <c r="Q2" s="32">
        <f>VLOOKUP(Tabla3[[#This Row],[Site]],Table35[#All],8,FALSE)</f>
        <v>305</v>
      </c>
    </row>
    <row r="3" spans="1:17" hidden="1" x14ac:dyDescent="0.25">
      <c r="A3" t="str">
        <f>+Tabla3[[#This Row],[Site]]&amp;Tabla3[[#This Row],[Split]]</f>
        <v>(AS) Coggin BMW Ft. Pierce (NO TOURS)1</v>
      </c>
      <c r="B3">
        <v>1</v>
      </c>
      <c r="C3">
        <v>1</v>
      </c>
      <c r="D3" t="s">
        <v>121</v>
      </c>
      <c r="E3" t="str">
        <f>VLOOKUP(Tabla3[[#This Row],[Site]],Table35[],10,FALSE)</f>
        <v>9:00 P.M.</v>
      </c>
      <c r="F3" t="str">
        <f>VLOOKUP(Tabla3[[#This Row],[Site]],Table35[],11,FALSE)</f>
        <v>ET</v>
      </c>
      <c r="G3" t="str">
        <f>VLOOKUP(Tabla3[[#This Row],[Site]],Table35[],12,FALSE)</f>
        <v>5:00 A.M.</v>
      </c>
      <c r="H3" s="74" t="str">
        <f>HYPERLINK(VLOOKUP(Tabla3[[#This Row],[Site]],Table35[#All],9,FALSE))</f>
        <v>https://tools.sig.systems/site/details/119</v>
      </c>
      <c r="I3" t="str">
        <f>VLOOKUP(Tabla3[[#This Row],[Site]],Table35[],13,FALSE)</f>
        <v>https://www.google.com/maps/d/viewer?mid=1AyViBuyeq7iwDua1SVudJ2A1BYi3IBA&amp;ll=27.38181516363982%2C-80.32568845000002&amp;z=18</v>
      </c>
      <c r="J3" t="str">
        <f>VLOOKUP(Tabla3[[#This Row],[Site]],Table35[],14,FALSE)</f>
        <v>-</v>
      </c>
      <c r="L3" s="32" t="str">
        <f>VLOOKUP(Tabla3[[#This Row],[Site]],Table35[#All],2,FALSE)</f>
        <v>3, 10, 13</v>
      </c>
      <c r="M3" s="32" t="str">
        <f>VLOOKUP(Tabla3[[#This Row],[Site]],Table35[#All],3,FALSE)</f>
        <v>-</v>
      </c>
      <c r="N3" s="32" t="str">
        <f>VLOOKUP(Tabla3[[#This Row],[Site]],Table35[#All],4,FALSE)</f>
        <v>-</v>
      </c>
      <c r="O3" s="32">
        <f>VLOOKUP(Tabla3[[#This Row],[Site]],Table35[#All],5,FALSE)</f>
        <v>2</v>
      </c>
      <c r="P3" s="32" t="str">
        <f>VLOOKUP(Tabla3[[#This Row],[Site]],Table35[#All],6,FALSE)</f>
        <v>1, 20, 27</v>
      </c>
      <c r="Q3" s="32" t="str">
        <f>VLOOKUP(Tabla3[[#This Row],[Site]],Table35[#All],8,FALSE)</f>
        <v>119</v>
      </c>
    </row>
    <row r="4" spans="1:17" hidden="1" x14ac:dyDescent="0.25">
      <c r="A4" t="str">
        <f>+Tabla3[[#This Row],[Site]]&amp;Tabla3[[#This Row],[Split]]</f>
        <v>(AS) Coggin Collision Center of Kissimmee (NO TOURS)1</v>
      </c>
      <c r="B4">
        <v>1</v>
      </c>
      <c r="C4">
        <v>1</v>
      </c>
      <c r="D4" t="s">
        <v>285</v>
      </c>
      <c r="E4" t="str">
        <f>VLOOKUP(Tabla3[[#This Row],[Site]],Table35[],10,FALSE)</f>
        <v>9:00 P.M.</v>
      </c>
      <c r="F4" t="str">
        <f>VLOOKUP(Tabla3[[#This Row],[Site]],Table35[],11,FALSE)</f>
        <v>ET</v>
      </c>
      <c r="G4" t="str">
        <f>VLOOKUP(Tabla3[[#This Row],[Site]],Table35[],12,FALSE)</f>
        <v>5:00 A.M.</v>
      </c>
      <c r="H4" s="74" t="str">
        <f>HYPERLINK(VLOOKUP(Tabla3[[#This Row],[Site]],Table35[#All],9,FALSE))</f>
        <v>https://tools.sig.systems/site/details/331</v>
      </c>
      <c r="I4">
        <f>VLOOKUP(Tabla3[[#This Row],[Site]],Table35[],13,FALSE)</f>
        <v>0</v>
      </c>
      <c r="J4" t="str">
        <f>VLOOKUP(Tabla3[[#This Row],[Site]],Table35[],14,FALSE)</f>
        <v>-</v>
      </c>
      <c r="L4" s="32" t="str">
        <f>VLOOKUP(Tabla3[[#This Row],[Site]],Table35[#All],2,FALSE)</f>
        <v>1, 12</v>
      </c>
      <c r="M4" s="32" t="str">
        <f>VLOOKUP(Tabla3[[#This Row],[Site]],Table35[#All],3,FALSE)</f>
        <v>-</v>
      </c>
      <c r="N4" s="32" t="str">
        <f>VLOOKUP(Tabla3[[#This Row],[Site]],Table35[#All],4,FALSE)</f>
        <v>-</v>
      </c>
      <c r="O4" s="32" t="str">
        <f>VLOOKUP(Tabla3[[#This Row],[Site]],Table35[#All],5,FALSE)</f>
        <v>-</v>
      </c>
      <c r="P4" s="32" t="str">
        <f>VLOOKUP(Tabla3[[#This Row],[Site]],Table35[#All],6,FALSE)</f>
        <v>2, 7, 9</v>
      </c>
      <c r="Q4" s="32" t="str">
        <f>VLOOKUP(Tabla3[[#This Row],[Site]],Table35[#All],8,FALSE)</f>
        <v>331</v>
      </c>
    </row>
    <row r="5" spans="1:17" hidden="1" x14ac:dyDescent="0.25">
      <c r="A5" t="str">
        <f>+Tabla3[[#This Row],[Site]]&amp;Tabla3[[#This Row],[Split]]</f>
        <v>(AS) Coggin Honda of Orlando (NO TOURS)1</v>
      </c>
      <c r="B5">
        <v>1</v>
      </c>
      <c r="C5">
        <v>1</v>
      </c>
      <c r="D5" t="s">
        <v>375</v>
      </c>
      <c r="E5" t="str">
        <f>VLOOKUP(Tabla3[[#This Row],[Site]],Table35[],10,FALSE)</f>
        <v>9:00 P.M.</v>
      </c>
      <c r="F5" t="str">
        <f>VLOOKUP(Tabla3[[#This Row],[Site]],Table35[],11,FALSE)</f>
        <v>ET</v>
      </c>
      <c r="G5" t="str">
        <f>VLOOKUP(Tabla3[[#This Row],[Site]],Table35[],12,FALSE)</f>
        <v>5:00 A.M.</v>
      </c>
      <c r="H5" s="74" t="str">
        <f>HYPERLINK(VLOOKUP(Tabla3[[#This Row],[Site]],Table35[#All],9,FALSE))</f>
        <v>https://tools.sig.systems/site/details/324</v>
      </c>
      <c r="I5">
        <f>VLOOKUP(Tabla3[[#This Row],[Site]],Table35[],13,FALSE)</f>
        <v>0</v>
      </c>
      <c r="J5" t="str">
        <f>VLOOKUP(Tabla3[[#This Row],[Site]],Table35[],14,FALSE)</f>
        <v>11:00 A.M.</v>
      </c>
      <c r="L5" s="32" t="str">
        <f>VLOOKUP(Tabla3[[#This Row],[Site]],Table35[#All],2,FALSE)</f>
        <v>2, 10, 12B, 14, 38</v>
      </c>
      <c r="M5" s="32" t="str">
        <f>VLOOKUP(Tabla3[[#This Row],[Site]],Table35[#All],3,FALSE)</f>
        <v>-</v>
      </c>
      <c r="N5" s="32" t="str">
        <f>VLOOKUP(Tabla3[[#This Row],[Site]],Table35[#All],4,FALSE)</f>
        <v>-</v>
      </c>
      <c r="O5" s="32" t="str">
        <f>VLOOKUP(Tabla3[[#This Row],[Site]],Table35[#All],5,FALSE)</f>
        <v>12, 31</v>
      </c>
      <c r="P5" s="32" t="str">
        <f>VLOOKUP(Tabla3[[#This Row],[Site]],Table35[#All],6,FALSE)</f>
        <v>12B, 26, 37, 19</v>
      </c>
      <c r="Q5" s="32" t="str">
        <f>VLOOKUP(Tabla3[[#This Row],[Site]],Table35[#All],8,FALSE)</f>
        <v>324</v>
      </c>
    </row>
    <row r="6" spans="1:17" hidden="1" x14ac:dyDescent="0.25">
      <c r="A6" t="str">
        <f>+Tabla3[[#This Row],[Site]]&amp;Tabla3[[#This Row],[Split]]</f>
        <v>(AS) Hare Chevrolet (NO TOURS)1</v>
      </c>
      <c r="B6">
        <v>1</v>
      </c>
      <c r="C6">
        <v>1</v>
      </c>
      <c r="D6" t="s">
        <v>376</v>
      </c>
      <c r="E6" t="str">
        <f>VLOOKUP(Tabla3[[#This Row],[Site]],Table35[],10,FALSE)</f>
        <v>9:00 P.M.</v>
      </c>
      <c r="F6" t="str">
        <f>VLOOKUP(Tabla3[[#This Row],[Site]],Table35[],11,FALSE)</f>
        <v>ET</v>
      </c>
      <c r="G6" t="str">
        <f>VLOOKUP(Tabla3[[#This Row],[Site]],Table35[],12,FALSE)</f>
        <v>5:00 A.M.</v>
      </c>
      <c r="H6" s="74" t="str">
        <f>HYPERLINK(VLOOKUP(Tabla3[[#This Row],[Site]],Table35[#All],9,FALSE))</f>
        <v>https://tools.sig.systems/site/details/301</v>
      </c>
      <c r="I6" t="str">
        <f>VLOOKUP(Tabla3[[#This Row],[Site]],Table35[],13,FALSE)</f>
        <v>https://www.google.com/maps/d/edit?mid=1hsX5GGrNcCQgAuzDCDz1OWgEkhsAc78&amp;usp=sharing</v>
      </c>
      <c r="J6" t="str">
        <f>VLOOKUP(Tabla3[[#This Row],[Site]],Table35[],14,FALSE)</f>
        <v>-</v>
      </c>
      <c r="L6" s="32" t="str">
        <f>VLOOKUP(Tabla3[[#This Row],[Site]],Table35[#All],2,FALSE)</f>
        <v>18, 24</v>
      </c>
      <c r="M6" s="32" t="str">
        <f>VLOOKUP(Tabla3[[#This Row],[Site]],Table35[#All],3,FALSE)</f>
        <v>2, 3</v>
      </c>
      <c r="N6" s="32" t="str">
        <f>VLOOKUP(Tabla3[[#This Row],[Site]],Table35[#All],4,FALSE)</f>
        <v>-</v>
      </c>
      <c r="O6" s="32">
        <f>VLOOKUP(Tabla3[[#This Row],[Site]],Table35[#All],5,FALSE)</f>
        <v>5</v>
      </c>
      <c r="P6" s="32" t="str">
        <f>VLOOKUP(Tabla3[[#This Row],[Site]],Table35[#All],6,FALSE)</f>
        <v>1, 5, 7, 8, 21, 29</v>
      </c>
      <c r="Q6" s="32" t="str">
        <f>VLOOKUP(Tabla3[[#This Row],[Site]],Table35[#All],8,FALSE)</f>
        <v>301</v>
      </c>
    </row>
    <row r="7" spans="1:17" hidden="1" x14ac:dyDescent="0.25">
      <c r="A7" t="str">
        <f>+Tabla3[[#This Row],[Site]]&amp;Tabla3[[#This Row],[Split]]</f>
        <v>(AS) Hare Truck Center (NO TOURS)1</v>
      </c>
      <c r="B7">
        <v>1</v>
      </c>
      <c r="C7">
        <v>1</v>
      </c>
      <c r="D7" t="s">
        <v>377</v>
      </c>
      <c r="E7" t="str">
        <f>VLOOKUP(Tabla3[[#This Row],[Site]],Table35[],10,FALSE)</f>
        <v>9:00 P.M.</v>
      </c>
      <c r="F7" t="str">
        <f>VLOOKUP(Tabla3[[#This Row],[Site]],Table35[],11,FALSE)</f>
        <v>ET</v>
      </c>
      <c r="G7" t="str">
        <f>VLOOKUP(Tabla3[[#This Row],[Site]],Table35[],12,FALSE)</f>
        <v>5:00 A.M.</v>
      </c>
      <c r="H7" s="74" t="str">
        <f>HYPERLINK(VLOOKUP(Tabla3[[#This Row],[Site]],Table35[#All],9,FALSE))</f>
        <v>https://tools.sig.systems/site/details/300</v>
      </c>
      <c r="I7" t="str">
        <f>VLOOKUP(Tabla3[[#This Row],[Site]],Table35[],13,FALSE)</f>
        <v>https://www.google.com/maps/d/edit?mid=1hsX5GGrNcCQgAuzDCDz1OWgEkhsAc78&amp;usp=sharing</v>
      </c>
      <c r="J7" t="str">
        <f>VLOOKUP(Tabla3[[#This Row],[Site]],Table35[],14,FALSE)</f>
        <v>-</v>
      </c>
      <c r="L7" s="32" t="str">
        <f>VLOOKUP(Tabla3[[#This Row],[Site]],Table35[#All],2,FALSE)</f>
        <v>-</v>
      </c>
      <c r="M7" s="32" t="str">
        <f>VLOOKUP(Tabla3[[#This Row],[Site]],Table35[#All],3,FALSE)</f>
        <v>1, 5</v>
      </c>
      <c r="N7" s="32" t="str">
        <f>VLOOKUP(Tabla3[[#This Row],[Site]],Table35[#All],4,FALSE)</f>
        <v>-</v>
      </c>
      <c r="O7" s="32" t="str">
        <f>VLOOKUP(Tabla3[[#This Row],[Site]],Table35[#All],5,FALSE)</f>
        <v>-</v>
      </c>
      <c r="P7" s="32" t="str">
        <f>VLOOKUP(Tabla3[[#This Row],[Site]],Table35[#All],6,FALSE)</f>
        <v xml:space="preserve">2, 6, 10, 12, 17 </v>
      </c>
      <c r="Q7" s="32" t="str">
        <f>VLOOKUP(Tabla3[[#This Row],[Site]],Table35[#All],8,FALSE)</f>
        <v>300</v>
      </c>
    </row>
    <row r="8" spans="1:17" hidden="1" x14ac:dyDescent="0.25">
      <c r="A8" t="str">
        <f>+Tabla3[[#This Row],[Site]]&amp;Tabla3[[#This Row],[Split]]</f>
        <v>(AS) Kahlo CDJR (NO TOURS)1</v>
      </c>
      <c r="B8">
        <v>1</v>
      </c>
      <c r="C8">
        <v>1</v>
      </c>
      <c r="D8" t="s">
        <v>378</v>
      </c>
      <c r="E8" t="str">
        <f>VLOOKUP(Tabla3[[#This Row],[Site]],Table35[],10,FALSE)</f>
        <v>9:00 P.M.</v>
      </c>
      <c r="F8" t="str">
        <f>VLOOKUP(Tabla3[[#This Row],[Site]],Table35[],11,FALSE)</f>
        <v>ET</v>
      </c>
      <c r="G8" t="str">
        <f>VLOOKUP(Tabla3[[#This Row],[Site]],Table35[],12,FALSE)</f>
        <v>5:00 A.M.</v>
      </c>
      <c r="H8" s="74" t="str">
        <f>HYPERLINK(VLOOKUP(Tabla3[[#This Row],[Site]],Table35[#All],9,FALSE))</f>
        <v>https://tools.sig.systems/site/details/282</v>
      </c>
      <c r="I8" t="str">
        <f>VLOOKUP(Tabla3[[#This Row],[Site]],Table35[],13,FALSE)</f>
        <v>https://www.google.com/maps/d/edit?mid=1hsX5GGrNcCQgAuzDCDz1OWgEkhsAc78&amp;usp=sharing</v>
      </c>
      <c r="J8" t="str">
        <f>VLOOKUP(Tabla3[[#This Row],[Site]],Table35[],14,FALSE)</f>
        <v>-</v>
      </c>
      <c r="L8" s="32" t="str">
        <f>VLOOKUP(Tabla3[[#This Row],[Site]],Table35[#All],2,FALSE)</f>
        <v>-</v>
      </c>
      <c r="M8" s="32" t="str">
        <f>VLOOKUP(Tabla3[[#This Row],[Site]],Table35[#All],3,FALSE)</f>
        <v>12, 25</v>
      </c>
      <c r="N8" s="32" t="str">
        <f>VLOOKUP(Tabla3[[#This Row],[Site]],Table35[#All],4,FALSE)</f>
        <v>15, 16</v>
      </c>
      <c r="O8" s="32">
        <f>VLOOKUP(Tabla3[[#This Row],[Site]],Table35[#All],5,FALSE)</f>
        <v>20</v>
      </c>
      <c r="P8" s="32" t="str">
        <f>VLOOKUP(Tabla3[[#This Row],[Site]],Table35[#All],6,FALSE)</f>
        <v>1, 2, 9, 22, 31, 57</v>
      </c>
      <c r="Q8" s="32" t="str">
        <f>VLOOKUP(Tabla3[[#This Row],[Site]],Table35[#All],8,FALSE)</f>
        <v>282</v>
      </c>
    </row>
    <row r="9" spans="1:17" hidden="1" x14ac:dyDescent="0.25">
      <c r="A9" t="str">
        <f>+Tabla3[[#This Row],[Site]]&amp;Tabla3[[#This Row],[Split]]</f>
        <v>(AS) Koons Annapolis Toyota (NO TOURS)1</v>
      </c>
      <c r="B9">
        <v>1</v>
      </c>
      <c r="C9">
        <v>1</v>
      </c>
      <c r="D9" t="s">
        <v>446</v>
      </c>
      <c r="E9" t="str">
        <f>VLOOKUP(Tabla3[[#This Row],[Site]],Table35[],10,FALSE)</f>
        <v>9:00 P.M.</v>
      </c>
      <c r="F9" t="str">
        <f>VLOOKUP(Tabla3[[#This Row],[Site]],Table35[],11,FALSE)</f>
        <v>ET</v>
      </c>
      <c r="G9" t="str">
        <f>VLOOKUP(Tabla3[[#This Row],[Site]],Table35[],12,FALSE)</f>
        <v>5:00 A.M.</v>
      </c>
      <c r="H9" s="74" t="str">
        <f>HYPERLINK(VLOOKUP(Tabla3[[#This Row],[Site]],Table35[#All],9,FALSE))</f>
        <v>https://tools.sig.systems/site/details/337</v>
      </c>
      <c r="I9">
        <f>VLOOKUP(Tabla3[[#This Row],[Site]],Table35[],13,FALSE)</f>
        <v>0</v>
      </c>
      <c r="J9" t="str">
        <f>VLOOKUP(Tabla3[[#This Row],[Site]],Table35[],14,FALSE)</f>
        <v>-</v>
      </c>
      <c r="L9" s="32">
        <f>VLOOKUP(Tabla3[[#This Row],[Site]],Table35[#All],2,FALSE)</f>
        <v>6</v>
      </c>
      <c r="M9" s="32" t="str">
        <f>VLOOKUP(Tabla3[[#This Row],[Site]],Table35[#All],3,FALSE)</f>
        <v>1, 6, 21</v>
      </c>
      <c r="N9" s="32" t="str">
        <f>VLOOKUP(Tabla3[[#This Row],[Site]],Table35[#All],4,FALSE)</f>
        <v>-</v>
      </c>
      <c r="O9" s="32" t="str">
        <f>VLOOKUP(Tabla3[[#This Row],[Site]],Table35[#All],5,FALSE)</f>
        <v>-</v>
      </c>
      <c r="P9" s="32" t="str">
        <f>VLOOKUP(Tabla3[[#This Row],[Site]],Table35[#All],6,FALSE)</f>
        <v>3, 5, 7, 19</v>
      </c>
      <c r="Q9" s="32" t="str">
        <f>VLOOKUP(Tabla3[[#This Row],[Site]],Table35[#All],8,FALSE)</f>
        <v>337</v>
      </c>
    </row>
    <row r="10" spans="1:17" hidden="1" x14ac:dyDescent="0.25">
      <c r="A10" t="str">
        <f>+Tabla3[[#This Row],[Site]]&amp;Tabla3[[#This Row],[Split]]</f>
        <v>(AS) Koons Arlington Toyota - New Car (NO TOURS)1</v>
      </c>
      <c r="B10">
        <v>1</v>
      </c>
      <c r="C10">
        <v>1</v>
      </c>
      <c r="D10" t="s">
        <v>380</v>
      </c>
      <c r="E10" t="str">
        <f>VLOOKUP(Tabla3[[#This Row],[Site]],Table35[],10,FALSE)</f>
        <v>9:00 P.M.</v>
      </c>
      <c r="F10" t="str">
        <f>VLOOKUP(Tabla3[[#This Row],[Site]],Table35[],11,FALSE)</f>
        <v>ET</v>
      </c>
      <c r="G10" t="str">
        <f>VLOOKUP(Tabla3[[#This Row],[Site]],Table35[],12,FALSE)</f>
        <v>5:00 A.M.</v>
      </c>
      <c r="H10" s="74" t="str">
        <f>HYPERLINK(VLOOKUP(Tabla3[[#This Row],[Site]],Table35[#All],9,FALSE))</f>
        <v>https://tools.sig.systems/site/details/334</v>
      </c>
      <c r="I10">
        <f>VLOOKUP(Tabla3[[#This Row],[Site]],Table35[],13,FALSE)</f>
        <v>0</v>
      </c>
      <c r="J10" t="str">
        <f>VLOOKUP(Tabla3[[#This Row],[Site]],Table35[],14,FALSE)</f>
        <v>10:00 A.M.</v>
      </c>
      <c r="L10" s="32" t="str">
        <f>VLOOKUP(Tabla3[[#This Row],[Site]],Table35[#All],2,FALSE)</f>
        <v>-</v>
      </c>
      <c r="M10" s="32" t="str">
        <f>VLOOKUP(Tabla3[[#This Row],[Site]],Table35[#All],3,FALSE)</f>
        <v>1, 3, 12, 15, 17</v>
      </c>
      <c r="N10" s="32" t="str">
        <f>VLOOKUP(Tabla3[[#This Row],[Site]],Table35[#All],4,FALSE)</f>
        <v>-</v>
      </c>
      <c r="O10" s="32" t="str">
        <f>VLOOKUP(Tabla3[[#This Row],[Site]],Table35[#All],5,FALSE)</f>
        <v>-</v>
      </c>
      <c r="P10" s="32" t="str">
        <f>VLOOKUP(Tabla3[[#This Row],[Site]],Table35[#All],6,FALSE)</f>
        <v>2, 6, 18, 20</v>
      </c>
      <c r="Q10" s="32" t="str">
        <f>VLOOKUP(Tabla3[[#This Row],[Site]],Table35[#All],8,FALSE)</f>
        <v>334</v>
      </c>
    </row>
    <row r="11" spans="1:17" hidden="1" x14ac:dyDescent="0.25">
      <c r="A11" t="str">
        <f>+Tabla3[[#This Row],[Site]]&amp;Tabla3[[#This Row],[Split]]</f>
        <v>(AS) Koons Baltimore Ford - Main Dealership (NO TOURS)1</v>
      </c>
      <c r="B11">
        <v>1</v>
      </c>
      <c r="C11">
        <v>1</v>
      </c>
      <c r="D11" t="s">
        <v>351</v>
      </c>
      <c r="E11" t="str">
        <f>VLOOKUP(Tabla3[[#This Row],[Site]],Table35[],10,FALSE)</f>
        <v>9:00 P.M.</v>
      </c>
      <c r="F11" t="str">
        <f>VLOOKUP(Tabla3[[#This Row],[Site]],Table35[],11,FALSE)</f>
        <v>ET</v>
      </c>
      <c r="G11" t="str">
        <f>VLOOKUP(Tabla3[[#This Row],[Site]],Table35[],12,FALSE)</f>
        <v>5:00 A.M.</v>
      </c>
      <c r="H11" s="74" t="str">
        <f>HYPERLINK(VLOOKUP(Tabla3[[#This Row],[Site]],Table35[#All],9,FALSE))</f>
        <v>https://tools.sig.systems/site/details/335</v>
      </c>
      <c r="I11" t="str">
        <f>VLOOKUP(Tabla3[[#This Row],[Site]],Table35[],13,FALSE)</f>
        <v>-</v>
      </c>
      <c r="J11" t="str">
        <f>VLOOKUP(Tabla3[[#This Row],[Site]],Table35[],14,FALSE)</f>
        <v>-</v>
      </c>
      <c r="L11" s="32" t="str">
        <f>VLOOKUP(Tabla3[[#This Row],[Site]],Table35[#All],2,FALSE)</f>
        <v>21, 22, 24, 32, 45</v>
      </c>
      <c r="M11" s="32">
        <f>VLOOKUP(Tabla3[[#This Row],[Site]],Table35[#All],3,FALSE)</f>
        <v>1</v>
      </c>
      <c r="N11" s="32" t="str">
        <f>VLOOKUP(Tabla3[[#This Row],[Site]],Table35[#All],4,FALSE)</f>
        <v>-</v>
      </c>
      <c r="O11" s="32" t="str">
        <f>VLOOKUP(Tabla3[[#This Row],[Site]],Table35[#All],5,FALSE)</f>
        <v>1, 8</v>
      </c>
      <c r="P11" s="32" t="str">
        <f>VLOOKUP(Tabla3[[#This Row],[Site]],Table35[#All],6,FALSE)</f>
        <v>5, 28, 38</v>
      </c>
      <c r="Q11" s="32">
        <v>335</v>
      </c>
    </row>
    <row r="12" spans="1:17" hidden="1" x14ac:dyDescent="0.25">
      <c r="A12" t="str">
        <f>+Tabla3[[#This Row],[Site]]&amp;Tabla3[[#This Row],[Split]]</f>
        <v>(AS) Koons Chevrolet Buick GMC - Clarksville (NO TOURS)1</v>
      </c>
      <c r="B12">
        <v>1</v>
      </c>
      <c r="C12">
        <v>1</v>
      </c>
      <c r="D12" t="s">
        <v>379</v>
      </c>
      <c r="E12" t="str">
        <f>VLOOKUP(Tabla3[[#This Row],[Site]],Table35[],10,FALSE)</f>
        <v>9:00 P.M.</v>
      </c>
      <c r="F12" t="str">
        <f>VLOOKUP(Tabla3[[#This Row],[Site]],Table35[],11,FALSE)</f>
        <v>ET</v>
      </c>
      <c r="G12" t="str">
        <f>VLOOKUP(Tabla3[[#This Row],[Site]],Table35[],12,FALSE)</f>
        <v>5:00 A.M.</v>
      </c>
      <c r="H12" s="74" t="str">
        <f>HYPERLINK(VLOOKUP(Tabla3[[#This Row],[Site]],Table35[#All],9,FALSE))</f>
        <v>https://tools.sig.systems/site/details/306</v>
      </c>
      <c r="I12" t="str">
        <f>VLOOKUP(Tabla3[[#This Row],[Site]],Table35[],13,FALSE)</f>
        <v>https://www.google.com/maps/d/edit?hl=es&amp;mid=11XB1lTSP7EcDCDvzypdUPWP6bWCNAEI&amp;ll=39.21145022420528%2C-76.94003711910554&amp;z=17</v>
      </c>
      <c r="J12" t="str">
        <f>VLOOKUP(Tabla3[[#This Row],[Site]],Table35[],14,FALSE)</f>
        <v>10:00 A.M.</v>
      </c>
      <c r="L12" s="32" t="str">
        <f>VLOOKUP(Tabla3[[#This Row],[Site]],Table35[#All],2,FALSE)</f>
        <v>-</v>
      </c>
      <c r="M12" s="32" t="str">
        <f>VLOOKUP(Tabla3[[#This Row],[Site]],Table35[#All],3,FALSE)</f>
        <v>1, 22, 26, 28, 29</v>
      </c>
      <c r="N12" s="32" t="str">
        <f>VLOOKUP(Tabla3[[#This Row],[Site]],Table35[#All],4,FALSE)</f>
        <v>-</v>
      </c>
      <c r="O12" s="32" t="str">
        <f>VLOOKUP(Tabla3[[#This Row],[Site]],Table35[#All],5,FALSE)</f>
        <v>-</v>
      </c>
      <c r="P12" s="32" t="str">
        <f>VLOOKUP(Tabla3[[#This Row],[Site]],Table35[#All],6,FALSE)</f>
        <v>3, 11, 15, 23</v>
      </c>
      <c r="Q12" s="32" t="str">
        <f>VLOOKUP(Tabla3[[#This Row],[Site]],Table35[#All],8,FALSE)</f>
        <v>306</v>
      </c>
    </row>
    <row r="13" spans="1:17" hidden="1" x14ac:dyDescent="0.25">
      <c r="A13" t="str">
        <f>+Tabla3[[#This Row],[Site]]&amp;Tabla3[[#This Row],[Split]]</f>
        <v>(AS) Koons Chevrolet Buick GMC - Clarksville Remote Lot (NO TOURS)1</v>
      </c>
      <c r="B13">
        <v>1</v>
      </c>
      <c r="C13">
        <v>1</v>
      </c>
      <c r="D13" t="s">
        <v>415</v>
      </c>
      <c r="E13" t="str">
        <f>VLOOKUP(Tabla3[[#This Row],[Site]],Table35[],10,FALSE)</f>
        <v>9:00 P.M.</v>
      </c>
      <c r="F13" t="str">
        <f>VLOOKUP(Tabla3[[#This Row],[Site]],Table35[],11,FALSE)</f>
        <v>ET</v>
      </c>
      <c r="G13" t="str">
        <f>VLOOKUP(Tabla3[[#This Row],[Site]],Table35[],12,FALSE)</f>
        <v>5:00 A.M.</v>
      </c>
      <c r="H13" s="74" t="str">
        <f>HYPERLINK(VLOOKUP(Tabla3[[#This Row],[Site]],Table35[#All],9,FALSE))</f>
        <v>https://tools.sig.systems/site/details/308</v>
      </c>
      <c r="I13" t="str">
        <f>VLOOKUP(Tabla3[[#This Row],[Site]],Table35[],13,FALSE)</f>
        <v>https://www.google.com/maps/d/edit?hl=es&amp;mid=11XB1lTSP7EcDCDvzypdUPWP6bWCNAEI&amp;ll=39.21145022420528%2C-76.94003711910554&amp;z=21</v>
      </c>
      <c r="J13" t="str">
        <f>VLOOKUP(Tabla3[[#This Row],[Site]],Table35[],14,FALSE)</f>
        <v>10:00 A.M.</v>
      </c>
      <c r="L13" s="32" t="str">
        <f>VLOOKUP(Tabla3[[#This Row],[Site]],Table35[#All],2,FALSE)</f>
        <v>-</v>
      </c>
      <c r="M13" s="32" t="str">
        <f>VLOOKUP(Tabla3[[#This Row],[Site]],Table35[#All],3,FALSE)</f>
        <v>1, 5</v>
      </c>
      <c r="N13" s="32" t="str">
        <f>VLOOKUP(Tabla3[[#This Row],[Site]],Table35[#All],4,FALSE)</f>
        <v>-</v>
      </c>
      <c r="O13" s="32" t="str">
        <f>VLOOKUP(Tabla3[[#This Row],[Site]],Table35[#All],5,FALSE)</f>
        <v>-</v>
      </c>
      <c r="P13" s="32" t="str">
        <f>VLOOKUP(Tabla3[[#This Row],[Site]],Table35[#All],6,FALSE)</f>
        <v>14, 16</v>
      </c>
      <c r="Q13" s="32" t="str">
        <f>VLOOKUP(Tabla3[[#This Row],[Site]],Table35[#All],8,FALSE)</f>
        <v>308</v>
      </c>
    </row>
    <row r="14" spans="1:17" hidden="1" x14ac:dyDescent="0.25">
      <c r="A14" t="str">
        <f>+Tabla3[[#This Row],[Site]]&amp;Tabla3[[#This Row],[Split]]</f>
        <v>(AS) Koons Chevrolet Buick GMC - Tysons (NO TOURS)1</v>
      </c>
      <c r="B14">
        <v>1</v>
      </c>
      <c r="C14">
        <v>1</v>
      </c>
      <c r="D14" t="s">
        <v>386</v>
      </c>
      <c r="E14" t="str">
        <f>VLOOKUP(Tabla3[[#This Row],[Site]],Table35[],10,FALSE)</f>
        <v>9:00 P.M.</v>
      </c>
      <c r="F14" t="str">
        <f>VLOOKUP(Tabla3[[#This Row],[Site]],Table35[],11,FALSE)</f>
        <v>ET</v>
      </c>
      <c r="G14" t="str">
        <f>VLOOKUP(Tabla3[[#This Row],[Site]],Table35[],12,FALSE)</f>
        <v>5:00 A.M.</v>
      </c>
      <c r="H14" s="74" t="str">
        <f>HYPERLINK(VLOOKUP(Tabla3[[#This Row],[Site]],Table35[#All],9,FALSE))</f>
        <v>https://tools.sig.systems/site/details/352</v>
      </c>
      <c r="I14" t="str">
        <f>VLOOKUP(Tabla3[[#This Row],[Site]],Table35[],13,FALSE)</f>
        <v>-</v>
      </c>
      <c r="J14" t="str">
        <f>VLOOKUP(Tabla3[[#This Row],[Site]],Table35[],14,FALSE)</f>
        <v>10:00 A.M.</v>
      </c>
      <c r="L14" s="32" t="str">
        <f>VLOOKUP(Tabla3[[#This Row],[Site]],Table35[#All],2,FALSE)</f>
        <v>4, 6</v>
      </c>
      <c r="M14" s="32" t="str">
        <f>VLOOKUP(Tabla3[[#This Row],[Site]],Table35[#All],3,FALSE)</f>
        <v>-</v>
      </c>
      <c r="N14" s="32" t="str">
        <f>VLOOKUP(Tabla3[[#This Row],[Site]],Table35[#All],4,FALSE)</f>
        <v>-</v>
      </c>
      <c r="O14" s="32">
        <f>VLOOKUP(Tabla3[[#This Row],[Site]],Table35[#All],5,FALSE)</f>
        <v>4</v>
      </c>
      <c r="P14" s="32" t="str">
        <f>VLOOKUP(Tabla3[[#This Row],[Site]],Table35[#All],6,FALSE)</f>
        <v>6, 12, 15</v>
      </c>
      <c r="Q14" s="32" t="str">
        <f>VLOOKUP(Tabla3[[#This Row],[Site]],Table35[#All],8,FALSE)</f>
        <v>352</v>
      </c>
    </row>
    <row r="15" spans="1:17" hidden="1" x14ac:dyDescent="0.25">
      <c r="A15" t="str">
        <f>+Tabla3[[#This Row],[Site]]&amp;Tabla3[[#This Row],[Split]]</f>
        <v>(AS) Koons Chevrolet Buick GMC - Tysons Remote Lot (NO TOURS)1</v>
      </c>
      <c r="B15">
        <v>1</v>
      </c>
      <c r="C15">
        <v>1</v>
      </c>
      <c r="D15" t="s">
        <v>385</v>
      </c>
      <c r="E15" t="str">
        <f>VLOOKUP(Tabla3[[#This Row],[Site]],Table35[],10,FALSE)</f>
        <v>9:00 P.M.</v>
      </c>
      <c r="F15" t="str">
        <f>VLOOKUP(Tabla3[[#This Row],[Site]],Table35[],11,FALSE)</f>
        <v>ET</v>
      </c>
      <c r="G15" t="str">
        <f>VLOOKUP(Tabla3[[#This Row],[Site]],Table35[],12,FALSE)</f>
        <v>5:00 A.M.</v>
      </c>
      <c r="H15" s="74" t="str">
        <f>HYPERLINK(VLOOKUP(Tabla3[[#This Row],[Site]],Table35[#All],9,FALSE))</f>
        <v>https://tools.sig.systems/site/details/333</v>
      </c>
      <c r="I15" t="str">
        <f>VLOOKUP(Tabla3[[#This Row],[Site]],Table35[],13,FALSE)</f>
        <v>-</v>
      </c>
      <c r="J15" t="str">
        <f>VLOOKUP(Tabla3[[#This Row],[Site]],Table35[],14,FALSE)</f>
        <v>-</v>
      </c>
      <c r="L15" s="32" t="str">
        <f>VLOOKUP(Tabla3[[#This Row],[Site]],Table35[#All],2,FALSE)</f>
        <v>-</v>
      </c>
      <c r="M15" s="32">
        <f>VLOOKUP(Tabla3[[#This Row],[Site]],Table35[#All],3,FALSE)</f>
        <v>6</v>
      </c>
      <c r="N15" s="32" t="str">
        <f>VLOOKUP(Tabla3[[#This Row],[Site]],Table35[#All],4,FALSE)</f>
        <v>1, 2, 3</v>
      </c>
      <c r="O15" s="32" t="str">
        <f>VLOOKUP(Tabla3[[#This Row],[Site]],Table35[#All],5,FALSE)</f>
        <v>7, 10, 16, 29</v>
      </c>
      <c r="P15" s="32" t="str">
        <f>VLOOKUP(Tabla3[[#This Row],[Site]],Table35[#All],6,FALSE)</f>
        <v>14, 17, 30</v>
      </c>
      <c r="Q15" s="32" t="str">
        <f>VLOOKUP(Tabla3[[#This Row],[Site]],Table35[#All],8,FALSE)</f>
        <v>333</v>
      </c>
    </row>
    <row r="16" spans="1:17" hidden="1" x14ac:dyDescent="0.25">
      <c r="A16" t="str">
        <f>+Tabla3[[#This Row],[Site]]&amp;Tabla3[[#This Row],[Split]]</f>
        <v>(AS) Koons Easton Toyota - Main Dealership (NO TOURS)1</v>
      </c>
      <c r="B16">
        <v>1</v>
      </c>
      <c r="C16">
        <v>1</v>
      </c>
      <c r="D16" t="s">
        <v>426</v>
      </c>
      <c r="E16" t="str">
        <f>VLOOKUP(Tabla3[[#This Row],[Site]],Table35[],10,FALSE)</f>
        <v>9:00 P.M.</v>
      </c>
      <c r="F16" t="str">
        <f>VLOOKUP(Tabla3[[#This Row],[Site]],Table35[],11,FALSE)</f>
        <v>ET</v>
      </c>
      <c r="G16" t="str">
        <f>VLOOKUP(Tabla3[[#This Row],[Site]],Table35[],12,FALSE)</f>
        <v>5:00 A.M.</v>
      </c>
      <c r="H16" s="74" t="str">
        <f>HYPERLINK(VLOOKUP(Tabla3[[#This Row],[Site]],Table35[#All],9,FALSE))</f>
        <v>https://tools.sig.systems/site/details/340</v>
      </c>
      <c r="I16" t="str">
        <f>VLOOKUP(Tabla3[[#This Row],[Site]],Table35[],13,FALSE)</f>
        <v>-</v>
      </c>
      <c r="J16" t="str">
        <f>VLOOKUP(Tabla3[[#This Row],[Site]],Table35[],14,FALSE)</f>
        <v>-</v>
      </c>
      <c r="L16" s="32" t="str">
        <f>VLOOKUP(Tabla3[[#This Row],[Site]],Table35[#All],2,FALSE)</f>
        <v>-</v>
      </c>
      <c r="M16" s="32" t="str">
        <f>VLOOKUP(Tabla3[[#This Row],[Site]],Table35[#All],3,FALSE)</f>
        <v>4, 5</v>
      </c>
      <c r="N16" s="32" t="str">
        <f>VLOOKUP(Tabla3[[#This Row],[Site]],Table35[#All],4,FALSE)</f>
        <v>-</v>
      </c>
      <c r="O16" s="32" t="str">
        <f>VLOOKUP(Tabla3[[#This Row],[Site]],Table35[#All],5,FALSE)</f>
        <v>-</v>
      </c>
      <c r="P16" s="32" t="str">
        <f>VLOOKUP(Tabla3[[#This Row],[Site]],Table35[#All],6,FALSE)</f>
        <v>8, 15</v>
      </c>
      <c r="Q16" s="32" t="str">
        <f>VLOOKUP(Tabla3[[#This Row],[Site]],Table35[#All],8,FALSE)</f>
        <v>340</v>
      </c>
    </row>
    <row r="17" spans="1:17" hidden="1" x14ac:dyDescent="0.25">
      <c r="A17" t="str">
        <f>+Tabla3[[#This Row],[Site]]&amp;Tabla3[[#This Row],[Split]]</f>
        <v>(AS) Koons Falls Church Ford (NO TOURS)1</v>
      </c>
      <c r="B17">
        <v>1</v>
      </c>
      <c r="C17">
        <v>1</v>
      </c>
      <c r="D17" t="s">
        <v>388</v>
      </c>
      <c r="E17" t="str">
        <f>VLOOKUP(Tabla3[[#This Row],[Site]],Table35[],10,FALSE)</f>
        <v>9:00 P.M.</v>
      </c>
      <c r="F17" t="str">
        <f>VLOOKUP(Tabla3[[#This Row],[Site]],Table35[],11,FALSE)</f>
        <v>ET</v>
      </c>
      <c r="G17" t="str">
        <f>VLOOKUP(Tabla3[[#This Row],[Site]],Table35[],12,FALSE)</f>
        <v>5:00 A.M.</v>
      </c>
      <c r="H17" s="74" t="str">
        <f>HYPERLINK(VLOOKUP(Tabla3[[#This Row],[Site]],Table35[#All],9,FALSE))</f>
        <v>https://tools.sig.systems/site/details/345</v>
      </c>
      <c r="I17" t="str">
        <f>VLOOKUP(Tabla3[[#This Row],[Site]],Table35[],13,FALSE)</f>
        <v>-</v>
      </c>
      <c r="J17" t="str">
        <f>VLOOKUP(Tabla3[[#This Row],[Site]],Table35[],14,FALSE)</f>
        <v>10:00 A.M.</v>
      </c>
      <c r="L17" s="32" t="str">
        <f>VLOOKUP(Tabla3[[#This Row],[Site]],Table35[#All],2,FALSE)</f>
        <v>-</v>
      </c>
      <c r="M17" s="32">
        <f>VLOOKUP(Tabla3[[#This Row],[Site]],Table35[#All],3,FALSE)</f>
        <v>1</v>
      </c>
      <c r="N17" s="32" t="str">
        <f>VLOOKUP(Tabla3[[#This Row],[Site]],Table35[#All],4,FALSE)</f>
        <v>-</v>
      </c>
      <c r="O17" s="32" t="str">
        <f>VLOOKUP(Tabla3[[#This Row],[Site]],Table35[#All],5,FALSE)</f>
        <v>-</v>
      </c>
      <c r="P17" s="32" t="str">
        <f>VLOOKUP(Tabla3[[#This Row],[Site]],Table35[#All],6,FALSE)</f>
        <v>-</v>
      </c>
      <c r="Q17" s="32" t="str">
        <f>VLOOKUP(Tabla3[[#This Row],[Site]],Table35[#All],8,FALSE)</f>
        <v>345</v>
      </c>
    </row>
    <row r="18" spans="1:17" hidden="1" x14ac:dyDescent="0.25">
      <c r="A18" t="str">
        <f>+Tabla3[[#This Row],[Site]]&amp;Tabla3[[#This Row],[Split]]</f>
        <v>(AS) Koons MB of Catonsville (NO TOURS)1</v>
      </c>
      <c r="B18">
        <v>1</v>
      </c>
      <c r="C18">
        <v>1</v>
      </c>
      <c r="D18" t="s">
        <v>233</v>
      </c>
      <c r="E18" t="str">
        <f>VLOOKUP(Tabla3[[#This Row],[Site]],Table35[],10,FALSE)</f>
        <v>9:00 P.M.</v>
      </c>
      <c r="F18" t="str">
        <f>VLOOKUP(Tabla3[[#This Row],[Site]],Table35[],11,FALSE)</f>
        <v>ET</v>
      </c>
      <c r="G18" t="str">
        <f>VLOOKUP(Tabla3[[#This Row],[Site]],Table35[],12,FALSE)</f>
        <v>5:00 A.M.</v>
      </c>
      <c r="H18" s="74" t="str">
        <f>HYPERLINK(VLOOKUP(Tabla3[[#This Row],[Site]],Table35[#All],9,FALSE))</f>
        <v>https://tools.sig.systems/site/details/303</v>
      </c>
      <c r="I18">
        <f>VLOOKUP(Tabla3[[#This Row],[Site]],Table35[],13,FALSE)</f>
        <v>0</v>
      </c>
      <c r="J18" t="str">
        <f>VLOOKUP(Tabla3[[#This Row],[Site]],Table35[],14,FALSE)</f>
        <v>-</v>
      </c>
      <c r="L18" s="32" t="str">
        <f>VLOOKUP(Tabla3[[#This Row],[Site]],Table35[#All],2,FALSE)</f>
        <v>-</v>
      </c>
      <c r="M18" s="32" t="str">
        <f>VLOOKUP(Tabla3[[#This Row],[Site]],Table35[#All],3,FALSE)</f>
        <v>15, 16, 17, 29</v>
      </c>
      <c r="N18" s="32">
        <f>VLOOKUP(Tabla3[[#This Row],[Site]],Table35[#All],4,FALSE)</f>
        <v>29</v>
      </c>
      <c r="O18" s="32">
        <f>VLOOKUP(Tabla3[[#This Row],[Site]],Table35[#All],5,FALSE)</f>
        <v>5</v>
      </c>
      <c r="P18" s="32" t="str">
        <f>VLOOKUP(Tabla3[[#This Row],[Site]],Table35[#All],6,FALSE)</f>
        <v>1, 7, 8, 12, 19, 32</v>
      </c>
      <c r="Q18" s="32" t="str">
        <f>VLOOKUP(Tabla3[[#This Row],[Site]],Table35[#All],8,FALSE)</f>
        <v>303</v>
      </c>
    </row>
    <row r="19" spans="1:17" hidden="1" x14ac:dyDescent="0.25">
      <c r="A19" t="str">
        <f>+Tabla3[[#This Row],[Site]]&amp;Tabla3[[#This Row],[Split]]</f>
        <v>(AS) Koons Owings Mills Kia (NO TOURS)1</v>
      </c>
      <c r="B19">
        <v>1</v>
      </c>
      <c r="C19">
        <v>1</v>
      </c>
      <c r="D19" t="s">
        <v>416</v>
      </c>
      <c r="E19" t="str">
        <f>VLOOKUP(Tabla3[[#This Row],[Site]],Table35[],10,FALSE)</f>
        <v>9:00 P.M.</v>
      </c>
      <c r="F19" t="str">
        <f>VLOOKUP(Tabla3[[#This Row],[Site]],Table35[],11,FALSE)</f>
        <v>ET</v>
      </c>
      <c r="G19" t="str">
        <f>VLOOKUP(Tabla3[[#This Row],[Site]],Table35[],12,FALSE)</f>
        <v>5:00 A.M.</v>
      </c>
      <c r="H19" s="74" t="str">
        <f>HYPERLINK(VLOOKUP(Tabla3[[#This Row],[Site]],Table35[#All],9,FALSE))</f>
        <v>https://tools.sig.systems/site/details/336</v>
      </c>
      <c r="I19" t="str">
        <f>VLOOKUP(Tabla3[[#This Row],[Site]],Table35[],13,FALSE)</f>
        <v>-</v>
      </c>
      <c r="J19" t="str">
        <f>VLOOKUP(Tabla3[[#This Row],[Site]],Table35[],14,FALSE)</f>
        <v>-</v>
      </c>
      <c r="L19" s="32"/>
      <c r="Q19" s="32">
        <v>336</v>
      </c>
    </row>
    <row r="20" spans="1:17" hidden="1" x14ac:dyDescent="0.25">
      <c r="A20" t="str">
        <f>+Tabla3[[#This Row],[Site]]&amp;Tabla3[[#This Row],[Split]]</f>
        <v>(AS) Koons Sterling Ford - Main Dealership (NO TOURS)1</v>
      </c>
      <c r="B20">
        <v>1</v>
      </c>
      <c r="C20">
        <v>1</v>
      </c>
      <c r="D20" t="s">
        <v>411</v>
      </c>
      <c r="E20" t="str">
        <f>VLOOKUP(Tabla3[[#This Row],[Site]],Table35[],10,FALSE)</f>
        <v>9:00 P.M.</v>
      </c>
      <c r="F20" t="str">
        <f>VLOOKUP(Tabla3[[#This Row],[Site]],Table35[],11,FALSE)</f>
        <v>ET</v>
      </c>
      <c r="G20" t="str">
        <f>VLOOKUP(Tabla3[[#This Row],[Site]],Table35[],12,FALSE)</f>
        <v>5:00 A.M.</v>
      </c>
      <c r="H20" s="74" t="str">
        <f>HYPERLINK(VLOOKUP(Tabla3[[#This Row],[Site]],Table35[#All],9,FALSE))</f>
        <v>https://tools.sig.systems/site/details/348</v>
      </c>
      <c r="I20" t="str">
        <f>VLOOKUP(Tabla3[[#This Row],[Site]],Table35[],13,FALSE)</f>
        <v>-</v>
      </c>
      <c r="J20" t="str">
        <f>VLOOKUP(Tabla3[[#This Row],[Site]],Table35[],14,FALSE)</f>
        <v>10:00 A.M.</v>
      </c>
      <c r="L20" s="32">
        <f>VLOOKUP(Tabla3[[#This Row],[Site]],Table35[#All],2,FALSE)</f>
        <v>19</v>
      </c>
      <c r="M20" s="32">
        <f>VLOOKUP(Tabla3[[#This Row],[Site]],Table35[#All],3,FALSE)</f>
        <v>3</v>
      </c>
      <c r="N20" s="32" t="str">
        <f>VLOOKUP(Tabla3[[#This Row],[Site]],Table35[#All],4,FALSE)</f>
        <v>-</v>
      </c>
      <c r="O20" s="32" t="str">
        <f>VLOOKUP(Tabla3[[#This Row],[Site]],Table35[#All],5,FALSE)</f>
        <v>4, 21</v>
      </c>
      <c r="P20" s="32" t="str">
        <f>VLOOKUP(Tabla3[[#This Row],[Site]],Table35[#All],6,FALSE)</f>
        <v>7, 8</v>
      </c>
      <c r="Q20" s="32" t="str">
        <f>VLOOKUP(Tabla3[[#This Row],[Site]],Table35[#All],8,FALSE)</f>
        <v>348</v>
      </c>
    </row>
    <row r="21" spans="1:17" hidden="1" x14ac:dyDescent="0.25">
      <c r="A21" t="str">
        <f>+Tabla3[[#This Row],[Site]]&amp;Tabla3[[#This Row],[Split]]</f>
        <v>(AS) Koons Tysons Toyota - Main Dealership (NO TOURS)1</v>
      </c>
      <c r="B21">
        <v>1</v>
      </c>
      <c r="C21">
        <v>1</v>
      </c>
      <c r="D21" t="s">
        <v>432</v>
      </c>
      <c r="E21" t="str">
        <f>VLOOKUP(Tabla3[[#This Row],[Site]],Table35[],10,FALSE)</f>
        <v>9:00 P.M.</v>
      </c>
      <c r="F21" t="str">
        <f>VLOOKUP(Tabla3[[#This Row],[Site]],Table35[],11,FALSE)</f>
        <v>ET</v>
      </c>
      <c r="G21" t="str">
        <f>VLOOKUP(Tabla3[[#This Row],[Site]],Table35[],12,FALSE)</f>
        <v>5:00 A.M.</v>
      </c>
      <c r="H21" s="74" t="str">
        <f>HYPERLINK(VLOOKUP(Tabla3[[#This Row],[Site]],Table35[#All],9,FALSE))</f>
        <v>https://tools.sig.systems/site/details/344</v>
      </c>
      <c r="I21" t="str">
        <f>VLOOKUP(Tabla3[[#This Row],[Site]],Table35[],13,FALSE)</f>
        <v>-</v>
      </c>
      <c r="J21" t="str">
        <f>VLOOKUP(Tabla3[[#This Row],[Site]],Table35[],14,FALSE)</f>
        <v>-</v>
      </c>
      <c r="L21" s="32" t="str">
        <f>VLOOKUP(Tabla3[[#This Row],[Site]],Table35[#All],2,FALSE)</f>
        <v>-</v>
      </c>
      <c r="M21" s="32" t="str">
        <f>VLOOKUP(Tabla3[[#This Row],[Site]],Table35[#All],3,FALSE)</f>
        <v>1, 25</v>
      </c>
      <c r="N21" s="32" t="str">
        <f>VLOOKUP(Tabla3[[#This Row],[Site]],Table35[#All],4,FALSE)</f>
        <v>-</v>
      </c>
      <c r="O21" s="32" t="str">
        <f>VLOOKUP(Tabla3[[#This Row],[Site]],Table35[#All],5,FALSE)</f>
        <v>-</v>
      </c>
      <c r="P21" s="32" t="str">
        <f>VLOOKUP(Tabla3[[#This Row],[Site]],Table35[#All],6,FALSE)</f>
        <v>13, 22, 27</v>
      </c>
      <c r="Q21" s="32" t="str">
        <f>VLOOKUP(Tabla3[[#This Row],[Site]],Table35[#All],8,FALSE)</f>
        <v>344</v>
      </c>
    </row>
    <row r="22" spans="1:17" hidden="1" x14ac:dyDescent="0.25">
      <c r="A22" t="str">
        <f>+Tabla3[[#This Row],[Site]]&amp;Tabla3[[#This Row],[Split]]</f>
        <v>(AS) Koons Volvo Cars White Marsh (NO TOURS)1</v>
      </c>
      <c r="B22">
        <v>1</v>
      </c>
      <c r="C22">
        <v>1</v>
      </c>
      <c r="D22" t="s">
        <v>382</v>
      </c>
      <c r="E22" t="str">
        <f>VLOOKUP(Tabla3[[#This Row],[Site]],Table35[],10,FALSE)</f>
        <v>9:00 P.M.</v>
      </c>
      <c r="F22" t="str">
        <f>VLOOKUP(Tabla3[[#This Row],[Site]],Table35[],11,FALSE)</f>
        <v>ET</v>
      </c>
      <c r="G22" t="str">
        <f>VLOOKUP(Tabla3[[#This Row],[Site]],Table35[],12,FALSE)</f>
        <v>5:00 A.M.</v>
      </c>
      <c r="H22" s="74" t="str">
        <f>HYPERLINK(VLOOKUP(Tabla3[[#This Row],[Site]],Table35[#All],9,FALSE))</f>
        <v>https://tools.sig.systems/site/details/338</v>
      </c>
      <c r="I22">
        <f>VLOOKUP(Tabla3[[#This Row],[Site]],Table35[],13,FALSE)</f>
        <v>0</v>
      </c>
      <c r="J22" t="str">
        <f>VLOOKUP(Tabla3[[#This Row],[Site]],Table35[],14,FALSE)</f>
        <v>-</v>
      </c>
      <c r="L22" s="32" t="str">
        <f>VLOOKUP(Tabla3[[#This Row],[Site]],Table35[#All],2,FALSE)</f>
        <v>-</v>
      </c>
      <c r="M22" s="32" t="str">
        <f>VLOOKUP(Tabla3[[#This Row],[Site]],Table35[#All],3,FALSE)</f>
        <v>5, 7, 9</v>
      </c>
      <c r="N22" s="32" t="str">
        <f>VLOOKUP(Tabla3[[#This Row],[Site]],Table35[#All],4,FALSE)</f>
        <v>-</v>
      </c>
      <c r="O22" s="32" t="str">
        <f>VLOOKUP(Tabla3[[#This Row],[Site]],Table35[#All],5,FALSE)</f>
        <v>-</v>
      </c>
      <c r="P22" s="32" t="str">
        <f>VLOOKUP(Tabla3[[#This Row],[Site]],Table35[#All],6,FALSE)</f>
        <v>6, 10, 1</v>
      </c>
      <c r="Q22" s="32" t="str">
        <f>VLOOKUP(Tabla3[[#This Row],[Site]],Table35[#All],8,FALSE)</f>
        <v>338</v>
      </c>
    </row>
    <row r="23" spans="1:17" hidden="1" x14ac:dyDescent="0.25">
      <c r="A23" t="str">
        <f>+Tabla3[[#This Row],[Site]]&amp;Tabla3[[#This Row],[Split]]</f>
        <v>(AS) Koons Westminster Toyota (NO TOURS)1</v>
      </c>
      <c r="B23">
        <v>1</v>
      </c>
      <c r="C23">
        <v>1</v>
      </c>
      <c r="D23" t="s">
        <v>422</v>
      </c>
      <c r="E23" t="str">
        <f>VLOOKUP(Tabla3[[#This Row],[Site]],Table35[],10,FALSE)</f>
        <v>9:00 P.M.</v>
      </c>
      <c r="F23" t="str">
        <f>VLOOKUP(Tabla3[[#This Row],[Site]],Table35[],11,FALSE)</f>
        <v>ET</v>
      </c>
      <c r="G23" t="str">
        <f>VLOOKUP(Tabla3[[#This Row],[Site]],Table35[],12,FALSE)</f>
        <v>5:00 A.M.</v>
      </c>
      <c r="H23" s="74" t="str">
        <f>HYPERLINK(VLOOKUP(Tabla3[[#This Row],[Site]],Table35[#All],9,FALSE))</f>
        <v>https://tools.sig.systems/site/details/341</v>
      </c>
      <c r="I23" t="str">
        <f>VLOOKUP(Tabla3[[#This Row],[Site]],Table35[],13,FALSE)</f>
        <v>-</v>
      </c>
      <c r="J23" t="str">
        <f>VLOOKUP(Tabla3[[#This Row],[Site]],Table35[],14,FALSE)</f>
        <v>-</v>
      </c>
      <c r="L23" s="32" t="str">
        <f>VLOOKUP(Tabla3[[#This Row],[Site]],Table35[#All],2,FALSE)</f>
        <v>-</v>
      </c>
      <c r="M23" s="32" t="str">
        <f>VLOOKUP(Tabla3[[#This Row],[Site]],Table35[#All],3,FALSE)</f>
        <v>1, 7, 9, 18, 25</v>
      </c>
      <c r="N23" s="32" t="str">
        <f>VLOOKUP(Tabla3[[#This Row],[Site]],Table35[#All],4,FALSE)</f>
        <v>-</v>
      </c>
      <c r="O23" s="32" t="str">
        <f>VLOOKUP(Tabla3[[#This Row],[Site]],Table35[#All],5,FALSE)</f>
        <v>-</v>
      </c>
      <c r="P23" s="32" t="str">
        <f>VLOOKUP(Tabla3[[#This Row],[Site]],Table35[#All],6,FALSE)</f>
        <v>8, 14, 16</v>
      </c>
      <c r="Q23" s="32">
        <v>341</v>
      </c>
    </row>
    <row r="24" spans="1:17" hidden="1" x14ac:dyDescent="0.25">
      <c r="A24" t="str">
        <f>+Tabla3[[#This Row],[Site]]&amp;Tabla3[[#This Row],[Split]]</f>
        <v>(AS) Koons White Marsh Chevrolet (NO TOURS)1</v>
      </c>
      <c r="B24">
        <v>1</v>
      </c>
      <c r="C24">
        <v>1</v>
      </c>
      <c r="D24" t="s">
        <v>393</v>
      </c>
      <c r="E24" t="str">
        <f>VLOOKUP(Tabla3[[#This Row],[Site]],Table35[],10,FALSE)</f>
        <v>9:00 P.M.</v>
      </c>
      <c r="F24" t="str">
        <f>VLOOKUP(Tabla3[[#This Row],[Site]],Table35[],11,FALSE)</f>
        <v>ET</v>
      </c>
      <c r="G24" t="str">
        <f>VLOOKUP(Tabla3[[#This Row],[Site]],Table35[],12,FALSE)</f>
        <v>5:00 A.M.</v>
      </c>
      <c r="H24" s="74" t="str">
        <f>HYPERLINK(VLOOKUP(Tabla3[[#This Row],[Site]],Table35[#All],9,FALSE))</f>
        <v>https://tools.sig.systems/site/details/339</v>
      </c>
      <c r="I24" t="str">
        <f>VLOOKUP(Tabla3[[#This Row],[Site]],Table35[],13,FALSE)</f>
        <v>-</v>
      </c>
      <c r="J24" t="str">
        <f>VLOOKUP(Tabla3[[#This Row],[Site]],Table35[],14,FALSE)</f>
        <v>-</v>
      </c>
      <c r="L24" s="32">
        <f>VLOOKUP(Tabla3[[#This Row],[Site]],Table35[#All],2,FALSE)</f>
        <v>25</v>
      </c>
      <c r="M24" s="32">
        <f>VLOOKUP(Tabla3[[#This Row],[Site]],Table35[#All],3,FALSE)</f>
        <v>10</v>
      </c>
      <c r="N24" s="32" t="str">
        <f>VLOOKUP(Tabla3[[#This Row],[Site]],Table35[#All],4,FALSE)</f>
        <v>-</v>
      </c>
      <c r="O24" s="32" t="str">
        <f>VLOOKUP(Tabla3[[#This Row],[Site]],Table35[#All],5,FALSE)</f>
        <v>-</v>
      </c>
      <c r="P24" s="32">
        <f>VLOOKUP(Tabla3[[#This Row],[Site]],Table35[#All],6,FALSE)</f>
        <v>12</v>
      </c>
      <c r="Q24" s="32" t="str">
        <f>VLOOKUP(Tabla3[[#This Row],[Site]],Table35[#All],8,FALSE)</f>
        <v>339</v>
      </c>
    </row>
    <row r="25" spans="1:17" hidden="1" x14ac:dyDescent="0.25">
      <c r="A25" t="str">
        <f>+Tabla3[[#This Row],[Site]]&amp;Tabla3[[#This Row],[Split]]</f>
        <v>(AS) Koons Woodbridge Ford (NO TOURS)1</v>
      </c>
      <c r="B25">
        <v>1</v>
      </c>
      <c r="C25">
        <v>1</v>
      </c>
      <c r="D25" t="s">
        <v>384</v>
      </c>
      <c r="E25" t="str">
        <f>VLOOKUP(Tabla3[[#This Row],[Site]],Table35[],10,FALSE)</f>
        <v>9:00 P.M.</v>
      </c>
      <c r="F25" t="str">
        <f>VLOOKUP(Tabla3[[#This Row],[Site]],Table35[],11,FALSE)</f>
        <v>ET</v>
      </c>
      <c r="G25" t="str">
        <f>VLOOKUP(Tabla3[[#This Row],[Site]],Table35[],12,FALSE)</f>
        <v>5:00 A.M.</v>
      </c>
      <c r="H25" s="74" t="str">
        <f>HYPERLINK(VLOOKUP(Tabla3[[#This Row],[Site]],Table35[#All],9,FALSE))</f>
        <v>https://tools.sig.systems/site/details/342</v>
      </c>
      <c r="I25">
        <f>VLOOKUP(Tabla3[[#This Row],[Site]],Table35[],13,FALSE)</f>
        <v>0</v>
      </c>
      <c r="J25" t="str">
        <f>VLOOKUP(Tabla3[[#This Row],[Site]],Table35[],14,FALSE)</f>
        <v>9:00 A.M.</v>
      </c>
      <c r="L25" s="32" t="str">
        <f>VLOOKUP(Tabla3[[#This Row],[Site]],Table35[#All],2,FALSE)</f>
        <v>-</v>
      </c>
      <c r="M25" s="32" t="str">
        <f>VLOOKUP(Tabla3[[#This Row],[Site]],Table35[#All],3,FALSE)</f>
        <v>3, 24, 26, 27, 31, 36</v>
      </c>
      <c r="N25" s="32" t="str">
        <f>VLOOKUP(Tabla3[[#This Row],[Site]],Table35[#All],4,FALSE)</f>
        <v>-</v>
      </c>
      <c r="O25" s="32" t="str">
        <f>VLOOKUP(Tabla3[[#This Row],[Site]],Table35[#All],5,FALSE)</f>
        <v>-</v>
      </c>
      <c r="P25" s="32" t="str">
        <f>VLOOKUP(Tabla3[[#This Row],[Site]],Table35[#All],6,FALSE)</f>
        <v>13, 26, 29</v>
      </c>
      <c r="Q25" s="32" t="str">
        <f>VLOOKUP(Tabla3[[#This Row],[Site]],Table35[#All],8,FALSE)</f>
        <v>342</v>
      </c>
    </row>
    <row r="26" spans="1:17" hidden="1" x14ac:dyDescent="0.25">
      <c r="A26" t="str">
        <f>+Tabla3[[#This Row],[Site]]&amp;Tabla3[[#This Row],[Split]]</f>
        <v>(AS) Koons Woodbridge GMC (NO TOURS)1</v>
      </c>
      <c r="B26">
        <v>1</v>
      </c>
      <c r="C26">
        <v>1</v>
      </c>
      <c r="D26" t="s">
        <v>383</v>
      </c>
      <c r="E26" t="str">
        <f>VLOOKUP(Tabla3[[#This Row],[Site]],Table35[],10,FALSE)</f>
        <v>9:00 P.M.</v>
      </c>
      <c r="F26" t="str">
        <f>VLOOKUP(Tabla3[[#This Row],[Site]],Table35[],11,FALSE)</f>
        <v>ET</v>
      </c>
      <c r="G26" t="str">
        <f>VLOOKUP(Tabla3[[#This Row],[Site]],Table35[],12,FALSE)</f>
        <v>5:00 A.M.</v>
      </c>
      <c r="H26" s="74" t="str">
        <f>HYPERLINK(VLOOKUP(Tabla3[[#This Row],[Site]],Table35[#All],9,FALSE))</f>
        <v>https://tools.sig.systems/site/details/343</v>
      </c>
      <c r="I26">
        <f>VLOOKUP(Tabla3[[#This Row],[Site]],Table35[],13,FALSE)</f>
        <v>0</v>
      </c>
      <c r="J26" t="str">
        <f>VLOOKUP(Tabla3[[#This Row],[Site]],Table35[],14,FALSE)</f>
        <v>10:00 A.M.</v>
      </c>
      <c r="L26" s="32" t="str">
        <f>VLOOKUP(Tabla3[[#This Row],[Site]],Table35[#All],2,FALSE)</f>
        <v>-</v>
      </c>
      <c r="M26" s="32">
        <f>VLOOKUP(Tabla3[[#This Row],[Site]],Table35[#All],3,FALSE)</f>
        <v>1</v>
      </c>
      <c r="N26" s="32" t="str">
        <f>VLOOKUP(Tabla3[[#This Row],[Site]],Table35[#All],4,FALSE)</f>
        <v>-</v>
      </c>
      <c r="O26" s="32">
        <f>VLOOKUP(Tabla3[[#This Row],[Site]],Table35[#All],5,FALSE)</f>
        <v>11</v>
      </c>
      <c r="P26" s="32" t="str">
        <f>VLOOKUP(Tabla3[[#This Row],[Site]],Table35[#All],6,FALSE)</f>
        <v>2, 7</v>
      </c>
      <c r="Q26" s="32" t="str">
        <f>VLOOKUP(Tabla3[[#This Row],[Site]],Table35[#All],8,FALSE)</f>
        <v>343</v>
      </c>
    </row>
    <row r="27" spans="1:17" hidden="1" x14ac:dyDescent="0.25">
      <c r="A27" t="str">
        <f>+Tabla3[[#This Row],[Site]]&amp;Tabla3[[#This Row],[Split]]</f>
        <v>(AS) Koons Woodbridge Hyundai (NO TOURS)1</v>
      </c>
      <c r="B27">
        <v>1</v>
      </c>
      <c r="C27">
        <v>1</v>
      </c>
      <c r="D27" t="s">
        <v>406</v>
      </c>
      <c r="E27" t="str">
        <f>VLOOKUP(Tabla3[[#This Row],[Site]],Table35[],10,FALSE)</f>
        <v>9:00 P.M.</v>
      </c>
      <c r="F27" t="str">
        <f>VLOOKUP(Tabla3[[#This Row],[Site]],Table35[],11,FALSE)</f>
        <v>ET</v>
      </c>
      <c r="G27" t="str">
        <f>VLOOKUP(Tabla3[[#This Row],[Site]],Table35[],12,FALSE)</f>
        <v>5:00 A.M.</v>
      </c>
      <c r="H27" s="74" t="str">
        <f>HYPERLINK(VLOOKUP(Tabla3[[#This Row],[Site]],Table35[#All],9,FALSE))</f>
        <v>https://tools.sig.systems/site/details/347</v>
      </c>
      <c r="I27" t="str">
        <f>VLOOKUP(Tabla3[[#This Row],[Site]],Table35[],13,FALSE)</f>
        <v>-</v>
      </c>
      <c r="J27" t="str">
        <f>VLOOKUP(Tabla3[[#This Row],[Site]],Table35[],14,FALSE)</f>
        <v>8:00 A.M.</v>
      </c>
      <c r="L27" s="32" t="str">
        <f>VLOOKUP(Tabla3[[#This Row],[Site]],Table35[#All],2,FALSE)</f>
        <v>-</v>
      </c>
      <c r="M27" s="32" t="str">
        <f>VLOOKUP(Tabla3[[#This Row],[Site]],Table35[#All],3,FALSE)</f>
        <v>1, 17</v>
      </c>
      <c r="N27" s="32" t="str">
        <f>VLOOKUP(Tabla3[[#This Row],[Site]],Table35[#All],4,FALSE)</f>
        <v>-</v>
      </c>
      <c r="O27" s="32" t="str">
        <f>VLOOKUP(Tabla3[[#This Row],[Site]],Table35[#All],5,FALSE)</f>
        <v>-</v>
      </c>
      <c r="P27" s="32" t="str">
        <f>VLOOKUP(Tabla3[[#This Row],[Site]],Table35[#All],6,FALSE)</f>
        <v>4, 14, 22</v>
      </c>
      <c r="Q27" s="32" t="str">
        <f>VLOOKUP(Tabla3[[#This Row],[Site]],Table35[#All],8,FALSE)</f>
        <v>347</v>
      </c>
    </row>
    <row r="28" spans="1:17" hidden="1" x14ac:dyDescent="0.25">
      <c r="A28" t="str">
        <f>+Tabla3[[#This Row],[Site]]&amp;Tabla3[[#This Row],[Split]]</f>
        <v>(AS) Koons Woodbridge Kia (NO TOURS)1</v>
      </c>
      <c r="B28">
        <v>1</v>
      </c>
      <c r="C28">
        <v>1</v>
      </c>
      <c r="D28" t="s">
        <v>407</v>
      </c>
      <c r="E28" t="str">
        <f>VLOOKUP(Tabla3[[#This Row],[Site]],Table35[],10,FALSE)</f>
        <v>9:00 P.M.</v>
      </c>
      <c r="F28" t="str">
        <f>VLOOKUP(Tabla3[[#This Row],[Site]],Table35[],11,FALSE)</f>
        <v>ET</v>
      </c>
      <c r="G28" t="str">
        <f>VLOOKUP(Tabla3[[#This Row],[Site]],Table35[],12,FALSE)</f>
        <v>5:00 A.M.</v>
      </c>
      <c r="H28" s="74" t="str">
        <f>HYPERLINK(VLOOKUP(Tabla3[[#This Row],[Site]],Table35[#All],9,FALSE))</f>
        <v>https://tools.sig.systems/site/details/346</v>
      </c>
      <c r="I28" t="str">
        <f>VLOOKUP(Tabla3[[#This Row],[Site]],Table35[],13,FALSE)</f>
        <v>-</v>
      </c>
      <c r="J28" t="str">
        <f>VLOOKUP(Tabla3[[#This Row],[Site]],Table35[],14,FALSE)</f>
        <v>10:00 A.M.</v>
      </c>
      <c r="L28" s="32" t="str">
        <f>VLOOKUP(Tabla3[[#This Row],[Site]],Table35[#All],2,FALSE)</f>
        <v>-</v>
      </c>
      <c r="M28" s="32">
        <f>VLOOKUP(Tabla3[[#This Row],[Site]],Table35[#All],3,FALSE)</f>
        <v>2</v>
      </c>
      <c r="N28" s="32" t="str">
        <f>VLOOKUP(Tabla3[[#This Row],[Site]],Table35[#All],4,FALSE)</f>
        <v>-</v>
      </c>
      <c r="O28" s="32" t="str">
        <f>VLOOKUP(Tabla3[[#This Row],[Site]],Table35[#All],5,FALSE)</f>
        <v>-</v>
      </c>
      <c r="P28" s="32">
        <f>VLOOKUP(Tabla3[[#This Row],[Site]],Table35[#All],6,FALSE)</f>
        <v>5</v>
      </c>
      <c r="Q28" s="32" t="str">
        <f>VLOOKUP(Tabla3[[#This Row],[Site]],Table35[#All],8,FALSE)</f>
        <v>346</v>
      </c>
    </row>
    <row r="29" spans="1:17" hidden="1" x14ac:dyDescent="0.25">
      <c r="A29" t="str">
        <f>+Tabla3[[#This Row],[Site]]&amp;Tabla3[[#This Row],[Split]]</f>
        <v>(AS) Larry H Miller CDJR Fiat (NO TOURS)1</v>
      </c>
      <c r="B29">
        <v>1</v>
      </c>
      <c r="C29">
        <v>1</v>
      </c>
      <c r="D29" t="s">
        <v>215</v>
      </c>
      <c r="E29" t="str">
        <f>VLOOKUP(Tabla3[[#This Row],[Site]],Table35[],10,FALSE)</f>
        <v>11:00 P.M.</v>
      </c>
      <c r="F29" t="str">
        <f>VLOOKUP(Tabla3[[#This Row],[Site]],Table35[],11,FALSE)</f>
        <v>MT</v>
      </c>
      <c r="G29" t="str">
        <f>VLOOKUP(Tabla3[[#This Row],[Site]],Table35[],12,FALSE)</f>
        <v>7:00 A.M.</v>
      </c>
      <c r="H29" s="74" t="str">
        <f>HYPERLINK(VLOOKUP(Tabla3[[#This Row],[Site]],Table35[#All],9,FALSE))</f>
        <v>https://tools.sig.systems/site/details/298</v>
      </c>
      <c r="I29">
        <f>VLOOKUP(Tabla3[[#This Row],[Site]],Table35[],13,FALSE)</f>
        <v>0</v>
      </c>
      <c r="J29" t="str">
        <f>VLOOKUP(Tabla3[[#This Row],[Site]],Table35[],14,FALSE)</f>
        <v>-</v>
      </c>
      <c r="L29" s="32" t="str">
        <f>VLOOKUP(Tabla3[[#This Row],[Site]],Table35[#All],2,FALSE)</f>
        <v>7, 11</v>
      </c>
      <c r="M29" s="32" t="str">
        <f>VLOOKUP(Tabla3[[#This Row],[Site]],Table35[#All],3,FALSE)</f>
        <v>2, 3</v>
      </c>
      <c r="N29" s="32" t="str">
        <f>VLOOKUP(Tabla3[[#This Row],[Site]],Table35[#All],4,FALSE)</f>
        <v>-</v>
      </c>
      <c r="O29" s="32" t="str">
        <f>VLOOKUP(Tabla3[[#This Row],[Site]],Table35[#All],5,FALSE)</f>
        <v>-</v>
      </c>
      <c r="P29" s="32" t="str">
        <f>VLOOKUP(Tabla3[[#This Row],[Site]],Table35[#All],6,FALSE)</f>
        <v xml:space="preserve">2, 6, 10, 15, 18 </v>
      </c>
      <c r="Q29" s="32" t="str">
        <f>VLOOKUP(Tabla3[[#This Row],[Site]],Table35[#All],8,FALSE)</f>
        <v>298</v>
      </c>
    </row>
    <row r="30" spans="1:17" hidden="1" x14ac:dyDescent="0.25">
      <c r="A30" t="str">
        <f>+Tabla3[[#This Row],[Site]]&amp;Tabla3[[#This Row],[Split]]</f>
        <v>(AS) Plaza Collision ST Louis (NO TOURS)1</v>
      </c>
      <c r="B30">
        <v>1</v>
      </c>
      <c r="C30">
        <v>1</v>
      </c>
      <c r="D30" t="s">
        <v>437</v>
      </c>
      <c r="E30" t="str">
        <f>VLOOKUP(Tabla3[[#This Row],[Site]],Table35[],10,FALSE)</f>
        <v>10:00 P.M.</v>
      </c>
      <c r="F30" t="str">
        <f>VLOOKUP(Tabla3[[#This Row],[Site]],Table35[],11,FALSE)</f>
        <v>CT</v>
      </c>
      <c r="G30" t="str">
        <f>VLOOKUP(Tabla3[[#This Row],[Site]],Table35[],12,FALSE)</f>
        <v>6:00 A.M.</v>
      </c>
      <c r="H30" s="74" t="str">
        <f>HYPERLINK(VLOOKUP(Tabla3[[#This Row],[Site]],Table35[#All],9,FALSE))</f>
        <v>https://tools.sig.systems/site/details/350</v>
      </c>
      <c r="I30" t="str">
        <f>VLOOKUP(Tabla3[[#This Row],[Site]],Table35[],13,FALSE)</f>
        <v>-</v>
      </c>
      <c r="J30" t="str">
        <f>VLOOKUP(Tabla3[[#This Row],[Site]],Table35[],14,FALSE)</f>
        <v>-</v>
      </c>
      <c r="L30" s="32" t="str">
        <f>VLOOKUP(Tabla3[[#This Row],[Site]],Table35[#All],2,FALSE)</f>
        <v>2, 6</v>
      </c>
      <c r="M30" s="32">
        <f>VLOOKUP(Tabla3[[#This Row],[Site]],Table35[#All],3,FALSE)</f>
        <v>1</v>
      </c>
      <c r="N30" s="32" t="str">
        <f>VLOOKUP(Tabla3[[#This Row],[Site]],Table35[#All],4,FALSE)</f>
        <v>-</v>
      </c>
      <c r="O30" s="32" t="str">
        <f>VLOOKUP(Tabla3[[#This Row],[Site]],Table35[#All],5,FALSE)</f>
        <v>-</v>
      </c>
      <c r="P30" s="32">
        <f>VLOOKUP(Tabla3[[#This Row],[Site]],Table35[#All],6,FALSE)</f>
        <v>3</v>
      </c>
      <c r="Q30" s="32" t="str">
        <f>VLOOKUP(Tabla3[[#This Row],[Site]],Table35[#All],8,FALSE)</f>
        <v>350</v>
      </c>
    </row>
    <row r="31" spans="1:17" hidden="1" x14ac:dyDescent="0.25">
      <c r="A31" t="str">
        <f>+Tabla3[[#This Row],[Site]]&amp;Tabla3[[#This Row],[Split]]</f>
        <v>(AS) Plaza Mercedes Benz West (NO TOURS)1</v>
      </c>
      <c r="B31">
        <v>1</v>
      </c>
      <c r="C31">
        <v>1</v>
      </c>
      <c r="D31" t="s">
        <v>394</v>
      </c>
      <c r="E31" t="str">
        <f>VLOOKUP(Tabla3[[#This Row],[Site]],Table35[],10,FALSE)</f>
        <v>10:00 P.M.</v>
      </c>
      <c r="F31" t="str">
        <f>VLOOKUP(Tabla3[[#This Row],[Site]],Table35[],11,FALSE)</f>
        <v>CT</v>
      </c>
      <c r="G31" t="str">
        <f>VLOOKUP(Tabla3[[#This Row],[Site]],Table35[],12,FALSE)</f>
        <v>6:00 A.M.</v>
      </c>
      <c r="H31" s="74" t="str">
        <f>HYPERLINK(VLOOKUP(Tabla3[[#This Row],[Site]],Table35[#All],9,FALSE))</f>
        <v>https://tools.sig.systems/site/details/349</v>
      </c>
      <c r="I31">
        <f>VLOOKUP(Tabla3[[#This Row],[Site]],Table35[],13,FALSE)</f>
        <v>0</v>
      </c>
      <c r="J31" t="str">
        <f>VLOOKUP(Tabla3[[#This Row],[Site]],Table35[],14,FALSE)</f>
        <v>-</v>
      </c>
      <c r="L31" s="32" t="str">
        <f>VLOOKUP(Tabla3[[#This Row],[Site]],Table35[#All],2,FALSE)</f>
        <v>-</v>
      </c>
      <c r="M31" s="32" t="str">
        <f>VLOOKUP(Tabla3[[#This Row],[Site]],Table35[#All],3,FALSE)</f>
        <v>1, 7</v>
      </c>
      <c r="N31" s="32" t="str">
        <f>VLOOKUP(Tabla3[[#This Row],[Site]],Table35[#All],4,FALSE)</f>
        <v>-</v>
      </c>
      <c r="O31" s="32">
        <f>VLOOKUP(Tabla3[[#This Row],[Site]],Table35[#All],5,FALSE)</f>
        <v>17</v>
      </c>
      <c r="P31" s="32" t="str">
        <f>VLOOKUP(Tabla3[[#This Row],[Site]],Table35[#All],6,FALSE)</f>
        <v>6, 21</v>
      </c>
      <c r="Q31" s="32" t="str">
        <f>VLOOKUP(Tabla3[[#This Row],[Site]],Table35[#All],8,FALSE)</f>
        <v>349</v>
      </c>
    </row>
    <row r="32" spans="1:17" hidden="1" x14ac:dyDescent="0.25">
      <c r="A32" t="str">
        <f>+Tabla3[[#This Row],[Site]]&amp;Tabla3[[#This Row],[Split]]</f>
        <v>(BRL) Fort Pierce1</v>
      </c>
      <c r="B32">
        <v>1</v>
      </c>
      <c r="C32">
        <v>1</v>
      </c>
      <c r="D32" t="s">
        <v>347</v>
      </c>
      <c r="E32" t="str">
        <f>VLOOKUP(Tabla3[[#This Row],[Site]],Table35[],10,FALSE)</f>
        <v>24H</v>
      </c>
      <c r="F32" t="str">
        <f>VLOOKUP(Tabla3[[#This Row],[Site]],Table35[],11,FALSE)</f>
        <v>ET</v>
      </c>
      <c r="G32" t="str">
        <f>VLOOKUP(Tabla3[[#This Row],[Site]],Table35[],12,FALSE)</f>
        <v>-</v>
      </c>
      <c r="H32" s="74" t="str">
        <f>HYPERLINK(VLOOKUP(Tabla3[[#This Row],[Site]],Table35[#All],9,FALSE))</f>
        <v>https://tools.sig.systems/site/details/326</v>
      </c>
      <c r="I32" t="str">
        <f>VLOOKUP(Tabla3[[#This Row],[Site]],Table35[],13,FALSE)</f>
        <v>-</v>
      </c>
      <c r="J32" t="str">
        <f>VLOOKUP(Tabla3[[#This Row],[Site]],Table35[],14,FALSE)</f>
        <v>-</v>
      </c>
      <c r="L32" s="32" t="str">
        <f>VLOOKUP(Tabla3[[#This Row],[Site]],Table35[#All],2,FALSE)</f>
        <v>-</v>
      </c>
      <c r="M32" s="32">
        <f>VLOOKUP(Tabla3[[#This Row],[Site]],Table35[#All],3,FALSE)</f>
        <v>1</v>
      </c>
      <c r="N32" s="32" t="str">
        <f>VLOOKUP(Tabla3[[#This Row],[Site]],Table35[#All],4,FALSE)</f>
        <v>-</v>
      </c>
      <c r="O32" s="32">
        <f>VLOOKUP(Tabla3[[#This Row],[Site]],Table35[#All],5,FALSE)</f>
        <v>2</v>
      </c>
      <c r="P32" s="32" t="str">
        <f>VLOOKUP(Tabla3[[#This Row],[Site]],Table35[#All],6,FALSE)</f>
        <v>15, 18</v>
      </c>
      <c r="Q32" s="32" t="str">
        <f>VLOOKUP(Tabla3[[#This Row],[Site]],Table35[#All],8,FALSE)</f>
        <v>326</v>
      </c>
    </row>
    <row r="33" spans="1:17" hidden="1" x14ac:dyDescent="0.25">
      <c r="A33" t="str">
        <f>+Tabla3[[#This Row],[Site]]&amp;Tabla3[[#This Row],[Split]]</f>
        <v>(BRL) Shoemakersville1</v>
      </c>
      <c r="B33">
        <v>1</v>
      </c>
      <c r="C33">
        <v>1</v>
      </c>
      <c r="D33" t="s">
        <v>119</v>
      </c>
      <c r="E33" t="str">
        <f>VLOOKUP(Tabla3[[#This Row],[Site]],Table35[],10,FALSE)</f>
        <v>24H</v>
      </c>
      <c r="F33" t="str">
        <f>VLOOKUP(Tabla3[[#This Row],[Site]],Table35[],11,FALSE)</f>
        <v>ET</v>
      </c>
      <c r="G33" t="str">
        <f>VLOOKUP(Tabla3[[#This Row],[Site]],Table35[],12,FALSE)</f>
        <v>-</v>
      </c>
      <c r="H33" s="74" t="str">
        <f>HYPERLINK(VLOOKUP(Tabla3[[#This Row],[Site]],Table35[#All],9,FALSE))</f>
        <v>https://tools.sig.systems/site/details/302</v>
      </c>
      <c r="I33">
        <f>VLOOKUP(Tabla3[[#This Row],[Site]],Table35[],13,FALSE)</f>
        <v>0</v>
      </c>
      <c r="J33" t="str">
        <f>VLOOKUP(Tabla3[[#This Row],[Site]],Table35[],14,FALSE)</f>
        <v>-</v>
      </c>
      <c r="L33" s="32" t="str">
        <f>VLOOKUP(Tabla3[[#This Row],[Site]],Table35[#All],2,FALSE)</f>
        <v>-</v>
      </c>
      <c r="M33" s="32" t="str">
        <f>VLOOKUP(Tabla3[[#This Row],[Site]],Table35[#All],3,FALSE)</f>
        <v>8, 11</v>
      </c>
      <c r="N33" s="32" t="str">
        <f>VLOOKUP(Tabla3[[#This Row],[Site]],Table35[#All],4,FALSE)</f>
        <v>-</v>
      </c>
      <c r="O33" s="32" t="str">
        <f>VLOOKUP(Tabla3[[#This Row],[Site]],Table35[#All],5,FALSE)</f>
        <v>1, 6, 13A, 15, 18A</v>
      </c>
      <c r="P33" s="32" t="str">
        <f>VLOOKUP(Tabla3[[#This Row],[Site]],Table35[#All],6,FALSE)</f>
        <v>13B, 23</v>
      </c>
      <c r="Q33" s="32" t="str">
        <f>VLOOKUP(Tabla3[[#This Row],[Site]],Table35[#All],8,FALSE)</f>
        <v>302</v>
      </c>
    </row>
    <row r="34" spans="1:17" hidden="1" x14ac:dyDescent="0.25">
      <c r="A34" t="str">
        <f>+Tabla3[[#This Row],[Site]]&amp;Tabla3[[#This Row],[Split]]</f>
        <v>(DT) Arlington1</v>
      </c>
      <c r="B34">
        <v>1</v>
      </c>
      <c r="C34">
        <v>1</v>
      </c>
      <c r="D34" t="s">
        <v>18</v>
      </c>
      <c r="E34" t="str">
        <f>VLOOKUP(Tabla3[[#This Row],[Site]],Table35[],10,FALSE)</f>
        <v>10:00 P.M.</v>
      </c>
      <c r="F34" t="str">
        <f>VLOOKUP(Tabla3[[#This Row],[Site]],Table35[],11,FALSE)</f>
        <v>CT</v>
      </c>
      <c r="G34" t="str">
        <f>VLOOKUP(Tabla3[[#This Row],[Site]],Table35[],12,FALSE)</f>
        <v>6:00 A.M.</v>
      </c>
      <c r="H34" s="74" t="str">
        <f>HYPERLINK(VLOOKUP(Tabla3[[#This Row],[Site]],Table35[#All],9,FALSE))</f>
        <v>https://tools.sig.systems/site/details/199</v>
      </c>
      <c r="I34">
        <f>VLOOKUP(Tabla3[[#This Row],[Site]],Table35[],13,FALSE)</f>
        <v>0</v>
      </c>
      <c r="J34" t="str">
        <f>VLOOKUP(Tabla3[[#This Row],[Site]],Table35[],14,FALSE)</f>
        <v>-</v>
      </c>
      <c r="L34" s="32">
        <f>VLOOKUP(Tabla3[[#This Row],[Site]],Table35[#All],2,FALSE)</f>
        <v>8</v>
      </c>
      <c r="M34" s="32">
        <f>VLOOKUP(Tabla3[[#This Row],[Site]],Table35[#All],3,FALSE)</f>
        <v>3</v>
      </c>
      <c r="N34" s="32" t="str">
        <f>VLOOKUP(Tabla3[[#This Row],[Site]],Table35[#All],4,FALSE)</f>
        <v>-</v>
      </c>
      <c r="O34" s="32" t="str">
        <f>VLOOKUP(Tabla3[[#This Row],[Site]],Table35[#All],5,FALSE)</f>
        <v>-</v>
      </c>
      <c r="P34" s="32" t="str">
        <f>VLOOKUP(Tabla3[[#This Row],[Site]],Table35[#All],6,FALSE)</f>
        <v>3, 8, 9</v>
      </c>
      <c r="Q34" s="32">
        <v>334</v>
      </c>
    </row>
    <row r="35" spans="1:17" hidden="1" x14ac:dyDescent="0.25">
      <c r="A35" t="str">
        <f>+Tabla3[[#This Row],[Site]]&amp;Tabla3[[#This Row],[Split]]</f>
        <v>(DT) Charlotte1</v>
      </c>
      <c r="B35">
        <v>1</v>
      </c>
      <c r="C35">
        <v>1</v>
      </c>
      <c r="D35" t="s">
        <v>150</v>
      </c>
      <c r="E35" t="str">
        <f>VLOOKUP(Tabla3[[#This Row],[Site]],Table35[],10,FALSE)</f>
        <v>9:00 P.M.</v>
      </c>
      <c r="F35" t="str">
        <f>VLOOKUP(Tabla3[[#This Row],[Site]],Table35[],11,FALSE)</f>
        <v>ET</v>
      </c>
      <c r="G35" t="str">
        <f>VLOOKUP(Tabla3[[#This Row],[Site]],Table35[],12,FALSE)</f>
        <v>5:00 A.M.</v>
      </c>
      <c r="H35" s="74" t="str">
        <f>HYPERLINK(VLOOKUP(Tabla3[[#This Row],[Site]],Table35[#All],9,FALSE))</f>
        <v>https://tools.sig.systems/site/details/299</v>
      </c>
      <c r="I35">
        <f>VLOOKUP(Tabla3[[#This Row],[Site]],Table35[],13,FALSE)</f>
        <v>0</v>
      </c>
      <c r="J35" t="str">
        <f>VLOOKUP(Tabla3[[#This Row],[Site]],Table35[],14,FALSE)</f>
        <v>-</v>
      </c>
      <c r="L35" s="32" t="str">
        <f>VLOOKUP(Tabla3[[#This Row],[Site]],Table35[#All],2,FALSE)</f>
        <v>4, 25, 41</v>
      </c>
      <c r="M35" s="32" t="str">
        <f>VLOOKUP(Tabla3[[#This Row],[Site]],Table35[#All],3,FALSE)</f>
        <v>-</v>
      </c>
      <c r="N35" s="32" t="str">
        <f>VLOOKUP(Tabla3[[#This Row],[Site]],Table35[#All],4,FALSE)</f>
        <v>-</v>
      </c>
      <c r="O35" s="32" t="str">
        <f>VLOOKUP(Tabla3[[#This Row],[Site]],Table35[#All],5,FALSE)</f>
        <v xml:space="preserve">11, 32, 35 </v>
      </c>
      <c r="P35" s="32" t="str">
        <f>VLOOKUP(Tabla3[[#This Row],[Site]],Table35[#All],6,FALSE)</f>
        <v>6, 11, 18, 29, 34,  38, 39</v>
      </c>
      <c r="Q35" s="32" t="str">
        <f>VLOOKUP(Tabla3[[#This Row],[Site]],Table35[#All],8,FALSE)</f>
        <v>299</v>
      </c>
    </row>
    <row r="36" spans="1:17" hidden="1" x14ac:dyDescent="0.25">
      <c r="A36" t="str">
        <f>+Tabla3[[#This Row],[Site]]&amp;Tabla3[[#This Row],[Split]]</f>
        <v>(DT) Modesto1</v>
      </c>
      <c r="B36">
        <v>1</v>
      </c>
      <c r="C36">
        <v>1</v>
      </c>
      <c r="D36" t="s">
        <v>14</v>
      </c>
      <c r="E36" t="str">
        <f>VLOOKUP(Tabla3[[#This Row],[Site]],Table35[],10,FALSE)</f>
        <v>12:00 A.M.</v>
      </c>
      <c r="F36" t="str">
        <f>VLOOKUP(Tabla3[[#This Row],[Site]],Table35[],11,FALSE)</f>
        <v>PT</v>
      </c>
      <c r="G36" t="str">
        <f>VLOOKUP(Tabla3[[#This Row],[Site]],Table35[],12,FALSE)</f>
        <v>8:00 A.M.</v>
      </c>
      <c r="H36" s="74" t="str">
        <f>HYPERLINK(VLOOKUP(Tabla3[[#This Row],[Site]],Table35[#All],9,FALSE))</f>
        <v>https://tools.sig.systems/site/details/267</v>
      </c>
      <c r="I36">
        <f>VLOOKUP(Tabla3[[#This Row],[Site]],Table35[],13,FALSE)</f>
        <v>0</v>
      </c>
      <c r="J36" t="str">
        <f>VLOOKUP(Tabla3[[#This Row],[Site]],Table35[],14,FALSE)</f>
        <v>-</v>
      </c>
      <c r="L36" s="32">
        <f>VLOOKUP(Tabla3[[#This Row],[Site]],Table35[#All],2,FALSE)</f>
        <v>10</v>
      </c>
      <c r="M36" s="32" t="str">
        <f>VLOOKUP(Tabla3[[#This Row],[Site]],Table35[#All],3,FALSE)</f>
        <v>5, 6</v>
      </c>
      <c r="N36" s="32" t="str">
        <f>VLOOKUP(Tabla3[[#This Row],[Site]],Table35[#All],4,FALSE)</f>
        <v>-</v>
      </c>
      <c r="O36" s="32" t="str">
        <f>VLOOKUP(Tabla3[[#This Row],[Site]],Table35[#All],5,FALSE)</f>
        <v>-</v>
      </c>
      <c r="P36" s="32" t="str">
        <f>VLOOKUP(Tabla3[[#This Row],[Site]],Table35[#All],6,FALSE)</f>
        <v>2, 3, 5, 10</v>
      </c>
      <c r="Q36" s="32" t="str">
        <f>VLOOKUP(Tabla3[[#This Row],[Site]],Table35[#All],8,FALSE)</f>
        <v>267</v>
      </c>
    </row>
    <row r="37" spans="1:17" hidden="1" x14ac:dyDescent="0.25">
      <c r="A37" t="str">
        <f>+Tabla3[[#This Row],[Site]]&amp;Tabla3[[#This Row],[Split]]</f>
        <v>(KG) Big Star Cadillac1</v>
      </c>
      <c r="B37">
        <v>1</v>
      </c>
      <c r="C37">
        <v>1</v>
      </c>
      <c r="D37" t="s">
        <v>237</v>
      </c>
      <c r="E37" t="str">
        <f>VLOOKUP(Tabla3[[#This Row],[Site]],Table35[],10,FALSE)</f>
        <v>10:00 P.M.</v>
      </c>
      <c r="F37" t="str">
        <f>VLOOKUP(Tabla3[[#This Row],[Site]],Table35[],11,FALSE)</f>
        <v>CT</v>
      </c>
      <c r="G37" t="str">
        <f>VLOOKUP(Tabla3[[#This Row],[Site]],Table35[],12,FALSE)</f>
        <v>6:00 A.M.</v>
      </c>
      <c r="H37" s="74" t="str">
        <f>HYPERLINK(VLOOKUP(Tabla3[[#This Row],[Site]],Table35[#All],9,FALSE))</f>
        <v>https://tools.sig.systems/site/details/316</v>
      </c>
      <c r="I37" t="str">
        <f>VLOOKUP(Tabla3[[#This Row],[Site]],Table35[],13,FALSE)</f>
        <v>https://www.google.com/maps/d/edit?mid=1jIRkMUnWNPuTgDjQgDP-f33LClT85NU&amp;usp=sharing</v>
      </c>
      <c r="J37" t="str">
        <f>VLOOKUP(Tabla3[[#This Row],[Site]],Table35[],14,FALSE)</f>
        <v>-</v>
      </c>
      <c r="L37" s="32" t="str">
        <f>VLOOKUP(Tabla3[[#This Row],[Site]],Table35[#All],2,FALSE)</f>
        <v>1, 4, 16</v>
      </c>
      <c r="M37" s="32" t="str">
        <f>VLOOKUP(Tabla3[[#This Row],[Site]],Table35[#All],3,FALSE)</f>
        <v>-</v>
      </c>
      <c r="N37" s="32" t="str">
        <f>VLOOKUP(Tabla3[[#This Row],[Site]],Table35[#All],4,FALSE)</f>
        <v>-</v>
      </c>
      <c r="O37" s="32" t="str">
        <f>VLOOKUP(Tabla3[[#This Row],[Site]],Table35[#All],5,FALSE)</f>
        <v>-</v>
      </c>
      <c r="P37" s="32" t="str">
        <f>VLOOKUP(Tabla3[[#This Row],[Site]],Table35[#All],6,FALSE)</f>
        <v>15, 16, 19, 20</v>
      </c>
      <c r="Q37" s="32" t="str">
        <f>VLOOKUP(Tabla3[[#This Row],[Site]],Table35[#All],8,FALSE)</f>
        <v>316</v>
      </c>
    </row>
    <row r="38" spans="1:17" hidden="1" x14ac:dyDescent="0.25">
      <c r="A38" t="str">
        <f>+Tabla3[[#This Row],[Site]]&amp;Tabla3[[#This Row],[Split]]</f>
        <v>(KG) Big Star Hyundai Houston1</v>
      </c>
      <c r="B38">
        <v>1</v>
      </c>
      <c r="C38">
        <v>1</v>
      </c>
      <c r="D38" t="s">
        <v>128</v>
      </c>
      <c r="E38" t="str">
        <f>VLOOKUP(Tabla3[[#This Row],[Site]],Table35[],10,FALSE)</f>
        <v>10:00 P.M.</v>
      </c>
      <c r="F38" t="str">
        <f>VLOOKUP(Tabla3[[#This Row],[Site]],Table35[],11,FALSE)</f>
        <v>CT</v>
      </c>
      <c r="G38" t="str">
        <f>VLOOKUP(Tabla3[[#This Row],[Site]],Table35[],12,FALSE)</f>
        <v>6:00 A.M.</v>
      </c>
      <c r="H38" s="74" t="str">
        <f>HYPERLINK(VLOOKUP(Tabla3[[#This Row],[Site]],Table35[#All],9,FALSE))</f>
        <v>https://tools.sig.systems/site/details/287</v>
      </c>
      <c r="I38" t="str">
        <f>VLOOKUP(Tabla3[[#This Row],[Site]],Table35[],13,FALSE)</f>
        <v>https://www.google.com/maps/d/edit?hl=en&amp;mid=1jIRkMUnWNPuTgDjQgDP-f33LClT85NU&amp;ll=29.55731827236326%2C-95.1601644&amp;z=17</v>
      </c>
      <c r="J38" t="str">
        <f>VLOOKUP(Tabla3[[#This Row],[Site]],Table35[],14,FALSE)</f>
        <v>-</v>
      </c>
      <c r="L38" s="32" t="s">
        <v>198</v>
      </c>
      <c r="M38" s="32" t="s">
        <v>199</v>
      </c>
      <c r="N38" s="32" t="s">
        <v>96</v>
      </c>
      <c r="O38" s="32" t="s">
        <v>200</v>
      </c>
      <c r="P38" s="32" t="s">
        <v>201</v>
      </c>
      <c r="Q38" s="32" t="s">
        <v>296</v>
      </c>
    </row>
    <row r="39" spans="1:17" hidden="1" x14ac:dyDescent="0.25">
      <c r="A39" t="str">
        <f>+Tabla3[[#This Row],[Site]]&amp;Tabla3[[#This Row],[Split]]</f>
        <v>(KG) Ken Garff Kia of Avondale1</v>
      </c>
      <c r="B39">
        <v>1</v>
      </c>
      <c r="C39">
        <v>1</v>
      </c>
      <c r="D39" t="s">
        <v>297</v>
      </c>
      <c r="E39" t="str">
        <f>VLOOKUP(Tabla3[[#This Row],[Site]],Table35[],10,FALSE)</f>
        <v>12:00 A.M.</v>
      </c>
      <c r="F39" t="str">
        <f>VLOOKUP(Tabla3[[#This Row],[Site]],Table35[],11,FALSE)</f>
        <v>MST</v>
      </c>
      <c r="G39" t="str">
        <f>VLOOKUP(Tabla3[[#This Row],[Site]],Table35[],12,FALSE)</f>
        <v>8:00 A.M.</v>
      </c>
      <c r="H39" s="74" t="str">
        <f>HYPERLINK(VLOOKUP(Tabla3[[#This Row],[Site]],Table35[#All],9,FALSE))</f>
        <v>https://tools.sig.systems/site/details/283</v>
      </c>
      <c r="I39" t="str">
        <f>VLOOKUP(Tabla3[[#This Row],[Site]],Table35[],13,FALSE)</f>
        <v>https://www.google.com/maps/d/viewer?mid=1bDs0QGFZwL3vEeGKxjVMk_j4azr0-lg&amp;ll=33.4593758581648%2C-112.28793780000001&amp;z=18</v>
      </c>
      <c r="J39" t="str">
        <f>VLOOKUP(Tabla3[[#This Row],[Site]],Table35[],14,FALSE)</f>
        <v>12:00 P.M.</v>
      </c>
      <c r="L39" s="32" t="str">
        <f>VLOOKUP(Tabla3[[#This Row],[Site]],Table35[#All],2,FALSE)</f>
        <v>5, 19</v>
      </c>
      <c r="M39" s="32" t="str">
        <f>VLOOKUP(Tabla3[[#This Row],[Site]],Table35[#All],3,FALSE)</f>
        <v>-</v>
      </c>
      <c r="N39" s="32" t="str">
        <f>VLOOKUP(Tabla3[[#This Row],[Site]],Table35[#All],4,FALSE)</f>
        <v>-</v>
      </c>
      <c r="O39" s="32" t="str">
        <f>VLOOKUP(Tabla3[[#This Row],[Site]],Table35[#All],5,FALSE)</f>
        <v>3, 5</v>
      </c>
      <c r="P39" s="32" t="str">
        <f>VLOOKUP(Tabla3[[#This Row],[Site]],Table35[#All],6,FALSE)</f>
        <v>1, 6, 7, 12, 15, 17, 21</v>
      </c>
      <c r="Q39" s="32" t="str">
        <f>VLOOKUP(Tabla3[[#This Row],[Site]],Table35[#All],8,FALSE)</f>
        <v>283</v>
      </c>
    </row>
    <row r="40" spans="1:17" hidden="1" x14ac:dyDescent="0.25">
      <c r="A40" t="str">
        <f>+Tabla3[[#This Row],[Site]]&amp;Tabla3[[#This Row],[Split]]</f>
        <v>(KG) Ken Garff Volkswagen of Gilbert1</v>
      </c>
      <c r="B40">
        <v>1</v>
      </c>
      <c r="C40">
        <v>1</v>
      </c>
      <c r="D40" t="s">
        <v>129</v>
      </c>
      <c r="E40" t="str">
        <f>VLOOKUP(Tabla3[[#This Row],[Site]],Table35[],10,FALSE)</f>
        <v>12:00 A.M.</v>
      </c>
      <c r="F40" t="str">
        <f>VLOOKUP(Tabla3[[#This Row],[Site]],Table35[],11,FALSE)</f>
        <v>MST</v>
      </c>
      <c r="G40" t="str">
        <f>VLOOKUP(Tabla3[[#This Row],[Site]],Table35[],12,FALSE)</f>
        <v>8:00 A.M.</v>
      </c>
      <c r="H40" s="74" t="str">
        <f>HYPERLINK(VLOOKUP(Tabla3[[#This Row],[Site]],Table35[#All],9,FALSE))</f>
        <v>https://tools.sig.systems/site/details/284</v>
      </c>
      <c r="I40" t="str">
        <f>VLOOKUP(Tabla3[[#This Row],[Site]],Table35[],13,FALSE)</f>
        <v>https://www.google.com/maps/d/viewer?hl=es&amp;mid=19SU7XE9Cg8jhVFpEI21Vi9Zfgdih9Ds&amp;ll=33.29158262977276%2C-111.75783630000002&amp;z=17</v>
      </c>
      <c r="J40" t="str">
        <f>VLOOKUP(Tabla3[[#This Row],[Site]],Table35[],14,FALSE)</f>
        <v>12:00 P.M.</v>
      </c>
      <c r="L40" s="32" t="str">
        <f>VLOOKUP(Tabla3[[#This Row],[Site]],Table35[#All],2,FALSE)</f>
        <v>4, 6</v>
      </c>
      <c r="M40" s="32" t="str">
        <f>VLOOKUP(Tabla3[[#This Row],[Site]],Table35[#All],3,FALSE)</f>
        <v>-</v>
      </c>
      <c r="N40" s="32" t="str">
        <f>VLOOKUP(Tabla3[[#This Row],[Site]],Table35[#All],4,FALSE)</f>
        <v>-</v>
      </c>
      <c r="O40" s="32" t="str">
        <f>VLOOKUP(Tabla3[[#This Row],[Site]],Table35[#All],5,FALSE)</f>
        <v>2, 14</v>
      </c>
      <c r="P40" s="32" t="str">
        <f>VLOOKUP(Tabla3[[#This Row],[Site]],Table35[#All],6,FALSE)</f>
        <v>1, 5, 8, 9, 17, 19, 21</v>
      </c>
      <c r="Q40" s="32" t="str">
        <f>VLOOKUP(Tabla3[[#This Row],[Site]],Table35[#All],8,FALSE)</f>
        <v>284</v>
      </c>
    </row>
    <row r="41" spans="1:17" hidden="1" x14ac:dyDescent="0.25">
      <c r="A41" t="str">
        <f>+Tabla3[[#This Row],[Site]]&amp;Tabla3[[#This Row],[Split]]</f>
        <v>(LT) Landers Kia of Little Rock1</v>
      </c>
      <c r="B41">
        <v>1</v>
      </c>
      <c r="C41">
        <v>1</v>
      </c>
      <c r="D41" t="s">
        <v>247</v>
      </c>
      <c r="E41" t="str">
        <f>VLOOKUP(Tabla3[[#This Row],[Site]],Table35[],10,FALSE)</f>
        <v>10:00 P.M.</v>
      </c>
      <c r="F41" t="str">
        <f>VLOOKUP(Tabla3[[#This Row],[Site]],Table35[],11,FALSE)</f>
        <v>CT</v>
      </c>
      <c r="G41" t="str">
        <f>VLOOKUP(Tabla3[[#This Row],[Site]],Table35[],12,FALSE)</f>
        <v>6:00 A.M.</v>
      </c>
      <c r="H41" s="74" t="str">
        <f>HYPERLINK(VLOOKUP(Tabla3[[#This Row],[Site]],Table35[#All],9,FALSE))</f>
        <v>https://tools.sig.systems/site/details/322</v>
      </c>
      <c r="I41" t="str">
        <f>VLOOKUP(Tabla3[[#This Row],[Site]],Table35[],13,FALSE)</f>
        <v>https://www.google.com/maps/d/u/1/edit?mid=1-zEzsc6U6nZom08edp0XAd3_HYFvAyk&amp;usp=sharing</v>
      </c>
      <c r="J41" t="str">
        <f>VLOOKUP(Tabla3[[#This Row],[Site]],Table35[],14,FALSE)</f>
        <v>-</v>
      </c>
      <c r="L41" s="32" t="str">
        <f>VLOOKUP(Tabla3[[#This Row],[Site]],Table35[#All],2,FALSE)</f>
        <v>5, 9, 33, 19</v>
      </c>
      <c r="M41" s="32" t="str">
        <f>VLOOKUP(Tabla3[[#This Row],[Site]],Table35[#All],3,FALSE)</f>
        <v>-</v>
      </c>
      <c r="N41" s="32" t="str">
        <f>VLOOKUP(Tabla3[[#This Row],[Site]],Table35[#All],4,FALSE)</f>
        <v>4, 10</v>
      </c>
      <c r="O41" s="32" t="str">
        <f>VLOOKUP(Tabla3[[#This Row],[Site]],Table35[#All],5,FALSE)</f>
        <v>1, 35</v>
      </c>
      <c r="P41" s="32" t="str">
        <f>VLOOKUP(Tabla3[[#This Row],[Site]],Table35[#All],6,FALSE)</f>
        <v>5, 9, 12, 14, 18, 26, 29</v>
      </c>
      <c r="Q41" s="32" t="str">
        <f>VLOOKUP(Tabla3[[#This Row],[Site]],Table35[#All],8,FALSE)</f>
        <v>322</v>
      </c>
    </row>
    <row r="42" spans="1:17" x14ac:dyDescent="0.25">
      <c r="A42" t="str">
        <f>+Tabla3[[#This Row],[Site]]&amp;Tabla3[[#This Row],[Split]]</f>
        <v>(LT) Luther Bloomington Hyundai (NO TOURS)1</v>
      </c>
      <c r="B42">
        <v>1</v>
      </c>
      <c r="C42">
        <v>1</v>
      </c>
      <c r="D42" t="s">
        <v>455</v>
      </c>
      <c r="E42" t="str">
        <f>VLOOKUP(Tabla3[[#This Row],[Site]],Table35[],10,FALSE)</f>
        <v>10:00 P.M.</v>
      </c>
      <c r="F42" t="str">
        <f>VLOOKUP(Tabla3[[#This Row],[Site]],Table35[],11,FALSE)</f>
        <v>CT</v>
      </c>
      <c r="G42" t="str">
        <f>VLOOKUP(Tabla3[[#This Row],[Site]],Table35[],12,FALSE)</f>
        <v>6:00 A.M.</v>
      </c>
      <c r="H42" s="74" t="str">
        <f>HYPERLINK(VLOOKUP(Tabla3[[#This Row],[Site]],Table35[#All],9,FALSE))</f>
        <v>https://tools.sig.systems/site/details/318</v>
      </c>
      <c r="I42">
        <f>VLOOKUP(Tabla3[[#This Row],[Site]],Table35[],13,FALSE)</f>
        <v>0</v>
      </c>
      <c r="J42" t="str">
        <f>VLOOKUP(Tabla3[[#This Row],[Site]],Table35[],14,FALSE)</f>
        <v>-</v>
      </c>
      <c r="L42" s="32" t="str">
        <f>VLOOKUP(Tabla3[[#This Row],[Site]],Table35[#All],2,FALSE)</f>
        <v>-</v>
      </c>
      <c r="M42" s="32" t="str">
        <f>VLOOKUP(Tabla3[[#This Row],[Site]],Table35[#All],3,FALSE)</f>
        <v>6, 9, 13</v>
      </c>
      <c r="N42" s="32" t="str">
        <f>VLOOKUP(Tabla3[[#This Row],[Site]],Table35[#All],4,FALSE)</f>
        <v>58, 59</v>
      </c>
      <c r="O42" s="32">
        <f>VLOOKUP(Tabla3[[#This Row],[Site]],Table35[#All],5,FALSE)</f>
        <v>10</v>
      </c>
      <c r="P42" s="32" t="str">
        <f>VLOOKUP(Tabla3[[#This Row],[Site]],Table35[#All],6,FALSE)</f>
        <v>11, 18</v>
      </c>
      <c r="Q42" s="32" t="str">
        <f>VLOOKUP(Tabla3[[#This Row],[Site]],Table35[#All],8,FALSE)</f>
        <v>318</v>
      </c>
    </row>
    <row r="43" spans="1:17" hidden="1" x14ac:dyDescent="0.25">
      <c r="A43" t="str">
        <f>+Tabla3[[#This Row],[Site]]&amp;Tabla3[[#This Row],[Split]]</f>
        <v>(LT) Luther Bloomington Subaru - Acura1</v>
      </c>
      <c r="B43">
        <v>1</v>
      </c>
      <c r="C43">
        <v>1</v>
      </c>
      <c r="D43" t="s">
        <v>123</v>
      </c>
      <c r="E43" t="str">
        <f>VLOOKUP(Tabla3[[#This Row],[Site]],Table35[],10,FALSE)</f>
        <v>9:30 P.M.</v>
      </c>
      <c r="F43" t="str">
        <f>VLOOKUP(Tabla3[[#This Row],[Site]],Table35[],11,FALSE)</f>
        <v>CT</v>
      </c>
      <c r="G43" t="str">
        <f>VLOOKUP(Tabla3[[#This Row],[Site]],Table35[],12,FALSE)</f>
        <v>4:00 A.M.</v>
      </c>
      <c r="H43" s="74" t="str">
        <f>HYPERLINK(VLOOKUP(Tabla3[[#This Row],[Site]],Table35[#All],9,FALSE))</f>
        <v>https://tools.sig.systems/site/details/289</v>
      </c>
      <c r="I43">
        <f>VLOOKUP(Tabla3[[#This Row],[Site]],Table35[],13,FALSE)</f>
        <v>0</v>
      </c>
      <c r="J43" t="str">
        <f>VLOOKUP(Tabla3[[#This Row],[Site]],Table35[],14,FALSE)</f>
        <v>-</v>
      </c>
      <c r="L43" s="32">
        <f>VLOOKUP(Tabla3[[#This Row],[Site]],Table35[#All],2,FALSE)</f>
        <v>29</v>
      </c>
      <c r="M43" s="32" t="str">
        <f>VLOOKUP(Tabla3[[#This Row],[Site]],Table35[#All],3,FALSE)</f>
        <v>5, 8, 33</v>
      </c>
      <c r="N43" s="32" t="str">
        <f>VLOOKUP(Tabla3[[#This Row],[Site]],Table35[#All],4,FALSE)</f>
        <v>4, 7, 35</v>
      </c>
      <c r="O43" s="32" t="str">
        <f>VLOOKUP(Tabla3[[#This Row],[Site]],Table35[#All],5,FALSE)</f>
        <v>-</v>
      </c>
      <c r="P43" s="32" t="str">
        <f>VLOOKUP(Tabla3[[#This Row],[Site]],Table35[#All],6,FALSE)</f>
        <v xml:space="preserve">1, 2, 14, 24, 34  </v>
      </c>
      <c r="Q43" s="32" t="str">
        <f>VLOOKUP(Tabla3[[#This Row],[Site]],Table35[#All],8,FALSE)</f>
        <v>289</v>
      </c>
    </row>
    <row r="44" spans="1:17" hidden="1" x14ac:dyDescent="0.25">
      <c r="A44" t="str">
        <f>+Tabla3[[#This Row],[Site]]&amp;Tabla3[[#This Row],[Split]]</f>
        <v>(LT) Luther Brookdale Honda (NO TOURS)1</v>
      </c>
      <c r="B44">
        <v>1</v>
      </c>
      <c r="C44">
        <v>1</v>
      </c>
      <c r="D44" t="s">
        <v>271</v>
      </c>
      <c r="E44" t="str">
        <f>VLOOKUP(Tabla3[[#This Row],[Site]],Table35[],10,FALSE)</f>
        <v>10:00 P.M.</v>
      </c>
      <c r="F44" t="str">
        <f>VLOOKUP(Tabla3[[#This Row],[Site]],Table35[],11,FALSE)</f>
        <v>CT</v>
      </c>
      <c r="G44" t="str">
        <f>VLOOKUP(Tabla3[[#This Row],[Site]],Table35[],12,FALSE)</f>
        <v>6:00 A.M.</v>
      </c>
      <c r="H44" s="74" t="str">
        <f>HYPERLINK(VLOOKUP(Tabla3[[#This Row],[Site]],Table35[#All],9,FALSE))</f>
        <v>https://tools.sig.systems/site/details/280</v>
      </c>
      <c r="I44" t="str">
        <f>VLOOKUP(Tabla3[[#This Row],[Site]],Table35[],13,FALSE)</f>
        <v>https://www.google.com/maps/d/viewer?mid=1ot0ILX76JMuvd9yMuqkb4_e0yH1n7TA&amp;ll=45.07815812965141%2C-93.33506855000002&amp;z=17</v>
      </c>
      <c r="J44" t="str">
        <f>VLOOKUP(Tabla3[[#This Row],[Site]],Table35[],14,FALSE)</f>
        <v>-</v>
      </c>
      <c r="L44" s="32" t="str">
        <f>VLOOKUP(Tabla3[[#This Row],[Site]],Table35[#All],2,FALSE)</f>
        <v>-</v>
      </c>
      <c r="M44" s="32" t="str">
        <f>VLOOKUP(Tabla3[[#This Row],[Site]],Table35[#All],3,FALSE)</f>
        <v>1, 21</v>
      </c>
      <c r="N44" s="32" t="str">
        <f>VLOOKUP(Tabla3[[#This Row],[Site]],Table35[#All],4,FALSE)</f>
        <v>38, 39, 40</v>
      </c>
      <c r="O44" s="32" t="str">
        <f>VLOOKUP(Tabla3[[#This Row],[Site]],Table35[#All],5,FALSE)</f>
        <v>2, 10, 19</v>
      </c>
      <c r="P44" s="32" t="str">
        <f>VLOOKUP(Tabla3[[#This Row],[Site]],Table35[#All],6,FALSE)</f>
        <v>4, 5, 7, 11, 13, 20, 24, 36</v>
      </c>
      <c r="Q44" s="32" t="str">
        <f>VLOOKUP(Tabla3[[#This Row],[Site]],Table35[#All],8,FALSE)</f>
        <v>280</v>
      </c>
    </row>
    <row r="45" spans="1:17" hidden="1" x14ac:dyDescent="0.25">
      <c r="A45" t="str">
        <f>+Tabla3[[#This Row],[Site]]&amp;Tabla3[[#This Row],[Split]]</f>
        <v>(LT) Luther Brookdale Toyota1</v>
      </c>
      <c r="B45">
        <v>1</v>
      </c>
      <c r="C45">
        <v>1</v>
      </c>
      <c r="D45" t="s">
        <v>125</v>
      </c>
      <c r="E45" t="str">
        <f>VLOOKUP(Tabla3[[#This Row],[Site]],Table35[],10,FALSE)</f>
        <v>10:00 P.M.</v>
      </c>
      <c r="F45" t="str">
        <f>VLOOKUP(Tabla3[[#This Row],[Site]],Table35[],11,FALSE)</f>
        <v>CT</v>
      </c>
      <c r="G45" t="str">
        <f>VLOOKUP(Tabla3[[#This Row],[Site]],Table35[],12,FALSE)</f>
        <v>5:00 A.M.</v>
      </c>
      <c r="H45" s="74" t="str">
        <f>HYPERLINK(VLOOKUP(Tabla3[[#This Row],[Site]],Table35[#All],9,FALSE))</f>
        <v>https://tools.sig.systems/site/details/281</v>
      </c>
      <c r="I45" t="str">
        <f>VLOOKUP(Tabla3[[#This Row],[Site]],Table35[],13,FALSE)</f>
        <v>https://www.google.com/maps/d/viewer?mid=1ot0ILX76JMuvd9yMuqkb4_e0yH1n7TA&amp;ll=45.07815812965141%2C-93.33506855000002&amp;z=17</v>
      </c>
      <c r="J45" t="str">
        <f>VLOOKUP(Tabla3[[#This Row],[Site]],Table35[],14,FALSE)</f>
        <v>-</v>
      </c>
      <c r="L45" s="32" t="str">
        <f>VLOOKUP(Tabla3[[#This Row],[Site]],Table35[#All],2,FALSE)</f>
        <v>-</v>
      </c>
      <c r="M45" s="32" t="str">
        <f>VLOOKUP(Tabla3[[#This Row],[Site]],Table35[#All],3,FALSE)</f>
        <v>5, 7</v>
      </c>
      <c r="N45" s="32">
        <f>VLOOKUP(Tabla3[[#This Row],[Site]],Table35[#All],4,FALSE)</f>
        <v>29</v>
      </c>
      <c r="O45" s="32">
        <f>VLOOKUP(Tabla3[[#This Row],[Site]],Table35[#All],5,FALSE)</f>
        <v>20</v>
      </c>
      <c r="P45" s="32" t="str">
        <f>VLOOKUP(Tabla3[[#This Row],[Site]],Table35[#All],6,FALSE)</f>
        <v xml:space="preserve">1, 2, 4, 10, 18, 24, 25 </v>
      </c>
      <c r="Q45" s="32" t="str">
        <f>VLOOKUP(Tabla3[[#This Row],[Site]],Table35[#All],8,FALSE)</f>
        <v>281</v>
      </c>
    </row>
    <row r="46" spans="1:17" hidden="1" x14ac:dyDescent="0.25">
      <c r="A46" t="str">
        <f>+Tabla3[[#This Row],[Site]]&amp;Tabla3[[#This Row],[Split]]</f>
        <v>(LT) Luther Burnsville Hyundai1</v>
      </c>
      <c r="B46">
        <v>1</v>
      </c>
      <c r="C46">
        <v>1</v>
      </c>
      <c r="D46" t="s">
        <v>280</v>
      </c>
      <c r="E46" t="str">
        <f>VLOOKUP(Tabla3[[#This Row],[Site]],Table35[],10,FALSE)</f>
        <v>10:00 P.M.</v>
      </c>
      <c r="F46" t="str">
        <f>VLOOKUP(Tabla3[[#This Row],[Site]],Table35[],11,FALSE)</f>
        <v>CT</v>
      </c>
      <c r="G46" t="str">
        <f>VLOOKUP(Tabla3[[#This Row],[Site]],Table35[],12,FALSE)</f>
        <v>6:00 A.M.</v>
      </c>
      <c r="H46" s="74" t="str">
        <f>HYPERLINK(VLOOKUP(Tabla3[[#This Row],[Site]],Table35[#All],9,FALSE))</f>
        <v>https://tools.sig.systems/site/details/307</v>
      </c>
      <c r="I46">
        <f>VLOOKUP(Tabla3[[#This Row],[Site]],Table35[],13,FALSE)</f>
        <v>0</v>
      </c>
      <c r="J46" t="str">
        <f>VLOOKUP(Tabla3[[#This Row],[Site]],Table35[],14,FALSE)</f>
        <v>-</v>
      </c>
      <c r="L46" s="32" t="str">
        <f>VLOOKUP(Tabla3[[#This Row],[Site]],Table35[#All],2,FALSE)</f>
        <v>-</v>
      </c>
      <c r="M46" s="32" t="str">
        <f>VLOOKUP(Tabla3[[#This Row],[Site]],Table35[#All],3,FALSE)</f>
        <v>6, 17</v>
      </c>
      <c r="N46" s="32" t="str">
        <f>VLOOKUP(Tabla3[[#This Row],[Site]],Table35[#All],4,FALSE)</f>
        <v>22, 21</v>
      </c>
      <c r="O46" s="32">
        <f>VLOOKUP(Tabla3[[#This Row],[Site]],Table35[#All],5,FALSE)</f>
        <v>7</v>
      </c>
      <c r="P46" s="32" t="str">
        <f>VLOOKUP(Tabla3[[#This Row],[Site]],Table35[#All],6,FALSE)</f>
        <v>2, 4, 16</v>
      </c>
      <c r="Q46" s="32" t="str">
        <f>VLOOKUP(Tabla3[[#This Row],[Site]],Table35[#All],8,FALSE)</f>
        <v>307</v>
      </c>
    </row>
    <row r="47" spans="1:17" hidden="1" x14ac:dyDescent="0.25">
      <c r="A47" t="str">
        <f>+Tabla3[[#This Row],[Site]]&amp;Tabla3[[#This Row],[Split]]</f>
        <v>(LT) Luther Genesis of Minneapolis1</v>
      </c>
      <c r="B47">
        <v>1</v>
      </c>
      <c r="C47">
        <v>1</v>
      </c>
      <c r="D47" t="s">
        <v>260</v>
      </c>
      <c r="E47" t="str">
        <f>VLOOKUP(Tabla3[[#This Row],[Site]],Table35[],10,FALSE)</f>
        <v>10:00 P.M.</v>
      </c>
      <c r="F47" t="str">
        <f>VLOOKUP(Tabla3[[#This Row],[Site]],Table35[],11,FALSE)</f>
        <v>CT</v>
      </c>
      <c r="G47" t="str">
        <f>VLOOKUP(Tabla3[[#This Row],[Site]],Table35[],12,FALSE)</f>
        <v>6:00 A.M.</v>
      </c>
      <c r="H47" s="74" t="str">
        <f>HYPERLINK(VLOOKUP(Tabla3[[#This Row],[Site]],Table35[#All],9,FALSE))</f>
        <v>https://tools.sig.systems/site/details/315</v>
      </c>
      <c r="I47">
        <f>VLOOKUP(Tabla3[[#This Row],[Site]],Table35[],13,FALSE)</f>
        <v>0</v>
      </c>
      <c r="J47" t="str">
        <f>VLOOKUP(Tabla3[[#This Row],[Site]],Table35[],14,FALSE)</f>
        <v>-</v>
      </c>
      <c r="L47" s="32" t="str">
        <f>VLOOKUP(Tabla3[[#This Row],[Site]],Table35[#All],2,FALSE)</f>
        <v>-</v>
      </c>
      <c r="M47" s="32" t="str">
        <f>VLOOKUP(Tabla3[[#This Row],[Site]],Table35[#All],3,FALSE)</f>
        <v>1,2,3,18</v>
      </c>
      <c r="N47" s="32" t="str">
        <f>VLOOKUP(Tabla3[[#This Row],[Site]],Table35[#All],4,FALSE)</f>
        <v>-</v>
      </c>
      <c r="O47" s="32" t="str">
        <f>VLOOKUP(Tabla3[[#This Row],[Site]],Table35[#All],5,FALSE)</f>
        <v>-</v>
      </c>
      <c r="P47" s="32" t="str">
        <f>VLOOKUP(Tabla3[[#This Row],[Site]],Table35[#All],6,FALSE)</f>
        <v>1,2,3,5,16,18</v>
      </c>
      <c r="Q47" s="32" t="str">
        <f>VLOOKUP(Tabla3[[#This Row],[Site]],Table35[#All],8,FALSE)</f>
        <v>315</v>
      </c>
    </row>
    <row r="48" spans="1:17" hidden="1" x14ac:dyDescent="0.25">
      <c r="A48" t="str">
        <f>+Tabla3[[#This Row],[Site]]&amp;Tabla3[[#This Row],[Split]]</f>
        <v>(LT) Luther Hopkins Honda (NO TOURS)1</v>
      </c>
      <c r="B48">
        <v>1</v>
      </c>
      <c r="C48">
        <v>1</v>
      </c>
      <c r="D48" t="s">
        <v>303</v>
      </c>
      <c r="E48" t="str">
        <f>VLOOKUP(Tabla3[[#This Row],[Site]],Table35[],10,FALSE)</f>
        <v>10:00 P.M.</v>
      </c>
      <c r="F48" t="str">
        <f>VLOOKUP(Tabla3[[#This Row],[Site]],Table35[],11,FALSE)</f>
        <v>CT</v>
      </c>
      <c r="G48" t="str">
        <f>VLOOKUP(Tabla3[[#This Row],[Site]],Table35[],12,FALSE)</f>
        <v>6:00 A.M.</v>
      </c>
      <c r="H48" s="74" t="str">
        <f>HYPERLINK(VLOOKUP(Tabla3[[#This Row],[Site]],Table35[#All],9,FALSE))</f>
        <v>https://tools.sig.systems/site/details/288</v>
      </c>
      <c r="I48">
        <f>VLOOKUP(Tabla3[[#This Row],[Site]],Table35[],13,FALSE)</f>
        <v>0</v>
      </c>
      <c r="J48" t="str">
        <f>VLOOKUP(Tabla3[[#This Row],[Site]],Table35[],14,FALSE)</f>
        <v>-</v>
      </c>
      <c r="L48" s="32" t="str">
        <f>VLOOKUP(Tabla3[[#This Row],[Site]],Table35[#All],2,FALSE)</f>
        <v>-</v>
      </c>
      <c r="M48" s="32" t="str">
        <f>VLOOKUP(Tabla3[[#This Row],[Site]],Table35[#All],3,FALSE)</f>
        <v>9, 36</v>
      </c>
      <c r="N48" s="32" t="str">
        <f>VLOOKUP(Tabla3[[#This Row],[Site]],Table35[#All],4,FALSE)</f>
        <v>38, 39</v>
      </c>
      <c r="O48" s="32" t="str">
        <f>VLOOKUP(Tabla3[[#This Row],[Site]],Table35[#All],5,FALSE)</f>
        <v>3, 26</v>
      </c>
      <c r="P48" s="32" t="str">
        <f>VLOOKUP(Tabla3[[#This Row],[Site]],Table35[#All],6,FALSE)</f>
        <v>1, 4, 11, 18, 23, 25, 31</v>
      </c>
      <c r="Q48" s="32" t="str">
        <f>VLOOKUP(Tabla3[[#This Row],[Site]],Table35[#All],8,FALSE)</f>
        <v>288</v>
      </c>
    </row>
    <row r="49" spans="1:17" hidden="1" x14ac:dyDescent="0.25">
      <c r="A49" t="str">
        <f>+Tabla3[[#This Row],[Site]]&amp;Tabla3[[#This Row],[Split]]</f>
        <v>(LT) Luther Landers Recon Center1</v>
      </c>
      <c r="B49">
        <v>1</v>
      </c>
      <c r="C49">
        <v>1</v>
      </c>
      <c r="D49" t="s">
        <v>253</v>
      </c>
      <c r="E49" t="str">
        <f>VLOOKUP(Tabla3[[#This Row],[Site]],Table35[],10,FALSE)</f>
        <v>10:00 P.M.</v>
      </c>
      <c r="F49" t="str">
        <f>VLOOKUP(Tabla3[[#This Row],[Site]],Table35[],11,FALSE)</f>
        <v>CT</v>
      </c>
      <c r="G49" t="str">
        <f>VLOOKUP(Tabla3[[#This Row],[Site]],Table35[],12,FALSE)</f>
        <v>6:00 A.M.</v>
      </c>
      <c r="H49" s="74" t="str">
        <f>HYPERLINK(VLOOKUP(Tabla3[[#This Row],[Site]],Table35[#All],9,FALSE))</f>
        <v>https://tools.sig.systems/site/details/323</v>
      </c>
      <c r="I49" t="str">
        <f>VLOOKUP(Tabla3[[#This Row],[Site]],Table35[],13,FALSE)</f>
        <v>https://www.google.com/maps/d/u/1/edit?mid=1-zEzsc6U6nZom08edp0XAd3_HYFvAyk&amp;usp=sharing</v>
      </c>
      <c r="J49" t="str">
        <f>VLOOKUP(Tabla3[[#This Row],[Site]],Table35[],14,FALSE)</f>
        <v>-</v>
      </c>
      <c r="L49" s="32" t="str">
        <f>VLOOKUP(Tabla3[[#This Row],[Site]],Table35[#All],2,FALSE)</f>
        <v>2, 4</v>
      </c>
      <c r="M49" s="32" t="str">
        <f>VLOOKUP(Tabla3[[#This Row],[Site]],Table35[#All],3,FALSE)</f>
        <v>-</v>
      </c>
      <c r="N49" s="32" t="str">
        <f>VLOOKUP(Tabla3[[#This Row],[Site]],Table35[#All],4,FALSE)</f>
        <v>-</v>
      </c>
      <c r="O49" s="32" t="str">
        <f>VLOOKUP(Tabla3[[#This Row],[Site]],Table35[#All],5,FALSE)</f>
        <v>-</v>
      </c>
      <c r="P49" s="32" t="str">
        <f>VLOOKUP(Tabla3[[#This Row],[Site]],Table35[#All],6,FALSE)</f>
        <v>3, 9, 11</v>
      </c>
      <c r="Q49" s="32" t="str">
        <f>VLOOKUP(Tabla3[[#This Row],[Site]],Table35[#All],8,FALSE)</f>
        <v>323</v>
      </c>
    </row>
    <row r="50" spans="1:17" hidden="1" x14ac:dyDescent="0.25">
      <c r="A50" t="str">
        <f>+Tabla3[[#This Row],[Site]]&amp;Tabla3[[#This Row],[Split]]</f>
        <v>(LT) Luther North Country Ford1</v>
      </c>
      <c r="B50">
        <v>1</v>
      </c>
      <c r="C50">
        <v>1</v>
      </c>
      <c r="D50" t="s">
        <v>126</v>
      </c>
      <c r="E50" t="str">
        <f>VLOOKUP(Tabla3[[#This Row],[Site]],Table35[],10,FALSE)</f>
        <v>10:00 P.M.</v>
      </c>
      <c r="F50" t="str">
        <f>VLOOKUP(Tabla3[[#This Row],[Site]],Table35[],11,FALSE)</f>
        <v>CT</v>
      </c>
      <c r="G50" t="str">
        <f>VLOOKUP(Tabla3[[#This Row],[Site]],Table35[],12,FALSE)</f>
        <v>6:00 A.M.</v>
      </c>
      <c r="H50" s="74" t="str">
        <f>HYPERLINK(VLOOKUP(Tabla3[[#This Row],[Site]],Table35[#All],9,FALSE))</f>
        <v>https://tools.sig.systems/site/details/292</v>
      </c>
      <c r="I50">
        <f>VLOOKUP(Tabla3[[#This Row],[Site]],Table35[],13,FALSE)</f>
        <v>0</v>
      </c>
      <c r="J50" t="str">
        <f>VLOOKUP(Tabla3[[#This Row],[Site]],Table35[],14,FALSE)</f>
        <v>-</v>
      </c>
      <c r="L50" s="32" t="str">
        <f>VLOOKUP(Tabla3[[#This Row],[Site]],Table35[#All],2,FALSE)</f>
        <v>-</v>
      </c>
      <c r="M50" s="32" t="str">
        <f>VLOOKUP(Tabla3[[#This Row],[Site]],Table35[#All],3,FALSE)</f>
        <v>7, 14, 19</v>
      </c>
      <c r="N50" s="32" t="str">
        <f>VLOOKUP(Tabla3[[#This Row],[Site]],Table35[#All],4,FALSE)</f>
        <v>30, 31, 32</v>
      </c>
      <c r="O50" s="32" t="str">
        <f>VLOOKUP(Tabla3[[#This Row],[Site]],Table35[#All],5,FALSE)</f>
        <v>-</v>
      </c>
      <c r="P50" s="32" t="str">
        <f>VLOOKUP(Tabla3[[#This Row],[Site]],Table35[#All],6,FALSE)</f>
        <v>1, 4, 9, 13, 15, 16B, 25</v>
      </c>
      <c r="Q50" s="32" t="str">
        <f>VLOOKUP(Tabla3[[#This Row],[Site]],Table35[#All],8,FALSE)</f>
        <v>292</v>
      </c>
    </row>
    <row r="51" spans="1:17" hidden="1" x14ac:dyDescent="0.25">
      <c r="A51" t="str">
        <f>+Tabla3[[#This Row],[Site]]&amp;Tabla3[[#This Row],[Split]]</f>
        <v>(LT) Luther St. Cloud Subaru1</v>
      </c>
      <c r="B51">
        <v>1</v>
      </c>
      <c r="C51">
        <v>1</v>
      </c>
      <c r="D51" t="s">
        <v>127</v>
      </c>
      <c r="E51" t="str">
        <f>VLOOKUP(Tabla3[[#This Row],[Site]],Table35[],10,FALSE)</f>
        <v>10:00 P.M.</v>
      </c>
      <c r="F51" t="str">
        <f>VLOOKUP(Tabla3[[#This Row],[Site]],Table35[],11,FALSE)</f>
        <v>CT</v>
      </c>
      <c r="G51" t="str">
        <f>VLOOKUP(Tabla3[[#This Row],[Site]],Table35[],12,FALSE)</f>
        <v>5:30 A.M.</v>
      </c>
      <c r="H51" s="74" t="str">
        <f>HYPERLINK(VLOOKUP(Tabla3[[#This Row],[Site]],Table35[#All],9,FALSE))</f>
        <v>https://tools.sig.systems/site/details/295</v>
      </c>
      <c r="I51">
        <f>VLOOKUP(Tabla3[[#This Row],[Site]],Table35[],13,FALSE)</f>
        <v>0</v>
      </c>
      <c r="J51" t="str">
        <f>VLOOKUP(Tabla3[[#This Row],[Site]],Table35[],14,FALSE)</f>
        <v>-</v>
      </c>
      <c r="L51" s="32" t="str">
        <f>VLOOKUP(Tabla3[[#This Row],[Site]],Table35[#All],2,FALSE)</f>
        <v>25, 31</v>
      </c>
      <c r="M51" s="32" t="str">
        <f>VLOOKUP(Tabla3[[#This Row],[Site]],Table35[#All],3,FALSE)</f>
        <v>9, 13, 20</v>
      </c>
      <c r="N51" s="32" t="str">
        <f>VLOOKUP(Tabla3[[#This Row],[Site]],Table35[#All],4,FALSE)</f>
        <v>38, 39, 40, 41</v>
      </c>
      <c r="O51" s="32">
        <f>VLOOKUP(Tabla3[[#This Row],[Site]],Table35[#All],5,FALSE)</f>
        <v>27</v>
      </c>
      <c r="P51" s="32" t="str">
        <f>VLOOKUP(Tabla3[[#This Row],[Site]],Table35[#All],6,FALSE)</f>
        <v>2, 6, 8, 11, 14, 19, 23, 26</v>
      </c>
      <c r="Q51" s="32" t="str">
        <f>VLOOKUP(Tabla3[[#This Row],[Site]],Table35[#All],8,FALSE)</f>
        <v>295</v>
      </c>
    </row>
    <row r="52" spans="1:17" hidden="1" x14ac:dyDescent="0.25">
      <c r="A52" t="str">
        <f>+Tabla3[[#This Row],[Site]]&amp;Tabla3[[#This Row],[Split]]</f>
        <v>(ML) Joe Machens Hyundai1</v>
      </c>
      <c r="B52">
        <v>1</v>
      </c>
      <c r="C52">
        <v>1</v>
      </c>
      <c r="D52" t="s">
        <v>124</v>
      </c>
      <c r="E52" t="str">
        <f>VLOOKUP(Tabla3[[#This Row],[Site]],Table35[],10,FALSE)</f>
        <v>10:00 P.M.</v>
      </c>
      <c r="F52" t="str">
        <f>VLOOKUP(Tabla3[[#This Row],[Site]],Table35[],11,FALSE)</f>
        <v>CT</v>
      </c>
      <c r="G52" t="str">
        <f>VLOOKUP(Tabla3[[#This Row],[Site]],Table35[],12,FALSE)</f>
        <v>6:00 A.M.</v>
      </c>
      <c r="H52" s="74" t="str">
        <f>HYPERLINK(VLOOKUP(Tabla3[[#This Row],[Site]],Table35[#All],9,FALSE))</f>
        <v>https://tools.sig.systems/site/details/286</v>
      </c>
      <c r="I52" t="str">
        <f>VLOOKUP(Tabla3[[#This Row],[Site]],Table35[],13,FALSE)</f>
        <v>https://www.google.com/maps/d/viewer?hl=es&amp;mid=1C1oZdjH3dNvCvqdpIv_Lk0Yn1OCVn-4&amp;ll=38.965368114274455%2C-92.3405954&amp;z=15</v>
      </c>
      <c r="J52" t="str">
        <f>VLOOKUP(Tabla3[[#This Row],[Site]],Table35[],14,FALSE)</f>
        <v>-</v>
      </c>
      <c r="L52" s="32" t="str">
        <f>VLOOKUP(Tabla3[[#This Row],[Site]],Table35[#All],2,FALSE)</f>
        <v>-</v>
      </c>
      <c r="M52" s="32" t="str">
        <f>VLOOKUP(Tabla3[[#This Row],[Site]],Table35[#All],3,FALSE)</f>
        <v>3, 4, 14, 25</v>
      </c>
      <c r="N52" s="32" t="str">
        <f>VLOOKUP(Tabla3[[#This Row],[Site]],Table35[#All],4,FALSE)</f>
        <v>-</v>
      </c>
      <c r="O52" s="32">
        <f>VLOOKUP(Tabla3[[#This Row],[Site]],Table35[#All],5,FALSE)</f>
        <v>17</v>
      </c>
      <c r="P52" s="32" t="str">
        <f>VLOOKUP(Tabla3[[#This Row],[Site]],Table35[#All],6,FALSE)</f>
        <v>1, 11, 12, 13, 15</v>
      </c>
      <c r="Q52" s="32" t="str">
        <f>VLOOKUP(Tabla3[[#This Row],[Site]],Table35[#All],8,FALSE)</f>
        <v>286</v>
      </c>
    </row>
    <row r="53" spans="1:17" hidden="1" x14ac:dyDescent="0.25">
      <c r="A53" t="str">
        <f>+Tabla3[[#This Row],[Site]]&amp;Tabla3[[#This Row],[Split]]</f>
        <v>(PE) BMW Service Center (NO TOURS)1</v>
      </c>
      <c r="B53">
        <v>1</v>
      </c>
      <c r="C53">
        <v>1</v>
      </c>
      <c r="D53" t="s">
        <v>38</v>
      </c>
      <c r="E53" t="str">
        <f>VLOOKUP(Tabla3[[#This Row],[Site]],Table35[],10,FALSE)</f>
        <v>8:00 P.M.</v>
      </c>
      <c r="F53" t="str">
        <f>VLOOKUP(Tabla3[[#This Row],[Site]],Table35[],11,FALSE)</f>
        <v>ET</v>
      </c>
      <c r="G53" t="str">
        <f>VLOOKUP(Tabla3[[#This Row],[Site]],Table35[],12,FALSE)</f>
        <v>5:00 A.M.</v>
      </c>
      <c r="H53" s="74" t="str">
        <f>HYPERLINK(VLOOKUP(Tabla3[[#This Row],[Site]],Table35[#All],9,FALSE))</f>
        <v>https://tools.sig.systems/site/details/184</v>
      </c>
      <c r="I53" t="str">
        <f>VLOOKUP(Tabla3[[#This Row],[Site]],Table35[],13,FALSE)</f>
        <v>https://www.google.com/maps/d/edit?hl=en&amp;mid=1UHmt7tH1ihTa85i0MfQIcTfVvIQg_vM&amp;ll=41.02423447529239%2C-73.63721502222738&amp;z=18</v>
      </c>
      <c r="J53" t="str">
        <f>VLOOKUP(Tabla3[[#This Row],[Site]],Table35[],14,FALSE)</f>
        <v>-</v>
      </c>
      <c r="L53" s="32">
        <f>VLOOKUP(Tabla3[[#This Row],[Site]],Table35[#All],2,FALSE)</f>
        <v>3</v>
      </c>
      <c r="M53" s="32" t="str">
        <f>VLOOKUP(Tabla3[[#This Row],[Site]],Table35[#All],3,FALSE)</f>
        <v>-</v>
      </c>
      <c r="N53" s="32" t="str">
        <f>VLOOKUP(Tabla3[[#This Row],[Site]],Table35[#All],4,FALSE)</f>
        <v>-</v>
      </c>
      <c r="O53" s="32" t="str">
        <f>VLOOKUP(Tabla3[[#This Row],[Site]],Table35[#All],5,FALSE)</f>
        <v>-</v>
      </c>
      <c r="P53" s="32" t="str">
        <f>VLOOKUP(Tabla3[[#This Row],[Site]],Table35[#All],6,FALSE)</f>
        <v xml:space="preserve">1, 2 </v>
      </c>
      <c r="Q53" s="32" t="str">
        <f>VLOOKUP(Tabla3[[#This Row],[Site]],Table35[#All],8,FALSE)</f>
        <v>184</v>
      </c>
    </row>
    <row r="54" spans="1:17" hidden="1" x14ac:dyDescent="0.25">
      <c r="A54" t="str">
        <f>+Tabla3[[#This Row],[Site]]&amp;Tabla3[[#This Row],[Split]]</f>
        <v>(PE) JLR Darien (NO TOURS)1</v>
      </c>
      <c r="B54">
        <v>1</v>
      </c>
      <c r="C54">
        <v>1</v>
      </c>
      <c r="D54" t="s">
        <v>370</v>
      </c>
      <c r="E54" t="str">
        <f>VLOOKUP(Tabla3[[#This Row],[Site]],Table35[],10,FALSE)</f>
        <v>8:00 P.M.</v>
      </c>
      <c r="F54" t="str">
        <f>VLOOKUP(Tabla3[[#This Row],[Site]],Table35[],11,FALSE)</f>
        <v>ET</v>
      </c>
      <c r="G54" t="str">
        <f>VLOOKUP(Tabla3[[#This Row],[Site]],Table35[],12,FALSE)</f>
        <v>5:00 A.M.</v>
      </c>
      <c r="H54" s="74" t="str">
        <f>HYPERLINK(VLOOKUP(Tabla3[[#This Row],[Site]],Table35[#All],9,FALSE))</f>
        <v>https://tools.sig.systems/site/details/189</v>
      </c>
      <c r="I54" t="str">
        <f>VLOOKUP(Tabla3[[#This Row],[Site]],Table35[],13,FALSE)</f>
        <v>-</v>
      </c>
      <c r="J54" t="str">
        <f>VLOOKUP(Tabla3[[#This Row],[Site]],Table35[],14,FALSE)</f>
        <v>-</v>
      </c>
      <c r="L54" s="32" t="str">
        <f>VLOOKUP(Tabla3[[#This Row],[Site]],Table35[#All],2,FALSE)</f>
        <v>1, 13</v>
      </c>
      <c r="M54" s="32" t="str">
        <f>VLOOKUP(Tabla3[[#This Row],[Site]],Table35[#All],3,FALSE)</f>
        <v>-</v>
      </c>
      <c r="N54" s="32" t="str">
        <f>VLOOKUP(Tabla3[[#This Row],[Site]],Table35[#All],4,FALSE)</f>
        <v>-</v>
      </c>
      <c r="O54" s="32" t="str">
        <f>VLOOKUP(Tabla3[[#This Row],[Site]],Table35[#All],5,FALSE)</f>
        <v>-</v>
      </c>
      <c r="P54" s="32" t="str">
        <f>VLOOKUP(Tabla3[[#This Row],[Site]],Table35[#All],6,FALSE)</f>
        <v>-</v>
      </c>
      <c r="Q54" s="32" t="str">
        <f>VLOOKUP(Tabla3[[#This Row],[Site]],Table35[#All],8,FALSE)</f>
        <v>189</v>
      </c>
    </row>
    <row r="55" spans="1:17" hidden="1" x14ac:dyDescent="0.25">
      <c r="A55" t="str">
        <f>+Tabla3[[#This Row],[Site]]&amp;Tabla3[[#This Row],[Split]]</f>
        <v>(PE) JLR Englewood (NO TOURS)1</v>
      </c>
      <c r="B55">
        <v>1</v>
      </c>
      <c r="C55">
        <v>1</v>
      </c>
      <c r="D55" t="s">
        <v>216</v>
      </c>
      <c r="E55" t="str">
        <f>VLOOKUP(Tabla3[[#This Row],[Site]],Table35[],10,FALSE)</f>
        <v>8:00 P.M.</v>
      </c>
      <c r="F55" t="str">
        <f>VLOOKUP(Tabla3[[#This Row],[Site]],Table35[],11,FALSE)</f>
        <v>ET</v>
      </c>
      <c r="G55" t="str">
        <f>VLOOKUP(Tabla3[[#This Row],[Site]],Table35[],12,FALSE)</f>
        <v>5:00 A.M.</v>
      </c>
      <c r="H55" s="74" t="str">
        <f>HYPERLINK(VLOOKUP(Tabla3[[#This Row],[Site]],Table35[#All],9,FALSE))</f>
        <v>https://tools.sig.systems/site/details/178</v>
      </c>
      <c r="I55" t="str">
        <f>VLOOKUP(Tabla3[[#This Row],[Site]],Table35[],13,FALSE)</f>
        <v>https://www.google.com/maps/d/viewer?mid=1ubI2iKs1JyYXssuT4oLPnVvFnyLPi_s&amp;ll=40.878808846788026%2C-73.98560655&amp;z=17</v>
      </c>
      <c r="J55" t="str">
        <f>VLOOKUP(Tabla3[[#This Row],[Site]],Table35[],14,FALSE)</f>
        <v>-</v>
      </c>
      <c r="L55" s="32" t="str">
        <f>VLOOKUP(Tabla3[[#This Row],[Site]],Table35[#All],2,FALSE)</f>
        <v>1, 2</v>
      </c>
      <c r="M55" s="32" t="str">
        <f>VLOOKUP(Tabla3[[#This Row],[Site]],Table35[#All],3,FALSE)</f>
        <v>-</v>
      </c>
      <c r="N55" s="32" t="str">
        <f>VLOOKUP(Tabla3[[#This Row],[Site]],Table35[#All],4,FALSE)</f>
        <v>-</v>
      </c>
      <c r="O55" s="32" t="str">
        <f>VLOOKUP(Tabla3[[#This Row],[Site]],Table35[#All],5,FALSE)</f>
        <v>-</v>
      </c>
      <c r="P55" s="32" t="str">
        <f>VLOOKUP(Tabla3[[#This Row],[Site]],Table35[#All],6,FALSE)</f>
        <v>-</v>
      </c>
      <c r="Q55" s="32" t="str">
        <f>VLOOKUP(Tabla3[[#This Row],[Site]],Table35[#All],8,FALSE)</f>
        <v>178</v>
      </c>
    </row>
    <row r="56" spans="1:17" hidden="1" x14ac:dyDescent="0.25">
      <c r="A56" t="str">
        <f>+Tabla3[[#This Row],[Site]]&amp;Tabla3[[#This Row],[Split]]</f>
        <v>(PE) JLR Paramus (NO TOURS)1</v>
      </c>
      <c r="B56">
        <v>1</v>
      </c>
      <c r="C56">
        <v>1</v>
      </c>
      <c r="D56" t="s">
        <v>210</v>
      </c>
      <c r="E56" t="str">
        <f>VLOOKUP(Tabla3[[#This Row],[Site]],Table35[],10,FALSE)</f>
        <v>8:00 P.M.</v>
      </c>
      <c r="F56" t="str">
        <f>VLOOKUP(Tabla3[[#This Row],[Site]],Table35[],11,FALSE)</f>
        <v>ET</v>
      </c>
      <c r="G56" t="str">
        <f>VLOOKUP(Tabla3[[#This Row],[Site]],Table35[],12,FALSE)</f>
        <v>5:00 A.M.</v>
      </c>
      <c r="H56" s="74" t="str">
        <f>HYPERLINK(VLOOKUP(Tabla3[[#This Row],[Site]],Table35[#All],9,FALSE))</f>
        <v>https://tools.sig.systems/site/details/177</v>
      </c>
      <c r="I56">
        <f>VLOOKUP(Tabla3[[#This Row],[Site]],Table35[],13,FALSE)</f>
        <v>0</v>
      </c>
      <c r="J56" t="str">
        <f>VLOOKUP(Tabla3[[#This Row],[Site]],Table35[],14,FALSE)</f>
        <v>-</v>
      </c>
      <c r="L56" s="32" t="str">
        <f>VLOOKUP(Tabla3[[#This Row],[Site]],Table35[#All],2,FALSE)</f>
        <v>1, 17</v>
      </c>
      <c r="M56" s="32" t="str">
        <f>VLOOKUP(Tabla3[[#This Row],[Site]],Table35[#All],3,FALSE)</f>
        <v>-</v>
      </c>
      <c r="N56" s="32" t="str">
        <f>VLOOKUP(Tabla3[[#This Row],[Site]],Table35[#All],4,FALSE)</f>
        <v>-</v>
      </c>
      <c r="O56" s="32" t="str">
        <f>VLOOKUP(Tabla3[[#This Row],[Site]],Table35[#All],5,FALSE)</f>
        <v>-</v>
      </c>
      <c r="P56" s="32" t="str">
        <f>VLOOKUP(Tabla3[[#This Row],[Site]],Table35[#All],6,FALSE)</f>
        <v>1, 17</v>
      </c>
      <c r="Q56" s="32" t="str">
        <f>VLOOKUP(Tabla3[[#This Row],[Site]],Table35[#All],8,FALSE)</f>
        <v>177</v>
      </c>
    </row>
    <row r="57" spans="1:17" hidden="1" x14ac:dyDescent="0.25">
      <c r="A57" t="str">
        <f>+Tabla3[[#This Row],[Site]]&amp;Tabla3[[#This Row],[Split]]</f>
        <v>(PE) MB of Greenwich1</v>
      </c>
      <c r="B57">
        <v>1</v>
      </c>
      <c r="C57">
        <v>1</v>
      </c>
      <c r="D57" t="s">
        <v>120</v>
      </c>
      <c r="E57" t="str">
        <f>VLOOKUP(Tabla3[[#This Row],[Site]],Table35[],10,FALSE)</f>
        <v>8:00 P.M.</v>
      </c>
      <c r="F57" t="str">
        <f>VLOOKUP(Tabla3[[#This Row],[Site]],Table35[],11,FALSE)</f>
        <v>ET</v>
      </c>
      <c r="G57" t="str">
        <f>VLOOKUP(Tabla3[[#This Row],[Site]],Table35[],12,FALSE)</f>
        <v>5:00 A.M.</v>
      </c>
      <c r="H57" s="74" t="str">
        <f>HYPERLINK(VLOOKUP(Tabla3[[#This Row],[Site]],Table35[#All],9,FALSE))</f>
        <v>https://tools.sig.systems/site/details/188</v>
      </c>
      <c r="I57" t="str">
        <f>VLOOKUP(Tabla3[[#This Row],[Site]],Table35[],13,FALSE)</f>
        <v>https://www.google.com/maps/d/edit?hl=en&amp;mid=1UHmt7tH1ihTa85i0MfQIcTfVvIQg_vM&amp;ll=41.02423447529239%2C-73.63721502222738&amp;z=18</v>
      </c>
      <c r="J57" t="str">
        <f>VLOOKUP(Tabla3[[#This Row],[Site]],Table35[],14,FALSE)</f>
        <v>-</v>
      </c>
      <c r="L57" s="32" t="str">
        <f>VLOOKUP(Tabla3[[#This Row],[Site]],Table35[#All],2,FALSE)</f>
        <v>1, 2, 8</v>
      </c>
      <c r="M57" s="32" t="str">
        <f>VLOOKUP(Tabla3[[#This Row],[Site]],Table35[#All],3,FALSE)</f>
        <v>13, 14, 20, 26, 40</v>
      </c>
      <c r="N57" s="32" t="str">
        <f>VLOOKUP(Tabla3[[#This Row],[Site]],Table35[#All],4,FALSE)</f>
        <v>-</v>
      </c>
      <c r="O57" s="32" t="str">
        <f>VLOOKUP(Tabla3[[#This Row],[Site]],Table35[#All],5,FALSE)</f>
        <v>-</v>
      </c>
      <c r="P57" s="32">
        <f>VLOOKUP(Tabla3[[#This Row],[Site]],Table35[#All],6,FALSE)</f>
        <v>29</v>
      </c>
      <c r="Q57" s="32" t="str">
        <f>VLOOKUP(Tabla3[[#This Row],[Site]],Table35[#All],8,FALSE)</f>
        <v>188</v>
      </c>
    </row>
    <row r="58" spans="1:17" hidden="1" x14ac:dyDescent="0.25">
      <c r="A58" t="str">
        <f>+Tabla3[[#This Row],[Site]]&amp;Tabla3[[#This Row],[Split]]</f>
        <v>(PE) Porsche Audi Fairfield (NO TOURS)1</v>
      </c>
      <c r="B58">
        <v>1</v>
      </c>
      <c r="C58">
        <v>1</v>
      </c>
      <c r="D58" t="s">
        <v>362</v>
      </c>
      <c r="E58" t="str">
        <f>VLOOKUP(Tabla3[[#This Row],[Site]],Table35[],10,FALSE)</f>
        <v>8:00 P.M.</v>
      </c>
      <c r="F58" t="str">
        <f>VLOOKUP(Tabla3[[#This Row],[Site]],Table35[],11,FALSE)</f>
        <v>ET</v>
      </c>
      <c r="G58" t="str">
        <f>VLOOKUP(Tabla3[[#This Row],[Site]],Table35[],12,FALSE)</f>
        <v>5:00 A.M.</v>
      </c>
      <c r="H58" s="74" t="str">
        <f>HYPERLINK(VLOOKUP(Tabla3[[#This Row],[Site]],Table35[#All],9,FALSE))</f>
        <v>https://tools.sig.systems/site/details/194</v>
      </c>
      <c r="I58">
        <f>VLOOKUP(Tabla3[[#This Row],[Site]],Table35[],13,FALSE)</f>
        <v>0</v>
      </c>
      <c r="J58" t="str">
        <f>VLOOKUP(Tabla3[[#This Row],[Site]],Table35[],14,FALSE)</f>
        <v>-</v>
      </c>
      <c r="L58" s="32" t="str">
        <f>VLOOKUP(Tabla3[[#This Row],[Site]],Table35[#All],2,FALSE)</f>
        <v>1, 18</v>
      </c>
      <c r="M58" s="32" t="str">
        <f>VLOOKUP(Tabla3[[#This Row],[Site]],Table35[#All],3,FALSE)</f>
        <v>-</v>
      </c>
      <c r="N58" s="32" t="str">
        <f>VLOOKUP(Tabla3[[#This Row],[Site]],Table35[#All],4,FALSE)</f>
        <v>-</v>
      </c>
      <c r="O58" s="32">
        <f>VLOOKUP(Tabla3[[#This Row],[Site]],Table35[#All],5,FALSE)</f>
        <v>20</v>
      </c>
      <c r="P58" s="32">
        <f>VLOOKUP(Tabla3[[#This Row],[Site]],Table35[#All],6,FALSE)</f>
        <v>15</v>
      </c>
      <c r="Q58" s="32" t="str">
        <f>VLOOKUP(Tabla3[[#This Row],[Site]],Table35[#All],8,FALSE)</f>
        <v>194</v>
      </c>
    </row>
    <row r="59" spans="1:17" hidden="1" x14ac:dyDescent="0.25">
      <c r="A59" t="str">
        <f>+Tabla3[[#This Row],[Site]]&amp;Tabla3[[#This Row],[Split]]</f>
        <v>(SCH) Schumacher of Delray I &amp; III1</v>
      </c>
      <c r="B59">
        <v>1</v>
      </c>
      <c r="C59">
        <v>1</v>
      </c>
      <c r="D59" t="s">
        <v>387</v>
      </c>
      <c r="E59" t="str">
        <f>VLOOKUP(Tabla3[[#This Row],[Site]],Table35[],10,FALSE)</f>
        <v>9:00 P.M.</v>
      </c>
      <c r="F59" t="str">
        <f>VLOOKUP(Tabla3[[#This Row],[Site]],Table35[],11,FALSE)</f>
        <v>ET</v>
      </c>
      <c r="G59" t="str">
        <f>VLOOKUP(Tabla3[[#This Row],[Site]],Table35[],12,FALSE)</f>
        <v>5:00 A.M.</v>
      </c>
      <c r="H59" s="74" t="str">
        <f>HYPERLINK(VLOOKUP(Tabla3[[#This Row],[Site]],Table35[#All],9,FALSE))</f>
        <v>https://tools.sig.systems/site/details/159</v>
      </c>
      <c r="I59" t="str">
        <f>VLOOKUP(Tabla3[[#This Row],[Site]],Table35[],13,FALSE)</f>
        <v>https://www.google.com/maps/d/viewer?mid=1ZLGV-cDM9aCfovhmXHIAXgVOKts0dEI&amp;ll=26.438859950088858%2C-80.07968125000001&amp;z=16</v>
      </c>
      <c r="J59" t="str">
        <f>VLOOKUP(Tabla3[[#This Row],[Site]],Table35[],14,FALSE)</f>
        <v>11:00 A.M.</v>
      </c>
      <c r="L59" s="32" t="str">
        <f>VLOOKUP(Tabla3[[#This Row],[Site]],Table35[#All],2,FALSE)</f>
        <v>11, 21, 22, 57, 69</v>
      </c>
      <c r="M59" s="32" t="str">
        <f>VLOOKUP(Tabla3[[#This Row],[Site]],Table35[#All],3,FALSE)</f>
        <v>2, 16, 46</v>
      </c>
      <c r="N59" s="32" t="str">
        <f>VLOOKUP(Tabla3[[#This Row],[Site]],Table35[#All],4,FALSE)</f>
        <v>-</v>
      </c>
      <c r="O59" s="32" t="str">
        <f>VLOOKUP(Tabla3[[#This Row],[Site]],Table35[#All],5,FALSE)</f>
        <v>-</v>
      </c>
      <c r="P59" s="32" t="str">
        <f>VLOOKUP(Tabla3[[#This Row],[Site]],Table35[#All],6,FALSE)</f>
        <v>24, 39</v>
      </c>
      <c r="Q59" s="32" t="str">
        <f>VLOOKUP(Tabla3[[#This Row],[Site]],Table35[#All],8,FALSE)</f>
        <v>159</v>
      </c>
    </row>
    <row r="60" spans="1:17" hidden="1" x14ac:dyDescent="0.25">
      <c r="A60" t="str">
        <f>+Tabla3[[#This Row],[Site]]&amp;Tabla3[[#This Row],[Split]]</f>
        <v>(TC) Lamborghini South Dade1</v>
      </c>
      <c r="B60">
        <v>1</v>
      </c>
      <c r="C60">
        <v>1</v>
      </c>
      <c r="D60" t="s">
        <v>234</v>
      </c>
      <c r="E60" t="str">
        <f>VLOOKUP(Tabla3[[#This Row],[Site]],Table35[],10,FALSE)</f>
        <v>9:00 P.M.</v>
      </c>
      <c r="F60" t="str">
        <f>VLOOKUP(Tabla3[[#This Row],[Site]],Table35[],11,FALSE)</f>
        <v>ET</v>
      </c>
      <c r="G60" t="str">
        <f>VLOOKUP(Tabla3[[#This Row],[Site]],Table35[],12,FALSE)</f>
        <v>5:00 A.M.</v>
      </c>
      <c r="H60" s="74" t="str">
        <f>HYPERLINK(VLOOKUP(Tabla3[[#This Row],[Site]],Table35[#All],9,FALSE))</f>
        <v>https://tools.sig.systems/site/details/313</v>
      </c>
      <c r="I60">
        <f>VLOOKUP(Tabla3[[#This Row],[Site]],Table35[],13,FALSE)</f>
        <v>0</v>
      </c>
      <c r="J60" t="str">
        <f>VLOOKUP(Tabla3[[#This Row],[Site]],Table35[],14,FALSE)</f>
        <v>-</v>
      </c>
      <c r="L60" s="32" t="str">
        <f>VLOOKUP(Tabla3[[#This Row],[Site]],Table35[#All],2,FALSE)</f>
        <v>-</v>
      </c>
      <c r="M60" s="32" t="str">
        <f>VLOOKUP(Tabla3[[#This Row],[Site]],Table35[#All],3,FALSE)</f>
        <v>9, 11</v>
      </c>
      <c r="N60" s="32" t="str">
        <f>VLOOKUP(Tabla3[[#This Row],[Site]],Table35[#All],4,FALSE)</f>
        <v>-</v>
      </c>
      <c r="O60" s="32" t="str">
        <f>VLOOKUP(Tabla3[[#This Row],[Site]],Table35[#All],5,FALSE)</f>
        <v>-</v>
      </c>
      <c r="P60" s="32" t="str">
        <f>VLOOKUP(Tabla3[[#This Row],[Site]],Table35[#All],6,FALSE)</f>
        <v>-</v>
      </c>
      <c r="Q60" s="32" t="str">
        <f>VLOOKUP(Tabla3[[#This Row],[Site]],Table35[#All],8,FALSE)</f>
        <v>313</v>
      </c>
    </row>
    <row r="61" spans="1:17" hidden="1" x14ac:dyDescent="0.25">
      <c r="A61" t="str">
        <f>+Tabla3[[#This Row],[Site]]&amp;Tabla3[[#This Row],[Split]]</f>
        <v>Mario Residence1</v>
      </c>
      <c r="B61">
        <v>1</v>
      </c>
      <c r="C61">
        <v>1</v>
      </c>
      <c r="D61" t="s">
        <v>100</v>
      </c>
      <c r="E61" t="str">
        <f>VLOOKUP(Tabla3[[#This Row],[Site]],Table35[],10,FALSE)</f>
        <v>24H</v>
      </c>
      <c r="F61" t="str">
        <f>VLOOKUP(Tabla3[[#This Row],[Site]],Table35[],11,FALSE)</f>
        <v>ET</v>
      </c>
      <c r="G61" t="str">
        <f>VLOOKUP(Tabla3[[#This Row],[Site]],Table35[],12,FALSE)</f>
        <v>-</v>
      </c>
      <c r="H61" s="74" t="str">
        <f>HYPERLINK(VLOOKUP(Tabla3[[#This Row],[Site]],Table35[#All],9,FALSE))</f>
        <v>https://tools.sig.systems/site/details/148</v>
      </c>
      <c r="I61" t="str">
        <f>VLOOKUP(Tabla3[[#This Row],[Site]],Table35[],13,FALSE)</f>
        <v>https://www.google.com/maps/d/edit?hl=es&amp;mid=13OmECPqyeB7fXgZmEoM9cnG34HU_v5g&amp;ll=26.046837034777553%2C-80.38753458591658&amp;z=19</v>
      </c>
      <c r="J61" t="str">
        <f>VLOOKUP(Tabla3[[#This Row],[Site]],Table35[],14,FALSE)</f>
        <v>-</v>
      </c>
      <c r="L61" s="32" t="str">
        <f>VLOOKUP(Tabla3[[#This Row],[Site]],Table35[#All],2,FALSE)</f>
        <v>7, 8</v>
      </c>
      <c r="M61" s="32" t="str">
        <f>VLOOKUP(Tabla3[[#This Row],[Site]],Table35[#All],3,FALSE)</f>
        <v>7, 8</v>
      </c>
      <c r="N61" s="32" t="str">
        <f>VLOOKUP(Tabla3[[#This Row],[Site]],Table35[#All],4,FALSE)</f>
        <v>-</v>
      </c>
      <c r="O61" s="32" t="str">
        <f>VLOOKUP(Tabla3[[#This Row],[Site]],Table35[#All],5,FALSE)</f>
        <v>-</v>
      </c>
      <c r="P61" s="32" t="str">
        <f>VLOOKUP(Tabla3[[#This Row],[Site]],Table35[#All],6,FALSE)</f>
        <v>4,12,13</v>
      </c>
      <c r="Q61" s="32" t="str">
        <f>VLOOKUP(Tabla3[[#This Row],[Site]],Table35[#All],8,FALSE)</f>
        <v>148</v>
      </c>
    </row>
    <row r="62" spans="1:17" hidden="1" x14ac:dyDescent="0.25">
      <c r="A62" t="str">
        <f>+Tabla3[[#This Row],[Site]]&amp;Tabla3[[#This Row],[Split]]</f>
        <v>(AS) 3281 Storage Lot (NO TOURS)2</v>
      </c>
      <c r="B62">
        <v>2</v>
      </c>
      <c r="C62">
        <v>1</v>
      </c>
      <c r="D62" t="s">
        <v>374</v>
      </c>
      <c r="E62" t="str">
        <f>VLOOKUP(Tabla3[[#This Row],[Site]],Table35[],10,FALSE)</f>
        <v>10:00 P.M.</v>
      </c>
      <c r="F62" t="str">
        <f>VLOOKUP(Tabla3[[#This Row],[Site]],Table35[],11,FALSE)</f>
        <v>CT</v>
      </c>
      <c r="G62" t="str">
        <f>VLOOKUP(Tabla3[[#This Row],[Site]],Table35[],12,FALSE)</f>
        <v>6:00 A.M.</v>
      </c>
      <c r="H62" s="74" t="str">
        <f>HYPERLINK(VLOOKUP(Tabla3[[#This Row],[Site]],Table35[#All],9,FALSE))</f>
        <v>https://tools.sig.systems/site/details/305</v>
      </c>
      <c r="I62" t="str">
        <f>VLOOKUP(Tabla3[[#This Row],[Site]],Table35[],13,FALSE)</f>
        <v>https://www.google.com/maps/d/edit?hl=es&amp;mid=1uPmsRMsXnp74hPFW2t-sp2totVWF_xY&amp;ll=32.83050137713022%2C-96.83197783061323&amp;z=17</v>
      </c>
      <c r="J62" t="str">
        <f>VLOOKUP(Tabla3[[#This Row],[Site]],Table35[],14,FALSE)</f>
        <v>-</v>
      </c>
      <c r="L62" s="32" t="str">
        <f>VLOOKUP(Tabla3[[#This Row],[Site]],Table35[#All],2,FALSE)</f>
        <v>-</v>
      </c>
      <c r="M62" s="32" t="str">
        <f>VLOOKUP(Tabla3[[#This Row],[Site]],Table35[#All],3,FALSE)</f>
        <v>2, 14</v>
      </c>
      <c r="N62" s="32" t="str">
        <f>VLOOKUP(Tabla3[[#This Row],[Site]],Table35[#All],4,FALSE)</f>
        <v>-</v>
      </c>
      <c r="O62" s="32" t="str">
        <f>VLOOKUP(Tabla3[[#This Row],[Site]],Table35[#All],5,FALSE)</f>
        <v>-</v>
      </c>
      <c r="P62" s="32" t="str">
        <f>VLOOKUP(Tabla3[[#This Row],[Site]],Table35[#All],6,FALSE)</f>
        <v>1, 3, 9, 10, 14</v>
      </c>
      <c r="Q62" s="32">
        <f>VLOOKUP(Tabla3[[#This Row],[Site]],Table35[#All],8,FALSE)</f>
        <v>305</v>
      </c>
    </row>
    <row r="63" spans="1:17" hidden="1" x14ac:dyDescent="0.25">
      <c r="A63" t="str">
        <f>+Tabla3[[#This Row],[Site]]&amp;Tabla3[[#This Row],[Split]]</f>
        <v>(AS) Hare Truck Center (NO TOURS)2</v>
      </c>
      <c r="B63">
        <v>2</v>
      </c>
      <c r="C63">
        <v>1</v>
      </c>
      <c r="D63" t="s">
        <v>377</v>
      </c>
      <c r="E63" t="str">
        <f>VLOOKUP(Tabla3[[#This Row],[Site]],Table35[],10,FALSE)</f>
        <v>9:00 P.M.</v>
      </c>
      <c r="F63" t="str">
        <f>VLOOKUP(Tabla3[[#This Row],[Site]],Table35[],11,FALSE)</f>
        <v>ET</v>
      </c>
      <c r="G63" t="str">
        <f>VLOOKUP(Tabla3[[#This Row],[Site]],Table35[],12,FALSE)</f>
        <v>5:00 A.M.</v>
      </c>
      <c r="H63" s="74" t="str">
        <f>HYPERLINK(VLOOKUP(Tabla3[[#This Row],[Site]],Table35[#All],9,FALSE))</f>
        <v>https://tools.sig.systems/site/details/300</v>
      </c>
      <c r="I63" t="str">
        <f>VLOOKUP(Tabla3[[#This Row],[Site]],Table35[],13,FALSE)</f>
        <v>https://www.google.com/maps/d/edit?mid=1hsX5GGrNcCQgAuzDCDz1OWgEkhsAc78&amp;usp=sharing</v>
      </c>
      <c r="J63" t="str">
        <f>VLOOKUP(Tabla3[[#This Row],[Site]],Table35[],14,FALSE)</f>
        <v>-</v>
      </c>
      <c r="L63" s="32" t="str">
        <f>VLOOKUP(Tabla3[[#This Row],[Site]],Table35[#All],2,FALSE)</f>
        <v>-</v>
      </c>
      <c r="M63" s="32" t="str">
        <f>VLOOKUP(Tabla3[[#This Row],[Site]],Table35[#All],3,FALSE)</f>
        <v>1, 5</v>
      </c>
      <c r="N63" s="32" t="str">
        <f>VLOOKUP(Tabla3[[#This Row],[Site]],Table35[#All],4,FALSE)</f>
        <v>-</v>
      </c>
      <c r="O63" s="32" t="str">
        <f>VLOOKUP(Tabla3[[#This Row],[Site]],Table35[#All],5,FALSE)</f>
        <v>-</v>
      </c>
      <c r="P63" s="32" t="str">
        <f>VLOOKUP(Tabla3[[#This Row],[Site]],Table35[#All],6,FALSE)</f>
        <v xml:space="preserve">2, 6, 10, 12, 17 </v>
      </c>
      <c r="Q63" s="32" t="str">
        <f>VLOOKUP(Tabla3[[#This Row],[Site]],Table35[#All],8,FALSE)</f>
        <v>300</v>
      </c>
    </row>
    <row r="64" spans="1:17" hidden="1" x14ac:dyDescent="0.25">
      <c r="A64" t="str">
        <f>+Tabla3[[#This Row],[Site]]&amp;Tabla3[[#This Row],[Split]]</f>
        <v>(AS) Koons Chevrolet Buick GMC - Clarksville (NO TOURS)2</v>
      </c>
      <c r="B64">
        <v>2</v>
      </c>
      <c r="C64">
        <v>1</v>
      </c>
      <c r="D64" t="s">
        <v>379</v>
      </c>
      <c r="E64" t="str">
        <f>VLOOKUP(Tabla3[[#This Row],[Site]],Table35[],10,FALSE)</f>
        <v>9:00 P.M.</v>
      </c>
      <c r="F64" t="str">
        <f>VLOOKUP(Tabla3[[#This Row],[Site]],Table35[],11,FALSE)</f>
        <v>ET</v>
      </c>
      <c r="G64" t="str">
        <f>VLOOKUP(Tabla3[[#This Row],[Site]],Table35[],12,FALSE)</f>
        <v>5:00 A.M.</v>
      </c>
      <c r="H64" s="74" t="str">
        <f>HYPERLINK(VLOOKUP(Tabla3[[#This Row],[Site]],Table35[#All],9,FALSE))</f>
        <v>https://tools.sig.systems/site/details/306</v>
      </c>
      <c r="I64" t="str">
        <f>VLOOKUP(Tabla3[[#This Row],[Site]],Table35[],13,FALSE)</f>
        <v>https://www.google.com/maps/d/edit?hl=es&amp;mid=11XB1lTSP7EcDCDvzypdUPWP6bWCNAEI&amp;ll=39.21145022420528%2C-76.94003711910554&amp;z=17</v>
      </c>
      <c r="J64" t="str">
        <f>VLOOKUP(Tabla3[[#This Row],[Site]],Table35[],14,FALSE)</f>
        <v>10:00 A.M.</v>
      </c>
      <c r="L64" s="32" t="str">
        <f>VLOOKUP(Tabla3[[#This Row],[Site]],Table35[#All],2,FALSE)</f>
        <v>-</v>
      </c>
      <c r="M64" s="32" t="str">
        <f>VLOOKUP(Tabla3[[#This Row],[Site]],Table35[#All],3,FALSE)</f>
        <v>1, 22, 26, 28, 29</v>
      </c>
      <c r="N64" s="32" t="str">
        <f>VLOOKUP(Tabla3[[#This Row],[Site]],Table35[#All],4,FALSE)</f>
        <v>-</v>
      </c>
      <c r="O64" s="32" t="str">
        <f>VLOOKUP(Tabla3[[#This Row],[Site]],Table35[#All],5,FALSE)</f>
        <v>-</v>
      </c>
      <c r="P64" s="32" t="str">
        <f>VLOOKUP(Tabla3[[#This Row],[Site]],Table35[#All],6,FALSE)</f>
        <v>3, 11, 15, 23</v>
      </c>
      <c r="Q64" s="32" t="str">
        <f>VLOOKUP(Tabla3[[#This Row],[Site]],Table35[#All],8,FALSE)</f>
        <v>306</v>
      </c>
    </row>
    <row r="65" spans="1:17" hidden="1" x14ac:dyDescent="0.25">
      <c r="A65" t="str">
        <f>+Tabla3[[#This Row],[Site]]&amp;Tabla3[[#This Row],[Split]]</f>
        <v>(AS) Koons Chevrolet Buick GMC - Tysons (NO TOURS)2</v>
      </c>
      <c r="B65">
        <v>2</v>
      </c>
      <c r="C65">
        <v>1</v>
      </c>
      <c r="D65" t="s">
        <v>386</v>
      </c>
      <c r="E65" t="str">
        <f>VLOOKUP(Tabla3[[#This Row],[Site]],Table35[],10,FALSE)</f>
        <v>9:00 P.M.</v>
      </c>
      <c r="F65" t="str">
        <f>VLOOKUP(Tabla3[[#This Row],[Site]],Table35[],11,FALSE)</f>
        <v>ET</v>
      </c>
      <c r="G65" t="str">
        <f>VLOOKUP(Tabla3[[#This Row],[Site]],Table35[],12,FALSE)</f>
        <v>5:00 A.M.</v>
      </c>
      <c r="H65" s="74" t="str">
        <f>HYPERLINK(VLOOKUP(Tabla3[[#This Row],[Site]],Table35[#All],9,FALSE))</f>
        <v>https://tools.sig.systems/site/details/352</v>
      </c>
      <c r="I65" t="str">
        <f>VLOOKUP(Tabla3[[#This Row],[Site]],Table35[],13,FALSE)</f>
        <v>-</v>
      </c>
      <c r="J65" t="str">
        <f>VLOOKUP(Tabla3[[#This Row],[Site]],Table35[],14,FALSE)</f>
        <v>10:00 A.M.</v>
      </c>
      <c r="L65" s="32" t="str">
        <f>VLOOKUP(Tabla3[[#This Row],[Site]],Table35[#All],2,FALSE)</f>
        <v>4, 6</v>
      </c>
      <c r="M65" s="32" t="str">
        <f>VLOOKUP(Tabla3[[#This Row],[Site]],Table35[#All],3,FALSE)</f>
        <v>-</v>
      </c>
      <c r="N65" s="32" t="str">
        <f>VLOOKUP(Tabla3[[#This Row],[Site]],Table35[#All],4,FALSE)</f>
        <v>-</v>
      </c>
      <c r="O65" s="32">
        <f>VLOOKUP(Tabla3[[#This Row],[Site]],Table35[#All],5,FALSE)</f>
        <v>4</v>
      </c>
      <c r="P65" s="32" t="str">
        <f>VLOOKUP(Tabla3[[#This Row],[Site]],Table35[#All],6,FALSE)</f>
        <v>6, 12, 15</v>
      </c>
      <c r="Q65" s="32" t="str">
        <f>VLOOKUP(Tabla3[[#This Row],[Site]],Table35[#All],8,FALSE)</f>
        <v>352</v>
      </c>
    </row>
    <row r="66" spans="1:17" hidden="1" x14ac:dyDescent="0.25">
      <c r="A66" t="str">
        <f>+Tabla3[[#This Row],[Site]]&amp;Tabla3[[#This Row],[Split]]</f>
        <v>(AS) Koons Falls Church Ford (NO TOURS)2</v>
      </c>
      <c r="B66">
        <v>2</v>
      </c>
      <c r="C66">
        <v>1</v>
      </c>
      <c r="D66" t="s">
        <v>388</v>
      </c>
      <c r="E66" t="str">
        <f>VLOOKUP(Tabla3[[#This Row],[Site]],Table35[],10,FALSE)</f>
        <v>9:00 P.M.</v>
      </c>
      <c r="F66" t="str">
        <f>VLOOKUP(Tabla3[[#This Row],[Site]],Table35[],11,FALSE)</f>
        <v>ET</v>
      </c>
      <c r="G66" t="str">
        <f>VLOOKUP(Tabla3[[#This Row],[Site]],Table35[],12,FALSE)</f>
        <v>5:00 A.M.</v>
      </c>
      <c r="H66" s="74" t="str">
        <f>HYPERLINK(VLOOKUP(Tabla3[[#This Row],[Site]],Table35[#All],9,FALSE))</f>
        <v>https://tools.sig.systems/site/details/345</v>
      </c>
      <c r="I66" t="str">
        <f>VLOOKUP(Tabla3[[#This Row],[Site]],Table35[],13,FALSE)</f>
        <v>-</v>
      </c>
      <c r="J66" t="str">
        <f>VLOOKUP(Tabla3[[#This Row],[Site]],Table35[],14,FALSE)</f>
        <v>10:00 A.M.</v>
      </c>
      <c r="L66" s="32" t="str">
        <f>VLOOKUP(Tabla3[[#This Row],[Site]],Table35[#All],2,FALSE)</f>
        <v>-</v>
      </c>
      <c r="M66" s="32">
        <f>VLOOKUP(Tabla3[[#This Row],[Site]],Table35[#All],3,FALSE)</f>
        <v>1</v>
      </c>
      <c r="N66" s="32" t="str">
        <f>VLOOKUP(Tabla3[[#This Row],[Site]],Table35[#All],4,FALSE)</f>
        <v>-</v>
      </c>
      <c r="O66" s="32" t="str">
        <f>VLOOKUP(Tabla3[[#This Row],[Site]],Table35[#All],5,FALSE)</f>
        <v>-</v>
      </c>
      <c r="P66" s="32" t="str">
        <f>VLOOKUP(Tabla3[[#This Row],[Site]],Table35[#All],6,FALSE)</f>
        <v>-</v>
      </c>
      <c r="Q66" s="32" t="str">
        <f>VLOOKUP(Tabla3[[#This Row],[Site]],Table35[#All],8,FALSE)</f>
        <v>345</v>
      </c>
    </row>
    <row r="67" spans="1:17" hidden="1" x14ac:dyDescent="0.25">
      <c r="A67" t="str">
        <f>+Tabla3[[#This Row],[Site]]&amp;Tabla3[[#This Row],[Split]]</f>
        <v>(AS) Koons MB of Catonsville (NO TOURS)2</v>
      </c>
      <c r="B67">
        <v>2</v>
      </c>
      <c r="C67">
        <v>1</v>
      </c>
      <c r="D67" t="s">
        <v>233</v>
      </c>
      <c r="E67" t="str">
        <f>VLOOKUP(Tabla3[[#This Row],[Site]],Table35[],10,FALSE)</f>
        <v>9:00 P.M.</v>
      </c>
      <c r="F67" t="str">
        <f>VLOOKUP(Tabla3[[#This Row],[Site]],Table35[],11,FALSE)</f>
        <v>ET</v>
      </c>
      <c r="G67" t="str">
        <f>VLOOKUP(Tabla3[[#This Row],[Site]],Table35[],12,FALSE)</f>
        <v>5:00 A.M.</v>
      </c>
      <c r="H67" s="74" t="str">
        <f>HYPERLINK(VLOOKUP(Tabla3[[#This Row],[Site]],Table35[#All],9,FALSE))</f>
        <v>https://tools.sig.systems/site/details/303</v>
      </c>
      <c r="I67">
        <f>VLOOKUP(Tabla3[[#This Row],[Site]],Table35[],13,FALSE)</f>
        <v>0</v>
      </c>
      <c r="J67" t="str">
        <f>VLOOKUP(Tabla3[[#This Row],[Site]],Table35[],14,FALSE)</f>
        <v>-</v>
      </c>
      <c r="L67" s="32" t="str">
        <f>VLOOKUP(Tabla3[[#This Row],[Site]],Table35[#All],2,FALSE)</f>
        <v>-</v>
      </c>
      <c r="M67" s="32" t="str">
        <f>VLOOKUP(Tabla3[[#This Row],[Site]],Table35[#All],3,FALSE)</f>
        <v>15, 16, 17, 29</v>
      </c>
      <c r="N67" s="32">
        <f>VLOOKUP(Tabla3[[#This Row],[Site]],Table35[#All],4,FALSE)</f>
        <v>29</v>
      </c>
      <c r="O67" s="32">
        <f>VLOOKUP(Tabla3[[#This Row],[Site]],Table35[#All],5,FALSE)</f>
        <v>5</v>
      </c>
      <c r="P67" s="32" t="str">
        <f>VLOOKUP(Tabla3[[#This Row],[Site]],Table35[#All],6,FALSE)</f>
        <v>1, 7, 8, 12, 19, 32</v>
      </c>
      <c r="Q67" s="32" t="str">
        <f>VLOOKUP(Tabla3[[#This Row],[Site]],Table35[#All],8,FALSE)</f>
        <v>303</v>
      </c>
    </row>
    <row r="68" spans="1:17" hidden="1" x14ac:dyDescent="0.25">
      <c r="A68" t="str">
        <f>+Tabla3[[#This Row],[Site]]&amp;Tabla3[[#This Row],[Split]]</f>
        <v>(AS) Koons Owings Mills Kia (NO TOURS)2</v>
      </c>
      <c r="B68">
        <v>2</v>
      </c>
      <c r="C68">
        <v>1</v>
      </c>
      <c r="D68" t="s">
        <v>416</v>
      </c>
      <c r="E68" t="str">
        <f>VLOOKUP(Tabla3[[#This Row],[Site]],Table35[],10,FALSE)</f>
        <v>9:00 P.M.</v>
      </c>
      <c r="F68" t="str">
        <f>VLOOKUP(Tabla3[[#This Row],[Site]],Table35[],11,FALSE)</f>
        <v>ET</v>
      </c>
      <c r="G68" t="str">
        <f>VLOOKUP(Tabla3[[#This Row],[Site]],Table35[],12,FALSE)</f>
        <v>5:00 A.M.</v>
      </c>
      <c r="H68" s="74" t="str">
        <f>HYPERLINK(VLOOKUP(Tabla3[[#This Row],[Site]],Table35[#All],9,FALSE))</f>
        <v>https://tools.sig.systems/site/details/336</v>
      </c>
      <c r="I68" t="str">
        <f>VLOOKUP(Tabla3[[#This Row],[Site]],Table35[],13,FALSE)</f>
        <v>-</v>
      </c>
      <c r="J68" t="str">
        <f>VLOOKUP(Tabla3[[#This Row],[Site]],Table35[],14,FALSE)</f>
        <v>-</v>
      </c>
      <c r="L68" s="32">
        <f>VLOOKUP(Tabla3[[#This Row],[Site]],Table35[#All],2,FALSE)</f>
        <v>12</v>
      </c>
      <c r="M68" s="32" t="str">
        <f>VLOOKUP(Tabla3[[#This Row],[Site]],Table35[#All],3,FALSE)</f>
        <v>2, 18</v>
      </c>
      <c r="N68" s="32" t="str">
        <f>VLOOKUP(Tabla3[[#This Row],[Site]],Table35[#All],4,FALSE)</f>
        <v>-</v>
      </c>
      <c r="O68" s="32" t="str">
        <f>VLOOKUP(Tabla3[[#This Row],[Site]],Table35[#All],5,FALSE)</f>
        <v>-</v>
      </c>
      <c r="P68" s="32" t="str">
        <f>VLOOKUP(Tabla3[[#This Row],[Site]],Table35[#All],6,FALSE)</f>
        <v>7, 14</v>
      </c>
      <c r="Q68" s="32">
        <v>336</v>
      </c>
    </row>
    <row r="69" spans="1:17" hidden="1" x14ac:dyDescent="0.25">
      <c r="A69" t="str">
        <f>+Tabla3[[#This Row],[Site]]&amp;Tabla3[[#This Row],[Split]]</f>
        <v>(AS) Koons Sterling Ford - Main Dealership (NO TOURS)2</v>
      </c>
      <c r="B69">
        <v>2</v>
      </c>
      <c r="C69">
        <v>1</v>
      </c>
      <c r="D69" t="s">
        <v>411</v>
      </c>
      <c r="E69" t="str">
        <f>VLOOKUP(Tabla3[[#This Row],[Site]],Table35[],10,FALSE)</f>
        <v>9:00 P.M.</v>
      </c>
      <c r="F69" t="str">
        <f>VLOOKUP(Tabla3[[#This Row],[Site]],Table35[],11,FALSE)</f>
        <v>ET</v>
      </c>
      <c r="G69" t="str">
        <f>VLOOKUP(Tabla3[[#This Row],[Site]],Table35[],12,FALSE)</f>
        <v>5:00 A.M.</v>
      </c>
      <c r="H69" s="74" t="str">
        <f>HYPERLINK(VLOOKUP(Tabla3[[#This Row],[Site]],Table35[#All],9,FALSE))</f>
        <v>https://tools.sig.systems/site/details/348</v>
      </c>
      <c r="I69" t="str">
        <f>VLOOKUP(Tabla3[[#This Row],[Site]],Table35[],13,FALSE)</f>
        <v>-</v>
      </c>
      <c r="J69" t="str">
        <f>VLOOKUP(Tabla3[[#This Row],[Site]],Table35[],14,FALSE)</f>
        <v>10:00 A.M.</v>
      </c>
      <c r="L69" s="32">
        <f>VLOOKUP(Tabla3[[#This Row],[Site]],Table35[#All],2,FALSE)</f>
        <v>19</v>
      </c>
      <c r="M69" s="32">
        <f>VLOOKUP(Tabla3[[#This Row],[Site]],Table35[#All],3,FALSE)</f>
        <v>3</v>
      </c>
      <c r="N69" s="32" t="str">
        <f>VLOOKUP(Tabla3[[#This Row],[Site]],Table35[#All],4,FALSE)</f>
        <v>-</v>
      </c>
      <c r="O69" s="32" t="str">
        <f>VLOOKUP(Tabla3[[#This Row],[Site]],Table35[#All],5,FALSE)</f>
        <v>4, 21</v>
      </c>
      <c r="P69" s="32" t="str">
        <f>VLOOKUP(Tabla3[[#This Row],[Site]],Table35[#All],6,FALSE)</f>
        <v>7, 8</v>
      </c>
      <c r="Q69" s="32" t="str">
        <f>VLOOKUP(Tabla3[[#This Row],[Site]],Table35[#All],8,FALSE)</f>
        <v>348</v>
      </c>
    </row>
    <row r="70" spans="1:17" hidden="1" x14ac:dyDescent="0.25">
      <c r="A70" t="str">
        <f>+Tabla3[[#This Row],[Site]]&amp;Tabla3[[#This Row],[Split]]</f>
        <v>(AS) Koons Woodbridge GMC (NO TOURS)2</v>
      </c>
      <c r="B70">
        <v>2</v>
      </c>
      <c r="C70">
        <v>1</v>
      </c>
      <c r="D70" t="s">
        <v>383</v>
      </c>
      <c r="E70" t="str">
        <f>VLOOKUP(Tabla3[[#This Row],[Site]],Table35[],10,FALSE)</f>
        <v>9:00 P.M.</v>
      </c>
      <c r="F70" t="str">
        <f>VLOOKUP(Tabla3[[#This Row],[Site]],Table35[],11,FALSE)</f>
        <v>ET</v>
      </c>
      <c r="G70" t="str">
        <f>VLOOKUP(Tabla3[[#This Row],[Site]],Table35[],12,FALSE)</f>
        <v>5:00 A.M.</v>
      </c>
      <c r="H70" s="74" t="str">
        <f>HYPERLINK(VLOOKUP(Tabla3[[#This Row],[Site]],Table35[#All],9,FALSE))</f>
        <v>https://tools.sig.systems/site/details/343</v>
      </c>
      <c r="I70">
        <f>VLOOKUP(Tabla3[[#This Row],[Site]],Table35[],13,FALSE)</f>
        <v>0</v>
      </c>
      <c r="J70" t="str">
        <f>VLOOKUP(Tabla3[[#This Row],[Site]],Table35[],14,FALSE)</f>
        <v>10:00 A.M.</v>
      </c>
      <c r="L70" s="32" t="str">
        <f>VLOOKUP(Tabla3[[#This Row],[Site]],Table35[#All],2,FALSE)</f>
        <v>-</v>
      </c>
      <c r="M70" s="32">
        <f>VLOOKUP(Tabla3[[#This Row],[Site]],Table35[#All],3,FALSE)</f>
        <v>1</v>
      </c>
      <c r="N70" s="32" t="str">
        <f>VLOOKUP(Tabla3[[#This Row],[Site]],Table35[#All],4,FALSE)</f>
        <v>-</v>
      </c>
      <c r="O70" s="32">
        <f>VLOOKUP(Tabla3[[#This Row],[Site]],Table35[#All],5,FALSE)</f>
        <v>11</v>
      </c>
      <c r="P70" s="32" t="str">
        <f>VLOOKUP(Tabla3[[#This Row],[Site]],Table35[#All],6,FALSE)</f>
        <v>2, 7</v>
      </c>
      <c r="Q70" s="32" t="str">
        <f>VLOOKUP(Tabla3[[#This Row],[Site]],Table35[#All],8,FALSE)</f>
        <v>343</v>
      </c>
    </row>
    <row r="71" spans="1:17" hidden="1" x14ac:dyDescent="0.25">
      <c r="A71" t="str">
        <f>+Tabla3[[#This Row],[Site]]&amp;Tabla3[[#This Row],[Split]]</f>
        <v>(AS) Koons Woodbridge Kia (NO TOURS)2</v>
      </c>
      <c r="B71">
        <v>2</v>
      </c>
      <c r="C71">
        <v>1</v>
      </c>
      <c r="D71" t="s">
        <v>407</v>
      </c>
      <c r="E71" t="str">
        <f>VLOOKUP(Tabla3[[#This Row],[Site]],Table35[],10,FALSE)</f>
        <v>9:00 P.M.</v>
      </c>
      <c r="F71" t="str">
        <f>VLOOKUP(Tabla3[[#This Row],[Site]],Table35[],11,FALSE)</f>
        <v>ET</v>
      </c>
      <c r="G71" t="str">
        <f>VLOOKUP(Tabla3[[#This Row],[Site]],Table35[],12,FALSE)</f>
        <v>5:00 A.M.</v>
      </c>
      <c r="H71" s="74" t="str">
        <f>HYPERLINK(VLOOKUP(Tabla3[[#This Row],[Site]],Table35[#All],9,FALSE))</f>
        <v>https://tools.sig.systems/site/details/346</v>
      </c>
      <c r="I71" t="str">
        <f>VLOOKUP(Tabla3[[#This Row],[Site]],Table35[],13,FALSE)</f>
        <v>-</v>
      </c>
      <c r="J71" t="str">
        <f>VLOOKUP(Tabla3[[#This Row],[Site]],Table35[],14,FALSE)</f>
        <v>10:00 A.M.</v>
      </c>
      <c r="L71" s="32" t="str">
        <f>VLOOKUP(Tabla3[[#This Row],[Site]],Table35[#All],2,FALSE)</f>
        <v>-</v>
      </c>
      <c r="M71" s="32">
        <f>VLOOKUP(Tabla3[[#This Row],[Site]],Table35[#All],3,FALSE)</f>
        <v>2</v>
      </c>
      <c r="N71" s="32" t="str">
        <f>VLOOKUP(Tabla3[[#This Row],[Site]],Table35[#All],4,FALSE)</f>
        <v>-</v>
      </c>
      <c r="O71" s="32" t="str">
        <f>VLOOKUP(Tabla3[[#This Row],[Site]],Table35[#All],5,FALSE)</f>
        <v>-</v>
      </c>
      <c r="P71" s="32">
        <f>VLOOKUP(Tabla3[[#This Row],[Site]],Table35[#All],6,FALSE)</f>
        <v>5</v>
      </c>
      <c r="Q71" s="32" t="str">
        <f>VLOOKUP(Tabla3[[#This Row],[Site]],Table35[#All],8,FALSE)</f>
        <v>346</v>
      </c>
    </row>
    <row r="72" spans="1:17" hidden="1" x14ac:dyDescent="0.25">
      <c r="A72" t="str">
        <f>+Tabla3[[#This Row],[Site]]&amp;Tabla3[[#This Row],[Split]]</f>
        <v>(AS) Plaza Collision ST Louis (NO TOURS)2</v>
      </c>
      <c r="B72">
        <v>2</v>
      </c>
      <c r="C72">
        <v>1</v>
      </c>
      <c r="D72" t="s">
        <v>437</v>
      </c>
      <c r="E72" t="str">
        <f>VLOOKUP(Tabla3[[#This Row],[Site]],Table35[],10,FALSE)</f>
        <v>10:00 P.M.</v>
      </c>
      <c r="F72" t="str">
        <f>VLOOKUP(Tabla3[[#This Row],[Site]],Table35[],11,FALSE)</f>
        <v>CT</v>
      </c>
      <c r="G72" t="str">
        <f>VLOOKUP(Tabla3[[#This Row],[Site]],Table35[],12,FALSE)</f>
        <v>6:00 A.M.</v>
      </c>
      <c r="H72" s="74" t="str">
        <f>HYPERLINK(VLOOKUP(Tabla3[[#This Row],[Site]],Table35[#All],9,FALSE))</f>
        <v>https://tools.sig.systems/site/details/350</v>
      </c>
      <c r="I72" t="str">
        <f>VLOOKUP(Tabla3[[#This Row],[Site]],Table35[],13,FALSE)</f>
        <v>-</v>
      </c>
      <c r="J72" t="str">
        <f>VLOOKUP(Tabla3[[#This Row],[Site]],Table35[],14,FALSE)</f>
        <v>-</v>
      </c>
      <c r="L72" s="32" t="str">
        <f>VLOOKUP(Tabla3[[#This Row],[Site]],Table35[#All],2,FALSE)</f>
        <v>2, 6</v>
      </c>
      <c r="M72" s="32">
        <f>VLOOKUP(Tabla3[[#This Row],[Site]],Table35[#All],3,FALSE)</f>
        <v>1</v>
      </c>
      <c r="N72" s="32" t="str">
        <f>VLOOKUP(Tabla3[[#This Row],[Site]],Table35[#All],4,FALSE)</f>
        <v>-</v>
      </c>
      <c r="O72" s="32" t="str">
        <f>VLOOKUP(Tabla3[[#This Row],[Site]],Table35[#All],5,FALSE)</f>
        <v>-</v>
      </c>
      <c r="P72" s="32">
        <f>VLOOKUP(Tabla3[[#This Row],[Site]],Table35[#All],6,FALSE)</f>
        <v>3</v>
      </c>
      <c r="Q72" s="32" t="str">
        <f>VLOOKUP(Tabla3[[#This Row],[Site]],Table35[#All],8,FALSE)</f>
        <v>350</v>
      </c>
    </row>
    <row r="73" spans="1:17" hidden="1" x14ac:dyDescent="0.25">
      <c r="A73" t="str">
        <f>+Tabla3[[#This Row],[Site]]&amp;Tabla3[[#This Row],[Split]]</f>
        <v>(AS) Plaza Mercedes Benz West (NO TOURS)2</v>
      </c>
      <c r="B73">
        <v>2</v>
      </c>
      <c r="C73">
        <v>1</v>
      </c>
      <c r="D73" t="s">
        <v>394</v>
      </c>
      <c r="E73" t="str">
        <f>VLOOKUP(Tabla3[[#This Row],[Site]],Table35[],10,FALSE)</f>
        <v>10:00 P.M.</v>
      </c>
      <c r="F73" t="str">
        <f>VLOOKUP(Tabla3[[#This Row],[Site]],Table35[],11,FALSE)</f>
        <v>CT</v>
      </c>
      <c r="G73" t="str">
        <f>VLOOKUP(Tabla3[[#This Row],[Site]],Table35[],12,FALSE)</f>
        <v>6:00 A.M.</v>
      </c>
      <c r="H73" s="74" t="str">
        <f>HYPERLINK(VLOOKUP(Tabla3[[#This Row],[Site]],Table35[#All],9,FALSE))</f>
        <v>https://tools.sig.systems/site/details/349</v>
      </c>
      <c r="I73">
        <f>VLOOKUP(Tabla3[[#This Row],[Site]],Table35[],13,FALSE)</f>
        <v>0</v>
      </c>
      <c r="J73" t="str">
        <f>VLOOKUP(Tabla3[[#This Row],[Site]],Table35[],14,FALSE)</f>
        <v>-</v>
      </c>
      <c r="L73" s="32" t="str">
        <f>VLOOKUP(Tabla3[[#This Row],[Site]],Table35[#All],2,FALSE)</f>
        <v>-</v>
      </c>
      <c r="M73" s="32" t="str">
        <f>VLOOKUP(Tabla3[[#This Row],[Site]],Table35[#All],3,FALSE)</f>
        <v>1, 7</v>
      </c>
      <c r="N73" s="32" t="str">
        <f>VLOOKUP(Tabla3[[#This Row],[Site]],Table35[#All],4,FALSE)</f>
        <v>-</v>
      </c>
      <c r="O73" s="32">
        <f>VLOOKUP(Tabla3[[#This Row],[Site]],Table35[#All],5,FALSE)</f>
        <v>17</v>
      </c>
      <c r="P73" s="32" t="str">
        <f>VLOOKUP(Tabla3[[#This Row],[Site]],Table35[#All],6,FALSE)</f>
        <v>6, 21</v>
      </c>
      <c r="Q73" s="32" t="str">
        <f>VLOOKUP(Tabla3[[#This Row],[Site]],Table35[#All],8,FALSE)</f>
        <v>349</v>
      </c>
    </row>
    <row r="74" spans="1:17" hidden="1" x14ac:dyDescent="0.25">
      <c r="A74" t="str">
        <f>+Tabla3[[#This Row],[Site]]&amp;Tabla3[[#This Row],[Split]]</f>
        <v>(BRL) Fort Pierce2</v>
      </c>
      <c r="B74">
        <v>2</v>
      </c>
      <c r="C74">
        <v>1</v>
      </c>
      <c r="D74" t="s">
        <v>347</v>
      </c>
      <c r="E74" t="str">
        <f>VLOOKUP(Tabla3[[#This Row],[Site]],Table35[],10,FALSE)</f>
        <v>24H</v>
      </c>
      <c r="F74" t="str">
        <f>VLOOKUP(Tabla3[[#This Row],[Site]],Table35[],11,FALSE)</f>
        <v>ET</v>
      </c>
      <c r="G74" t="str">
        <f>VLOOKUP(Tabla3[[#This Row],[Site]],Table35[],12,FALSE)</f>
        <v>-</v>
      </c>
      <c r="H74" s="74" t="str">
        <f>HYPERLINK(VLOOKUP(Tabla3[[#This Row],[Site]],Table35[#All],9,FALSE))</f>
        <v>https://tools.sig.systems/site/details/326</v>
      </c>
      <c r="I74" t="str">
        <f>VLOOKUP(Tabla3[[#This Row],[Site]],Table35[],13,FALSE)</f>
        <v>-</v>
      </c>
      <c r="J74" t="str">
        <f>VLOOKUP(Tabla3[[#This Row],[Site]],Table35[],14,FALSE)</f>
        <v>-</v>
      </c>
      <c r="L74" s="32" t="str">
        <f>VLOOKUP(Tabla3[[#This Row],[Site]],Table35[#All],2,FALSE)</f>
        <v>-</v>
      </c>
      <c r="M74" s="32">
        <f>VLOOKUP(Tabla3[[#This Row],[Site]],Table35[#All],3,FALSE)</f>
        <v>1</v>
      </c>
      <c r="N74" s="32" t="str">
        <f>VLOOKUP(Tabla3[[#This Row],[Site]],Table35[#All],4,FALSE)</f>
        <v>-</v>
      </c>
      <c r="O74" s="32">
        <f>VLOOKUP(Tabla3[[#This Row],[Site]],Table35[#All],5,FALSE)</f>
        <v>2</v>
      </c>
      <c r="P74" s="32" t="str">
        <f>VLOOKUP(Tabla3[[#This Row],[Site]],Table35[#All],6,FALSE)</f>
        <v>15, 18</v>
      </c>
      <c r="Q74" s="32" t="str">
        <f>VLOOKUP(Tabla3[[#This Row],[Site]],Table35[#All],8,FALSE)</f>
        <v>326</v>
      </c>
    </row>
    <row r="75" spans="1:17" hidden="1" x14ac:dyDescent="0.25">
      <c r="A75" t="str">
        <f>+Tabla3[[#This Row],[Site]]&amp;Tabla3[[#This Row],[Split]]</f>
        <v>(DT) Charlotte2</v>
      </c>
      <c r="B75">
        <v>2</v>
      </c>
      <c r="C75">
        <v>1</v>
      </c>
      <c r="D75" t="s">
        <v>150</v>
      </c>
      <c r="E75" t="str">
        <f>VLOOKUP(Tabla3[[#This Row],[Site]],Table35[],10,FALSE)</f>
        <v>9:00 P.M.</v>
      </c>
      <c r="F75" t="str">
        <f>VLOOKUP(Tabla3[[#This Row],[Site]],Table35[],11,FALSE)</f>
        <v>ET</v>
      </c>
      <c r="G75" t="str">
        <f>VLOOKUP(Tabla3[[#This Row],[Site]],Table35[],12,FALSE)</f>
        <v>5:00 A.M.</v>
      </c>
      <c r="H75" s="74" t="str">
        <f>HYPERLINK(VLOOKUP(Tabla3[[#This Row],[Site]],Table35[#All],9,FALSE))</f>
        <v>https://tools.sig.systems/site/details/299</v>
      </c>
      <c r="I75">
        <f>VLOOKUP(Tabla3[[#This Row],[Site]],Table35[],13,FALSE)</f>
        <v>0</v>
      </c>
      <c r="J75" t="str">
        <f>VLOOKUP(Tabla3[[#This Row],[Site]],Table35[],14,FALSE)</f>
        <v>-</v>
      </c>
      <c r="L75" s="32" t="str">
        <f>VLOOKUP(Tabla3[[#This Row],[Site]],Table35[#All],2,FALSE)</f>
        <v>4, 25, 41</v>
      </c>
      <c r="M75" s="32" t="str">
        <f>VLOOKUP(Tabla3[[#This Row],[Site]],Table35[#All],3,FALSE)</f>
        <v>-</v>
      </c>
      <c r="N75" s="32" t="str">
        <f>VLOOKUP(Tabla3[[#This Row],[Site]],Table35[#All],4,FALSE)</f>
        <v>-</v>
      </c>
      <c r="O75" s="32" t="str">
        <f>VLOOKUP(Tabla3[[#This Row],[Site]],Table35[#All],5,FALSE)</f>
        <v xml:space="preserve">11, 32, 35 </v>
      </c>
      <c r="P75" s="32" t="str">
        <f>VLOOKUP(Tabla3[[#This Row],[Site]],Table35[#All],6,FALSE)</f>
        <v>6, 11, 18, 29, 34,  38, 39</v>
      </c>
      <c r="Q75" s="32" t="str">
        <f>VLOOKUP(Tabla3[[#This Row],[Site]],Table35[#All],8,FALSE)</f>
        <v>299</v>
      </c>
    </row>
    <row r="76" spans="1:17" hidden="1" x14ac:dyDescent="0.25">
      <c r="A76" t="str">
        <f>+Tabla3[[#This Row],[Site]]&amp;Tabla3[[#This Row],[Split]]</f>
        <v>(DT) Modesto2</v>
      </c>
      <c r="B76">
        <v>2</v>
      </c>
      <c r="C76">
        <v>1</v>
      </c>
      <c r="D76" t="s">
        <v>14</v>
      </c>
      <c r="E76" t="str">
        <f>VLOOKUP(Tabla3[[#This Row],[Site]],Table35[],10,FALSE)</f>
        <v>12:00 A.M.</v>
      </c>
      <c r="F76" t="str">
        <f>VLOOKUP(Tabla3[[#This Row],[Site]],Table35[],11,FALSE)</f>
        <v>PT</v>
      </c>
      <c r="G76" t="str">
        <f>VLOOKUP(Tabla3[[#This Row],[Site]],Table35[],12,FALSE)</f>
        <v>8:00 A.M.</v>
      </c>
      <c r="H76" s="74" t="str">
        <f>HYPERLINK(VLOOKUP(Tabla3[[#This Row],[Site]],Table35[#All],9,FALSE))</f>
        <v>https://tools.sig.systems/site/details/267</v>
      </c>
      <c r="I76">
        <f>VLOOKUP(Tabla3[[#This Row],[Site]],Table35[],13,FALSE)</f>
        <v>0</v>
      </c>
      <c r="J76" t="str">
        <f>VLOOKUP(Tabla3[[#This Row],[Site]],Table35[],14,FALSE)</f>
        <v>-</v>
      </c>
      <c r="L76" s="32">
        <f>VLOOKUP(Tabla3[[#This Row],[Site]],Table35[#All],2,FALSE)</f>
        <v>10</v>
      </c>
      <c r="M76" s="32" t="str">
        <f>VLOOKUP(Tabla3[[#This Row],[Site]],Table35[#All],3,FALSE)</f>
        <v>5, 6</v>
      </c>
      <c r="N76" s="32" t="str">
        <f>VLOOKUP(Tabla3[[#This Row],[Site]],Table35[#All],4,FALSE)</f>
        <v>-</v>
      </c>
      <c r="O76" s="32" t="str">
        <f>VLOOKUP(Tabla3[[#This Row],[Site]],Table35[#All],5,FALSE)</f>
        <v>-</v>
      </c>
      <c r="P76" s="32" t="str">
        <f>VLOOKUP(Tabla3[[#This Row],[Site]],Table35[#All],6,FALSE)</f>
        <v>2, 3, 5, 10</v>
      </c>
      <c r="Q76" s="32" t="str">
        <f>VLOOKUP(Tabla3[[#This Row],[Site]],Table35[#All],8,FALSE)</f>
        <v>267</v>
      </c>
    </row>
    <row r="77" spans="1:17" hidden="1" x14ac:dyDescent="0.25">
      <c r="A77" t="str">
        <f>+Tabla3[[#This Row],[Site]]&amp;Tabla3[[#This Row],[Split]]</f>
        <v>(KG) Big Star Hyundai Houston2</v>
      </c>
      <c r="B77">
        <v>2</v>
      </c>
      <c r="C77">
        <v>1</v>
      </c>
      <c r="D77" t="s">
        <v>128</v>
      </c>
      <c r="E77" t="str">
        <f>VLOOKUP(Tabla3[[#This Row],[Site]],Table35[],10,FALSE)</f>
        <v>10:00 P.M.</v>
      </c>
      <c r="F77" t="str">
        <f>VLOOKUP(Tabla3[[#This Row],[Site]],Table35[],11,FALSE)</f>
        <v>CT</v>
      </c>
      <c r="G77" t="str">
        <f>VLOOKUP(Tabla3[[#This Row],[Site]],Table35[],12,FALSE)</f>
        <v>6:00 A.M.</v>
      </c>
      <c r="H77" s="74" t="str">
        <f>HYPERLINK(VLOOKUP(Tabla3[[#This Row],[Site]],Table35[#All],9,FALSE))</f>
        <v>https://tools.sig.systems/site/details/287</v>
      </c>
      <c r="I77" t="str">
        <f>VLOOKUP(Tabla3[[#This Row],[Site]],Table35[],13,FALSE)</f>
        <v>https://www.google.com/maps/d/edit?hl=en&amp;mid=1jIRkMUnWNPuTgDjQgDP-f33LClT85NU&amp;ll=29.55731827236326%2C-95.1601644&amp;z=17</v>
      </c>
      <c r="J77" t="str">
        <f>VLOOKUP(Tabla3[[#This Row],[Site]],Table35[],14,FALSE)</f>
        <v>-</v>
      </c>
      <c r="L77" s="32" t="s">
        <v>198</v>
      </c>
      <c r="M77" s="32" t="s">
        <v>199</v>
      </c>
      <c r="N77" s="32" t="s">
        <v>96</v>
      </c>
      <c r="O77" s="32" t="s">
        <v>200</v>
      </c>
      <c r="P77" s="32" t="s">
        <v>201</v>
      </c>
      <c r="Q77" s="32" t="s">
        <v>296</v>
      </c>
    </row>
    <row r="78" spans="1:17" hidden="1" x14ac:dyDescent="0.25">
      <c r="A78" t="str">
        <f>+Tabla3[[#This Row],[Site]]&amp;Tabla3[[#This Row],[Split]]</f>
        <v>(KG) Ken Garff Volkswagen of Gilbert2</v>
      </c>
      <c r="B78">
        <v>2</v>
      </c>
      <c r="C78">
        <v>1</v>
      </c>
      <c r="D78" t="s">
        <v>129</v>
      </c>
      <c r="E78" t="str">
        <f>VLOOKUP(Tabla3[[#This Row],[Site]],Table35[],10,FALSE)</f>
        <v>12:00 A.M.</v>
      </c>
      <c r="F78" t="str">
        <f>VLOOKUP(Tabla3[[#This Row],[Site]],Table35[],11,FALSE)</f>
        <v>MST</v>
      </c>
      <c r="G78" t="str">
        <f>VLOOKUP(Tabla3[[#This Row],[Site]],Table35[],12,FALSE)</f>
        <v>8:00 A.M.</v>
      </c>
      <c r="H78" s="74" t="str">
        <f>HYPERLINK(VLOOKUP(Tabla3[[#This Row],[Site]],Table35[#All],9,FALSE))</f>
        <v>https://tools.sig.systems/site/details/284</v>
      </c>
      <c r="I78" t="str">
        <f>VLOOKUP(Tabla3[[#This Row],[Site]],Table35[],13,FALSE)</f>
        <v>https://www.google.com/maps/d/viewer?hl=es&amp;mid=19SU7XE9Cg8jhVFpEI21Vi9Zfgdih9Ds&amp;ll=33.29158262977276%2C-111.75783630000002&amp;z=17</v>
      </c>
      <c r="J78" t="str">
        <f>VLOOKUP(Tabla3[[#This Row],[Site]],Table35[],14,FALSE)</f>
        <v>12:00 P.M.</v>
      </c>
      <c r="L78" s="32" t="str">
        <f>VLOOKUP(Tabla3[[#This Row],[Site]],Table35[#All],2,FALSE)</f>
        <v>4, 6</v>
      </c>
      <c r="M78" s="32" t="str">
        <f>VLOOKUP(Tabla3[[#This Row],[Site]],Table35[#All],3,FALSE)</f>
        <v>-</v>
      </c>
      <c r="N78" s="32" t="str">
        <f>VLOOKUP(Tabla3[[#This Row],[Site]],Table35[#All],4,FALSE)</f>
        <v>-</v>
      </c>
      <c r="O78" s="32" t="str">
        <f>VLOOKUP(Tabla3[[#This Row],[Site]],Table35[#All],5,FALSE)</f>
        <v>2, 14</v>
      </c>
      <c r="P78" s="32" t="str">
        <f>VLOOKUP(Tabla3[[#This Row],[Site]],Table35[#All],6,FALSE)</f>
        <v>1, 5, 8, 9, 17, 19, 21</v>
      </c>
      <c r="Q78" s="32" t="str">
        <f>VLOOKUP(Tabla3[[#This Row],[Site]],Table35[#All],8,FALSE)</f>
        <v>284</v>
      </c>
    </row>
    <row r="79" spans="1:17" hidden="1" x14ac:dyDescent="0.25">
      <c r="A79" t="str">
        <f>+Tabla3[[#This Row],[Site]]&amp;Tabla3[[#This Row],[Split]]</f>
        <v>(LT) Landers Kia of Little Rock2</v>
      </c>
      <c r="B79">
        <v>2</v>
      </c>
      <c r="C79">
        <v>1</v>
      </c>
      <c r="D79" t="s">
        <v>247</v>
      </c>
      <c r="E79" t="str">
        <f>VLOOKUP(Tabla3[[#This Row],[Site]],Table35[],10,FALSE)</f>
        <v>10:00 P.M.</v>
      </c>
      <c r="F79" t="str">
        <f>VLOOKUP(Tabla3[[#This Row],[Site]],Table35[],11,FALSE)</f>
        <v>CT</v>
      </c>
      <c r="G79" t="str">
        <f>VLOOKUP(Tabla3[[#This Row],[Site]],Table35[],12,FALSE)</f>
        <v>6:00 A.M.</v>
      </c>
      <c r="H79" s="74" t="str">
        <f>HYPERLINK(VLOOKUP(Tabla3[[#This Row],[Site]],Table35[#All],9,FALSE))</f>
        <v>https://tools.sig.systems/site/details/322</v>
      </c>
      <c r="I79" t="str">
        <f>VLOOKUP(Tabla3[[#This Row],[Site]],Table35[],13,FALSE)</f>
        <v>https://www.google.com/maps/d/u/1/edit?mid=1-zEzsc6U6nZom08edp0XAd3_HYFvAyk&amp;usp=sharing</v>
      </c>
      <c r="J79" t="str">
        <f>VLOOKUP(Tabla3[[#This Row],[Site]],Table35[],14,FALSE)</f>
        <v>-</v>
      </c>
      <c r="L79" s="32" t="str">
        <f>VLOOKUP(Tabla3[[#This Row],[Site]],Table35[#All],2,FALSE)</f>
        <v>5, 9, 33, 19</v>
      </c>
      <c r="M79" s="32" t="str">
        <f>VLOOKUP(Tabla3[[#This Row],[Site]],Table35[#All],3,FALSE)</f>
        <v>-</v>
      </c>
      <c r="N79" s="32" t="str">
        <f>VLOOKUP(Tabla3[[#This Row],[Site]],Table35[#All],4,FALSE)</f>
        <v>4, 10</v>
      </c>
      <c r="O79" s="32" t="str">
        <f>VLOOKUP(Tabla3[[#This Row],[Site]],Table35[#All],5,FALSE)</f>
        <v>1, 35</v>
      </c>
      <c r="P79" s="32" t="str">
        <f>VLOOKUP(Tabla3[[#This Row],[Site]],Table35[#All],6,FALSE)</f>
        <v>5, 9, 12, 14, 18, 26, 29</v>
      </c>
      <c r="Q79" s="32" t="str">
        <f>VLOOKUP(Tabla3[[#This Row],[Site]],Table35[#All],8,FALSE)</f>
        <v>322</v>
      </c>
    </row>
    <row r="80" spans="1:17" x14ac:dyDescent="0.25">
      <c r="A80" t="str">
        <f>+Tabla3[[#This Row],[Site]]&amp;Tabla3[[#This Row],[Split]]</f>
        <v>(LT) Luther Bloomington Hyundai (NO TOURS)2</v>
      </c>
      <c r="B80">
        <v>2</v>
      </c>
      <c r="C80">
        <v>1</v>
      </c>
      <c r="D80" t="s">
        <v>455</v>
      </c>
      <c r="E80" t="str">
        <f>VLOOKUP(Tabla3[[#This Row],[Site]],Table35[],10,FALSE)</f>
        <v>10:00 P.M.</v>
      </c>
      <c r="F80" t="str">
        <f>VLOOKUP(Tabla3[[#This Row],[Site]],Table35[],11,FALSE)</f>
        <v>CT</v>
      </c>
      <c r="G80" t="str">
        <f>VLOOKUP(Tabla3[[#This Row],[Site]],Table35[],12,FALSE)</f>
        <v>6:00 A.M.</v>
      </c>
      <c r="H80" s="74" t="str">
        <f>HYPERLINK(VLOOKUP(Tabla3[[#This Row],[Site]],Table35[#All],9,FALSE))</f>
        <v>https://tools.sig.systems/site/details/318</v>
      </c>
      <c r="I80">
        <f>VLOOKUP(Tabla3[[#This Row],[Site]],Table35[],13,FALSE)</f>
        <v>0</v>
      </c>
      <c r="J80" t="str">
        <f>VLOOKUP(Tabla3[[#This Row],[Site]],Table35[],14,FALSE)</f>
        <v>-</v>
      </c>
      <c r="L80" s="32" t="str">
        <f>VLOOKUP(Tabla3[[#This Row],[Site]],Table35[#All],2,FALSE)</f>
        <v>-</v>
      </c>
      <c r="M80" s="32" t="str">
        <f>VLOOKUP(Tabla3[[#This Row],[Site]],Table35[#All],3,FALSE)</f>
        <v>6, 9, 13</v>
      </c>
      <c r="N80" s="32" t="str">
        <f>VLOOKUP(Tabla3[[#This Row],[Site]],Table35[#All],4,FALSE)</f>
        <v>58, 59</v>
      </c>
      <c r="O80" s="32">
        <f>VLOOKUP(Tabla3[[#This Row],[Site]],Table35[#All],5,FALSE)</f>
        <v>10</v>
      </c>
      <c r="P80" s="32" t="str">
        <f>VLOOKUP(Tabla3[[#This Row],[Site]],Table35[#All],6,FALSE)</f>
        <v>11, 18</v>
      </c>
      <c r="Q80" s="32" t="str">
        <f>VLOOKUP(Tabla3[[#This Row],[Site]],Table35[#All],8,FALSE)</f>
        <v>318</v>
      </c>
    </row>
    <row r="81" spans="1:17" hidden="1" x14ac:dyDescent="0.25">
      <c r="A81" t="str">
        <f>+Tabla3[[#This Row],[Site]]&amp;Tabla3[[#This Row],[Split]]</f>
        <v>(LT) Luther Brookdale Toyota2</v>
      </c>
      <c r="B81">
        <v>2</v>
      </c>
      <c r="C81">
        <v>1</v>
      </c>
      <c r="D81" t="s">
        <v>125</v>
      </c>
      <c r="E81" t="str">
        <f>VLOOKUP(Tabla3[[#This Row],[Site]],Table35[],10,FALSE)</f>
        <v>10:00 P.M.</v>
      </c>
      <c r="F81" t="str">
        <f>VLOOKUP(Tabla3[[#This Row],[Site]],Table35[],11,FALSE)</f>
        <v>CT</v>
      </c>
      <c r="G81" t="str">
        <f>VLOOKUP(Tabla3[[#This Row],[Site]],Table35[],12,FALSE)</f>
        <v>5:00 A.M.</v>
      </c>
      <c r="H81" s="74" t="str">
        <f>HYPERLINK(VLOOKUP(Tabla3[[#This Row],[Site]],Table35[#All],9,FALSE))</f>
        <v>https://tools.sig.systems/site/details/281</v>
      </c>
      <c r="I81" t="str">
        <f>VLOOKUP(Tabla3[[#This Row],[Site]],Table35[],13,FALSE)</f>
        <v>https://www.google.com/maps/d/viewer?mid=1ot0ILX76JMuvd9yMuqkb4_e0yH1n7TA&amp;ll=45.07815812965141%2C-93.33506855000002&amp;z=17</v>
      </c>
      <c r="J81" t="str">
        <f>VLOOKUP(Tabla3[[#This Row],[Site]],Table35[],14,FALSE)</f>
        <v>-</v>
      </c>
      <c r="L81" s="32" t="str">
        <f>VLOOKUP(Tabla3[[#This Row],[Site]],Table35[#All],2,FALSE)</f>
        <v>-</v>
      </c>
      <c r="M81" s="32" t="str">
        <f>VLOOKUP(Tabla3[[#This Row],[Site]],Table35[#All],3,FALSE)</f>
        <v>5, 7</v>
      </c>
      <c r="N81" s="32">
        <f>VLOOKUP(Tabla3[[#This Row],[Site]],Table35[#All],4,FALSE)</f>
        <v>29</v>
      </c>
      <c r="O81" s="32">
        <f>VLOOKUP(Tabla3[[#This Row],[Site]],Table35[#All],5,FALSE)</f>
        <v>20</v>
      </c>
      <c r="P81" s="32" t="str">
        <f>VLOOKUP(Tabla3[[#This Row],[Site]],Table35[#All],6,FALSE)</f>
        <v xml:space="preserve">1, 2, 4, 10, 18, 24, 25 </v>
      </c>
      <c r="Q81" s="32" t="str">
        <f>VLOOKUP(Tabla3[[#This Row],[Site]],Table35[#All],8,FALSE)</f>
        <v>281</v>
      </c>
    </row>
    <row r="82" spans="1:17" hidden="1" x14ac:dyDescent="0.25">
      <c r="A82" t="str">
        <f>+Tabla3[[#This Row],[Site]]&amp;Tabla3[[#This Row],[Split]]</f>
        <v>(LT) Luther Burnsville Hyundai2</v>
      </c>
      <c r="B82">
        <v>2</v>
      </c>
      <c r="C82">
        <v>1</v>
      </c>
      <c r="D82" t="s">
        <v>280</v>
      </c>
      <c r="E82" t="str">
        <f>VLOOKUP(Tabla3[[#This Row],[Site]],Table35[],10,FALSE)</f>
        <v>10:00 P.M.</v>
      </c>
      <c r="F82" t="str">
        <f>VLOOKUP(Tabla3[[#This Row],[Site]],Table35[],11,FALSE)</f>
        <v>CT</v>
      </c>
      <c r="G82" t="str">
        <f>VLOOKUP(Tabla3[[#This Row],[Site]],Table35[],12,FALSE)</f>
        <v>6:00 A.M.</v>
      </c>
      <c r="H82" s="74" t="str">
        <f>HYPERLINK(VLOOKUP(Tabla3[[#This Row],[Site]],Table35[#All],9,FALSE))</f>
        <v>https://tools.sig.systems/site/details/307</v>
      </c>
      <c r="I82">
        <f>VLOOKUP(Tabla3[[#This Row],[Site]],Table35[],13,FALSE)</f>
        <v>0</v>
      </c>
      <c r="J82" t="str">
        <f>VLOOKUP(Tabla3[[#This Row],[Site]],Table35[],14,FALSE)</f>
        <v>-</v>
      </c>
      <c r="L82" s="32" t="str">
        <f>VLOOKUP(Tabla3[[#This Row],[Site]],Table35[#All],2,FALSE)</f>
        <v>-</v>
      </c>
      <c r="M82" s="32" t="str">
        <f>VLOOKUP(Tabla3[[#This Row],[Site]],Table35[#All],3,FALSE)</f>
        <v>6, 17</v>
      </c>
      <c r="N82" s="32" t="str">
        <f>VLOOKUP(Tabla3[[#This Row],[Site]],Table35[#All],4,FALSE)</f>
        <v>22, 21</v>
      </c>
      <c r="O82" s="32">
        <f>VLOOKUP(Tabla3[[#This Row],[Site]],Table35[#All],5,FALSE)</f>
        <v>7</v>
      </c>
      <c r="P82" s="32" t="str">
        <f>VLOOKUP(Tabla3[[#This Row],[Site]],Table35[#All],6,FALSE)</f>
        <v>2, 4, 16</v>
      </c>
      <c r="Q82" s="32" t="str">
        <f>VLOOKUP(Tabla3[[#This Row],[Site]],Table35[#All],8,FALSE)</f>
        <v>307</v>
      </c>
    </row>
    <row r="83" spans="1:17" hidden="1" x14ac:dyDescent="0.25">
      <c r="A83" t="str">
        <f>+Tabla3[[#This Row],[Site]]&amp;Tabla3[[#This Row],[Split]]</f>
        <v>(LT) Luther Hopkins Honda (NO TOURS)2</v>
      </c>
      <c r="B83">
        <v>2</v>
      </c>
      <c r="C83">
        <v>1</v>
      </c>
      <c r="D83" t="s">
        <v>303</v>
      </c>
      <c r="E83" t="str">
        <f>VLOOKUP(Tabla3[[#This Row],[Site]],Table35[],10,FALSE)</f>
        <v>10:00 P.M.</v>
      </c>
      <c r="F83" t="str">
        <f>VLOOKUP(Tabla3[[#This Row],[Site]],Table35[],11,FALSE)</f>
        <v>CT</v>
      </c>
      <c r="G83" t="str">
        <f>VLOOKUP(Tabla3[[#This Row],[Site]],Table35[],12,FALSE)</f>
        <v>6:00 A.M.</v>
      </c>
      <c r="H83" s="74" t="str">
        <f>HYPERLINK(VLOOKUP(Tabla3[[#This Row],[Site]],Table35[#All],9,FALSE))</f>
        <v>https://tools.sig.systems/site/details/288</v>
      </c>
      <c r="I83">
        <f>VLOOKUP(Tabla3[[#This Row],[Site]],Table35[],13,FALSE)</f>
        <v>0</v>
      </c>
      <c r="J83" t="str">
        <f>VLOOKUP(Tabla3[[#This Row],[Site]],Table35[],14,FALSE)</f>
        <v>-</v>
      </c>
      <c r="L83" s="32" t="str">
        <f>VLOOKUP(Tabla3[[#This Row],[Site]],Table35[#All],2,FALSE)</f>
        <v>-</v>
      </c>
      <c r="M83" s="32" t="str">
        <f>VLOOKUP(Tabla3[[#This Row],[Site]],Table35[#All],3,FALSE)</f>
        <v>9, 36</v>
      </c>
      <c r="N83" s="32" t="str">
        <f>VLOOKUP(Tabla3[[#This Row],[Site]],Table35[#All],4,FALSE)</f>
        <v>38, 39</v>
      </c>
      <c r="O83" s="32" t="str">
        <f>VLOOKUP(Tabla3[[#This Row],[Site]],Table35[#All],5,FALSE)</f>
        <v>3, 26</v>
      </c>
      <c r="P83" s="32" t="str">
        <f>VLOOKUP(Tabla3[[#This Row],[Site]],Table35[#All],6,FALSE)</f>
        <v>1, 4, 11, 18, 23, 25, 31</v>
      </c>
      <c r="Q83" s="32" t="str">
        <f>VLOOKUP(Tabla3[[#This Row],[Site]],Table35[#All],8,FALSE)</f>
        <v>288</v>
      </c>
    </row>
    <row r="84" spans="1:17" hidden="1" x14ac:dyDescent="0.25">
      <c r="A84" t="str">
        <f>+Tabla3[[#This Row],[Site]]&amp;Tabla3[[#This Row],[Split]]</f>
        <v>(LT) Luther North Country Ford2</v>
      </c>
      <c r="B84">
        <v>2</v>
      </c>
      <c r="C84">
        <v>1</v>
      </c>
      <c r="D84" t="s">
        <v>126</v>
      </c>
      <c r="E84" t="str">
        <f>VLOOKUP(Tabla3[[#This Row],[Site]],Table35[],10,FALSE)</f>
        <v>10:00 P.M.</v>
      </c>
      <c r="F84" t="str">
        <f>VLOOKUP(Tabla3[[#This Row],[Site]],Table35[],11,FALSE)</f>
        <v>CT</v>
      </c>
      <c r="G84" t="str">
        <f>VLOOKUP(Tabla3[[#This Row],[Site]],Table35[],12,FALSE)</f>
        <v>6:00 A.M.</v>
      </c>
      <c r="H84" s="74" t="str">
        <f>HYPERLINK(VLOOKUP(Tabla3[[#This Row],[Site]],Table35[#All],9,FALSE))</f>
        <v>https://tools.sig.systems/site/details/292</v>
      </c>
      <c r="I84">
        <f>VLOOKUP(Tabla3[[#This Row],[Site]],Table35[],13,FALSE)</f>
        <v>0</v>
      </c>
      <c r="J84" t="str">
        <f>VLOOKUP(Tabla3[[#This Row],[Site]],Table35[],14,FALSE)</f>
        <v>-</v>
      </c>
      <c r="L84" s="32" t="str">
        <f>VLOOKUP(Tabla3[[#This Row],[Site]],Table35[#All],2,FALSE)</f>
        <v>-</v>
      </c>
      <c r="M84" s="32" t="str">
        <f>VLOOKUP(Tabla3[[#This Row],[Site]],Table35[#All],3,FALSE)</f>
        <v>7, 14, 19</v>
      </c>
      <c r="N84" s="32" t="str">
        <f>VLOOKUP(Tabla3[[#This Row],[Site]],Table35[#All],4,FALSE)</f>
        <v>30, 31, 32</v>
      </c>
      <c r="O84" s="32" t="str">
        <f>VLOOKUP(Tabla3[[#This Row],[Site]],Table35[#All],5,FALSE)</f>
        <v>-</v>
      </c>
      <c r="P84" s="32" t="str">
        <f>VLOOKUP(Tabla3[[#This Row],[Site]],Table35[#All],6,FALSE)</f>
        <v>1, 4, 9, 13, 15, 16B, 25</v>
      </c>
      <c r="Q84" s="32" t="str">
        <f>VLOOKUP(Tabla3[[#This Row],[Site]],Table35[#All],8,FALSE)</f>
        <v>292</v>
      </c>
    </row>
    <row r="85" spans="1:17" hidden="1" x14ac:dyDescent="0.25">
      <c r="A85" t="str">
        <f>+Tabla3[[#This Row],[Site]]&amp;Tabla3[[#This Row],[Split]]</f>
        <v>(LT) Luther St. Cloud Subaru2</v>
      </c>
      <c r="B85">
        <v>2</v>
      </c>
      <c r="C85">
        <v>1</v>
      </c>
      <c r="D85" t="s">
        <v>127</v>
      </c>
      <c r="E85" t="str">
        <f>VLOOKUP(Tabla3[[#This Row],[Site]],Table35[],10,FALSE)</f>
        <v>10:00 P.M.</v>
      </c>
      <c r="F85" t="str">
        <f>VLOOKUP(Tabla3[[#This Row],[Site]],Table35[],11,FALSE)</f>
        <v>CT</v>
      </c>
      <c r="G85" t="str">
        <f>VLOOKUP(Tabla3[[#This Row],[Site]],Table35[],12,FALSE)</f>
        <v>5:30 A.M.</v>
      </c>
      <c r="H85" s="74" t="str">
        <f>HYPERLINK(VLOOKUP(Tabla3[[#This Row],[Site]],Table35[#All],9,FALSE))</f>
        <v>https://tools.sig.systems/site/details/295</v>
      </c>
      <c r="I85">
        <f>VLOOKUP(Tabla3[[#This Row],[Site]],Table35[],13,FALSE)</f>
        <v>0</v>
      </c>
      <c r="J85" t="str">
        <f>VLOOKUP(Tabla3[[#This Row],[Site]],Table35[],14,FALSE)</f>
        <v>-</v>
      </c>
      <c r="L85" s="32" t="str">
        <f>VLOOKUP(Tabla3[[#This Row],[Site]],Table35[#All],2,FALSE)</f>
        <v>25, 31</v>
      </c>
      <c r="M85" s="32" t="str">
        <f>VLOOKUP(Tabla3[[#This Row],[Site]],Table35[#All],3,FALSE)</f>
        <v>9, 13, 20</v>
      </c>
      <c r="N85" s="32" t="str">
        <f>VLOOKUP(Tabla3[[#This Row],[Site]],Table35[#All],4,FALSE)</f>
        <v>38, 39, 40, 41</v>
      </c>
      <c r="O85" s="32">
        <f>VLOOKUP(Tabla3[[#This Row],[Site]],Table35[#All],5,FALSE)</f>
        <v>27</v>
      </c>
      <c r="P85" s="32" t="str">
        <f>VLOOKUP(Tabla3[[#This Row],[Site]],Table35[#All],6,FALSE)</f>
        <v>2, 6, 8, 11, 14, 19, 23, 26</v>
      </c>
      <c r="Q85" s="32" t="str">
        <f>VLOOKUP(Tabla3[[#This Row],[Site]],Table35[#All],8,FALSE)</f>
        <v>295</v>
      </c>
    </row>
    <row r="86" spans="1:17" hidden="1" x14ac:dyDescent="0.25">
      <c r="A86" t="str">
        <f>+Tabla3[[#This Row],[Site]]&amp;Tabla3[[#This Row],[Split]]</f>
        <v>(ML) Joe Machens Hyundai2</v>
      </c>
      <c r="B86">
        <v>2</v>
      </c>
      <c r="C86">
        <v>1</v>
      </c>
      <c r="D86" t="s">
        <v>124</v>
      </c>
      <c r="E86" t="str">
        <f>VLOOKUP(Tabla3[[#This Row],[Site]],Table35[],10,FALSE)</f>
        <v>10:00 P.M.</v>
      </c>
      <c r="F86" t="str">
        <f>VLOOKUP(Tabla3[[#This Row],[Site]],Table35[],11,FALSE)</f>
        <v>CT</v>
      </c>
      <c r="G86" t="str">
        <f>VLOOKUP(Tabla3[[#This Row],[Site]],Table35[],12,FALSE)</f>
        <v>6:00 A.M.</v>
      </c>
      <c r="H86" s="74" t="str">
        <f>HYPERLINK(VLOOKUP(Tabla3[[#This Row],[Site]],Table35[#All],9,FALSE))</f>
        <v>https://tools.sig.systems/site/details/286</v>
      </c>
      <c r="I86" t="str">
        <f>VLOOKUP(Tabla3[[#This Row],[Site]],Table35[],13,FALSE)</f>
        <v>https://www.google.com/maps/d/viewer?hl=es&amp;mid=1C1oZdjH3dNvCvqdpIv_Lk0Yn1OCVn-4&amp;ll=38.965368114274455%2C-92.3405954&amp;z=15</v>
      </c>
      <c r="J86" t="str">
        <f>VLOOKUP(Tabla3[[#This Row],[Site]],Table35[],14,FALSE)</f>
        <v>-</v>
      </c>
      <c r="L86" s="32" t="str">
        <f>VLOOKUP(Tabla3[[#This Row],[Site]],Table35[#All],2,FALSE)</f>
        <v>-</v>
      </c>
      <c r="M86" s="32" t="str">
        <f>VLOOKUP(Tabla3[[#This Row],[Site]],Table35[#All],3,FALSE)</f>
        <v>3, 4, 14, 25</v>
      </c>
      <c r="N86" s="32" t="str">
        <f>VLOOKUP(Tabla3[[#This Row],[Site]],Table35[#All],4,FALSE)</f>
        <v>-</v>
      </c>
      <c r="O86" s="32">
        <f>VLOOKUP(Tabla3[[#This Row],[Site]],Table35[#All],5,FALSE)</f>
        <v>17</v>
      </c>
      <c r="P86" s="32" t="str">
        <f>VLOOKUP(Tabla3[[#This Row],[Site]],Table35[#All],6,FALSE)</f>
        <v>1, 11, 12, 13, 15</v>
      </c>
      <c r="Q86" s="32" t="str">
        <f>VLOOKUP(Tabla3[[#This Row],[Site]],Table35[#All],8,FALSE)</f>
        <v>286</v>
      </c>
    </row>
    <row r="87" spans="1:17" hidden="1" x14ac:dyDescent="0.25">
      <c r="A87" t="str">
        <f>+Tabla3[[#This Row],[Site]]&amp;Tabla3[[#This Row],[Split]]</f>
        <v>(PE) BMW Service Center (NO TOURS)2</v>
      </c>
      <c r="B87">
        <v>2</v>
      </c>
      <c r="C87">
        <v>1</v>
      </c>
      <c r="D87" t="s">
        <v>38</v>
      </c>
      <c r="E87" t="str">
        <f>VLOOKUP(Tabla3[[#This Row],[Site]],Table35[],10,FALSE)</f>
        <v>8:00 P.M.</v>
      </c>
      <c r="F87" t="str">
        <f>VLOOKUP(Tabla3[[#This Row],[Site]],Table35[],11,FALSE)</f>
        <v>ET</v>
      </c>
      <c r="G87" t="str">
        <f>VLOOKUP(Tabla3[[#This Row],[Site]],Table35[],12,FALSE)</f>
        <v>5:00 A.M.</v>
      </c>
      <c r="H87" s="74" t="str">
        <f>HYPERLINK(VLOOKUP(Tabla3[[#This Row],[Site]],Table35[#All],9,FALSE))</f>
        <v>https://tools.sig.systems/site/details/184</v>
      </c>
      <c r="I87" t="str">
        <f>VLOOKUP(Tabla3[[#This Row],[Site]],Table35[],13,FALSE)</f>
        <v>https://www.google.com/maps/d/edit?hl=en&amp;mid=1UHmt7tH1ihTa85i0MfQIcTfVvIQg_vM&amp;ll=41.02423447529239%2C-73.63721502222738&amp;z=18</v>
      </c>
      <c r="J87" t="str">
        <f>VLOOKUP(Tabla3[[#This Row],[Site]],Table35[],14,FALSE)</f>
        <v>-</v>
      </c>
      <c r="L87" s="32">
        <f>VLOOKUP(Tabla3[[#This Row],[Site]],Table35[#All],2,FALSE)</f>
        <v>3</v>
      </c>
      <c r="M87" s="32" t="str">
        <f>VLOOKUP(Tabla3[[#This Row],[Site]],Table35[#All],3,FALSE)</f>
        <v>-</v>
      </c>
      <c r="N87" s="32" t="str">
        <f>VLOOKUP(Tabla3[[#This Row],[Site]],Table35[#All],4,FALSE)</f>
        <v>-</v>
      </c>
      <c r="O87" s="32" t="str">
        <f>VLOOKUP(Tabla3[[#This Row],[Site]],Table35[#All],5,FALSE)</f>
        <v>-</v>
      </c>
      <c r="P87" s="32" t="str">
        <f>VLOOKUP(Tabla3[[#This Row],[Site]],Table35[#All],6,FALSE)</f>
        <v xml:space="preserve">1, 2 </v>
      </c>
      <c r="Q87" s="32" t="str">
        <f>VLOOKUP(Tabla3[[#This Row],[Site]],Table35[#All],8,FALSE)</f>
        <v>184</v>
      </c>
    </row>
    <row r="88" spans="1:17" hidden="1" x14ac:dyDescent="0.25">
      <c r="A88" t="str">
        <f>+Tabla3[[#This Row],[Site]]&amp;Tabla3[[#This Row],[Split]]</f>
        <v>(PE) JLR Darien (NO TOURS)2</v>
      </c>
      <c r="B88">
        <v>2</v>
      </c>
      <c r="C88">
        <v>1</v>
      </c>
      <c r="D88" t="s">
        <v>370</v>
      </c>
      <c r="E88" t="str">
        <f>VLOOKUP(Tabla3[[#This Row],[Site]],Table35[],10,FALSE)</f>
        <v>8:00 P.M.</v>
      </c>
      <c r="F88" t="str">
        <f>VLOOKUP(Tabla3[[#This Row],[Site]],Table35[],11,FALSE)</f>
        <v>ET</v>
      </c>
      <c r="G88" t="str">
        <f>VLOOKUP(Tabla3[[#This Row],[Site]],Table35[],12,FALSE)</f>
        <v>5:00 A.M.</v>
      </c>
      <c r="H88" s="74" t="str">
        <f>HYPERLINK(VLOOKUP(Tabla3[[#This Row],[Site]],Table35[#All],9,FALSE))</f>
        <v>https://tools.sig.systems/site/details/189</v>
      </c>
      <c r="I88" t="str">
        <f>VLOOKUP(Tabla3[[#This Row],[Site]],Table35[],13,FALSE)</f>
        <v>-</v>
      </c>
      <c r="J88" t="str">
        <f>VLOOKUP(Tabla3[[#This Row],[Site]],Table35[],14,FALSE)</f>
        <v>-</v>
      </c>
      <c r="L88" s="32" t="str">
        <f>VLOOKUP(Tabla3[[#This Row],[Site]],Table35[#All],2,FALSE)</f>
        <v>1, 13</v>
      </c>
      <c r="M88" s="32" t="str">
        <f>VLOOKUP(Tabla3[[#This Row],[Site]],Table35[#All],3,FALSE)</f>
        <v>-</v>
      </c>
      <c r="N88" s="32" t="str">
        <f>VLOOKUP(Tabla3[[#This Row],[Site]],Table35[#All],4,FALSE)</f>
        <v>-</v>
      </c>
      <c r="O88" s="32" t="str">
        <f>VLOOKUP(Tabla3[[#This Row],[Site]],Table35[#All],5,FALSE)</f>
        <v>-</v>
      </c>
      <c r="P88" s="32" t="str">
        <f>VLOOKUP(Tabla3[[#This Row],[Site]],Table35[#All],6,FALSE)</f>
        <v>-</v>
      </c>
      <c r="Q88" s="32" t="str">
        <f>VLOOKUP(Tabla3[[#This Row],[Site]],Table35[#All],8,FALSE)</f>
        <v>189</v>
      </c>
    </row>
    <row r="89" spans="1:17" hidden="1" x14ac:dyDescent="0.25">
      <c r="A89" t="str">
        <f>+Tabla3[[#This Row],[Site]]&amp;Tabla3[[#This Row],[Split]]</f>
        <v>(PE) JLR Paramus (NO TOURS)2</v>
      </c>
      <c r="B89">
        <v>2</v>
      </c>
      <c r="C89">
        <v>1</v>
      </c>
      <c r="D89" t="s">
        <v>210</v>
      </c>
      <c r="E89" t="str">
        <f>VLOOKUP(Tabla3[[#This Row],[Site]],Table35[],10,FALSE)</f>
        <v>8:00 P.M.</v>
      </c>
      <c r="F89" t="str">
        <f>VLOOKUP(Tabla3[[#This Row],[Site]],Table35[],11,FALSE)</f>
        <v>ET</v>
      </c>
      <c r="G89" t="str">
        <f>VLOOKUP(Tabla3[[#This Row],[Site]],Table35[],12,FALSE)</f>
        <v>5:00 A.M.</v>
      </c>
      <c r="H89" s="74" t="str">
        <f>HYPERLINK(VLOOKUP(Tabla3[[#This Row],[Site]],Table35[#All],9,FALSE))</f>
        <v>https://tools.sig.systems/site/details/177</v>
      </c>
      <c r="I89">
        <f>VLOOKUP(Tabla3[[#This Row],[Site]],Table35[],13,FALSE)</f>
        <v>0</v>
      </c>
      <c r="J89" t="str">
        <f>VLOOKUP(Tabla3[[#This Row],[Site]],Table35[],14,FALSE)</f>
        <v>-</v>
      </c>
      <c r="L89" s="32" t="str">
        <f>VLOOKUP(Tabla3[[#This Row],[Site]],Table35[#All],2,FALSE)</f>
        <v>1, 17</v>
      </c>
      <c r="M89" s="32" t="str">
        <f>VLOOKUP(Tabla3[[#This Row],[Site]],Table35[#All],3,FALSE)</f>
        <v>-</v>
      </c>
      <c r="N89" s="32" t="str">
        <f>VLOOKUP(Tabla3[[#This Row],[Site]],Table35[#All],4,FALSE)</f>
        <v>-</v>
      </c>
      <c r="O89" s="32" t="str">
        <f>VLOOKUP(Tabla3[[#This Row],[Site]],Table35[#All],5,FALSE)</f>
        <v>-</v>
      </c>
      <c r="P89" s="32" t="str">
        <f>VLOOKUP(Tabla3[[#This Row],[Site]],Table35[#All],6,FALSE)</f>
        <v>1, 17</v>
      </c>
      <c r="Q89" s="32" t="str">
        <f>VLOOKUP(Tabla3[[#This Row],[Site]],Table35[#All],8,FALSE)</f>
        <v>177</v>
      </c>
    </row>
    <row r="90" spans="1:17" hidden="1" x14ac:dyDescent="0.25">
      <c r="A90" t="str">
        <f>+Tabla3[[#This Row],[Site]]&amp;Tabla3[[#This Row],[Split]]</f>
        <v>(PE) MB of Greenwich2</v>
      </c>
      <c r="B90">
        <v>2</v>
      </c>
      <c r="C90">
        <v>1</v>
      </c>
      <c r="D90" t="s">
        <v>120</v>
      </c>
      <c r="E90" t="str">
        <f>VLOOKUP(Tabla3[[#This Row],[Site]],Table35[],10,FALSE)</f>
        <v>8:00 P.M.</v>
      </c>
      <c r="F90" t="str">
        <f>VLOOKUP(Tabla3[[#This Row],[Site]],Table35[],11,FALSE)</f>
        <v>ET</v>
      </c>
      <c r="G90" t="str">
        <f>VLOOKUP(Tabla3[[#This Row],[Site]],Table35[],12,FALSE)</f>
        <v>5:00 A.M.</v>
      </c>
      <c r="H90" s="74" t="str">
        <f>HYPERLINK(VLOOKUP(Tabla3[[#This Row],[Site]],Table35[#All],9,FALSE))</f>
        <v>https://tools.sig.systems/site/details/188</v>
      </c>
      <c r="I90" t="str">
        <f>VLOOKUP(Tabla3[[#This Row],[Site]],Table35[],13,FALSE)</f>
        <v>https://www.google.com/maps/d/edit?hl=en&amp;mid=1UHmt7tH1ihTa85i0MfQIcTfVvIQg_vM&amp;ll=41.02423447529239%2C-73.63721502222738&amp;z=18</v>
      </c>
      <c r="J90" t="str">
        <f>VLOOKUP(Tabla3[[#This Row],[Site]],Table35[],14,FALSE)</f>
        <v>-</v>
      </c>
      <c r="L90" s="32" t="str">
        <f>VLOOKUP(Tabla3[[#This Row],[Site]],Table35[#All],2,FALSE)</f>
        <v>1, 2, 8</v>
      </c>
      <c r="M90" s="32" t="str">
        <f>VLOOKUP(Tabla3[[#This Row],[Site]],Table35[#All],3,FALSE)</f>
        <v>13, 14, 20, 26, 40</v>
      </c>
      <c r="N90" s="32" t="str">
        <f>VLOOKUP(Tabla3[[#This Row],[Site]],Table35[#All],4,FALSE)</f>
        <v>-</v>
      </c>
      <c r="O90" s="32" t="str">
        <f>VLOOKUP(Tabla3[[#This Row],[Site]],Table35[#All],5,FALSE)</f>
        <v>-</v>
      </c>
      <c r="P90" s="32">
        <f>VLOOKUP(Tabla3[[#This Row],[Site]],Table35[#All],6,FALSE)</f>
        <v>29</v>
      </c>
      <c r="Q90" s="32" t="str">
        <f>VLOOKUP(Tabla3[[#This Row],[Site]],Table35[#All],8,FALSE)</f>
        <v>188</v>
      </c>
    </row>
    <row r="91" spans="1:17" hidden="1" x14ac:dyDescent="0.25">
      <c r="A91" t="str">
        <f>+Tabla3[[#This Row],[Site]]&amp;Tabla3[[#This Row],[Split]]</f>
        <v>(PE) Porsche Audi Fairfield (NO TOURS)2</v>
      </c>
      <c r="B91">
        <v>2</v>
      </c>
      <c r="C91">
        <v>1</v>
      </c>
      <c r="D91" t="s">
        <v>362</v>
      </c>
      <c r="E91" t="str">
        <f>VLOOKUP(Tabla3[[#This Row],[Site]],Table35[],10,FALSE)</f>
        <v>8:00 P.M.</v>
      </c>
      <c r="F91" t="str">
        <f>VLOOKUP(Tabla3[[#This Row],[Site]],Table35[],11,FALSE)</f>
        <v>ET</v>
      </c>
      <c r="G91" t="str">
        <f>VLOOKUP(Tabla3[[#This Row],[Site]],Table35[],12,FALSE)</f>
        <v>5:00 A.M.</v>
      </c>
      <c r="H91" s="74" t="str">
        <f>HYPERLINK(VLOOKUP(Tabla3[[#This Row],[Site]],Table35[#All],9,FALSE))</f>
        <v>https://tools.sig.systems/site/details/194</v>
      </c>
      <c r="I91">
        <f>VLOOKUP(Tabla3[[#This Row],[Site]],Table35[],13,FALSE)</f>
        <v>0</v>
      </c>
      <c r="J91" t="str">
        <f>VLOOKUP(Tabla3[[#This Row],[Site]],Table35[],14,FALSE)</f>
        <v>-</v>
      </c>
      <c r="L91" s="32" t="str">
        <f>VLOOKUP(Tabla3[[#This Row],[Site]],Table35[#All],2,FALSE)</f>
        <v>1, 18</v>
      </c>
      <c r="M91" s="32" t="str">
        <f>VLOOKUP(Tabla3[[#This Row],[Site]],Table35[#All],3,FALSE)</f>
        <v>-</v>
      </c>
      <c r="N91" s="32" t="str">
        <f>VLOOKUP(Tabla3[[#This Row],[Site]],Table35[#All],4,FALSE)</f>
        <v>-</v>
      </c>
      <c r="O91" s="32">
        <f>VLOOKUP(Tabla3[[#This Row],[Site]],Table35[#All],5,FALSE)</f>
        <v>20</v>
      </c>
      <c r="P91" s="32">
        <f>VLOOKUP(Tabla3[[#This Row],[Site]],Table35[#All],6,FALSE)</f>
        <v>15</v>
      </c>
      <c r="Q91" s="32" t="str">
        <f>VLOOKUP(Tabla3[[#This Row],[Site]],Table35[#All],8,FALSE)</f>
        <v>194</v>
      </c>
    </row>
    <row r="92" spans="1:17" hidden="1" x14ac:dyDescent="0.25">
      <c r="A92" t="str">
        <f>+Tabla3[[#This Row],[Site]]&amp;Tabla3[[#This Row],[Split]]</f>
        <v>Mario Residence2</v>
      </c>
      <c r="B92">
        <v>2</v>
      </c>
      <c r="C92">
        <v>1</v>
      </c>
      <c r="D92" t="s">
        <v>100</v>
      </c>
      <c r="E92" t="str">
        <f>VLOOKUP(Tabla3[[#This Row],[Site]],Table35[],10,FALSE)</f>
        <v>24H</v>
      </c>
      <c r="F92" t="str">
        <f>VLOOKUP(Tabla3[[#This Row],[Site]],Table35[],11,FALSE)</f>
        <v>ET</v>
      </c>
      <c r="G92" t="str">
        <f>VLOOKUP(Tabla3[[#This Row],[Site]],Table35[],12,FALSE)</f>
        <v>-</v>
      </c>
      <c r="H92" s="74" t="str">
        <f>HYPERLINK(VLOOKUP(Tabla3[[#This Row],[Site]],Table35[#All],9,FALSE))</f>
        <v>https://tools.sig.systems/site/details/148</v>
      </c>
      <c r="I92" t="str">
        <f>VLOOKUP(Tabla3[[#This Row],[Site]],Table35[],13,FALSE)</f>
        <v>https://www.google.com/maps/d/edit?hl=es&amp;mid=13OmECPqyeB7fXgZmEoM9cnG34HU_v5g&amp;ll=26.046837034777553%2C-80.38753458591658&amp;z=19</v>
      </c>
      <c r="J92" t="str">
        <f>VLOOKUP(Tabla3[[#This Row],[Site]],Table35[],14,FALSE)</f>
        <v>-</v>
      </c>
      <c r="L92" s="32" t="str">
        <f>VLOOKUP(Tabla3[[#This Row],[Site]],Table35[#All],2,FALSE)</f>
        <v>7, 8</v>
      </c>
      <c r="M92" s="32" t="str">
        <f>VLOOKUP(Tabla3[[#This Row],[Site]],Table35[#All],3,FALSE)</f>
        <v>7, 8</v>
      </c>
      <c r="N92" s="32" t="str">
        <f>VLOOKUP(Tabla3[[#This Row],[Site]],Table35[#All],4,FALSE)</f>
        <v>-</v>
      </c>
      <c r="O92" s="32" t="str">
        <f>VLOOKUP(Tabla3[[#This Row],[Site]],Table35[#All],5,FALSE)</f>
        <v>-</v>
      </c>
      <c r="P92" s="32" t="str">
        <f>VLOOKUP(Tabla3[[#This Row],[Site]],Table35[#All],6,FALSE)</f>
        <v>4,12,13</v>
      </c>
      <c r="Q92" s="32">
        <v>199</v>
      </c>
    </row>
    <row r="93" spans="1:17" hidden="1" x14ac:dyDescent="0.25">
      <c r="A93" t="str">
        <f>+Tabla3[[#This Row],[Site]]&amp;Tabla3[[#This Row],[Split]]</f>
        <v>(AS) Coggin BMW Ft. Pierce (NO TOURS)2</v>
      </c>
      <c r="B93">
        <v>2</v>
      </c>
      <c r="C93">
        <v>2</v>
      </c>
      <c r="D93" t="s">
        <v>121</v>
      </c>
      <c r="E93" t="str">
        <f>VLOOKUP(Tabla3[[#This Row],[Site]],Table35[],10,FALSE)</f>
        <v>9:00 P.M.</v>
      </c>
      <c r="F93" t="str">
        <f>VLOOKUP(Tabla3[[#This Row],[Site]],Table35[],11,FALSE)</f>
        <v>ET</v>
      </c>
      <c r="G93" t="str">
        <f>VLOOKUP(Tabla3[[#This Row],[Site]],Table35[],12,FALSE)</f>
        <v>5:00 A.M.</v>
      </c>
      <c r="H93" s="74" t="str">
        <f>HYPERLINK(VLOOKUP(Tabla3[[#This Row],[Site]],Table35[#All],9,FALSE))</f>
        <v>https://tools.sig.systems/site/details/119</v>
      </c>
      <c r="I93" t="str">
        <f>VLOOKUP(Tabla3[[#This Row],[Site]],Table35[],13,FALSE)</f>
        <v>https://www.google.com/maps/d/viewer?mid=1AyViBuyeq7iwDua1SVudJ2A1BYi3IBA&amp;ll=27.38181516363982%2C-80.32568845000002&amp;z=18</v>
      </c>
      <c r="J93" t="str">
        <f>VLOOKUP(Tabla3[[#This Row],[Site]],Table35[],14,FALSE)</f>
        <v>-</v>
      </c>
      <c r="L93" s="32" t="str">
        <f>VLOOKUP(Tabla3[[#This Row],[Site]],Table35[#All],2,FALSE)</f>
        <v>3, 10, 13</v>
      </c>
      <c r="M93" s="32" t="str">
        <f>VLOOKUP(Tabla3[[#This Row],[Site]],Table35[#All],3,FALSE)</f>
        <v>-</v>
      </c>
      <c r="N93" s="32" t="str">
        <f>VLOOKUP(Tabla3[[#This Row],[Site]],Table35[#All],4,FALSE)</f>
        <v>-</v>
      </c>
      <c r="O93" s="32">
        <f>VLOOKUP(Tabla3[[#This Row],[Site]],Table35[#All],5,FALSE)</f>
        <v>2</v>
      </c>
      <c r="P93" s="32" t="str">
        <f>VLOOKUP(Tabla3[[#This Row],[Site]],Table35[#All],6,FALSE)</f>
        <v>1, 20, 27</v>
      </c>
      <c r="Q93" s="32" t="str">
        <f>VLOOKUP(Tabla3[[#This Row],[Site]],Table35[#All],8,FALSE)</f>
        <v>119</v>
      </c>
    </row>
    <row r="94" spans="1:17" hidden="1" x14ac:dyDescent="0.25">
      <c r="A94" t="str">
        <f>+Tabla3[[#This Row],[Site]]&amp;Tabla3[[#This Row],[Split]]</f>
        <v>(AS) Coggin Collision Center of Kissimmee (NO TOURS)2</v>
      </c>
      <c r="B94">
        <v>2</v>
      </c>
      <c r="C94">
        <v>2</v>
      </c>
      <c r="D94" t="s">
        <v>285</v>
      </c>
      <c r="E94" t="str">
        <f>VLOOKUP(Tabla3[[#This Row],[Site]],Table35[],10,FALSE)</f>
        <v>9:00 P.M.</v>
      </c>
      <c r="F94" t="str">
        <f>VLOOKUP(Tabla3[[#This Row],[Site]],Table35[],11,FALSE)</f>
        <v>ET</v>
      </c>
      <c r="G94" t="str">
        <f>VLOOKUP(Tabla3[[#This Row],[Site]],Table35[],12,FALSE)</f>
        <v>5:00 A.M.</v>
      </c>
      <c r="H94" s="74" t="str">
        <f>HYPERLINK(VLOOKUP(Tabla3[[#This Row],[Site]],Table35[#All],9,FALSE))</f>
        <v>https://tools.sig.systems/site/details/331</v>
      </c>
      <c r="I94">
        <f>VLOOKUP(Tabla3[[#This Row],[Site]],Table35[],13,FALSE)</f>
        <v>0</v>
      </c>
      <c r="J94" t="str">
        <f>VLOOKUP(Tabla3[[#This Row],[Site]],Table35[],14,FALSE)</f>
        <v>-</v>
      </c>
      <c r="L94" s="32" t="str">
        <f>VLOOKUP(Tabla3[[#This Row],[Site]],Table35[#All],2,FALSE)</f>
        <v>1, 12</v>
      </c>
      <c r="M94" s="32" t="str">
        <f>VLOOKUP(Tabla3[[#This Row],[Site]],Table35[#All],3,FALSE)</f>
        <v>-</v>
      </c>
      <c r="N94" s="32" t="str">
        <f>VLOOKUP(Tabla3[[#This Row],[Site]],Table35[#All],4,FALSE)</f>
        <v>-</v>
      </c>
      <c r="O94" s="32" t="str">
        <f>VLOOKUP(Tabla3[[#This Row],[Site]],Table35[#All],5,FALSE)</f>
        <v>-</v>
      </c>
      <c r="P94" s="32" t="str">
        <f>VLOOKUP(Tabla3[[#This Row],[Site]],Table35[#All],6,FALSE)</f>
        <v>2, 7, 9</v>
      </c>
      <c r="Q94" s="32" t="str">
        <f>VLOOKUP(Tabla3[[#This Row],[Site]],Table35[#All],8,FALSE)</f>
        <v>331</v>
      </c>
    </row>
    <row r="95" spans="1:17" hidden="1" x14ac:dyDescent="0.25">
      <c r="A95" t="str">
        <f>+Tabla3[[#This Row],[Site]]&amp;Tabla3[[#This Row],[Split]]</f>
        <v>(AS) Coggin Honda of Orlando (NO TOURS)2</v>
      </c>
      <c r="B95">
        <v>2</v>
      </c>
      <c r="C95">
        <v>2</v>
      </c>
      <c r="D95" t="s">
        <v>375</v>
      </c>
      <c r="E95" t="str">
        <f>VLOOKUP(Tabla3[[#This Row],[Site]],Table35[],10,FALSE)</f>
        <v>9:00 P.M.</v>
      </c>
      <c r="F95" t="str">
        <f>VLOOKUP(Tabla3[[#This Row],[Site]],Table35[],11,FALSE)</f>
        <v>ET</v>
      </c>
      <c r="G95" t="str">
        <f>VLOOKUP(Tabla3[[#This Row],[Site]],Table35[],12,FALSE)</f>
        <v>5:00 A.M.</v>
      </c>
      <c r="H95" s="74" t="str">
        <f>HYPERLINK(VLOOKUP(Tabla3[[#This Row],[Site]],Table35[#All],9,FALSE))</f>
        <v>https://tools.sig.systems/site/details/324</v>
      </c>
      <c r="I95">
        <f>VLOOKUP(Tabla3[[#This Row],[Site]],Table35[],13,FALSE)</f>
        <v>0</v>
      </c>
      <c r="J95" t="str">
        <f>VLOOKUP(Tabla3[[#This Row],[Site]],Table35[],14,FALSE)</f>
        <v>11:00 A.M.</v>
      </c>
      <c r="L95" s="32" t="str">
        <f>VLOOKUP(Tabla3[[#This Row],[Site]],Table35[#All],2,FALSE)</f>
        <v>2, 10, 12B, 14, 38</v>
      </c>
      <c r="M95" s="32" t="str">
        <f>VLOOKUP(Tabla3[[#This Row],[Site]],Table35[#All],3,FALSE)</f>
        <v>-</v>
      </c>
      <c r="N95" s="32" t="str">
        <f>VLOOKUP(Tabla3[[#This Row],[Site]],Table35[#All],4,FALSE)</f>
        <v>-</v>
      </c>
      <c r="O95" s="32" t="str">
        <f>VLOOKUP(Tabla3[[#This Row],[Site]],Table35[#All],5,FALSE)</f>
        <v>12, 31</v>
      </c>
      <c r="P95" s="32" t="str">
        <f>VLOOKUP(Tabla3[[#This Row],[Site]],Table35[#All],6,FALSE)</f>
        <v>12B, 26, 37, 19</v>
      </c>
      <c r="Q95" s="32" t="str">
        <f>VLOOKUP(Tabla3[[#This Row],[Site]],Table35[#All],8,FALSE)</f>
        <v>324</v>
      </c>
    </row>
    <row r="96" spans="1:17" hidden="1" x14ac:dyDescent="0.25">
      <c r="A96" t="str">
        <f>+Tabla3[[#This Row],[Site]]&amp;Tabla3[[#This Row],[Split]]</f>
        <v>(AS) Hare Chevrolet (NO TOURS)2</v>
      </c>
      <c r="B96">
        <v>2</v>
      </c>
      <c r="C96">
        <v>2</v>
      </c>
      <c r="D96" t="s">
        <v>376</v>
      </c>
      <c r="E96" t="str">
        <f>VLOOKUP(Tabla3[[#This Row],[Site]],Table35[],10,FALSE)</f>
        <v>9:00 P.M.</v>
      </c>
      <c r="F96" t="str">
        <f>VLOOKUP(Tabla3[[#This Row],[Site]],Table35[],11,FALSE)</f>
        <v>ET</v>
      </c>
      <c r="G96" t="str">
        <f>VLOOKUP(Tabla3[[#This Row],[Site]],Table35[],12,FALSE)</f>
        <v>5:00 A.M.</v>
      </c>
      <c r="H96" s="74" t="str">
        <f>HYPERLINK(VLOOKUP(Tabla3[[#This Row],[Site]],Table35[#All],9,FALSE))</f>
        <v>https://tools.sig.systems/site/details/301</v>
      </c>
      <c r="I96" t="str">
        <f>VLOOKUP(Tabla3[[#This Row],[Site]],Table35[],13,FALSE)</f>
        <v>https://www.google.com/maps/d/edit?mid=1hsX5GGrNcCQgAuzDCDz1OWgEkhsAc78&amp;usp=sharing</v>
      </c>
      <c r="J96" t="str">
        <f>VLOOKUP(Tabla3[[#This Row],[Site]],Table35[],14,FALSE)</f>
        <v>-</v>
      </c>
      <c r="L96" s="32" t="str">
        <f>VLOOKUP(Tabla3[[#This Row],[Site]],Table35[#All],2,FALSE)</f>
        <v>18, 24</v>
      </c>
      <c r="M96" s="32" t="str">
        <f>VLOOKUP(Tabla3[[#This Row],[Site]],Table35[#All],3,FALSE)</f>
        <v>2, 3</v>
      </c>
      <c r="N96" s="32" t="str">
        <f>VLOOKUP(Tabla3[[#This Row],[Site]],Table35[#All],4,FALSE)</f>
        <v>-</v>
      </c>
      <c r="O96" s="32">
        <f>VLOOKUP(Tabla3[[#This Row],[Site]],Table35[#All],5,FALSE)</f>
        <v>5</v>
      </c>
      <c r="P96" s="32" t="str">
        <f>VLOOKUP(Tabla3[[#This Row],[Site]],Table35[#All],6,FALSE)</f>
        <v>1, 5, 7, 8, 21, 29</v>
      </c>
      <c r="Q96" s="32" t="str">
        <f>VLOOKUP(Tabla3[[#This Row],[Site]],Table35[#All],8,FALSE)</f>
        <v>301</v>
      </c>
    </row>
    <row r="97" spans="1:17" hidden="1" x14ac:dyDescent="0.25">
      <c r="A97" t="str">
        <f>+Tabla3[[#This Row],[Site]]&amp;Tabla3[[#This Row],[Split]]</f>
        <v>(AS) Kahlo CDJR (NO TOURS)2</v>
      </c>
      <c r="B97">
        <v>2</v>
      </c>
      <c r="C97">
        <v>2</v>
      </c>
      <c r="D97" t="s">
        <v>378</v>
      </c>
      <c r="E97" t="str">
        <f>VLOOKUP(Tabla3[[#This Row],[Site]],Table35[],10,FALSE)</f>
        <v>9:00 P.M.</v>
      </c>
      <c r="F97" t="str">
        <f>VLOOKUP(Tabla3[[#This Row],[Site]],Table35[],11,FALSE)</f>
        <v>ET</v>
      </c>
      <c r="G97" t="str">
        <f>VLOOKUP(Tabla3[[#This Row],[Site]],Table35[],12,FALSE)</f>
        <v>5:00 A.M.</v>
      </c>
      <c r="H97" s="74" t="str">
        <f>HYPERLINK(VLOOKUP(Tabla3[[#This Row],[Site]],Table35[#All],9,FALSE))</f>
        <v>https://tools.sig.systems/site/details/282</v>
      </c>
      <c r="I97" t="str">
        <f>VLOOKUP(Tabla3[[#This Row],[Site]],Table35[],13,FALSE)</f>
        <v>https://www.google.com/maps/d/edit?mid=1hsX5GGrNcCQgAuzDCDz1OWgEkhsAc78&amp;usp=sharing</v>
      </c>
      <c r="J97" t="str">
        <f>VLOOKUP(Tabla3[[#This Row],[Site]],Table35[],14,FALSE)</f>
        <v>-</v>
      </c>
      <c r="L97" s="32" t="str">
        <f>VLOOKUP(Tabla3[[#This Row],[Site]],Table35[#All],2,FALSE)</f>
        <v>-</v>
      </c>
      <c r="M97" s="32" t="str">
        <f>VLOOKUP(Tabla3[[#This Row],[Site]],Table35[#All],3,FALSE)</f>
        <v>12, 25</v>
      </c>
      <c r="N97" s="32" t="str">
        <f>VLOOKUP(Tabla3[[#This Row],[Site]],Table35[#All],4,FALSE)</f>
        <v>15, 16</v>
      </c>
      <c r="O97" s="32">
        <f>VLOOKUP(Tabla3[[#This Row],[Site]],Table35[#All],5,FALSE)</f>
        <v>20</v>
      </c>
      <c r="P97" s="32" t="str">
        <f>VLOOKUP(Tabla3[[#This Row],[Site]],Table35[#All],6,FALSE)</f>
        <v>1, 2, 9, 22, 31, 57</v>
      </c>
      <c r="Q97" s="32" t="str">
        <f>VLOOKUP(Tabla3[[#This Row],[Site]],Table35[#All],8,FALSE)</f>
        <v>282</v>
      </c>
    </row>
    <row r="98" spans="1:17" hidden="1" x14ac:dyDescent="0.25">
      <c r="A98" t="str">
        <f>+Tabla3[[#This Row],[Site]]&amp;Tabla3[[#This Row],[Split]]</f>
        <v>(AS) Koons Annapolis Toyota (NO TOURS)2</v>
      </c>
      <c r="B98">
        <v>2</v>
      </c>
      <c r="C98">
        <v>1</v>
      </c>
      <c r="D98" t="s">
        <v>446</v>
      </c>
      <c r="E98" t="str">
        <f>VLOOKUP(Tabla3[[#This Row],[Site]],Table35[],10,FALSE)</f>
        <v>9:00 P.M.</v>
      </c>
      <c r="F98" t="str">
        <f>VLOOKUP(Tabla3[[#This Row],[Site]],Table35[],11,FALSE)</f>
        <v>ET</v>
      </c>
      <c r="G98" t="str">
        <f>VLOOKUP(Tabla3[[#This Row],[Site]],Table35[],12,FALSE)</f>
        <v>5:00 A.M.</v>
      </c>
      <c r="H98" s="74" t="str">
        <f>HYPERLINK(VLOOKUP(Tabla3[[#This Row],[Site]],Table35[#All],9,FALSE))</f>
        <v>https://tools.sig.systems/site/details/337</v>
      </c>
      <c r="I98">
        <f>VLOOKUP(Tabla3[[#This Row],[Site]],Table35[],13,FALSE)</f>
        <v>0</v>
      </c>
      <c r="J98" t="str">
        <f>VLOOKUP(Tabla3[[#This Row],[Site]],Table35[],14,FALSE)</f>
        <v>-</v>
      </c>
      <c r="L98" s="32">
        <f>VLOOKUP(Tabla3[[#This Row],[Site]],Table35[#All],2,FALSE)</f>
        <v>6</v>
      </c>
      <c r="M98" s="32" t="str">
        <f>VLOOKUP(Tabla3[[#This Row],[Site]],Table35[#All],3,FALSE)</f>
        <v>1, 6, 21</v>
      </c>
      <c r="N98" s="32" t="str">
        <f>VLOOKUP(Tabla3[[#This Row],[Site]],Table35[#All],4,FALSE)</f>
        <v>-</v>
      </c>
      <c r="O98" s="32" t="str">
        <f>VLOOKUP(Tabla3[[#This Row],[Site]],Table35[#All],5,FALSE)</f>
        <v>-</v>
      </c>
      <c r="P98" s="32" t="str">
        <f>VLOOKUP(Tabla3[[#This Row],[Site]],Table35[#All],6,FALSE)</f>
        <v>3, 5, 7, 19</v>
      </c>
      <c r="Q98" s="32" t="str">
        <f>VLOOKUP(Tabla3[[#This Row],[Site]],Table35[#All],8,FALSE)</f>
        <v>337</v>
      </c>
    </row>
    <row r="99" spans="1:17" hidden="1" x14ac:dyDescent="0.25">
      <c r="A99" t="str">
        <f>+Tabla3[[#This Row],[Site]]&amp;Tabla3[[#This Row],[Split]]</f>
        <v>(AS) Koons Arlington Toyota - New Car (NO TOURS)2</v>
      </c>
      <c r="B99">
        <v>2</v>
      </c>
      <c r="C99">
        <v>2</v>
      </c>
      <c r="D99" t="s">
        <v>380</v>
      </c>
      <c r="E99" t="str">
        <f>VLOOKUP(Tabla3[[#This Row],[Site]],Table35[],10,FALSE)</f>
        <v>9:00 P.M.</v>
      </c>
      <c r="F99" t="str">
        <f>VLOOKUP(Tabla3[[#This Row],[Site]],Table35[],11,FALSE)</f>
        <v>ET</v>
      </c>
      <c r="G99" t="str">
        <f>VLOOKUP(Tabla3[[#This Row],[Site]],Table35[],12,FALSE)</f>
        <v>5:00 A.M.</v>
      </c>
      <c r="H99" s="74" t="str">
        <f>HYPERLINK(VLOOKUP(Tabla3[[#This Row],[Site]],Table35[#All],9,FALSE))</f>
        <v>https://tools.sig.systems/site/details/334</v>
      </c>
      <c r="I99">
        <f>VLOOKUP(Tabla3[[#This Row],[Site]],Table35[],13,FALSE)</f>
        <v>0</v>
      </c>
      <c r="J99" t="str">
        <f>VLOOKUP(Tabla3[[#This Row],[Site]],Table35[],14,FALSE)</f>
        <v>10:00 A.M.</v>
      </c>
      <c r="L99" s="32" t="str">
        <f>VLOOKUP(Tabla3[[#This Row],[Site]],Table35[#All],2,FALSE)</f>
        <v>-</v>
      </c>
      <c r="M99" s="32" t="str">
        <f>VLOOKUP(Tabla3[[#This Row],[Site]],Table35[#All],3,FALSE)</f>
        <v>1, 3, 12, 15, 17</v>
      </c>
      <c r="N99" s="32" t="str">
        <f>VLOOKUP(Tabla3[[#This Row],[Site]],Table35[#All],4,FALSE)</f>
        <v>-</v>
      </c>
      <c r="O99" s="32" t="str">
        <f>VLOOKUP(Tabla3[[#This Row],[Site]],Table35[#All],5,FALSE)</f>
        <v>-</v>
      </c>
      <c r="P99" s="32" t="str">
        <f>VLOOKUP(Tabla3[[#This Row],[Site]],Table35[#All],6,FALSE)</f>
        <v>2, 6, 18, 20</v>
      </c>
      <c r="Q99" s="32" t="str">
        <f>VLOOKUP(Tabla3[[#This Row],[Site]],Table35[#All],8,FALSE)</f>
        <v>334</v>
      </c>
    </row>
    <row r="100" spans="1:17" hidden="1" x14ac:dyDescent="0.25">
      <c r="A100" t="str">
        <f>+Tabla3[[#This Row],[Site]]&amp;Tabla3[[#This Row],[Split]]</f>
        <v>(AS) Koons Baltimore Ford - Main Dealership (NO TOURS)2</v>
      </c>
      <c r="B100">
        <v>2</v>
      </c>
      <c r="C100">
        <v>2</v>
      </c>
      <c r="D100" t="s">
        <v>351</v>
      </c>
      <c r="E100" t="str">
        <f>VLOOKUP(Tabla3[[#This Row],[Site]],Table35[],10,FALSE)</f>
        <v>9:00 P.M.</v>
      </c>
      <c r="F100" t="str">
        <f>VLOOKUP(Tabla3[[#This Row],[Site]],Table35[],11,FALSE)</f>
        <v>ET</v>
      </c>
      <c r="G100" t="str">
        <f>VLOOKUP(Tabla3[[#This Row],[Site]],Table35[],12,FALSE)</f>
        <v>5:00 A.M.</v>
      </c>
      <c r="H100" s="74" t="str">
        <f>HYPERLINK(VLOOKUP(Tabla3[[#This Row],[Site]],Table35[#All],9,FALSE))</f>
        <v>https://tools.sig.systems/site/details/335</v>
      </c>
      <c r="I100" t="str">
        <f>VLOOKUP(Tabla3[[#This Row],[Site]],Table35[],13,FALSE)</f>
        <v>-</v>
      </c>
      <c r="J100" t="str">
        <f>VLOOKUP(Tabla3[[#This Row],[Site]],Table35[],14,FALSE)</f>
        <v>-</v>
      </c>
      <c r="L100" s="32" t="str">
        <f>VLOOKUP(Tabla3[[#This Row],[Site]],Table35[#All],2,FALSE)</f>
        <v>21, 22, 24, 32, 45</v>
      </c>
      <c r="M100" s="32">
        <f>VLOOKUP(Tabla3[[#This Row],[Site]],Table35[#All],3,FALSE)</f>
        <v>1</v>
      </c>
      <c r="N100" s="32" t="str">
        <f>VLOOKUP(Tabla3[[#This Row],[Site]],Table35[#All],4,FALSE)</f>
        <v>-</v>
      </c>
      <c r="O100" s="32" t="str">
        <f>VLOOKUP(Tabla3[[#This Row],[Site]],Table35[#All],5,FALSE)</f>
        <v>1, 8</v>
      </c>
      <c r="P100" s="32" t="str">
        <f>VLOOKUP(Tabla3[[#This Row],[Site]],Table35[#All],6,FALSE)</f>
        <v>5, 28, 38</v>
      </c>
      <c r="Q100" s="32">
        <v>335</v>
      </c>
    </row>
    <row r="101" spans="1:17" hidden="1" x14ac:dyDescent="0.25">
      <c r="A101" t="str">
        <f>+Tabla3[[#This Row],[Site]]&amp;Tabla3[[#This Row],[Split]]</f>
        <v>(AS) Koons Chevrolet Buick GMC - Clarksville Remote Lot (NO TOURS)2</v>
      </c>
      <c r="B101">
        <v>2</v>
      </c>
      <c r="C101">
        <v>2</v>
      </c>
      <c r="D101" t="s">
        <v>415</v>
      </c>
      <c r="E101" t="str">
        <f>VLOOKUP(Tabla3[[#This Row],[Site]],Table35[],10,FALSE)</f>
        <v>9:00 P.M.</v>
      </c>
      <c r="F101" t="str">
        <f>VLOOKUP(Tabla3[[#This Row],[Site]],Table35[],11,FALSE)</f>
        <v>ET</v>
      </c>
      <c r="G101" t="str">
        <f>VLOOKUP(Tabla3[[#This Row],[Site]],Table35[],12,FALSE)</f>
        <v>5:00 A.M.</v>
      </c>
      <c r="H101" s="74" t="str">
        <f>HYPERLINK(VLOOKUP(Tabla3[[#This Row],[Site]],Table35[#All],9,FALSE))</f>
        <v>https://tools.sig.systems/site/details/308</v>
      </c>
      <c r="I101" t="str">
        <f>VLOOKUP(Tabla3[[#This Row],[Site]],Table35[],13,FALSE)</f>
        <v>https://www.google.com/maps/d/edit?hl=es&amp;mid=11XB1lTSP7EcDCDvzypdUPWP6bWCNAEI&amp;ll=39.21145022420528%2C-76.94003711910554&amp;z=21</v>
      </c>
      <c r="J101" t="str">
        <f>VLOOKUP(Tabla3[[#This Row],[Site]],Table35[],14,FALSE)</f>
        <v>10:00 A.M.</v>
      </c>
      <c r="L101" s="32" t="str">
        <f>VLOOKUP(Tabla3[[#This Row],[Site]],Table35[#All],2,FALSE)</f>
        <v>-</v>
      </c>
      <c r="M101" s="32" t="str">
        <f>VLOOKUP(Tabla3[[#This Row],[Site]],Table35[#All],3,FALSE)</f>
        <v>1, 5</v>
      </c>
      <c r="N101" s="32" t="str">
        <f>VLOOKUP(Tabla3[[#This Row],[Site]],Table35[#All],4,FALSE)</f>
        <v>-</v>
      </c>
      <c r="O101" s="32" t="str">
        <f>VLOOKUP(Tabla3[[#This Row],[Site]],Table35[#All],5,FALSE)</f>
        <v>-</v>
      </c>
      <c r="P101" s="32" t="str">
        <f>VLOOKUP(Tabla3[[#This Row],[Site]],Table35[#All],6,FALSE)</f>
        <v>14, 16</v>
      </c>
      <c r="Q101" s="32" t="str">
        <f>VLOOKUP(Tabla3[[#This Row],[Site]],Table35[#All],8,FALSE)</f>
        <v>308</v>
      </c>
    </row>
    <row r="102" spans="1:17" hidden="1" x14ac:dyDescent="0.25">
      <c r="A102" t="str">
        <f>+Tabla3[[#This Row],[Site]]&amp;Tabla3[[#This Row],[Split]]</f>
        <v>(AS) Koons Chevrolet Buick GMC - Tysons Remote Lot (NO TOURS)2</v>
      </c>
      <c r="B102">
        <v>2</v>
      </c>
      <c r="C102">
        <v>2</v>
      </c>
      <c r="D102" t="s">
        <v>385</v>
      </c>
      <c r="E102" t="str">
        <f>VLOOKUP(Tabla3[[#This Row],[Site]],Table35[],10,FALSE)</f>
        <v>9:00 P.M.</v>
      </c>
      <c r="F102" t="str">
        <f>VLOOKUP(Tabla3[[#This Row],[Site]],Table35[],11,FALSE)</f>
        <v>ET</v>
      </c>
      <c r="G102" t="str">
        <f>VLOOKUP(Tabla3[[#This Row],[Site]],Table35[],12,FALSE)</f>
        <v>5:00 A.M.</v>
      </c>
      <c r="H102" s="74" t="str">
        <f>HYPERLINK(VLOOKUP(Tabla3[[#This Row],[Site]],Table35[#All],9,FALSE))</f>
        <v>https://tools.sig.systems/site/details/333</v>
      </c>
      <c r="I102" t="str">
        <f>VLOOKUP(Tabla3[[#This Row],[Site]],Table35[],13,FALSE)</f>
        <v>-</v>
      </c>
      <c r="J102" t="str">
        <f>VLOOKUP(Tabla3[[#This Row],[Site]],Table35[],14,FALSE)</f>
        <v>-</v>
      </c>
      <c r="L102" s="32" t="str">
        <f>VLOOKUP(Tabla3[[#This Row],[Site]],Table35[#All],2,FALSE)</f>
        <v>-</v>
      </c>
      <c r="M102" s="32">
        <f>VLOOKUP(Tabla3[[#This Row],[Site]],Table35[#All],3,FALSE)</f>
        <v>6</v>
      </c>
      <c r="N102" s="32" t="str">
        <f>VLOOKUP(Tabla3[[#This Row],[Site]],Table35[#All],4,FALSE)</f>
        <v>1, 2, 3</v>
      </c>
      <c r="O102" s="32" t="str">
        <f>VLOOKUP(Tabla3[[#This Row],[Site]],Table35[#All],5,FALSE)</f>
        <v>7, 10, 16, 29</v>
      </c>
      <c r="P102" s="32" t="str">
        <f>VLOOKUP(Tabla3[[#This Row],[Site]],Table35[#All],6,FALSE)</f>
        <v>14, 17, 30</v>
      </c>
      <c r="Q102" s="32" t="str">
        <f>VLOOKUP(Tabla3[[#This Row],[Site]],Table35[#All],8,FALSE)</f>
        <v>333</v>
      </c>
    </row>
    <row r="103" spans="1:17" hidden="1" x14ac:dyDescent="0.25">
      <c r="A103" t="str">
        <f>+Tabla3[[#This Row],[Site]]&amp;Tabla3[[#This Row],[Split]]</f>
        <v>(AS) Koons Easton Toyota - Main Dealership (NO TOURS)2</v>
      </c>
      <c r="B103">
        <v>2</v>
      </c>
      <c r="C103">
        <v>2</v>
      </c>
      <c r="D103" t="s">
        <v>426</v>
      </c>
      <c r="E103" t="str">
        <f>VLOOKUP(Tabla3[[#This Row],[Site]],Table35[],10,FALSE)</f>
        <v>9:00 P.M.</v>
      </c>
      <c r="F103" t="str">
        <f>VLOOKUP(Tabla3[[#This Row],[Site]],Table35[],11,FALSE)</f>
        <v>ET</v>
      </c>
      <c r="G103" t="str">
        <f>VLOOKUP(Tabla3[[#This Row],[Site]],Table35[],12,FALSE)</f>
        <v>5:00 A.M.</v>
      </c>
      <c r="H103" s="74" t="str">
        <f>HYPERLINK(VLOOKUP(Tabla3[[#This Row],[Site]],Table35[#All],9,FALSE))</f>
        <v>https://tools.sig.systems/site/details/340</v>
      </c>
      <c r="I103" t="str">
        <f>VLOOKUP(Tabla3[[#This Row],[Site]],Table35[],13,FALSE)</f>
        <v>-</v>
      </c>
      <c r="J103" t="str">
        <f>VLOOKUP(Tabla3[[#This Row],[Site]],Table35[],14,FALSE)</f>
        <v>-</v>
      </c>
      <c r="L103" s="32" t="str">
        <f>VLOOKUP(Tabla3[[#This Row],[Site]],Table35[#All],2,FALSE)</f>
        <v>-</v>
      </c>
      <c r="M103" s="32" t="str">
        <f>VLOOKUP(Tabla3[[#This Row],[Site]],Table35[#All],3,FALSE)</f>
        <v>4, 5</v>
      </c>
      <c r="N103" s="32" t="str">
        <f>VLOOKUP(Tabla3[[#This Row],[Site]],Table35[#All],4,FALSE)</f>
        <v>-</v>
      </c>
      <c r="O103" s="32" t="str">
        <f>VLOOKUP(Tabla3[[#This Row],[Site]],Table35[#All],5,FALSE)</f>
        <v>-</v>
      </c>
      <c r="P103" s="32" t="str">
        <f>VLOOKUP(Tabla3[[#This Row],[Site]],Table35[#All],6,FALSE)</f>
        <v>8, 15</v>
      </c>
      <c r="Q103" s="32" t="str">
        <f>VLOOKUP(Tabla3[[#This Row],[Site]],Table35[#All],8,FALSE)</f>
        <v>340</v>
      </c>
    </row>
    <row r="104" spans="1:17" hidden="1" x14ac:dyDescent="0.25">
      <c r="A104" t="str">
        <f>+Tabla3[[#This Row],[Site]]&amp;Tabla3[[#This Row],[Split]]</f>
        <v>(AS) Koons Tysons Toyota - Main Dealership (NO TOURS)2</v>
      </c>
      <c r="B104">
        <v>2</v>
      </c>
      <c r="C104">
        <v>2</v>
      </c>
      <c r="D104" t="s">
        <v>432</v>
      </c>
      <c r="E104" t="str">
        <f>VLOOKUP(Tabla3[[#This Row],[Site]],Table35[],10,FALSE)</f>
        <v>9:00 P.M.</v>
      </c>
      <c r="F104" t="str">
        <f>VLOOKUP(Tabla3[[#This Row],[Site]],Table35[],11,FALSE)</f>
        <v>ET</v>
      </c>
      <c r="G104" t="str">
        <f>VLOOKUP(Tabla3[[#This Row],[Site]],Table35[],12,FALSE)</f>
        <v>5:00 A.M.</v>
      </c>
      <c r="H104" s="74" t="str">
        <f>HYPERLINK(VLOOKUP(Tabla3[[#This Row],[Site]],Table35[#All],9,FALSE))</f>
        <v>https://tools.sig.systems/site/details/344</v>
      </c>
      <c r="I104" t="str">
        <f>VLOOKUP(Tabla3[[#This Row],[Site]],Table35[],13,FALSE)</f>
        <v>-</v>
      </c>
      <c r="J104" t="str">
        <f>VLOOKUP(Tabla3[[#This Row],[Site]],Table35[],14,FALSE)</f>
        <v>-</v>
      </c>
      <c r="L104" s="32" t="str">
        <f>VLOOKUP(Tabla3[[#This Row],[Site]],Table35[#All],2,FALSE)</f>
        <v>-</v>
      </c>
      <c r="M104" s="32" t="str">
        <f>VLOOKUP(Tabla3[[#This Row],[Site]],Table35[#All],3,FALSE)</f>
        <v>1, 25</v>
      </c>
      <c r="N104" s="32" t="str">
        <f>VLOOKUP(Tabla3[[#This Row],[Site]],Table35[#All],4,FALSE)</f>
        <v>-</v>
      </c>
      <c r="O104" s="32" t="str">
        <f>VLOOKUP(Tabla3[[#This Row],[Site]],Table35[#All],5,FALSE)</f>
        <v>-</v>
      </c>
      <c r="P104" s="32" t="str">
        <f>VLOOKUP(Tabla3[[#This Row],[Site]],Table35[#All],6,FALSE)</f>
        <v>13, 22, 27</v>
      </c>
      <c r="Q104" s="32" t="str">
        <f>VLOOKUP(Tabla3[[#This Row],[Site]],Table35[#All],8,FALSE)</f>
        <v>344</v>
      </c>
    </row>
    <row r="105" spans="1:17" hidden="1" x14ac:dyDescent="0.25">
      <c r="A105" t="str">
        <f>+Tabla3[[#This Row],[Site]]&amp;Tabla3[[#This Row],[Split]]</f>
        <v>(AS) Koons Volvo Cars White Marsh (NO TOURS)2</v>
      </c>
      <c r="B105">
        <v>2</v>
      </c>
      <c r="C105">
        <v>2</v>
      </c>
      <c r="D105" t="s">
        <v>382</v>
      </c>
      <c r="E105" t="str">
        <f>VLOOKUP(Tabla3[[#This Row],[Site]],Table35[],10,FALSE)</f>
        <v>9:00 P.M.</v>
      </c>
      <c r="F105" t="str">
        <f>VLOOKUP(Tabla3[[#This Row],[Site]],Table35[],11,FALSE)</f>
        <v>ET</v>
      </c>
      <c r="G105" t="str">
        <f>VLOOKUP(Tabla3[[#This Row],[Site]],Table35[],12,FALSE)</f>
        <v>5:00 A.M.</v>
      </c>
      <c r="H105" s="74" t="str">
        <f>HYPERLINK(VLOOKUP(Tabla3[[#This Row],[Site]],Table35[#All],9,FALSE))</f>
        <v>https://tools.sig.systems/site/details/338</v>
      </c>
      <c r="I105">
        <f>VLOOKUP(Tabla3[[#This Row],[Site]],Table35[],13,FALSE)</f>
        <v>0</v>
      </c>
      <c r="J105" t="str">
        <f>VLOOKUP(Tabla3[[#This Row],[Site]],Table35[],14,FALSE)</f>
        <v>-</v>
      </c>
      <c r="L105" s="32" t="str">
        <f>VLOOKUP(Tabla3[[#This Row],[Site]],Table35[#All],2,FALSE)</f>
        <v>-</v>
      </c>
      <c r="M105" s="32" t="str">
        <f>VLOOKUP(Tabla3[[#This Row],[Site]],Table35[#All],3,FALSE)</f>
        <v>5, 7, 9</v>
      </c>
      <c r="N105" s="32" t="str">
        <f>VLOOKUP(Tabla3[[#This Row],[Site]],Table35[#All],4,FALSE)</f>
        <v>-</v>
      </c>
      <c r="O105" s="32" t="str">
        <f>VLOOKUP(Tabla3[[#This Row],[Site]],Table35[#All],5,FALSE)</f>
        <v>-</v>
      </c>
      <c r="P105" s="32" t="str">
        <f>VLOOKUP(Tabla3[[#This Row],[Site]],Table35[#All],6,FALSE)</f>
        <v>6, 10, 1</v>
      </c>
      <c r="Q105" s="32" t="str">
        <f>VLOOKUP(Tabla3[[#This Row],[Site]],Table35[#All],8,FALSE)</f>
        <v>338</v>
      </c>
    </row>
    <row r="106" spans="1:17" hidden="1" x14ac:dyDescent="0.25">
      <c r="A106" t="str">
        <f>+Tabla3[[#This Row],[Site]]&amp;Tabla3[[#This Row],[Split]]</f>
        <v>(AS) Koons Westminster Toyota (NO TOURS)2</v>
      </c>
      <c r="B106">
        <v>2</v>
      </c>
      <c r="C106">
        <v>2</v>
      </c>
      <c r="D106" t="s">
        <v>422</v>
      </c>
      <c r="E106" t="str">
        <f>VLOOKUP(Tabla3[[#This Row],[Site]],Table35[],10,FALSE)</f>
        <v>9:00 P.M.</v>
      </c>
      <c r="F106" t="str">
        <f>VLOOKUP(Tabla3[[#This Row],[Site]],Table35[],11,FALSE)</f>
        <v>ET</v>
      </c>
      <c r="G106" t="str">
        <f>VLOOKUP(Tabla3[[#This Row],[Site]],Table35[],12,FALSE)</f>
        <v>5:00 A.M.</v>
      </c>
      <c r="H106" s="74" t="str">
        <f>HYPERLINK(VLOOKUP(Tabla3[[#This Row],[Site]],Table35[#All],9,FALSE))</f>
        <v>https://tools.sig.systems/site/details/341</v>
      </c>
      <c r="I106" t="str">
        <f>VLOOKUP(Tabla3[[#This Row],[Site]],Table35[],13,FALSE)</f>
        <v>-</v>
      </c>
      <c r="J106" t="str">
        <f>VLOOKUP(Tabla3[[#This Row],[Site]],Table35[],14,FALSE)</f>
        <v>-</v>
      </c>
      <c r="L106" s="32" t="str">
        <f>VLOOKUP(Tabla3[[#This Row],[Site]],Table35[#All],2,FALSE)</f>
        <v>-</v>
      </c>
      <c r="M106" s="32" t="str">
        <f>VLOOKUP(Tabla3[[#This Row],[Site]],Table35[#All],3,FALSE)</f>
        <v>1, 7, 9, 18, 25</v>
      </c>
      <c r="N106" s="32" t="str">
        <f>VLOOKUP(Tabla3[[#This Row],[Site]],Table35[#All],4,FALSE)</f>
        <v>-</v>
      </c>
      <c r="O106" s="32" t="str">
        <f>VLOOKUP(Tabla3[[#This Row],[Site]],Table35[#All],5,FALSE)</f>
        <v>-</v>
      </c>
      <c r="P106" s="32" t="str">
        <f>VLOOKUP(Tabla3[[#This Row],[Site]],Table35[#All],6,FALSE)</f>
        <v>8, 14, 16</v>
      </c>
      <c r="Q106" s="32">
        <v>341</v>
      </c>
    </row>
    <row r="107" spans="1:17" hidden="1" x14ac:dyDescent="0.25">
      <c r="A107" t="str">
        <f>+Tabla3[[#This Row],[Site]]&amp;Tabla3[[#This Row],[Split]]</f>
        <v>(AS) Koons White Marsh Chevrolet (NO TOURS)2</v>
      </c>
      <c r="B107">
        <v>2</v>
      </c>
      <c r="C107">
        <v>2</v>
      </c>
      <c r="D107" t="s">
        <v>393</v>
      </c>
      <c r="E107" t="str">
        <f>VLOOKUP(Tabla3[[#This Row],[Site]],Table35[],10,FALSE)</f>
        <v>9:00 P.M.</v>
      </c>
      <c r="F107" t="str">
        <f>VLOOKUP(Tabla3[[#This Row],[Site]],Table35[],11,FALSE)</f>
        <v>ET</v>
      </c>
      <c r="G107" t="str">
        <f>VLOOKUP(Tabla3[[#This Row],[Site]],Table35[],12,FALSE)</f>
        <v>5:00 A.M.</v>
      </c>
      <c r="H107" s="74" t="str">
        <f>HYPERLINK(VLOOKUP(Tabla3[[#This Row],[Site]],Table35[#All],9,FALSE))</f>
        <v>https://tools.sig.systems/site/details/339</v>
      </c>
      <c r="I107" t="str">
        <f>VLOOKUP(Tabla3[[#This Row],[Site]],Table35[],13,FALSE)</f>
        <v>-</v>
      </c>
      <c r="J107" t="str">
        <f>VLOOKUP(Tabla3[[#This Row],[Site]],Table35[],14,FALSE)</f>
        <v>-</v>
      </c>
      <c r="L107" s="32">
        <f>VLOOKUP(Tabla3[[#This Row],[Site]],Table35[#All],2,FALSE)</f>
        <v>25</v>
      </c>
      <c r="M107" s="32">
        <f>VLOOKUP(Tabla3[[#This Row],[Site]],Table35[#All],3,FALSE)</f>
        <v>10</v>
      </c>
      <c r="N107" s="32" t="str">
        <f>VLOOKUP(Tabla3[[#This Row],[Site]],Table35[#All],4,FALSE)</f>
        <v>-</v>
      </c>
      <c r="O107" s="32" t="str">
        <f>VLOOKUP(Tabla3[[#This Row],[Site]],Table35[#All],5,FALSE)</f>
        <v>-</v>
      </c>
      <c r="P107" s="32">
        <f>VLOOKUP(Tabla3[[#This Row],[Site]],Table35[#All],6,FALSE)</f>
        <v>12</v>
      </c>
      <c r="Q107" s="32" t="str">
        <f>VLOOKUP(Tabla3[[#This Row],[Site]],Table35[#All],8,FALSE)</f>
        <v>339</v>
      </c>
    </row>
    <row r="108" spans="1:17" hidden="1" x14ac:dyDescent="0.25">
      <c r="A108" t="str">
        <f>+Tabla3[[#This Row],[Site]]&amp;Tabla3[[#This Row],[Split]]</f>
        <v>(AS) Koons Woodbridge Ford (NO TOURS)2</v>
      </c>
      <c r="B108">
        <v>2</v>
      </c>
      <c r="C108">
        <v>2</v>
      </c>
      <c r="D108" t="s">
        <v>384</v>
      </c>
      <c r="E108" t="str">
        <f>VLOOKUP(Tabla3[[#This Row],[Site]],Table35[],10,FALSE)</f>
        <v>9:00 P.M.</v>
      </c>
      <c r="F108" t="str">
        <f>VLOOKUP(Tabla3[[#This Row],[Site]],Table35[],11,FALSE)</f>
        <v>ET</v>
      </c>
      <c r="G108" t="str">
        <f>VLOOKUP(Tabla3[[#This Row],[Site]],Table35[],12,FALSE)</f>
        <v>5:00 A.M.</v>
      </c>
      <c r="H108" s="74" t="str">
        <f>HYPERLINK(VLOOKUP(Tabla3[[#This Row],[Site]],Table35[#All],9,FALSE))</f>
        <v>https://tools.sig.systems/site/details/342</v>
      </c>
      <c r="I108">
        <f>VLOOKUP(Tabla3[[#This Row],[Site]],Table35[],13,FALSE)</f>
        <v>0</v>
      </c>
      <c r="J108" t="str">
        <f>VLOOKUP(Tabla3[[#This Row],[Site]],Table35[],14,FALSE)</f>
        <v>9:00 A.M.</v>
      </c>
      <c r="L108" s="32" t="str">
        <f>VLOOKUP(Tabla3[[#This Row],[Site]],Table35[#All],2,FALSE)</f>
        <v>-</v>
      </c>
      <c r="M108" s="32" t="str">
        <f>VLOOKUP(Tabla3[[#This Row],[Site]],Table35[#All],3,FALSE)</f>
        <v>3, 24, 26, 27, 31, 36</v>
      </c>
      <c r="N108" s="32" t="str">
        <f>VLOOKUP(Tabla3[[#This Row],[Site]],Table35[#All],4,FALSE)</f>
        <v>-</v>
      </c>
      <c r="O108" s="32" t="str">
        <f>VLOOKUP(Tabla3[[#This Row],[Site]],Table35[#All],5,FALSE)</f>
        <v>-</v>
      </c>
      <c r="P108" s="32" t="str">
        <f>VLOOKUP(Tabla3[[#This Row],[Site]],Table35[#All],6,FALSE)</f>
        <v>13, 26, 29</v>
      </c>
      <c r="Q108" s="32" t="str">
        <f>VLOOKUP(Tabla3[[#This Row],[Site]],Table35[#All],8,FALSE)</f>
        <v>342</v>
      </c>
    </row>
    <row r="109" spans="1:17" hidden="1" x14ac:dyDescent="0.25">
      <c r="A109" t="str">
        <f>+Tabla3[[#This Row],[Site]]&amp;Tabla3[[#This Row],[Split]]</f>
        <v>(AS) Koons Woodbridge Hyundai (NO TOURS)2</v>
      </c>
      <c r="B109">
        <v>2</v>
      </c>
      <c r="C109">
        <v>2</v>
      </c>
      <c r="D109" t="s">
        <v>406</v>
      </c>
      <c r="E109" t="str">
        <f>VLOOKUP(Tabla3[[#This Row],[Site]],Table35[],10,FALSE)</f>
        <v>9:00 P.M.</v>
      </c>
      <c r="F109" t="str">
        <f>VLOOKUP(Tabla3[[#This Row],[Site]],Table35[],11,FALSE)</f>
        <v>ET</v>
      </c>
      <c r="G109" t="str">
        <f>VLOOKUP(Tabla3[[#This Row],[Site]],Table35[],12,FALSE)</f>
        <v>5:00 A.M.</v>
      </c>
      <c r="H109" s="74" t="str">
        <f>HYPERLINK(VLOOKUP(Tabla3[[#This Row],[Site]],Table35[#All],9,FALSE))</f>
        <v>https://tools.sig.systems/site/details/347</v>
      </c>
      <c r="I109" t="str">
        <f>VLOOKUP(Tabla3[[#This Row],[Site]],Table35[],13,FALSE)</f>
        <v>-</v>
      </c>
      <c r="J109" t="str">
        <f>VLOOKUP(Tabla3[[#This Row],[Site]],Table35[],14,FALSE)</f>
        <v>8:00 A.M.</v>
      </c>
      <c r="L109" s="32" t="str">
        <f>VLOOKUP(Tabla3[[#This Row],[Site]],Table35[#All],2,FALSE)</f>
        <v>-</v>
      </c>
      <c r="M109" s="32" t="str">
        <f>VLOOKUP(Tabla3[[#This Row],[Site]],Table35[#All],3,FALSE)</f>
        <v>1, 17</v>
      </c>
      <c r="N109" s="32" t="str">
        <f>VLOOKUP(Tabla3[[#This Row],[Site]],Table35[#All],4,FALSE)</f>
        <v>-</v>
      </c>
      <c r="O109" s="32" t="str">
        <f>VLOOKUP(Tabla3[[#This Row],[Site]],Table35[#All],5,FALSE)</f>
        <v>-</v>
      </c>
      <c r="P109" s="32" t="str">
        <f>VLOOKUP(Tabla3[[#This Row],[Site]],Table35[#All],6,FALSE)</f>
        <v>4, 14, 22</v>
      </c>
      <c r="Q109" s="32" t="str">
        <f>VLOOKUP(Tabla3[[#This Row],[Site]],Table35[#All],8,FALSE)</f>
        <v>347</v>
      </c>
    </row>
    <row r="110" spans="1:17" hidden="1" x14ac:dyDescent="0.25">
      <c r="A110" t="str">
        <f>+Tabla3[[#This Row],[Site]]&amp;Tabla3[[#This Row],[Split]]</f>
        <v>(AS) Larry H Miller CDJR Fiat (NO TOURS)2</v>
      </c>
      <c r="B110">
        <v>2</v>
      </c>
      <c r="C110">
        <v>2</v>
      </c>
      <c r="D110" t="s">
        <v>215</v>
      </c>
      <c r="E110" t="str">
        <f>VLOOKUP(Tabla3[[#This Row],[Site]],Table35[],10,FALSE)</f>
        <v>11:00 P.M.</v>
      </c>
      <c r="F110" t="str">
        <f>VLOOKUP(Tabla3[[#This Row],[Site]],Table35[],11,FALSE)</f>
        <v>MT</v>
      </c>
      <c r="G110" t="str">
        <f>VLOOKUP(Tabla3[[#This Row],[Site]],Table35[],12,FALSE)</f>
        <v>7:00 A.M.</v>
      </c>
      <c r="H110" s="74" t="str">
        <f>HYPERLINK(VLOOKUP(Tabla3[[#This Row],[Site]],Table35[#All],9,FALSE))</f>
        <v>https://tools.sig.systems/site/details/298</v>
      </c>
      <c r="I110">
        <f>VLOOKUP(Tabla3[[#This Row],[Site]],Table35[],13,FALSE)</f>
        <v>0</v>
      </c>
      <c r="J110" t="str">
        <f>VLOOKUP(Tabla3[[#This Row],[Site]],Table35[],14,FALSE)</f>
        <v>-</v>
      </c>
      <c r="L110" s="32" t="str">
        <f>VLOOKUP(Tabla3[[#This Row],[Site]],Table35[#All],2,FALSE)</f>
        <v>7, 11</v>
      </c>
      <c r="M110" s="32" t="str">
        <f>VLOOKUP(Tabla3[[#This Row],[Site]],Table35[#All],3,FALSE)</f>
        <v>2, 3</v>
      </c>
      <c r="N110" s="32" t="str">
        <f>VLOOKUP(Tabla3[[#This Row],[Site]],Table35[#All],4,FALSE)</f>
        <v>-</v>
      </c>
      <c r="O110" s="32" t="str">
        <f>VLOOKUP(Tabla3[[#This Row],[Site]],Table35[#All],5,FALSE)</f>
        <v>-</v>
      </c>
      <c r="P110" s="32" t="str">
        <f>VLOOKUP(Tabla3[[#This Row],[Site]],Table35[#All],6,FALSE)</f>
        <v xml:space="preserve">2, 6, 10, 15, 18 </v>
      </c>
      <c r="Q110" s="32" t="str">
        <f>VLOOKUP(Tabla3[[#This Row],[Site]],Table35[#All],8,FALSE)</f>
        <v>298</v>
      </c>
    </row>
    <row r="111" spans="1:17" hidden="1" x14ac:dyDescent="0.25">
      <c r="A111" t="str">
        <f>+Tabla3[[#This Row],[Site]]&amp;Tabla3[[#This Row],[Split]]</f>
        <v>(BRL) Shoemakersville2</v>
      </c>
      <c r="B111">
        <v>2</v>
      </c>
      <c r="C111">
        <v>2</v>
      </c>
      <c r="D111" t="s">
        <v>119</v>
      </c>
      <c r="E111" t="str">
        <f>VLOOKUP(Tabla3[[#This Row],[Site]],Table35[],10,FALSE)</f>
        <v>24H</v>
      </c>
      <c r="F111" t="str">
        <f>VLOOKUP(Tabla3[[#This Row],[Site]],Table35[],11,FALSE)</f>
        <v>ET</v>
      </c>
      <c r="G111" t="str">
        <f>VLOOKUP(Tabla3[[#This Row],[Site]],Table35[],12,FALSE)</f>
        <v>-</v>
      </c>
      <c r="H111" s="74" t="str">
        <f>HYPERLINK(VLOOKUP(Tabla3[[#This Row],[Site]],Table35[#All],9,FALSE))</f>
        <v>https://tools.sig.systems/site/details/302</v>
      </c>
      <c r="I111">
        <f>VLOOKUP(Tabla3[[#This Row],[Site]],Table35[],13,FALSE)</f>
        <v>0</v>
      </c>
      <c r="J111" t="str">
        <f>VLOOKUP(Tabla3[[#This Row],[Site]],Table35[],14,FALSE)</f>
        <v>-</v>
      </c>
      <c r="L111" s="32" t="str">
        <f>VLOOKUP(Tabla3[[#This Row],[Site]],Table35[#All],2,FALSE)</f>
        <v>-</v>
      </c>
      <c r="M111" s="32" t="str">
        <f>VLOOKUP(Tabla3[[#This Row],[Site]],Table35[#All],3,FALSE)</f>
        <v>8, 11</v>
      </c>
      <c r="N111" s="32" t="str">
        <f>VLOOKUP(Tabla3[[#This Row],[Site]],Table35[#All],4,FALSE)</f>
        <v>-</v>
      </c>
      <c r="O111" s="32" t="str">
        <f>VLOOKUP(Tabla3[[#This Row],[Site]],Table35[#All],5,FALSE)</f>
        <v>1, 6, 13A, 15, 18A</v>
      </c>
      <c r="P111" s="32" t="str">
        <f>VLOOKUP(Tabla3[[#This Row],[Site]],Table35[#All],6,FALSE)</f>
        <v>13B, 23</v>
      </c>
      <c r="Q111" s="32" t="str">
        <f>VLOOKUP(Tabla3[[#This Row],[Site]],Table35[#All],8,FALSE)</f>
        <v>302</v>
      </c>
    </row>
    <row r="112" spans="1:17" hidden="1" x14ac:dyDescent="0.25">
      <c r="A112" t="str">
        <f>+Tabla3[[#This Row],[Site]]&amp;Tabla3[[#This Row],[Split]]</f>
        <v>(DT) Arlington2</v>
      </c>
      <c r="B112">
        <v>2</v>
      </c>
      <c r="C112">
        <v>2</v>
      </c>
      <c r="D112" t="s">
        <v>18</v>
      </c>
      <c r="E112" t="str">
        <f>VLOOKUP(Tabla3[[#This Row],[Site]],Table35[],10,FALSE)</f>
        <v>10:00 P.M.</v>
      </c>
      <c r="F112" t="str">
        <f>VLOOKUP(Tabla3[[#This Row],[Site]],Table35[],11,FALSE)</f>
        <v>CT</v>
      </c>
      <c r="G112" t="str">
        <f>VLOOKUP(Tabla3[[#This Row],[Site]],Table35[],12,FALSE)</f>
        <v>6:00 A.M.</v>
      </c>
      <c r="H112" s="74" t="str">
        <f>HYPERLINK(VLOOKUP(Tabla3[[#This Row],[Site]],Table35[#All],9,FALSE))</f>
        <v>https://tools.sig.systems/site/details/199</v>
      </c>
      <c r="I112">
        <f>VLOOKUP(Tabla3[[#This Row],[Site]],Table35[],13,FALSE)</f>
        <v>0</v>
      </c>
      <c r="J112" t="str">
        <f>VLOOKUP(Tabla3[[#This Row],[Site]],Table35[],14,FALSE)</f>
        <v>-</v>
      </c>
      <c r="L112" s="32">
        <f>VLOOKUP(Tabla3[[#This Row],[Site]],Table35[#All],2,FALSE)</f>
        <v>8</v>
      </c>
      <c r="M112" s="32">
        <f>VLOOKUP(Tabla3[[#This Row],[Site]],Table35[#All],3,FALSE)</f>
        <v>3</v>
      </c>
      <c r="N112" s="32" t="str">
        <f>VLOOKUP(Tabla3[[#This Row],[Site]],Table35[#All],4,FALSE)</f>
        <v>-</v>
      </c>
      <c r="O112" s="32" t="str">
        <f>VLOOKUP(Tabla3[[#This Row],[Site]],Table35[#All],5,FALSE)</f>
        <v>-</v>
      </c>
      <c r="P112" s="32" t="str">
        <f>VLOOKUP(Tabla3[[#This Row],[Site]],Table35[#All],6,FALSE)</f>
        <v>3, 8, 9</v>
      </c>
      <c r="Q112" s="32">
        <v>334</v>
      </c>
    </row>
    <row r="113" spans="1:17" hidden="1" x14ac:dyDescent="0.25">
      <c r="A113" t="str">
        <f>+Tabla3[[#This Row],[Site]]&amp;Tabla3[[#This Row],[Split]]</f>
        <v>(KG) Big Star Cadillac2</v>
      </c>
      <c r="B113">
        <v>2</v>
      </c>
      <c r="C113">
        <v>2</v>
      </c>
      <c r="D113" t="s">
        <v>237</v>
      </c>
      <c r="E113" t="str">
        <f>VLOOKUP(Tabla3[[#This Row],[Site]],Table35[],10,FALSE)</f>
        <v>10:00 P.M.</v>
      </c>
      <c r="F113" t="str">
        <f>VLOOKUP(Tabla3[[#This Row],[Site]],Table35[],11,FALSE)</f>
        <v>CT</v>
      </c>
      <c r="G113" t="str">
        <f>VLOOKUP(Tabla3[[#This Row],[Site]],Table35[],12,FALSE)</f>
        <v>6:00 A.M.</v>
      </c>
      <c r="H113" s="74" t="str">
        <f>HYPERLINK(VLOOKUP(Tabla3[[#This Row],[Site]],Table35[#All],9,FALSE))</f>
        <v>https://tools.sig.systems/site/details/316</v>
      </c>
      <c r="I113" t="str">
        <f>VLOOKUP(Tabla3[[#This Row],[Site]],Table35[],13,FALSE)</f>
        <v>https://www.google.com/maps/d/edit?mid=1jIRkMUnWNPuTgDjQgDP-f33LClT85NU&amp;usp=sharing</v>
      </c>
      <c r="J113" t="str">
        <f>VLOOKUP(Tabla3[[#This Row],[Site]],Table35[],14,FALSE)</f>
        <v>-</v>
      </c>
      <c r="L113" s="32" t="str">
        <f>VLOOKUP(Tabla3[[#This Row],[Site]],Table35[#All],2,FALSE)</f>
        <v>1, 4, 16</v>
      </c>
      <c r="M113" s="32" t="str">
        <f>VLOOKUP(Tabla3[[#This Row],[Site]],Table35[#All],3,FALSE)</f>
        <v>-</v>
      </c>
      <c r="N113" s="32" t="str">
        <f>VLOOKUP(Tabla3[[#This Row],[Site]],Table35[#All],4,FALSE)</f>
        <v>-</v>
      </c>
      <c r="O113" s="32" t="str">
        <f>VLOOKUP(Tabla3[[#This Row],[Site]],Table35[#All],5,FALSE)</f>
        <v>-</v>
      </c>
      <c r="P113" s="32" t="str">
        <f>VLOOKUP(Tabla3[[#This Row],[Site]],Table35[#All],6,FALSE)</f>
        <v>15, 16, 19, 20</v>
      </c>
      <c r="Q113" s="32" t="str">
        <f>VLOOKUP(Tabla3[[#This Row],[Site]],Table35[#All],8,FALSE)</f>
        <v>316</v>
      </c>
    </row>
    <row r="114" spans="1:17" hidden="1" x14ac:dyDescent="0.25">
      <c r="A114" t="str">
        <f>+Tabla3[[#This Row],[Site]]&amp;Tabla3[[#This Row],[Split]]</f>
        <v>(KG) Ken Garff Kia of Avondale2</v>
      </c>
      <c r="B114">
        <v>2</v>
      </c>
      <c r="C114">
        <v>2</v>
      </c>
      <c r="D114" t="s">
        <v>297</v>
      </c>
      <c r="E114" t="str">
        <f>VLOOKUP(Tabla3[[#This Row],[Site]],Table35[],10,FALSE)</f>
        <v>12:00 A.M.</v>
      </c>
      <c r="F114" t="str">
        <f>VLOOKUP(Tabla3[[#This Row],[Site]],Table35[],11,FALSE)</f>
        <v>MST</v>
      </c>
      <c r="G114" t="str">
        <f>VLOOKUP(Tabla3[[#This Row],[Site]],Table35[],12,FALSE)</f>
        <v>8:00 A.M.</v>
      </c>
      <c r="H114" s="74" t="str">
        <f>HYPERLINK(VLOOKUP(Tabla3[[#This Row],[Site]],Table35[#All],9,FALSE))</f>
        <v>https://tools.sig.systems/site/details/283</v>
      </c>
      <c r="I114" t="str">
        <f>VLOOKUP(Tabla3[[#This Row],[Site]],Table35[],13,FALSE)</f>
        <v>https://www.google.com/maps/d/viewer?mid=1bDs0QGFZwL3vEeGKxjVMk_j4azr0-lg&amp;ll=33.4593758581648%2C-112.28793780000001&amp;z=18</v>
      </c>
      <c r="J114" t="str">
        <f>VLOOKUP(Tabla3[[#This Row],[Site]],Table35[],14,FALSE)</f>
        <v>12:00 P.M.</v>
      </c>
      <c r="L114" s="32" t="str">
        <f>VLOOKUP(Tabla3[[#This Row],[Site]],Table35[#All],2,FALSE)</f>
        <v>5, 19</v>
      </c>
      <c r="M114" s="32" t="str">
        <f>VLOOKUP(Tabla3[[#This Row],[Site]],Table35[#All],3,FALSE)</f>
        <v>-</v>
      </c>
      <c r="N114" s="32" t="str">
        <f>VLOOKUP(Tabla3[[#This Row],[Site]],Table35[#All],4,FALSE)</f>
        <v>-</v>
      </c>
      <c r="O114" s="32" t="str">
        <f>VLOOKUP(Tabla3[[#This Row],[Site]],Table35[#All],5,FALSE)</f>
        <v>3, 5</v>
      </c>
      <c r="P114" s="32" t="str">
        <f>VLOOKUP(Tabla3[[#This Row],[Site]],Table35[#All],6,FALSE)</f>
        <v>1, 6, 7, 12, 15, 17, 21</v>
      </c>
      <c r="Q114" s="32" t="str">
        <f>VLOOKUP(Tabla3[[#This Row],[Site]],Table35[#All],8,FALSE)</f>
        <v>283</v>
      </c>
    </row>
    <row r="115" spans="1:17" hidden="1" x14ac:dyDescent="0.25">
      <c r="A115" t="str">
        <f>+Tabla3[[#This Row],[Site]]&amp;Tabla3[[#This Row],[Split]]</f>
        <v>(LT) Luther Bloomington Subaru - Acura2</v>
      </c>
      <c r="B115">
        <v>2</v>
      </c>
      <c r="C115">
        <v>2</v>
      </c>
      <c r="D115" t="s">
        <v>123</v>
      </c>
      <c r="E115" t="str">
        <f>VLOOKUP(Tabla3[[#This Row],[Site]],Table35[],10,FALSE)</f>
        <v>9:30 P.M.</v>
      </c>
      <c r="F115" t="str">
        <f>VLOOKUP(Tabla3[[#This Row],[Site]],Table35[],11,FALSE)</f>
        <v>CT</v>
      </c>
      <c r="G115" t="str">
        <f>VLOOKUP(Tabla3[[#This Row],[Site]],Table35[],12,FALSE)</f>
        <v>4:00 A.M.</v>
      </c>
      <c r="H115" s="74" t="str">
        <f>HYPERLINK(VLOOKUP(Tabla3[[#This Row],[Site]],Table35[#All],9,FALSE))</f>
        <v>https://tools.sig.systems/site/details/289</v>
      </c>
      <c r="I115">
        <f>VLOOKUP(Tabla3[[#This Row],[Site]],Table35[],13,FALSE)</f>
        <v>0</v>
      </c>
      <c r="J115" t="str">
        <f>VLOOKUP(Tabla3[[#This Row],[Site]],Table35[],14,FALSE)</f>
        <v>-</v>
      </c>
      <c r="L115" s="32">
        <f>VLOOKUP(Tabla3[[#This Row],[Site]],Table35[#All],2,FALSE)</f>
        <v>29</v>
      </c>
      <c r="M115" s="32" t="str">
        <f>VLOOKUP(Tabla3[[#This Row],[Site]],Table35[#All],3,FALSE)</f>
        <v>5, 8, 33</v>
      </c>
      <c r="N115" s="32" t="str">
        <f>VLOOKUP(Tabla3[[#This Row],[Site]],Table35[#All],4,FALSE)</f>
        <v>4, 7, 35</v>
      </c>
      <c r="O115" s="32" t="str">
        <f>VLOOKUP(Tabla3[[#This Row],[Site]],Table35[#All],5,FALSE)</f>
        <v>-</v>
      </c>
      <c r="P115" s="32" t="str">
        <f>VLOOKUP(Tabla3[[#This Row],[Site]],Table35[#All],6,FALSE)</f>
        <v xml:space="preserve">1, 2, 14, 24, 34  </v>
      </c>
      <c r="Q115" s="32" t="str">
        <f>VLOOKUP(Tabla3[[#This Row],[Site]],Table35[#All],8,FALSE)</f>
        <v>289</v>
      </c>
    </row>
    <row r="116" spans="1:17" hidden="1" x14ac:dyDescent="0.25">
      <c r="A116" t="str">
        <f>+Tabla3[[#This Row],[Site]]&amp;Tabla3[[#This Row],[Split]]</f>
        <v>(LT) Luther Brookdale Honda (NO TOURS)2</v>
      </c>
      <c r="B116">
        <v>2</v>
      </c>
      <c r="C116">
        <v>2</v>
      </c>
      <c r="D116" t="s">
        <v>271</v>
      </c>
      <c r="E116" t="str">
        <f>VLOOKUP(Tabla3[[#This Row],[Site]],Table35[],10,FALSE)</f>
        <v>10:00 P.M.</v>
      </c>
      <c r="F116" t="str">
        <f>VLOOKUP(Tabla3[[#This Row],[Site]],Table35[],11,FALSE)</f>
        <v>CT</v>
      </c>
      <c r="G116" t="str">
        <f>VLOOKUP(Tabla3[[#This Row],[Site]],Table35[],12,FALSE)</f>
        <v>6:00 A.M.</v>
      </c>
      <c r="H116" s="74" t="str">
        <f>HYPERLINK(VLOOKUP(Tabla3[[#This Row],[Site]],Table35[#All],9,FALSE))</f>
        <v>https://tools.sig.systems/site/details/280</v>
      </c>
      <c r="I116" t="str">
        <f>VLOOKUP(Tabla3[[#This Row],[Site]],Table35[],13,FALSE)</f>
        <v>https://www.google.com/maps/d/viewer?mid=1ot0ILX76JMuvd9yMuqkb4_e0yH1n7TA&amp;ll=45.07815812965141%2C-93.33506855000002&amp;z=17</v>
      </c>
      <c r="J116" t="str">
        <f>VLOOKUP(Tabla3[[#This Row],[Site]],Table35[],14,FALSE)</f>
        <v>-</v>
      </c>
      <c r="L116" s="32" t="str">
        <f>VLOOKUP(Tabla3[[#This Row],[Site]],Table35[#All],2,FALSE)</f>
        <v>-</v>
      </c>
      <c r="M116" s="32" t="str">
        <f>VLOOKUP(Tabla3[[#This Row],[Site]],Table35[#All],3,FALSE)</f>
        <v>1, 21</v>
      </c>
      <c r="N116" s="32" t="str">
        <f>VLOOKUP(Tabla3[[#This Row],[Site]],Table35[#All],4,FALSE)</f>
        <v>38, 39, 40</v>
      </c>
      <c r="O116" s="32" t="str">
        <f>VLOOKUP(Tabla3[[#This Row],[Site]],Table35[#All],5,FALSE)</f>
        <v>2, 10, 19</v>
      </c>
      <c r="P116" s="32" t="str">
        <f>VLOOKUP(Tabla3[[#This Row],[Site]],Table35[#All],6,FALSE)</f>
        <v>4, 5, 7, 11, 13, 20, 24, 36</v>
      </c>
      <c r="Q116" s="32" t="str">
        <f>VLOOKUP(Tabla3[[#This Row],[Site]],Table35[#All],8,FALSE)</f>
        <v>280</v>
      </c>
    </row>
    <row r="117" spans="1:17" hidden="1" x14ac:dyDescent="0.25">
      <c r="A117" t="str">
        <f>+Tabla3[[#This Row],[Site]]&amp;Tabla3[[#This Row],[Split]]</f>
        <v>(LT) Luther Genesis of Minneapolis2</v>
      </c>
      <c r="B117">
        <v>2</v>
      </c>
      <c r="C117">
        <v>2</v>
      </c>
      <c r="D117" t="s">
        <v>260</v>
      </c>
      <c r="E117" t="str">
        <f>VLOOKUP(Tabla3[[#This Row],[Site]],Table35[],10,FALSE)</f>
        <v>10:00 P.M.</v>
      </c>
      <c r="F117" t="str">
        <f>VLOOKUP(Tabla3[[#This Row],[Site]],Table35[],11,FALSE)</f>
        <v>CT</v>
      </c>
      <c r="G117" t="str">
        <f>VLOOKUP(Tabla3[[#This Row],[Site]],Table35[],12,FALSE)</f>
        <v>6:00 A.M.</v>
      </c>
      <c r="H117" s="74" t="str">
        <f>HYPERLINK(VLOOKUP(Tabla3[[#This Row],[Site]],Table35[#All],9,FALSE))</f>
        <v>https://tools.sig.systems/site/details/315</v>
      </c>
      <c r="I117">
        <f>VLOOKUP(Tabla3[[#This Row],[Site]],Table35[],13,FALSE)</f>
        <v>0</v>
      </c>
      <c r="J117" t="str">
        <f>VLOOKUP(Tabla3[[#This Row],[Site]],Table35[],14,FALSE)</f>
        <v>-</v>
      </c>
      <c r="L117" s="32" t="str">
        <f>VLOOKUP(Tabla3[[#This Row],[Site]],Table35[#All],2,FALSE)</f>
        <v>-</v>
      </c>
      <c r="M117" s="32" t="str">
        <f>VLOOKUP(Tabla3[[#This Row],[Site]],Table35[#All],3,FALSE)</f>
        <v>1,2,3,18</v>
      </c>
      <c r="N117" s="32" t="str">
        <f>VLOOKUP(Tabla3[[#This Row],[Site]],Table35[#All],4,FALSE)</f>
        <v>-</v>
      </c>
      <c r="O117" s="32" t="str">
        <f>VLOOKUP(Tabla3[[#This Row],[Site]],Table35[#All],5,FALSE)</f>
        <v>-</v>
      </c>
      <c r="P117" s="32" t="str">
        <f>VLOOKUP(Tabla3[[#This Row],[Site]],Table35[#All],6,FALSE)</f>
        <v>1,2,3,5,16,18</v>
      </c>
      <c r="Q117" s="32" t="str">
        <f>VLOOKUP(Tabla3[[#This Row],[Site]],Table35[#All],8,FALSE)</f>
        <v>315</v>
      </c>
    </row>
    <row r="118" spans="1:17" hidden="1" x14ac:dyDescent="0.25">
      <c r="A118" t="str">
        <f>+Tabla3[[#This Row],[Site]]&amp;Tabla3[[#This Row],[Split]]</f>
        <v>(LT) Luther Landers Recon Center2</v>
      </c>
      <c r="B118">
        <v>2</v>
      </c>
      <c r="C118">
        <v>2</v>
      </c>
      <c r="D118" t="s">
        <v>253</v>
      </c>
      <c r="E118" t="str">
        <f>VLOOKUP(Tabla3[[#This Row],[Site]],Table35[],10,FALSE)</f>
        <v>10:00 P.M.</v>
      </c>
      <c r="F118" t="str">
        <f>VLOOKUP(Tabla3[[#This Row],[Site]],Table35[],11,FALSE)</f>
        <v>CT</v>
      </c>
      <c r="G118" t="str">
        <f>VLOOKUP(Tabla3[[#This Row],[Site]],Table35[],12,FALSE)</f>
        <v>6:00 A.M.</v>
      </c>
      <c r="H118" s="74" t="str">
        <f>HYPERLINK(VLOOKUP(Tabla3[[#This Row],[Site]],Table35[#All],9,FALSE))</f>
        <v>https://tools.sig.systems/site/details/323</v>
      </c>
      <c r="I118" t="str">
        <f>VLOOKUP(Tabla3[[#This Row],[Site]],Table35[],13,FALSE)</f>
        <v>https://www.google.com/maps/d/u/1/edit?mid=1-zEzsc6U6nZom08edp0XAd3_HYFvAyk&amp;usp=sharing</v>
      </c>
      <c r="J118" t="str">
        <f>VLOOKUP(Tabla3[[#This Row],[Site]],Table35[],14,FALSE)</f>
        <v>-</v>
      </c>
      <c r="L118" s="32" t="str">
        <f>VLOOKUP(Tabla3[[#This Row],[Site]],Table35[#All],2,FALSE)</f>
        <v>2, 4</v>
      </c>
      <c r="M118" s="32" t="str">
        <f>VLOOKUP(Tabla3[[#This Row],[Site]],Table35[#All],3,FALSE)</f>
        <v>-</v>
      </c>
      <c r="N118" s="32" t="str">
        <f>VLOOKUP(Tabla3[[#This Row],[Site]],Table35[#All],4,FALSE)</f>
        <v>-</v>
      </c>
      <c r="O118" s="32" t="str">
        <f>VLOOKUP(Tabla3[[#This Row],[Site]],Table35[#All],5,FALSE)</f>
        <v>-</v>
      </c>
      <c r="P118" s="32" t="str">
        <f>VLOOKUP(Tabla3[[#This Row],[Site]],Table35[#All],6,FALSE)</f>
        <v>3, 9, 11</v>
      </c>
      <c r="Q118" s="32" t="str">
        <f>VLOOKUP(Tabla3[[#This Row],[Site]],Table35[#All],8,FALSE)</f>
        <v>323</v>
      </c>
    </row>
    <row r="119" spans="1:17" hidden="1" x14ac:dyDescent="0.25">
      <c r="A119" t="str">
        <f>+Tabla3[[#This Row],[Site]]&amp;Tabla3[[#This Row],[Split]]</f>
        <v>(PE) JLR Englewood (NO TOURS)2</v>
      </c>
      <c r="B119">
        <v>2</v>
      </c>
      <c r="C119">
        <v>2</v>
      </c>
      <c r="D119" t="s">
        <v>216</v>
      </c>
      <c r="E119" t="str">
        <f>VLOOKUP(Tabla3[[#This Row],[Site]],Table35[],10,FALSE)</f>
        <v>8:00 P.M.</v>
      </c>
      <c r="F119" t="str">
        <f>VLOOKUP(Tabla3[[#This Row],[Site]],Table35[],11,FALSE)</f>
        <v>ET</v>
      </c>
      <c r="G119" t="str">
        <f>VLOOKUP(Tabla3[[#This Row],[Site]],Table35[],12,FALSE)</f>
        <v>5:00 A.M.</v>
      </c>
      <c r="H119" s="74" t="str">
        <f>HYPERLINK(VLOOKUP(Tabla3[[#This Row],[Site]],Table35[#All],9,FALSE))</f>
        <v>https://tools.sig.systems/site/details/178</v>
      </c>
      <c r="I119" t="str">
        <f>VLOOKUP(Tabla3[[#This Row],[Site]],Table35[],13,FALSE)</f>
        <v>https://www.google.com/maps/d/viewer?mid=1ubI2iKs1JyYXssuT4oLPnVvFnyLPi_s&amp;ll=40.878808846788026%2C-73.98560655&amp;z=17</v>
      </c>
      <c r="J119" t="str">
        <f>VLOOKUP(Tabla3[[#This Row],[Site]],Table35[],14,FALSE)</f>
        <v>-</v>
      </c>
      <c r="L119" s="32" t="str">
        <f>VLOOKUP(Tabla3[[#This Row],[Site]],Table35[#All],2,FALSE)</f>
        <v>1, 2</v>
      </c>
      <c r="M119" s="32" t="str">
        <f>VLOOKUP(Tabla3[[#This Row],[Site]],Table35[#All],3,FALSE)</f>
        <v>-</v>
      </c>
      <c r="N119" s="32" t="str">
        <f>VLOOKUP(Tabla3[[#This Row],[Site]],Table35[#All],4,FALSE)</f>
        <v>-</v>
      </c>
      <c r="O119" s="32" t="str">
        <f>VLOOKUP(Tabla3[[#This Row],[Site]],Table35[#All],5,FALSE)</f>
        <v>-</v>
      </c>
      <c r="P119" s="32" t="str">
        <f>VLOOKUP(Tabla3[[#This Row],[Site]],Table35[#All],6,FALSE)</f>
        <v>-</v>
      </c>
      <c r="Q119" s="32" t="str">
        <f>VLOOKUP(Tabla3[[#This Row],[Site]],Table35[#All],8,FALSE)</f>
        <v>178</v>
      </c>
    </row>
    <row r="120" spans="1:17" hidden="1" x14ac:dyDescent="0.25">
      <c r="A120" t="str">
        <f>+Tabla3[[#This Row],[Site]]&amp;Tabla3[[#This Row],[Split]]</f>
        <v>(SCH) Schumacher of Delray I &amp; III2</v>
      </c>
      <c r="B120">
        <v>2</v>
      </c>
      <c r="C120">
        <v>2</v>
      </c>
      <c r="D120" t="s">
        <v>387</v>
      </c>
      <c r="E120" t="str">
        <f>VLOOKUP(Tabla3[[#This Row],[Site]],Table35[],10,FALSE)</f>
        <v>9:00 P.M.</v>
      </c>
      <c r="F120" t="str">
        <f>VLOOKUP(Tabla3[[#This Row],[Site]],Table35[],11,FALSE)</f>
        <v>ET</v>
      </c>
      <c r="G120" t="str">
        <f>VLOOKUP(Tabla3[[#This Row],[Site]],Table35[],12,FALSE)</f>
        <v>5:00 A.M.</v>
      </c>
      <c r="H120" s="74" t="str">
        <f>HYPERLINK(VLOOKUP(Tabla3[[#This Row],[Site]],Table35[#All],9,FALSE))</f>
        <v>https://tools.sig.systems/site/details/159</v>
      </c>
      <c r="I120" t="str">
        <f>VLOOKUP(Tabla3[[#This Row],[Site]],Table35[],13,FALSE)</f>
        <v>https://www.google.com/maps/d/viewer?mid=1ZLGV-cDM9aCfovhmXHIAXgVOKts0dEI&amp;ll=26.438859950088858%2C-80.07968125000001&amp;z=16</v>
      </c>
      <c r="J120" t="str">
        <f>VLOOKUP(Tabla3[[#This Row],[Site]],Table35[],14,FALSE)</f>
        <v>11:00 A.M.</v>
      </c>
      <c r="L120" s="32" t="str">
        <f>VLOOKUP(Tabla3[[#This Row],[Site]],Table35[#All],2,FALSE)</f>
        <v>11, 21, 22, 57, 69</v>
      </c>
      <c r="M120" s="32" t="str">
        <f>VLOOKUP(Tabla3[[#This Row],[Site]],Table35[#All],3,FALSE)</f>
        <v>2, 16, 46</v>
      </c>
      <c r="N120" s="32" t="str">
        <f>VLOOKUP(Tabla3[[#This Row],[Site]],Table35[#All],4,FALSE)</f>
        <v>-</v>
      </c>
      <c r="O120" s="32" t="str">
        <f>VLOOKUP(Tabla3[[#This Row],[Site]],Table35[#All],5,FALSE)</f>
        <v>-</v>
      </c>
      <c r="P120" s="32" t="str">
        <f>VLOOKUP(Tabla3[[#This Row],[Site]],Table35[#All],6,FALSE)</f>
        <v>24, 39</v>
      </c>
      <c r="Q120" s="32" t="str">
        <f>VLOOKUP(Tabla3[[#This Row],[Site]],Table35[#All],8,FALSE)</f>
        <v>159</v>
      </c>
    </row>
    <row r="121" spans="1:17" hidden="1" x14ac:dyDescent="0.25">
      <c r="A121" t="str">
        <f>+Tabla3[[#This Row],[Site]]&amp;Tabla3[[#This Row],[Split]]</f>
        <v>(TC) Lamborghini South Dade2</v>
      </c>
      <c r="B121">
        <v>2</v>
      </c>
      <c r="C121">
        <v>2</v>
      </c>
      <c r="D121" t="s">
        <v>234</v>
      </c>
      <c r="E121" t="str">
        <f>VLOOKUP(Tabla3[[#This Row],[Site]],Table35[],10,FALSE)</f>
        <v>9:00 P.M.</v>
      </c>
      <c r="F121" t="str">
        <f>VLOOKUP(Tabla3[[#This Row],[Site]],Table35[],11,FALSE)</f>
        <v>ET</v>
      </c>
      <c r="G121" t="str">
        <f>VLOOKUP(Tabla3[[#This Row],[Site]],Table35[],12,FALSE)</f>
        <v>5:00 A.M.</v>
      </c>
      <c r="H121" s="74" t="str">
        <f>HYPERLINK(VLOOKUP(Tabla3[[#This Row],[Site]],Table35[#All],9,FALSE))</f>
        <v>https://tools.sig.systems/site/details/313</v>
      </c>
      <c r="I121">
        <f>VLOOKUP(Tabla3[[#This Row],[Site]],Table35[],13,FALSE)</f>
        <v>0</v>
      </c>
      <c r="J121" t="str">
        <f>VLOOKUP(Tabla3[[#This Row],[Site]],Table35[],14,FALSE)</f>
        <v>-</v>
      </c>
      <c r="L121" s="32" t="str">
        <f>VLOOKUP(Tabla3[[#This Row],[Site]],Table35[#All],2,FALSE)</f>
        <v>-</v>
      </c>
      <c r="M121" s="32" t="str">
        <f>VLOOKUP(Tabla3[[#This Row],[Site]],Table35[#All],3,FALSE)</f>
        <v>9, 11</v>
      </c>
      <c r="N121" s="32" t="str">
        <f>VLOOKUP(Tabla3[[#This Row],[Site]],Table35[#All],4,FALSE)</f>
        <v>-</v>
      </c>
      <c r="O121" s="32" t="str">
        <f>VLOOKUP(Tabla3[[#This Row],[Site]],Table35[#All],5,FALSE)</f>
        <v>-</v>
      </c>
      <c r="P121" s="32" t="str">
        <f>VLOOKUP(Tabla3[[#This Row],[Site]],Table35[#All],6,FALSE)</f>
        <v>-</v>
      </c>
      <c r="Q121" s="32" t="str">
        <f>VLOOKUP(Tabla3[[#This Row],[Site]],Table35[#All],8,FALSE)</f>
        <v>313</v>
      </c>
    </row>
    <row r="122" spans="1:17" hidden="1" x14ac:dyDescent="0.25">
      <c r="A122" t="str">
        <f>+Tabla3[[#This Row],[Site]]&amp;Tabla3[[#This Row],[Split]]</f>
        <v>(AS) Coggin BMW Ft. Pierce (NO TOURS)3</v>
      </c>
      <c r="B122">
        <v>3</v>
      </c>
      <c r="C122">
        <v>1</v>
      </c>
      <c r="D122" t="s">
        <v>121</v>
      </c>
      <c r="E122" t="str">
        <f>VLOOKUP(Tabla3[[#This Row],[Site]],Table35[],10,FALSE)</f>
        <v>9:00 P.M.</v>
      </c>
      <c r="F122" t="str">
        <f>VLOOKUP(Tabla3[[#This Row],[Site]],Table35[],11,FALSE)</f>
        <v>ET</v>
      </c>
      <c r="G122" t="str">
        <f>VLOOKUP(Tabla3[[#This Row],[Site]],Table35[],12,FALSE)</f>
        <v>5:00 A.M.</v>
      </c>
      <c r="H122" s="74" t="str">
        <f>HYPERLINK(VLOOKUP(Tabla3[[#This Row],[Site]],Table35[#All],9,FALSE))</f>
        <v>https://tools.sig.systems/site/details/119</v>
      </c>
      <c r="I122" t="str">
        <f>VLOOKUP(Tabla3[[#This Row],[Site]],Table35[],13,FALSE)</f>
        <v>https://www.google.com/maps/d/viewer?mid=1AyViBuyeq7iwDua1SVudJ2A1BYi3IBA&amp;ll=27.38181516363982%2C-80.32568845000002&amp;z=18</v>
      </c>
      <c r="J122" t="str">
        <f>VLOOKUP(Tabla3[[#This Row],[Site]],Table35[],14,FALSE)</f>
        <v>-</v>
      </c>
      <c r="L122" s="32" t="str">
        <f>VLOOKUP(Tabla3[[#This Row],[Site]],Table35[#All],2,FALSE)</f>
        <v>3, 10, 13</v>
      </c>
      <c r="M122" s="32" t="str">
        <f>VLOOKUP(Tabla3[[#This Row],[Site]],Table35[#All],3,FALSE)</f>
        <v>-</v>
      </c>
      <c r="N122" s="32" t="str">
        <f>VLOOKUP(Tabla3[[#This Row],[Site]],Table35[#All],4,FALSE)</f>
        <v>-</v>
      </c>
      <c r="O122" s="32">
        <f>VLOOKUP(Tabla3[[#This Row],[Site]],Table35[#All],5,FALSE)</f>
        <v>2</v>
      </c>
      <c r="P122" s="32" t="str">
        <f>VLOOKUP(Tabla3[[#This Row],[Site]],Table35[#All],6,FALSE)</f>
        <v>1, 20, 27</v>
      </c>
      <c r="Q122" s="32" t="str">
        <f>VLOOKUP(Tabla3[[#This Row],[Site]],Table35[#All],8,FALSE)</f>
        <v>119</v>
      </c>
    </row>
    <row r="123" spans="1:17" hidden="1" x14ac:dyDescent="0.25">
      <c r="A123" t="str">
        <f>+Tabla3[[#This Row],[Site]]&amp;Tabla3[[#This Row],[Split]]</f>
        <v>(AS) Koons Annapolis Toyota (NO TOURS)3</v>
      </c>
      <c r="B123">
        <v>3</v>
      </c>
      <c r="C123">
        <v>1</v>
      </c>
      <c r="D123" t="s">
        <v>446</v>
      </c>
      <c r="E123" t="str">
        <f>VLOOKUP(Tabla3[[#This Row],[Site]],Table35[],10,FALSE)</f>
        <v>9:00 P.M.</v>
      </c>
      <c r="F123" t="str">
        <f>VLOOKUP(Tabla3[[#This Row],[Site]],Table35[],11,FALSE)</f>
        <v>ET</v>
      </c>
      <c r="G123" t="str">
        <f>VLOOKUP(Tabla3[[#This Row],[Site]],Table35[],12,FALSE)</f>
        <v>5:00 A.M.</v>
      </c>
      <c r="H123" s="74" t="str">
        <f>HYPERLINK(VLOOKUP(Tabla3[[#This Row],[Site]],Table35[#All],9,FALSE))</f>
        <v>https://tools.sig.systems/site/details/337</v>
      </c>
      <c r="I123">
        <f>VLOOKUP(Tabla3[[#This Row],[Site]],Table35[],13,FALSE)</f>
        <v>0</v>
      </c>
      <c r="J123" t="str">
        <f>VLOOKUP(Tabla3[[#This Row],[Site]],Table35[],14,FALSE)</f>
        <v>-</v>
      </c>
      <c r="L123" s="32">
        <f>VLOOKUP(Tabla3[[#This Row],[Site]],Table35[#All],2,FALSE)</f>
        <v>6</v>
      </c>
      <c r="M123" s="32" t="str">
        <f>VLOOKUP(Tabla3[[#This Row],[Site]],Table35[#All],3,FALSE)</f>
        <v>1, 6, 21</v>
      </c>
      <c r="N123" s="32" t="str">
        <f>VLOOKUP(Tabla3[[#This Row],[Site]],Table35[#All],4,FALSE)</f>
        <v>-</v>
      </c>
      <c r="O123" s="32" t="str">
        <f>VLOOKUP(Tabla3[[#This Row],[Site]],Table35[#All],5,FALSE)</f>
        <v>-</v>
      </c>
      <c r="P123" s="32" t="str">
        <f>VLOOKUP(Tabla3[[#This Row],[Site]],Table35[#All],6,FALSE)</f>
        <v>3, 5, 7, 19</v>
      </c>
      <c r="Q123" s="32" t="str">
        <f>VLOOKUP(Tabla3[[#This Row],[Site]],Table35[#All],8,FALSE)</f>
        <v>337</v>
      </c>
    </row>
    <row r="124" spans="1:17" hidden="1" x14ac:dyDescent="0.25">
      <c r="A124" t="str">
        <f>+Tabla3[[#This Row],[Site]]&amp;Tabla3[[#This Row],[Split]]</f>
        <v>(AS) Coggin Collision Center of Kissimmee (NO TOURS)3</v>
      </c>
      <c r="B124">
        <v>3</v>
      </c>
      <c r="C124">
        <v>1</v>
      </c>
      <c r="D124" t="s">
        <v>285</v>
      </c>
      <c r="E124" t="str">
        <f>VLOOKUP(Tabla3[[#This Row],[Site]],Table35[],10,FALSE)</f>
        <v>9:00 P.M.</v>
      </c>
      <c r="F124" t="str">
        <f>VLOOKUP(Tabla3[[#This Row],[Site]],Table35[],11,FALSE)</f>
        <v>ET</v>
      </c>
      <c r="G124" t="str">
        <f>VLOOKUP(Tabla3[[#This Row],[Site]],Table35[],12,FALSE)</f>
        <v>5:00 A.M.</v>
      </c>
      <c r="H124" s="74" t="str">
        <f>HYPERLINK(VLOOKUP(Tabla3[[#This Row],[Site]],Table35[#All],9,FALSE))</f>
        <v>https://tools.sig.systems/site/details/331</v>
      </c>
      <c r="I124">
        <f>VLOOKUP(Tabla3[[#This Row],[Site]],Table35[],13,FALSE)</f>
        <v>0</v>
      </c>
      <c r="J124" t="str">
        <f>VLOOKUP(Tabla3[[#This Row],[Site]],Table35[],14,FALSE)</f>
        <v>-</v>
      </c>
      <c r="L124" s="32" t="str">
        <f>VLOOKUP(Tabla3[[#This Row],[Site]],Table35[#All],2,FALSE)</f>
        <v>1, 12</v>
      </c>
      <c r="M124" s="32" t="str">
        <f>VLOOKUP(Tabla3[[#This Row],[Site]],Table35[#All],3,FALSE)</f>
        <v>-</v>
      </c>
      <c r="N124" s="32" t="str">
        <f>VLOOKUP(Tabla3[[#This Row],[Site]],Table35[#All],4,FALSE)</f>
        <v>-</v>
      </c>
      <c r="O124" s="32" t="str">
        <f>VLOOKUP(Tabla3[[#This Row],[Site]],Table35[#All],5,FALSE)</f>
        <v>-</v>
      </c>
      <c r="P124" s="32" t="str">
        <f>VLOOKUP(Tabla3[[#This Row],[Site]],Table35[#All],6,FALSE)</f>
        <v>2, 7, 9</v>
      </c>
      <c r="Q124" s="32" t="str">
        <f>VLOOKUP(Tabla3[[#This Row],[Site]],Table35[#All],8,FALSE)</f>
        <v>331</v>
      </c>
    </row>
    <row r="125" spans="1:17" hidden="1" x14ac:dyDescent="0.25">
      <c r="A125" t="str">
        <f>+Tabla3[[#This Row],[Site]]&amp;Tabla3[[#This Row],[Split]]</f>
        <v>(AS) Koons Chevrolet Buick GMC - Clarksville (NO TOURS)3</v>
      </c>
      <c r="B125">
        <v>3</v>
      </c>
      <c r="C125">
        <v>1</v>
      </c>
      <c r="D125" t="s">
        <v>379</v>
      </c>
      <c r="E125" t="str">
        <f>VLOOKUP(Tabla3[[#This Row],[Site]],Table35[],10,FALSE)</f>
        <v>9:00 P.M.</v>
      </c>
      <c r="F125" t="str">
        <f>VLOOKUP(Tabla3[[#This Row],[Site]],Table35[],11,FALSE)</f>
        <v>ET</v>
      </c>
      <c r="G125" t="str">
        <f>VLOOKUP(Tabla3[[#This Row],[Site]],Table35[],12,FALSE)</f>
        <v>5:00 A.M.</v>
      </c>
      <c r="H125" s="74" t="str">
        <f>HYPERLINK(VLOOKUP(Tabla3[[#This Row],[Site]],Table35[#All],9,FALSE))</f>
        <v>https://tools.sig.systems/site/details/306</v>
      </c>
      <c r="I125" t="str">
        <f>VLOOKUP(Tabla3[[#This Row],[Site]],Table35[],13,FALSE)</f>
        <v>https://www.google.com/maps/d/edit?hl=es&amp;mid=11XB1lTSP7EcDCDvzypdUPWP6bWCNAEI&amp;ll=39.21145022420528%2C-76.94003711910554&amp;z=17</v>
      </c>
      <c r="J125" t="str">
        <f>VLOOKUP(Tabla3[[#This Row],[Site]],Table35[],14,FALSE)</f>
        <v>10:00 A.M.</v>
      </c>
      <c r="L125" s="32" t="str">
        <f>VLOOKUP(Tabla3[[#This Row],[Site]],Table35[#All],2,FALSE)</f>
        <v>-</v>
      </c>
      <c r="M125" s="32" t="str">
        <f>VLOOKUP(Tabla3[[#This Row],[Site]],Table35[#All],3,FALSE)</f>
        <v>1, 22, 26, 28, 29</v>
      </c>
      <c r="N125" s="32" t="str">
        <f>VLOOKUP(Tabla3[[#This Row],[Site]],Table35[#All],4,FALSE)</f>
        <v>-</v>
      </c>
      <c r="O125" s="32" t="str">
        <f>VLOOKUP(Tabla3[[#This Row],[Site]],Table35[#All],5,FALSE)</f>
        <v>-</v>
      </c>
      <c r="P125" s="32" t="str">
        <f>VLOOKUP(Tabla3[[#This Row],[Site]],Table35[#All],6,FALSE)</f>
        <v>3, 11, 15, 23</v>
      </c>
      <c r="Q125" s="32" t="str">
        <f>VLOOKUP(Tabla3[[#This Row],[Site]],Table35[#All],8,FALSE)</f>
        <v>306</v>
      </c>
    </row>
    <row r="126" spans="1:17" hidden="1" x14ac:dyDescent="0.25">
      <c r="A126" t="str">
        <f>+Tabla3[[#This Row],[Site]]&amp;Tabla3[[#This Row],[Split]]</f>
        <v>(AS) Koons Chevrolet Buick GMC - Tysons (NO TOURS)3</v>
      </c>
      <c r="B126">
        <v>3</v>
      </c>
      <c r="C126">
        <v>1</v>
      </c>
      <c r="D126" t="s">
        <v>386</v>
      </c>
      <c r="E126" t="str">
        <f>VLOOKUP(Tabla3[[#This Row],[Site]],Table35[],10,FALSE)</f>
        <v>9:00 P.M.</v>
      </c>
      <c r="F126" t="str">
        <f>VLOOKUP(Tabla3[[#This Row],[Site]],Table35[],11,FALSE)</f>
        <v>ET</v>
      </c>
      <c r="G126" t="str">
        <f>VLOOKUP(Tabla3[[#This Row],[Site]],Table35[],12,FALSE)</f>
        <v>5:00 A.M.</v>
      </c>
      <c r="H126" s="74" t="str">
        <f>HYPERLINK(VLOOKUP(Tabla3[[#This Row],[Site]],Table35[#All],9,FALSE))</f>
        <v>https://tools.sig.systems/site/details/352</v>
      </c>
      <c r="I126" t="str">
        <f>VLOOKUP(Tabla3[[#This Row],[Site]],Table35[],13,FALSE)</f>
        <v>-</v>
      </c>
      <c r="J126" t="str">
        <f>VLOOKUP(Tabla3[[#This Row],[Site]],Table35[],14,FALSE)</f>
        <v>10:00 A.M.</v>
      </c>
      <c r="L126" s="32" t="str">
        <f>VLOOKUP(Tabla3[[#This Row],[Site]],Table35[#All],2,FALSE)</f>
        <v>4, 6</v>
      </c>
      <c r="M126" s="32" t="str">
        <f>VLOOKUP(Tabla3[[#This Row],[Site]],Table35[#All],3,FALSE)</f>
        <v>-</v>
      </c>
      <c r="N126" s="32" t="str">
        <f>VLOOKUP(Tabla3[[#This Row],[Site]],Table35[#All],4,FALSE)</f>
        <v>-</v>
      </c>
      <c r="O126" s="32">
        <f>VLOOKUP(Tabla3[[#This Row],[Site]],Table35[#All],5,FALSE)</f>
        <v>4</v>
      </c>
      <c r="P126" s="32" t="str">
        <f>VLOOKUP(Tabla3[[#This Row],[Site]],Table35[#All],6,FALSE)</f>
        <v>6, 12, 15</v>
      </c>
      <c r="Q126" s="32" t="str">
        <f>VLOOKUP(Tabla3[[#This Row],[Site]],Table35[#All],8,FALSE)</f>
        <v>352</v>
      </c>
    </row>
    <row r="127" spans="1:17" hidden="1" x14ac:dyDescent="0.25">
      <c r="A127" t="str">
        <f>+Tabla3[[#This Row],[Site]]&amp;Tabla3[[#This Row],[Split]]</f>
        <v>(AS) Koons Easton Toyota - Main Dealership (NO TOURS)3</v>
      </c>
      <c r="B127">
        <v>3</v>
      </c>
      <c r="C127">
        <v>1</v>
      </c>
      <c r="D127" t="s">
        <v>426</v>
      </c>
      <c r="E127" t="str">
        <f>VLOOKUP(Tabla3[[#This Row],[Site]],Table35[],10,FALSE)</f>
        <v>9:00 P.M.</v>
      </c>
      <c r="F127" t="str">
        <f>VLOOKUP(Tabla3[[#This Row],[Site]],Table35[],11,FALSE)</f>
        <v>ET</v>
      </c>
      <c r="G127" t="str">
        <f>VLOOKUP(Tabla3[[#This Row],[Site]],Table35[],12,FALSE)</f>
        <v>5:00 A.M.</v>
      </c>
      <c r="H127" s="74" t="str">
        <f>HYPERLINK(VLOOKUP(Tabla3[[#This Row],[Site]],Table35[#All],9,FALSE))</f>
        <v>https://tools.sig.systems/site/details/340</v>
      </c>
      <c r="I127" t="str">
        <f>VLOOKUP(Tabla3[[#This Row],[Site]],Table35[],13,FALSE)</f>
        <v>-</v>
      </c>
      <c r="J127" t="str">
        <f>VLOOKUP(Tabla3[[#This Row],[Site]],Table35[],14,FALSE)</f>
        <v>-</v>
      </c>
      <c r="L127" s="32" t="str">
        <f>VLOOKUP(Tabla3[[#This Row],[Site]],Table35[#All],2,FALSE)</f>
        <v>-</v>
      </c>
      <c r="M127" s="32" t="str">
        <f>VLOOKUP(Tabla3[[#This Row],[Site]],Table35[#All],3,FALSE)</f>
        <v>4, 5</v>
      </c>
      <c r="N127" s="32" t="str">
        <f>VLOOKUP(Tabla3[[#This Row],[Site]],Table35[#All],4,FALSE)</f>
        <v>-</v>
      </c>
      <c r="O127" s="32" t="str">
        <f>VLOOKUP(Tabla3[[#This Row],[Site]],Table35[#All],5,FALSE)</f>
        <v>-</v>
      </c>
      <c r="P127" s="32" t="str">
        <f>VLOOKUP(Tabla3[[#This Row],[Site]],Table35[#All],6,FALSE)</f>
        <v>8, 15</v>
      </c>
      <c r="Q127" s="32" t="str">
        <f>VLOOKUP(Tabla3[[#This Row],[Site]],Table35[#All],8,FALSE)</f>
        <v>340</v>
      </c>
    </row>
    <row r="128" spans="1:17" hidden="1" x14ac:dyDescent="0.25">
      <c r="A128" t="str">
        <f>+Tabla3[[#This Row],[Site]]&amp;Tabla3[[#This Row],[Split]]</f>
        <v>(AS) Koons Sterling Ford - Main Dealership (NO TOURS)3</v>
      </c>
      <c r="B128">
        <v>3</v>
      </c>
      <c r="C128">
        <v>1</v>
      </c>
      <c r="D128" t="s">
        <v>411</v>
      </c>
      <c r="E128" t="str">
        <f>VLOOKUP(Tabla3[[#This Row],[Site]],Table35[],10,FALSE)</f>
        <v>9:00 P.M.</v>
      </c>
      <c r="F128" t="str">
        <f>VLOOKUP(Tabla3[[#This Row],[Site]],Table35[],11,FALSE)</f>
        <v>ET</v>
      </c>
      <c r="G128" t="str">
        <f>VLOOKUP(Tabla3[[#This Row],[Site]],Table35[],12,FALSE)</f>
        <v>5:00 A.M.</v>
      </c>
      <c r="H128" s="74" t="str">
        <f>HYPERLINK(VLOOKUP(Tabla3[[#This Row],[Site]],Table35[#All],9,FALSE))</f>
        <v>https://tools.sig.systems/site/details/348</v>
      </c>
      <c r="I128" t="str">
        <f>VLOOKUP(Tabla3[[#This Row],[Site]],Table35[],13,FALSE)</f>
        <v>-</v>
      </c>
      <c r="J128" t="str">
        <f>VLOOKUP(Tabla3[[#This Row],[Site]],Table35[],14,FALSE)</f>
        <v>10:00 A.M.</v>
      </c>
      <c r="L128" s="32">
        <f>VLOOKUP(Tabla3[[#This Row],[Site]],Table35[#All],2,FALSE)</f>
        <v>19</v>
      </c>
      <c r="M128" s="32">
        <f>VLOOKUP(Tabla3[[#This Row],[Site]],Table35[#All],3,FALSE)</f>
        <v>3</v>
      </c>
      <c r="N128" s="32" t="str">
        <f>VLOOKUP(Tabla3[[#This Row],[Site]],Table35[#All],4,FALSE)</f>
        <v>-</v>
      </c>
      <c r="O128" s="32" t="str">
        <f>VLOOKUP(Tabla3[[#This Row],[Site]],Table35[#All],5,FALSE)</f>
        <v>4, 21</v>
      </c>
      <c r="P128" s="32" t="str">
        <f>VLOOKUP(Tabla3[[#This Row],[Site]],Table35[#All],6,FALSE)</f>
        <v>7, 8</v>
      </c>
      <c r="Q128" s="32" t="str">
        <f>VLOOKUP(Tabla3[[#This Row],[Site]],Table35[#All],8,FALSE)</f>
        <v>348</v>
      </c>
    </row>
    <row r="129" spans="1:17" hidden="1" x14ac:dyDescent="0.25">
      <c r="A129" t="str">
        <f>+Tabla3[[#This Row],[Site]]&amp;Tabla3[[#This Row],[Split]]</f>
        <v>(AS) Koons Woodbridge Kia (NO TOURS)3</v>
      </c>
      <c r="B129">
        <v>3</v>
      </c>
      <c r="C129">
        <v>1</v>
      </c>
      <c r="D129" t="s">
        <v>407</v>
      </c>
      <c r="E129" t="str">
        <f>VLOOKUP(Tabla3[[#This Row],[Site]],Table35[],10,FALSE)</f>
        <v>9:00 P.M.</v>
      </c>
      <c r="F129" t="str">
        <f>VLOOKUP(Tabla3[[#This Row],[Site]],Table35[],11,FALSE)</f>
        <v>ET</v>
      </c>
      <c r="G129" t="str">
        <f>VLOOKUP(Tabla3[[#This Row],[Site]],Table35[],12,FALSE)</f>
        <v>5:00 A.M.</v>
      </c>
      <c r="H129" s="74" t="str">
        <f>HYPERLINK(VLOOKUP(Tabla3[[#This Row],[Site]],Table35[#All],9,FALSE))</f>
        <v>https://tools.sig.systems/site/details/346</v>
      </c>
      <c r="I129" t="str">
        <f>VLOOKUP(Tabla3[[#This Row],[Site]],Table35[],13,FALSE)</f>
        <v>-</v>
      </c>
      <c r="J129" t="str">
        <f>VLOOKUP(Tabla3[[#This Row],[Site]],Table35[],14,FALSE)</f>
        <v>10:00 A.M.</v>
      </c>
      <c r="L129" s="32" t="str">
        <f>VLOOKUP(Tabla3[[#This Row],[Site]],Table35[#All],2,FALSE)</f>
        <v>-</v>
      </c>
      <c r="M129" s="32">
        <f>VLOOKUP(Tabla3[[#This Row],[Site]],Table35[#All],3,FALSE)</f>
        <v>2</v>
      </c>
      <c r="N129" s="32" t="str">
        <f>VLOOKUP(Tabla3[[#This Row],[Site]],Table35[#All],4,FALSE)</f>
        <v>-</v>
      </c>
      <c r="O129" s="32" t="str">
        <f>VLOOKUP(Tabla3[[#This Row],[Site]],Table35[#All],5,FALSE)</f>
        <v>-</v>
      </c>
      <c r="P129" s="32">
        <f>VLOOKUP(Tabla3[[#This Row],[Site]],Table35[#All],6,FALSE)</f>
        <v>5</v>
      </c>
      <c r="Q129" s="32" t="str">
        <f>VLOOKUP(Tabla3[[#This Row],[Site]],Table35[#All],8,FALSE)</f>
        <v>346</v>
      </c>
    </row>
    <row r="130" spans="1:17" hidden="1" x14ac:dyDescent="0.25">
      <c r="A130" t="str">
        <f>+Tabla3[[#This Row],[Site]]&amp;Tabla3[[#This Row],[Split]]</f>
        <v>(AS) Plaza Mercedes Benz West (NO TOURS)3</v>
      </c>
      <c r="B130">
        <v>3</v>
      </c>
      <c r="C130">
        <v>1</v>
      </c>
      <c r="D130" t="s">
        <v>394</v>
      </c>
      <c r="E130" t="str">
        <f>VLOOKUP(Tabla3[[#This Row],[Site]],Table35[],10,FALSE)</f>
        <v>10:00 P.M.</v>
      </c>
      <c r="F130" t="str">
        <f>VLOOKUP(Tabla3[[#This Row],[Site]],Table35[],11,FALSE)</f>
        <v>CT</v>
      </c>
      <c r="G130" t="str">
        <f>VLOOKUP(Tabla3[[#This Row],[Site]],Table35[],12,FALSE)</f>
        <v>6:00 A.M.</v>
      </c>
      <c r="H130" s="74" t="str">
        <f>HYPERLINK(VLOOKUP(Tabla3[[#This Row],[Site]],Table35[#All],9,FALSE))</f>
        <v>https://tools.sig.systems/site/details/349</v>
      </c>
      <c r="I130">
        <f>VLOOKUP(Tabla3[[#This Row],[Site]],Table35[],13,FALSE)</f>
        <v>0</v>
      </c>
      <c r="J130" t="str">
        <f>VLOOKUP(Tabla3[[#This Row],[Site]],Table35[],14,FALSE)</f>
        <v>-</v>
      </c>
      <c r="L130" s="32" t="str">
        <f>VLOOKUP(Tabla3[[#This Row],[Site]],Table35[#All],2,FALSE)</f>
        <v>-</v>
      </c>
      <c r="M130" s="32" t="str">
        <f>VLOOKUP(Tabla3[[#This Row],[Site]],Table35[#All],3,FALSE)</f>
        <v>1, 7</v>
      </c>
      <c r="N130" s="32" t="str">
        <f>VLOOKUP(Tabla3[[#This Row],[Site]],Table35[#All],4,FALSE)</f>
        <v>-</v>
      </c>
      <c r="O130" s="32">
        <f>VLOOKUP(Tabla3[[#This Row],[Site]],Table35[#All],5,FALSE)</f>
        <v>17</v>
      </c>
      <c r="P130" s="32" t="str">
        <f>VLOOKUP(Tabla3[[#This Row],[Site]],Table35[#All],6,FALSE)</f>
        <v>6, 21</v>
      </c>
      <c r="Q130" s="32" t="str">
        <f>VLOOKUP(Tabla3[[#This Row],[Site]],Table35[#All],8,FALSE)</f>
        <v>349</v>
      </c>
    </row>
    <row r="131" spans="1:17" hidden="1" x14ac:dyDescent="0.25">
      <c r="A131" t="str">
        <f>+Tabla3[[#This Row],[Site]]&amp;Tabla3[[#This Row],[Split]]</f>
        <v>(BRL) Fort Pierce3</v>
      </c>
      <c r="B131">
        <v>3</v>
      </c>
      <c r="C131">
        <v>1</v>
      </c>
      <c r="D131" t="s">
        <v>347</v>
      </c>
      <c r="E131" t="str">
        <f>VLOOKUP(Tabla3[[#This Row],[Site]],Table35[],10,FALSE)</f>
        <v>24H</v>
      </c>
      <c r="F131" t="str">
        <f>VLOOKUP(Tabla3[[#This Row],[Site]],Table35[],11,FALSE)</f>
        <v>ET</v>
      </c>
      <c r="G131" t="str">
        <f>VLOOKUP(Tabla3[[#This Row],[Site]],Table35[],12,FALSE)</f>
        <v>-</v>
      </c>
      <c r="H131" s="74" t="str">
        <f>HYPERLINK(VLOOKUP(Tabla3[[#This Row],[Site]],Table35[#All],9,FALSE))</f>
        <v>https://tools.sig.systems/site/details/326</v>
      </c>
      <c r="I131" t="str">
        <f>VLOOKUP(Tabla3[[#This Row],[Site]],Table35[],13,FALSE)</f>
        <v>-</v>
      </c>
      <c r="J131" t="str">
        <f>VLOOKUP(Tabla3[[#This Row],[Site]],Table35[],14,FALSE)</f>
        <v>-</v>
      </c>
      <c r="L131" s="32" t="str">
        <f>VLOOKUP(Tabla3[[#This Row],[Site]],Table35[#All],2,FALSE)</f>
        <v>-</v>
      </c>
      <c r="M131" s="32">
        <f>VLOOKUP(Tabla3[[#This Row],[Site]],Table35[#All],3,FALSE)</f>
        <v>1</v>
      </c>
      <c r="N131" s="32" t="str">
        <f>VLOOKUP(Tabla3[[#This Row],[Site]],Table35[#All],4,FALSE)</f>
        <v>-</v>
      </c>
      <c r="O131" s="32">
        <f>VLOOKUP(Tabla3[[#This Row],[Site]],Table35[#All],5,FALSE)</f>
        <v>2</v>
      </c>
      <c r="P131" s="32" t="str">
        <f>VLOOKUP(Tabla3[[#This Row],[Site]],Table35[#All],6,FALSE)</f>
        <v>15, 18</v>
      </c>
      <c r="Q131" s="32" t="str">
        <f>VLOOKUP(Tabla3[[#This Row],[Site]],Table35[#All],8,FALSE)</f>
        <v>326</v>
      </c>
    </row>
    <row r="132" spans="1:17" hidden="1" x14ac:dyDescent="0.25">
      <c r="A132" t="str">
        <f>+Tabla3[[#This Row],[Site]]&amp;Tabla3[[#This Row],[Split]]</f>
        <v>(DT) Charlotte3</v>
      </c>
      <c r="B132">
        <v>3</v>
      </c>
      <c r="C132">
        <v>1</v>
      </c>
      <c r="D132" t="s">
        <v>150</v>
      </c>
      <c r="E132" t="str">
        <f>VLOOKUP(Tabla3[[#This Row],[Site]],Table35[],10,FALSE)</f>
        <v>9:00 P.M.</v>
      </c>
      <c r="F132" t="str">
        <f>VLOOKUP(Tabla3[[#This Row],[Site]],Table35[],11,FALSE)</f>
        <v>ET</v>
      </c>
      <c r="G132" t="str">
        <f>VLOOKUP(Tabla3[[#This Row],[Site]],Table35[],12,FALSE)</f>
        <v>5:00 A.M.</v>
      </c>
      <c r="H132" s="74" t="str">
        <f>HYPERLINK(VLOOKUP(Tabla3[[#This Row],[Site]],Table35[#All],9,FALSE))</f>
        <v>https://tools.sig.systems/site/details/299</v>
      </c>
      <c r="I132">
        <f>VLOOKUP(Tabla3[[#This Row],[Site]],Table35[],13,FALSE)</f>
        <v>0</v>
      </c>
      <c r="J132" t="str">
        <f>VLOOKUP(Tabla3[[#This Row],[Site]],Table35[],14,FALSE)</f>
        <v>-</v>
      </c>
      <c r="L132" s="32" t="str">
        <f>VLOOKUP(Tabla3[[#This Row],[Site]],Table35[#All],2,FALSE)</f>
        <v>4, 25, 41</v>
      </c>
      <c r="M132" s="32" t="str">
        <f>VLOOKUP(Tabla3[[#This Row],[Site]],Table35[#All],3,FALSE)</f>
        <v>-</v>
      </c>
      <c r="N132" s="32" t="str">
        <f>VLOOKUP(Tabla3[[#This Row],[Site]],Table35[#All],4,FALSE)</f>
        <v>-</v>
      </c>
      <c r="O132" s="32" t="str">
        <f>VLOOKUP(Tabla3[[#This Row],[Site]],Table35[#All],5,FALSE)</f>
        <v xml:space="preserve">11, 32, 35 </v>
      </c>
      <c r="P132" s="32" t="str">
        <f>VLOOKUP(Tabla3[[#This Row],[Site]],Table35[#All],6,FALSE)</f>
        <v>6, 11, 18, 29, 34,  38, 39</v>
      </c>
      <c r="Q132" s="32" t="str">
        <f>VLOOKUP(Tabla3[[#This Row],[Site]],Table35[#All],8,FALSE)</f>
        <v>299</v>
      </c>
    </row>
    <row r="133" spans="1:17" hidden="1" x14ac:dyDescent="0.25">
      <c r="A133" t="str">
        <f>+Tabla3[[#This Row],[Site]]&amp;Tabla3[[#This Row],[Split]]</f>
        <v>(KG) Big Star Hyundai Houston3</v>
      </c>
      <c r="B133">
        <v>3</v>
      </c>
      <c r="C133">
        <v>1</v>
      </c>
      <c r="D133" t="s">
        <v>128</v>
      </c>
      <c r="E133" t="str">
        <f>VLOOKUP(Tabla3[[#This Row],[Site]],Table35[],10,FALSE)</f>
        <v>10:00 P.M.</v>
      </c>
      <c r="F133" t="str">
        <f>VLOOKUP(Tabla3[[#This Row],[Site]],Table35[],11,FALSE)</f>
        <v>CT</v>
      </c>
      <c r="G133" t="str">
        <f>VLOOKUP(Tabla3[[#This Row],[Site]],Table35[],12,FALSE)</f>
        <v>6:00 A.M.</v>
      </c>
      <c r="H133" s="74" t="str">
        <f>HYPERLINK(VLOOKUP(Tabla3[[#This Row],[Site]],Table35[#All],9,FALSE))</f>
        <v>https://tools.sig.systems/site/details/287</v>
      </c>
      <c r="I133" t="str">
        <f>VLOOKUP(Tabla3[[#This Row],[Site]],Table35[],13,FALSE)</f>
        <v>https://www.google.com/maps/d/edit?hl=en&amp;mid=1jIRkMUnWNPuTgDjQgDP-f33LClT85NU&amp;ll=29.55731827236326%2C-95.1601644&amp;z=17</v>
      </c>
      <c r="J133" t="str">
        <f>VLOOKUP(Tabla3[[#This Row],[Site]],Table35[],14,FALSE)</f>
        <v>-</v>
      </c>
      <c r="L133" s="32" t="s">
        <v>198</v>
      </c>
      <c r="M133" s="32" t="s">
        <v>199</v>
      </c>
      <c r="N133" s="32" t="s">
        <v>96</v>
      </c>
      <c r="O133" s="32" t="s">
        <v>200</v>
      </c>
      <c r="P133" s="32" t="s">
        <v>201</v>
      </c>
      <c r="Q133" s="32" t="s">
        <v>296</v>
      </c>
    </row>
    <row r="134" spans="1:17" hidden="1" x14ac:dyDescent="0.25">
      <c r="A134" t="str">
        <f>+Tabla3[[#This Row],[Site]]&amp;Tabla3[[#This Row],[Split]]</f>
        <v>(LT) Landers Kia of Little Rock3</v>
      </c>
      <c r="B134">
        <v>3</v>
      </c>
      <c r="C134">
        <v>1</v>
      </c>
      <c r="D134" t="s">
        <v>247</v>
      </c>
      <c r="E134" t="str">
        <f>VLOOKUP(Tabla3[[#This Row],[Site]],Table35[],10,FALSE)</f>
        <v>10:00 P.M.</v>
      </c>
      <c r="F134" t="str">
        <f>VLOOKUP(Tabla3[[#This Row],[Site]],Table35[],11,FALSE)</f>
        <v>CT</v>
      </c>
      <c r="G134" t="str">
        <f>VLOOKUP(Tabla3[[#This Row],[Site]],Table35[],12,FALSE)</f>
        <v>6:00 A.M.</v>
      </c>
      <c r="H134" s="74" t="str">
        <f>HYPERLINK(VLOOKUP(Tabla3[[#This Row],[Site]],Table35[#All],9,FALSE))</f>
        <v>https://tools.sig.systems/site/details/322</v>
      </c>
      <c r="I134" t="str">
        <f>VLOOKUP(Tabla3[[#This Row],[Site]],Table35[],13,FALSE)</f>
        <v>https://www.google.com/maps/d/u/1/edit?mid=1-zEzsc6U6nZom08edp0XAd3_HYFvAyk&amp;usp=sharing</v>
      </c>
      <c r="J134" t="str">
        <f>VLOOKUP(Tabla3[[#This Row],[Site]],Table35[],14,FALSE)</f>
        <v>-</v>
      </c>
      <c r="L134" s="32" t="str">
        <f>VLOOKUP(Tabla3[[#This Row],[Site]],Table35[#All],2,FALSE)</f>
        <v>5, 9, 33, 19</v>
      </c>
      <c r="M134" s="32" t="str">
        <f>VLOOKUP(Tabla3[[#This Row],[Site]],Table35[#All],3,FALSE)</f>
        <v>-</v>
      </c>
      <c r="N134" s="32" t="str">
        <f>VLOOKUP(Tabla3[[#This Row],[Site]],Table35[#All],4,FALSE)</f>
        <v>4, 10</v>
      </c>
      <c r="O134" s="32" t="str">
        <f>VLOOKUP(Tabla3[[#This Row],[Site]],Table35[#All],5,FALSE)</f>
        <v>1, 35</v>
      </c>
      <c r="P134" s="32" t="str">
        <f>VLOOKUP(Tabla3[[#This Row],[Site]],Table35[#All],6,FALSE)</f>
        <v>5, 9, 12, 14, 18, 26, 29</v>
      </c>
      <c r="Q134" s="32" t="str">
        <f>VLOOKUP(Tabla3[[#This Row],[Site]],Table35[#All],8,FALSE)</f>
        <v>322</v>
      </c>
    </row>
    <row r="135" spans="1:17" hidden="1" x14ac:dyDescent="0.25">
      <c r="A135" t="str">
        <f>+Tabla3[[#This Row],[Site]]&amp;Tabla3[[#This Row],[Split]]</f>
        <v>(LT) Luther Burnsville Hyundai3</v>
      </c>
      <c r="B135">
        <v>3</v>
      </c>
      <c r="C135">
        <v>1</v>
      </c>
      <c r="D135" t="s">
        <v>280</v>
      </c>
      <c r="E135" t="str">
        <f>VLOOKUP(Tabla3[[#This Row],[Site]],Table35[],10,FALSE)</f>
        <v>10:00 P.M.</v>
      </c>
      <c r="F135" t="str">
        <f>VLOOKUP(Tabla3[[#This Row],[Site]],Table35[],11,FALSE)</f>
        <v>CT</v>
      </c>
      <c r="G135" t="str">
        <f>VLOOKUP(Tabla3[[#This Row],[Site]],Table35[],12,FALSE)</f>
        <v>6:00 A.M.</v>
      </c>
      <c r="H135" s="74" t="str">
        <f>HYPERLINK(VLOOKUP(Tabla3[[#This Row],[Site]],Table35[#All],9,FALSE))</f>
        <v>https://tools.sig.systems/site/details/307</v>
      </c>
      <c r="I135">
        <f>VLOOKUP(Tabla3[[#This Row],[Site]],Table35[],13,FALSE)</f>
        <v>0</v>
      </c>
      <c r="J135" t="str">
        <f>VLOOKUP(Tabla3[[#This Row],[Site]],Table35[],14,FALSE)</f>
        <v>-</v>
      </c>
      <c r="L135" s="32" t="str">
        <f>VLOOKUP(Tabla3[[#This Row],[Site]],Table35[#All],2,FALSE)</f>
        <v>-</v>
      </c>
      <c r="M135" s="32" t="str">
        <f>VLOOKUP(Tabla3[[#This Row],[Site]],Table35[#All],3,FALSE)</f>
        <v>6, 17</v>
      </c>
      <c r="N135" s="32" t="str">
        <f>VLOOKUP(Tabla3[[#This Row],[Site]],Table35[#All],4,FALSE)</f>
        <v>22, 21</v>
      </c>
      <c r="O135" s="32">
        <f>VLOOKUP(Tabla3[[#This Row],[Site]],Table35[#All],5,FALSE)</f>
        <v>7</v>
      </c>
      <c r="P135" s="32" t="str">
        <f>VLOOKUP(Tabla3[[#This Row],[Site]],Table35[#All],6,FALSE)</f>
        <v>2, 4, 16</v>
      </c>
      <c r="Q135" s="32" t="str">
        <f>VLOOKUP(Tabla3[[#This Row],[Site]],Table35[#All],8,FALSE)</f>
        <v>307</v>
      </c>
    </row>
    <row r="136" spans="1:17" hidden="1" x14ac:dyDescent="0.25">
      <c r="A136" t="str">
        <f>+Tabla3[[#This Row],[Site]]&amp;Tabla3[[#This Row],[Split]]</f>
        <v>(LT) Luther North Country Ford3</v>
      </c>
      <c r="B136">
        <v>3</v>
      </c>
      <c r="C136">
        <v>1</v>
      </c>
      <c r="D136" t="s">
        <v>126</v>
      </c>
      <c r="E136" t="str">
        <f>VLOOKUP(Tabla3[[#This Row],[Site]],Table35[],10,FALSE)</f>
        <v>10:00 P.M.</v>
      </c>
      <c r="F136" t="str">
        <f>VLOOKUP(Tabla3[[#This Row],[Site]],Table35[],11,FALSE)</f>
        <v>CT</v>
      </c>
      <c r="G136" t="str">
        <f>VLOOKUP(Tabla3[[#This Row],[Site]],Table35[],12,FALSE)</f>
        <v>6:00 A.M.</v>
      </c>
      <c r="H136" s="74" t="str">
        <f>HYPERLINK(VLOOKUP(Tabla3[[#This Row],[Site]],Table35[#All],9,FALSE))</f>
        <v>https://tools.sig.systems/site/details/292</v>
      </c>
      <c r="I136">
        <f>VLOOKUP(Tabla3[[#This Row],[Site]],Table35[],13,FALSE)</f>
        <v>0</v>
      </c>
      <c r="J136" t="str">
        <f>VLOOKUP(Tabla3[[#This Row],[Site]],Table35[],14,FALSE)</f>
        <v>-</v>
      </c>
      <c r="L136" s="32" t="str">
        <f>VLOOKUP(Tabla3[[#This Row],[Site]],Table35[#All],2,FALSE)</f>
        <v>-</v>
      </c>
      <c r="M136" s="32" t="str">
        <f>VLOOKUP(Tabla3[[#This Row],[Site]],Table35[#All],3,FALSE)</f>
        <v>7, 14, 19</v>
      </c>
      <c r="N136" s="32" t="str">
        <f>VLOOKUP(Tabla3[[#This Row],[Site]],Table35[#All],4,FALSE)</f>
        <v>30, 31, 32</v>
      </c>
      <c r="O136" s="32" t="str">
        <f>VLOOKUP(Tabla3[[#This Row],[Site]],Table35[#All],5,FALSE)</f>
        <v>-</v>
      </c>
      <c r="P136" s="32" t="str">
        <f>VLOOKUP(Tabla3[[#This Row],[Site]],Table35[#All],6,FALSE)</f>
        <v>1, 4, 9, 13, 15, 16B, 25</v>
      </c>
      <c r="Q136" s="32" t="str">
        <f>VLOOKUP(Tabla3[[#This Row],[Site]],Table35[#All],8,FALSE)</f>
        <v>292</v>
      </c>
    </row>
    <row r="137" spans="1:17" hidden="1" x14ac:dyDescent="0.25">
      <c r="A137" t="str">
        <f>+Tabla3[[#This Row],[Site]]&amp;Tabla3[[#This Row],[Split]]</f>
        <v>(LT) Luther St. Cloud Subaru3</v>
      </c>
      <c r="B137">
        <v>3</v>
      </c>
      <c r="C137">
        <v>1</v>
      </c>
      <c r="D137" t="s">
        <v>127</v>
      </c>
      <c r="E137" t="str">
        <f>VLOOKUP(Tabla3[[#This Row],[Site]],Table35[],10,FALSE)</f>
        <v>10:00 P.M.</v>
      </c>
      <c r="F137" t="str">
        <f>VLOOKUP(Tabla3[[#This Row],[Site]],Table35[],11,FALSE)</f>
        <v>CT</v>
      </c>
      <c r="G137" t="str">
        <f>VLOOKUP(Tabla3[[#This Row],[Site]],Table35[],12,FALSE)</f>
        <v>5:30 A.M.</v>
      </c>
      <c r="H137" s="74" t="str">
        <f>HYPERLINK(VLOOKUP(Tabla3[[#This Row],[Site]],Table35[#All],9,FALSE))</f>
        <v>https://tools.sig.systems/site/details/295</v>
      </c>
      <c r="I137">
        <f>VLOOKUP(Tabla3[[#This Row],[Site]],Table35[],13,FALSE)</f>
        <v>0</v>
      </c>
      <c r="J137" t="str">
        <f>VLOOKUP(Tabla3[[#This Row],[Site]],Table35[],14,FALSE)</f>
        <v>-</v>
      </c>
      <c r="L137" s="32" t="str">
        <f>VLOOKUP(Tabla3[[#This Row],[Site]],Table35[#All],2,FALSE)</f>
        <v>25, 31</v>
      </c>
      <c r="M137" s="32" t="str">
        <f>VLOOKUP(Tabla3[[#This Row],[Site]],Table35[#All],3,FALSE)</f>
        <v>9, 13, 20</v>
      </c>
      <c r="N137" s="32" t="str">
        <f>VLOOKUP(Tabla3[[#This Row],[Site]],Table35[#All],4,FALSE)</f>
        <v>38, 39, 40, 41</v>
      </c>
      <c r="O137" s="32">
        <f>VLOOKUP(Tabla3[[#This Row],[Site]],Table35[#All],5,FALSE)</f>
        <v>27</v>
      </c>
      <c r="P137" s="32" t="str">
        <f>VLOOKUP(Tabla3[[#This Row],[Site]],Table35[#All],6,FALSE)</f>
        <v>2, 6, 8, 11, 14, 19, 23, 26</v>
      </c>
      <c r="Q137" s="32" t="str">
        <f>VLOOKUP(Tabla3[[#This Row],[Site]],Table35[#All],8,FALSE)</f>
        <v>295</v>
      </c>
    </row>
    <row r="138" spans="1:17" hidden="1" x14ac:dyDescent="0.25">
      <c r="A138" t="str">
        <f>+Tabla3[[#This Row],[Site]]&amp;Tabla3[[#This Row],[Split]]</f>
        <v>(ML) Joe Machens Hyundai3</v>
      </c>
      <c r="B138">
        <v>3</v>
      </c>
      <c r="C138">
        <v>1</v>
      </c>
      <c r="D138" t="s">
        <v>124</v>
      </c>
      <c r="E138" t="str">
        <f>VLOOKUP(Tabla3[[#This Row],[Site]],Table35[],10,FALSE)</f>
        <v>10:00 P.M.</v>
      </c>
      <c r="F138" t="str">
        <f>VLOOKUP(Tabla3[[#This Row],[Site]],Table35[],11,FALSE)</f>
        <v>CT</v>
      </c>
      <c r="G138" t="str">
        <f>VLOOKUP(Tabla3[[#This Row],[Site]],Table35[],12,FALSE)</f>
        <v>6:00 A.M.</v>
      </c>
      <c r="H138" s="74" t="str">
        <f>HYPERLINK(VLOOKUP(Tabla3[[#This Row],[Site]],Table35[#All],9,FALSE))</f>
        <v>https://tools.sig.systems/site/details/286</v>
      </c>
      <c r="I138" t="str">
        <f>VLOOKUP(Tabla3[[#This Row],[Site]],Table35[],13,FALSE)</f>
        <v>https://www.google.com/maps/d/viewer?hl=es&amp;mid=1C1oZdjH3dNvCvqdpIv_Lk0Yn1OCVn-4&amp;ll=38.965368114274455%2C-92.3405954&amp;z=15</v>
      </c>
      <c r="J138" t="str">
        <f>VLOOKUP(Tabla3[[#This Row],[Site]],Table35[],14,FALSE)</f>
        <v>-</v>
      </c>
      <c r="L138" s="32" t="str">
        <f>VLOOKUP(Tabla3[[#This Row],[Site]],Table35[#All],2,FALSE)</f>
        <v>-</v>
      </c>
      <c r="M138" s="32" t="str">
        <f>VLOOKUP(Tabla3[[#This Row],[Site]],Table35[#All],3,FALSE)</f>
        <v>3, 4, 14, 25</v>
      </c>
      <c r="N138" s="32" t="str">
        <f>VLOOKUP(Tabla3[[#This Row],[Site]],Table35[#All],4,FALSE)</f>
        <v>-</v>
      </c>
      <c r="O138" s="32">
        <f>VLOOKUP(Tabla3[[#This Row],[Site]],Table35[#All],5,FALSE)</f>
        <v>17</v>
      </c>
      <c r="P138" s="32" t="str">
        <f>VLOOKUP(Tabla3[[#This Row],[Site]],Table35[#All],6,FALSE)</f>
        <v>1, 11, 12, 13, 15</v>
      </c>
      <c r="Q138" s="32" t="str">
        <f>VLOOKUP(Tabla3[[#This Row],[Site]],Table35[#All],8,FALSE)</f>
        <v>286</v>
      </c>
    </row>
    <row r="139" spans="1:17" hidden="1" x14ac:dyDescent="0.25">
      <c r="A139" t="str">
        <f>+Tabla3[[#This Row],[Site]]&amp;Tabla3[[#This Row],[Split]]</f>
        <v>(PE) BMW Service Center (NO TOURS)3</v>
      </c>
      <c r="B139">
        <v>3</v>
      </c>
      <c r="C139">
        <v>1</v>
      </c>
      <c r="D139" t="s">
        <v>38</v>
      </c>
      <c r="E139" t="str">
        <f>VLOOKUP(Tabla3[[#This Row],[Site]],Table35[],10,FALSE)</f>
        <v>8:00 P.M.</v>
      </c>
      <c r="F139" t="str">
        <f>VLOOKUP(Tabla3[[#This Row],[Site]],Table35[],11,FALSE)</f>
        <v>ET</v>
      </c>
      <c r="G139" t="str">
        <f>VLOOKUP(Tabla3[[#This Row],[Site]],Table35[],12,FALSE)</f>
        <v>5:00 A.M.</v>
      </c>
      <c r="H139" s="74" t="str">
        <f>HYPERLINK(VLOOKUP(Tabla3[[#This Row],[Site]],Table35[#All],9,FALSE))</f>
        <v>https://tools.sig.systems/site/details/184</v>
      </c>
      <c r="I139" t="str">
        <f>VLOOKUP(Tabla3[[#This Row],[Site]],Table35[],13,FALSE)</f>
        <v>https://www.google.com/maps/d/edit?hl=en&amp;mid=1UHmt7tH1ihTa85i0MfQIcTfVvIQg_vM&amp;ll=41.02423447529239%2C-73.63721502222738&amp;z=18</v>
      </c>
      <c r="J139" t="str">
        <f>VLOOKUP(Tabla3[[#This Row],[Site]],Table35[],14,FALSE)</f>
        <v>-</v>
      </c>
      <c r="L139" s="32">
        <f>VLOOKUP(Tabla3[[#This Row],[Site]],Table35[#All],2,FALSE)</f>
        <v>3</v>
      </c>
      <c r="M139" s="32" t="str">
        <f>VLOOKUP(Tabla3[[#This Row],[Site]],Table35[#All],3,FALSE)</f>
        <v>-</v>
      </c>
      <c r="N139" s="32" t="str">
        <f>VLOOKUP(Tabla3[[#This Row],[Site]],Table35[#All],4,FALSE)</f>
        <v>-</v>
      </c>
      <c r="O139" s="32" t="str">
        <f>VLOOKUP(Tabla3[[#This Row],[Site]],Table35[#All],5,FALSE)</f>
        <v>-</v>
      </c>
      <c r="P139" s="32" t="str">
        <f>VLOOKUP(Tabla3[[#This Row],[Site]],Table35[#All],6,FALSE)</f>
        <v xml:space="preserve">1, 2 </v>
      </c>
      <c r="Q139" s="32" t="str">
        <f>VLOOKUP(Tabla3[[#This Row],[Site]],Table35[#All],8,FALSE)</f>
        <v>184</v>
      </c>
    </row>
    <row r="140" spans="1:17" hidden="1" x14ac:dyDescent="0.25">
      <c r="A140" t="str">
        <f>+Tabla3[[#This Row],[Site]]&amp;Tabla3[[#This Row],[Split]]</f>
        <v>(PE) JLR Darien (NO TOURS)3</v>
      </c>
      <c r="B140">
        <v>3</v>
      </c>
      <c r="C140">
        <v>1</v>
      </c>
      <c r="D140" t="s">
        <v>370</v>
      </c>
      <c r="E140" t="str">
        <f>VLOOKUP(Tabla3[[#This Row],[Site]],Table35[],10,FALSE)</f>
        <v>8:00 P.M.</v>
      </c>
      <c r="F140" t="str">
        <f>VLOOKUP(Tabla3[[#This Row],[Site]],Table35[],11,FALSE)</f>
        <v>ET</v>
      </c>
      <c r="G140" t="str">
        <f>VLOOKUP(Tabla3[[#This Row],[Site]],Table35[],12,FALSE)</f>
        <v>5:00 A.M.</v>
      </c>
      <c r="H140" s="74" t="str">
        <f>HYPERLINK(VLOOKUP(Tabla3[[#This Row],[Site]],Table35[#All],9,FALSE))</f>
        <v>https://tools.sig.systems/site/details/189</v>
      </c>
      <c r="I140" t="str">
        <f>VLOOKUP(Tabla3[[#This Row],[Site]],Table35[],13,FALSE)</f>
        <v>-</v>
      </c>
      <c r="J140" t="str">
        <f>VLOOKUP(Tabla3[[#This Row],[Site]],Table35[],14,FALSE)</f>
        <v>-</v>
      </c>
      <c r="L140" s="32" t="str">
        <f>VLOOKUP(Tabla3[[#This Row],[Site]],Table35[#All],2,FALSE)</f>
        <v>1, 13</v>
      </c>
      <c r="M140" s="32" t="str">
        <f>VLOOKUP(Tabla3[[#This Row],[Site]],Table35[#All],3,FALSE)</f>
        <v>-</v>
      </c>
      <c r="N140" s="32" t="str">
        <f>VLOOKUP(Tabla3[[#This Row],[Site]],Table35[#All],4,FALSE)</f>
        <v>-</v>
      </c>
      <c r="O140" s="32" t="str">
        <f>VLOOKUP(Tabla3[[#This Row],[Site]],Table35[#All],5,FALSE)</f>
        <v>-</v>
      </c>
      <c r="P140" s="32" t="str">
        <f>VLOOKUP(Tabla3[[#This Row],[Site]],Table35[#All],6,FALSE)</f>
        <v>-</v>
      </c>
      <c r="Q140" s="32" t="str">
        <f>VLOOKUP(Tabla3[[#This Row],[Site]],Table35[#All],8,FALSE)</f>
        <v>189</v>
      </c>
    </row>
    <row r="141" spans="1:17" hidden="1" x14ac:dyDescent="0.25">
      <c r="A141" t="str">
        <f>+Tabla3[[#This Row],[Site]]&amp;Tabla3[[#This Row],[Split]]</f>
        <v>(PE) JLR Paramus (NO TOURS)3</v>
      </c>
      <c r="B141">
        <v>3</v>
      </c>
      <c r="C141">
        <v>1</v>
      </c>
      <c r="D141" t="s">
        <v>210</v>
      </c>
      <c r="E141" t="str">
        <f>VLOOKUP(Tabla3[[#This Row],[Site]],Table35[],10,FALSE)</f>
        <v>8:00 P.M.</v>
      </c>
      <c r="F141" t="str">
        <f>VLOOKUP(Tabla3[[#This Row],[Site]],Table35[],11,FALSE)</f>
        <v>ET</v>
      </c>
      <c r="G141" t="str">
        <f>VLOOKUP(Tabla3[[#This Row],[Site]],Table35[],12,FALSE)</f>
        <v>5:00 A.M.</v>
      </c>
      <c r="H141" s="74" t="str">
        <f>HYPERLINK(VLOOKUP(Tabla3[[#This Row],[Site]],Table35[#All],9,FALSE))</f>
        <v>https://tools.sig.systems/site/details/177</v>
      </c>
      <c r="I141">
        <f>VLOOKUP(Tabla3[[#This Row],[Site]],Table35[],13,FALSE)</f>
        <v>0</v>
      </c>
      <c r="J141" t="str">
        <f>VLOOKUP(Tabla3[[#This Row],[Site]],Table35[],14,FALSE)</f>
        <v>-</v>
      </c>
      <c r="L141" s="32" t="str">
        <f>VLOOKUP(Tabla3[[#This Row],[Site]],Table35[#All],2,FALSE)</f>
        <v>1, 17</v>
      </c>
      <c r="M141" s="32" t="str">
        <f>VLOOKUP(Tabla3[[#This Row],[Site]],Table35[#All],3,FALSE)</f>
        <v>-</v>
      </c>
      <c r="N141" s="32" t="str">
        <f>VLOOKUP(Tabla3[[#This Row],[Site]],Table35[#All],4,FALSE)</f>
        <v>-</v>
      </c>
      <c r="O141" s="32" t="str">
        <f>VLOOKUP(Tabla3[[#This Row],[Site]],Table35[#All],5,FALSE)</f>
        <v>-</v>
      </c>
      <c r="P141" s="32" t="str">
        <f>VLOOKUP(Tabla3[[#This Row],[Site]],Table35[#All],6,FALSE)</f>
        <v>1, 17</v>
      </c>
      <c r="Q141" s="32" t="str">
        <f>VLOOKUP(Tabla3[[#This Row],[Site]],Table35[#All],8,FALSE)</f>
        <v>177</v>
      </c>
    </row>
    <row r="142" spans="1:17" hidden="1" x14ac:dyDescent="0.25">
      <c r="A142" t="str">
        <f>+Tabla3[[#This Row],[Site]]&amp;Tabla3[[#This Row],[Split]]</f>
        <v>(PE) Porsche Audi Fairfield (NO TOURS)3</v>
      </c>
      <c r="B142">
        <v>3</v>
      </c>
      <c r="C142">
        <v>1</v>
      </c>
      <c r="D142" t="s">
        <v>362</v>
      </c>
      <c r="E142" t="str">
        <f>VLOOKUP(Tabla3[[#This Row],[Site]],Table35[],10,FALSE)</f>
        <v>8:00 P.M.</v>
      </c>
      <c r="F142" t="str">
        <f>VLOOKUP(Tabla3[[#This Row],[Site]],Table35[],11,FALSE)</f>
        <v>ET</v>
      </c>
      <c r="G142" t="str">
        <f>VLOOKUP(Tabla3[[#This Row],[Site]],Table35[],12,FALSE)</f>
        <v>5:00 A.M.</v>
      </c>
      <c r="H142" s="74" t="str">
        <f>HYPERLINK(VLOOKUP(Tabla3[[#This Row],[Site]],Table35[#All],9,FALSE))</f>
        <v>https://tools.sig.systems/site/details/194</v>
      </c>
      <c r="I142">
        <f>VLOOKUP(Tabla3[[#This Row],[Site]],Table35[],13,FALSE)</f>
        <v>0</v>
      </c>
      <c r="J142" t="str">
        <f>VLOOKUP(Tabla3[[#This Row],[Site]],Table35[],14,FALSE)</f>
        <v>-</v>
      </c>
      <c r="L142" s="32" t="str">
        <f>VLOOKUP(Tabla3[[#This Row],[Site]],Table35[#All],2,FALSE)</f>
        <v>1, 18</v>
      </c>
      <c r="M142" s="32" t="str">
        <f>VLOOKUP(Tabla3[[#This Row],[Site]],Table35[#All],3,FALSE)</f>
        <v>-</v>
      </c>
      <c r="N142" s="32" t="str">
        <f>VLOOKUP(Tabla3[[#This Row],[Site]],Table35[#All],4,FALSE)</f>
        <v>-</v>
      </c>
      <c r="O142" s="32">
        <f>VLOOKUP(Tabla3[[#This Row],[Site]],Table35[#All],5,FALSE)</f>
        <v>20</v>
      </c>
      <c r="P142" s="32">
        <f>VLOOKUP(Tabla3[[#This Row],[Site]],Table35[#All],6,FALSE)</f>
        <v>15</v>
      </c>
      <c r="Q142" s="32" t="str">
        <f>VLOOKUP(Tabla3[[#This Row],[Site]],Table35[#All],8,FALSE)</f>
        <v>194</v>
      </c>
    </row>
    <row r="143" spans="1:17" hidden="1" x14ac:dyDescent="0.25">
      <c r="A143" t="str">
        <f>+Tabla3[[#This Row],[Site]]&amp;Tabla3[[#This Row],[Split]]</f>
        <v>(TC) Lamborghini South Dade3</v>
      </c>
      <c r="B143">
        <v>3</v>
      </c>
      <c r="C143">
        <v>1</v>
      </c>
      <c r="D143" t="s">
        <v>234</v>
      </c>
      <c r="E143" t="str">
        <f>VLOOKUP(Tabla3[[#This Row],[Site]],Table35[],10,FALSE)</f>
        <v>9:00 P.M.</v>
      </c>
      <c r="F143" t="str">
        <f>VLOOKUP(Tabla3[[#This Row],[Site]],Table35[],11,FALSE)</f>
        <v>ET</v>
      </c>
      <c r="G143" t="str">
        <f>VLOOKUP(Tabla3[[#This Row],[Site]],Table35[],12,FALSE)</f>
        <v>5:00 A.M.</v>
      </c>
      <c r="H143" s="74" t="str">
        <f>HYPERLINK(VLOOKUP(Tabla3[[#This Row],[Site]],Table35[#All],9,FALSE))</f>
        <v>https://tools.sig.systems/site/details/313</v>
      </c>
      <c r="I143">
        <f>VLOOKUP(Tabla3[[#This Row],[Site]],Table35[],13,FALSE)</f>
        <v>0</v>
      </c>
      <c r="J143" t="str">
        <f>VLOOKUP(Tabla3[[#This Row],[Site]],Table35[],14,FALSE)</f>
        <v>-</v>
      </c>
      <c r="L143" s="32" t="str">
        <f>VLOOKUP(Tabla3[[#This Row],[Site]],Table35[#All],2,FALSE)</f>
        <v>-</v>
      </c>
      <c r="M143" s="32" t="str">
        <f>VLOOKUP(Tabla3[[#This Row],[Site]],Table35[#All],3,FALSE)</f>
        <v>9, 11</v>
      </c>
      <c r="N143" s="32" t="str">
        <f>VLOOKUP(Tabla3[[#This Row],[Site]],Table35[#All],4,FALSE)</f>
        <v>-</v>
      </c>
      <c r="O143" s="32" t="str">
        <f>VLOOKUP(Tabla3[[#This Row],[Site]],Table35[#All],5,FALSE)</f>
        <v>-</v>
      </c>
      <c r="P143" s="32" t="str">
        <f>VLOOKUP(Tabla3[[#This Row],[Site]],Table35[#All],6,FALSE)</f>
        <v>-</v>
      </c>
      <c r="Q143" s="32" t="str">
        <f>VLOOKUP(Tabla3[[#This Row],[Site]],Table35[#All],8,FALSE)</f>
        <v>313</v>
      </c>
    </row>
    <row r="144" spans="1:17" hidden="1" x14ac:dyDescent="0.25">
      <c r="A144" t="str">
        <f>+Tabla3[[#This Row],[Site]]&amp;Tabla3[[#This Row],[Split]]</f>
        <v>Mario Residence3</v>
      </c>
      <c r="B144">
        <v>3</v>
      </c>
      <c r="C144">
        <v>1</v>
      </c>
      <c r="D144" t="s">
        <v>100</v>
      </c>
      <c r="E144" t="str">
        <f>VLOOKUP(Tabla3[[#This Row],[Site]],Table35[],10,FALSE)</f>
        <v>24H</v>
      </c>
      <c r="F144" t="str">
        <f>VLOOKUP(Tabla3[[#This Row],[Site]],Table35[],11,FALSE)</f>
        <v>ET</v>
      </c>
      <c r="G144" t="str">
        <f>VLOOKUP(Tabla3[[#This Row],[Site]],Table35[],12,FALSE)</f>
        <v>-</v>
      </c>
      <c r="H144" s="74" t="str">
        <f>HYPERLINK(VLOOKUP(Tabla3[[#This Row],[Site]],Table35[#All],9,FALSE))</f>
        <v>https://tools.sig.systems/site/details/148</v>
      </c>
      <c r="I144" t="str">
        <f>VLOOKUP(Tabla3[[#This Row],[Site]],Table35[],13,FALSE)</f>
        <v>https://www.google.com/maps/d/edit?hl=es&amp;mid=13OmECPqyeB7fXgZmEoM9cnG34HU_v5g&amp;ll=26.046837034777553%2C-80.38753458591658&amp;z=19</v>
      </c>
      <c r="J144" t="str">
        <f>VLOOKUP(Tabla3[[#This Row],[Site]],Table35[],14,FALSE)</f>
        <v>-</v>
      </c>
      <c r="L144" s="32" t="str">
        <f>VLOOKUP(Tabla3[[#This Row],[Site]],Table35[#All],2,FALSE)</f>
        <v>7, 8</v>
      </c>
      <c r="M144" s="32" t="str">
        <f>VLOOKUP(Tabla3[[#This Row],[Site]],Table35[#All],3,FALSE)</f>
        <v>7, 8</v>
      </c>
      <c r="N144" s="32" t="str">
        <f>VLOOKUP(Tabla3[[#This Row],[Site]],Table35[#All],4,FALSE)</f>
        <v>-</v>
      </c>
      <c r="O144" s="32" t="str">
        <f>VLOOKUP(Tabla3[[#This Row],[Site]],Table35[#All],5,FALSE)</f>
        <v>-</v>
      </c>
      <c r="P144" s="32" t="str">
        <f>VLOOKUP(Tabla3[[#This Row],[Site]],Table35[#All],6,FALSE)</f>
        <v>4,12,13</v>
      </c>
      <c r="Q144" s="32">
        <v>199</v>
      </c>
    </row>
    <row r="145" spans="1:17" hidden="1" x14ac:dyDescent="0.25">
      <c r="A145" t="str">
        <f>+Tabla3[[#This Row],[Site]]&amp;Tabla3[[#This Row],[Split]]</f>
        <v>(AS) 3281 Storage Lot (NO TOURS)3</v>
      </c>
      <c r="B145">
        <v>3</v>
      </c>
      <c r="C145">
        <v>2</v>
      </c>
      <c r="D145" t="s">
        <v>374</v>
      </c>
      <c r="E145" t="str">
        <f>VLOOKUP(Tabla3[[#This Row],[Site]],Table35[],10,FALSE)</f>
        <v>10:00 P.M.</v>
      </c>
      <c r="F145" t="str">
        <f>VLOOKUP(Tabla3[[#This Row],[Site]],Table35[],11,FALSE)</f>
        <v>CT</v>
      </c>
      <c r="G145" t="str">
        <f>VLOOKUP(Tabla3[[#This Row],[Site]],Table35[],12,FALSE)</f>
        <v>6:00 A.M.</v>
      </c>
      <c r="H145" s="74" t="str">
        <f>HYPERLINK(VLOOKUP(Tabla3[[#This Row],[Site]],Table35[#All],9,FALSE))</f>
        <v>https://tools.sig.systems/site/details/305</v>
      </c>
      <c r="I145" t="str">
        <f>VLOOKUP(Tabla3[[#This Row],[Site]],Table35[],13,FALSE)</f>
        <v>https://www.google.com/maps/d/edit?hl=es&amp;mid=1uPmsRMsXnp74hPFW2t-sp2totVWF_xY&amp;ll=32.83050137713022%2C-96.83197783061323&amp;z=17</v>
      </c>
      <c r="J145" t="str">
        <f>VLOOKUP(Tabla3[[#This Row],[Site]],Table35[],14,FALSE)</f>
        <v>-</v>
      </c>
      <c r="L145" s="32" t="str">
        <f>VLOOKUP(Tabla3[[#This Row],[Site]],Table35[#All],2,FALSE)</f>
        <v>-</v>
      </c>
      <c r="M145" s="32" t="str">
        <f>VLOOKUP(Tabla3[[#This Row],[Site]],Table35[#All],3,FALSE)</f>
        <v>2, 14</v>
      </c>
      <c r="N145" s="32" t="str">
        <f>VLOOKUP(Tabla3[[#This Row],[Site]],Table35[#All],4,FALSE)</f>
        <v>-</v>
      </c>
      <c r="O145" s="32" t="str">
        <f>VLOOKUP(Tabla3[[#This Row],[Site]],Table35[#All],5,FALSE)</f>
        <v>-</v>
      </c>
      <c r="P145" s="32" t="str">
        <f>VLOOKUP(Tabla3[[#This Row],[Site]],Table35[#All],6,FALSE)</f>
        <v>1, 3, 9, 10, 14</v>
      </c>
      <c r="Q145" s="32">
        <f>VLOOKUP(Tabla3[[#This Row],[Site]],Table35[#All],8,FALSE)</f>
        <v>305</v>
      </c>
    </row>
    <row r="146" spans="1:17" hidden="1" x14ac:dyDescent="0.25">
      <c r="A146" t="str">
        <f>+Tabla3[[#This Row],[Site]]&amp;Tabla3[[#This Row],[Split]]</f>
        <v>(AS) Hare Chevrolet (NO TOURS)3</v>
      </c>
      <c r="B146">
        <v>3</v>
      </c>
      <c r="C146">
        <v>2</v>
      </c>
      <c r="D146" t="s">
        <v>376</v>
      </c>
      <c r="E146" t="str">
        <f>VLOOKUP(Tabla3[[#This Row],[Site]],Table35[],10,FALSE)</f>
        <v>9:00 P.M.</v>
      </c>
      <c r="F146" t="str">
        <f>VLOOKUP(Tabla3[[#This Row],[Site]],Table35[],11,FALSE)</f>
        <v>ET</v>
      </c>
      <c r="G146" t="str">
        <f>VLOOKUP(Tabla3[[#This Row],[Site]],Table35[],12,FALSE)</f>
        <v>5:00 A.M.</v>
      </c>
      <c r="H146" s="74" t="str">
        <f>HYPERLINK(VLOOKUP(Tabla3[[#This Row],[Site]],Table35[#All],9,FALSE))</f>
        <v>https://tools.sig.systems/site/details/301</v>
      </c>
      <c r="I146" t="str">
        <f>VLOOKUP(Tabla3[[#This Row],[Site]],Table35[],13,FALSE)</f>
        <v>https://www.google.com/maps/d/edit?mid=1hsX5GGrNcCQgAuzDCDz1OWgEkhsAc78&amp;usp=sharing</v>
      </c>
      <c r="J146" t="str">
        <f>VLOOKUP(Tabla3[[#This Row],[Site]],Table35[],14,FALSE)</f>
        <v>-</v>
      </c>
      <c r="L146" s="32" t="str">
        <f>VLOOKUP(Tabla3[[#This Row],[Site]],Table35[#All],2,FALSE)</f>
        <v>18, 24</v>
      </c>
      <c r="M146" s="32" t="str">
        <f>VLOOKUP(Tabla3[[#This Row],[Site]],Table35[#All],3,FALSE)</f>
        <v>2, 3</v>
      </c>
      <c r="N146" s="32" t="str">
        <f>VLOOKUP(Tabla3[[#This Row],[Site]],Table35[#All],4,FALSE)</f>
        <v>-</v>
      </c>
      <c r="O146" s="32">
        <f>VLOOKUP(Tabla3[[#This Row],[Site]],Table35[#All],5,FALSE)</f>
        <v>5</v>
      </c>
      <c r="P146" s="32" t="str">
        <f>VLOOKUP(Tabla3[[#This Row],[Site]],Table35[#All],6,FALSE)</f>
        <v>1, 5, 7, 8, 21, 29</v>
      </c>
      <c r="Q146" s="32" t="str">
        <f>VLOOKUP(Tabla3[[#This Row],[Site]],Table35[#All],8,FALSE)</f>
        <v>301</v>
      </c>
    </row>
    <row r="147" spans="1:17" hidden="1" x14ac:dyDescent="0.25">
      <c r="A147" t="str">
        <f>+Tabla3[[#This Row],[Site]]&amp;Tabla3[[#This Row],[Split]]</f>
        <v>(AS) Koons Baltimore Ford - Main Dealership (NO TOURS)3</v>
      </c>
      <c r="B147">
        <v>3</v>
      </c>
      <c r="C147">
        <v>2</v>
      </c>
      <c r="D147" t="s">
        <v>351</v>
      </c>
      <c r="E147" t="str">
        <f>VLOOKUP(Tabla3[[#This Row],[Site]],Table35[],10,FALSE)</f>
        <v>9:00 P.M.</v>
      </c>
      <c r="F147" t="str">
        <f>VLOOKUP(Tabla3[[#This Row],[Site]],Table35[],11,FALSE)</f>
        <v>ET</v>
      </c>
      <c r="G147" t="str">
        <f>VLOOKUP(Tabla3[[#This Row],[Site]],Table35[],12,FALSE)</f>
        <v>5:00 A.M.</v>
      </c>
      <c r="H147" s="74" t="str">
        <f>HYPERLINK(VLOOKUP(Tabla3[[#This Row],[Site]],Table35[#All],9,FALSE))</f>
        <v>https://tools.sig.systems/site/details/335</v>
      </c>
      <c r="I147" t="str">
        <f>VLOOKUP(Tabla3[[#This Row],[Site]],Table35[],13,FALSE)</f>
        <v>-</v>
      </c>
      <c r="J147" t="str">
        <f>VLOOKUP(Tabla3[[#This Row],[Site]],Table35[],14,FALSE)</f>
        <v>-</v>
      </c>
      <c r="L147" s="32" t="str">
        <f>VLOOKUP(Tabla3[[#This Row],[Site]],Table35[#All],2,FALSE)</f>
        <v>21, 22, 24, 32, 45</v>
      </c>
      <c r="M147" s="32">
        <f>VLOOKUP(Tabla3[[#This Row],[Site]],Table35[#All],3,FALSE)</f>
        <v>1</v>
      </c>
      <c r="N147" s="32" t="str">
        <f>VLOOKUP(Tabla3[[#This Row],[Site]],Table35[#All],4,FALSE)</f>
        <v>-</v>
      </c>
      <c r="O147" s="32" t="str">
        <f>VLOOKUP(Tabla3[[#This Row],[Site]],Table35[#All],5,FALSE)</f>
        <v>1, 8</v>
      </c>
      <c r="P147" s="32" t="str">
        <f>VLOOKUP(Tabla3[[#This Row],[Site]],Table35[#All],6,FALSE)</f>
        <v>5, 28, 38</v>
      </c>
      <c r="Q147" s="32">
        <v>335</v>
      </c>
    </row>
    <row r="148" spans="1:17" hidden="1" x14ac:dyDescent="0.25">
      <c r="A148" t="str">
        <f>+Tabla3[[#This Row],[Site]]&amp;Tabla3[[#This Row],[Split]]</f>
        <v>(AS) Koons Chevrolet Buick GMC - Clarksville Remote Lot (NO TOURS)3</v>
      </c>
      <c r="B148">
        <v>3</v>
      </c>
      <c r="C148">
        <v>2</v>
      </c>
      <c r="D148" t="s">
        <v>415</v>
      </c>
      <c r="E148" t="str">
        <f>VLOOKUP(Tabla3[[#This Row],[Site]],Table35[],10,FALSE)</f>
        <v>9:00 P.M.</v>
      </c>
      <c r="F148" t="str">
        <f>VLOOKUP(Tabla3[[#This Row],[Site]],Table35[],11,FALSE)</f>
        <v>ET</v>
      </c>
      <c r="G148" t="str">
        <f>VLOOKUP(Tabla3[[#This Row],[Site]],Table35[],12,FALSE)</f>
        <v>5:00 A.M.</v>
      </c>
      <c r="H148" s="74" t="str">
        <f>HYPERLINK(VLOOKUP(Tabla3[[#This Row],[Site]],Table35[#All],9,FALSE))</f>
        <v>https://tools.sig.systems/site/details/308</v>
      </c>
      <c r="I148" t="str">
        <f>VLOOKUP(Tabla3[[#This Row],[Site]],Table35[],13,FALSE)</f>
        <v>https://www.google.com/maps/d/edit?hl=es&amp;mid=11XB1lTSP7EcDCDvzypdUPWP6bWCNAEI&amp;ll=39.21145022420528%2C-76.94003711910554&amp;z=21</v>
      </c>
      <c r="J148" t="str">
        <f>VLOOKUP(Tabla3[[#This Row],[Site]],Table35[],14,FALSE)</f>
        <v>10:00 A.M.</v>
      </c>
      <c r="L148" s="32" t="str">
        <f>VLOOKUP(Tabla3[[#This Row],[Site]],Table35[#All],2,FALSE)</f>
        <v>-</v>
      </c>
      <c r="M148" s="32" t="str">
        <f>VLOOKUP(Tabla3[[#This Row],[Site]],Table35[#All],3,FALSE)</f>
        <v>1, 5</v>
      </c>
      <c r="N148" s="32" t="str">
        <f>VLOOKUP(Tabla3[[#This Row],[Site]],Table35[#All],4,FALSE)</f>
        <v>-</v>
      </c>
      <c r="O148" s="32" t="str">
        <f>VLOOKUP(Tabla3[[#This Row],[Site]],Table35[#All],5,FALSE)</f>
        <v>-</v>
      </c>
      <c r="P148" s="32" t="str">
        <f>VLOOKUP(Tabla3[[#This Row],[Site]],Table35[#All],6,FALSE)</f>
        <v>14, 16</v>
      </c>
      <c r="Q148" s="32" t="str">
        <f>VLOOKUP(Tabla3[[#This Row],[Site]],Table35[#All],8,FALSE)</f>
        <v>308</v>
      </c>
    </row>
    <row r="149" spans="1:17" hidden="1" x14ac:dyDescent="0.25">
      <c r="A149" t="str">
        <f>+Tabla3[[#This Row],[Site]]&amp;Tabla3[[#This Row],[Split]]</f>
        <v>(AS) Koons Chevrolet Buick GMC - Tysons Remote Lot (NO TOURS)3</v>
      </c>
      <c r="B149">
        <v>3</v>
      </c>
      <c r="C149">
        <v>2</v>
      </c>
      <c r="D149" t="s">
        <v>385</v>
      </c>
      <c r="E149" t="str">
        <f>VLOOKUP(Tabla3[[#This Row],[Site]],Table35[],10,FALSE)</f>
        <v>9:00 P.M.</v>
      </c>
      <c r="F149" t="str">
        <f>VLOOKUP(Tabla3[[#This Row],[Site]],Table35[],11,FALSE)</f>
        <v>ET</v>
      </c>
      <c r="G149" t="str">
        <f>VLOOKUP(Tabla3[[#This Row],[Site]],Table35[],12,FALSE)</f>
        <v>5:00 A.M.</v>
      </c>
      <c r="H149" s="74" t="str">
        <f>HYPERLINK(VLOOKUP(Tabla3[[#This Row],[Site]],Table35[#All],9,FALSE))</f>
        <v>https://tools.sig.systems/site/details/333</v>
      </c>
      <c r="I149" t="str">
        <f>VLOOKUP(Tabla3[[#This Row],[Site]],Table35[],13,FALSE)</f>
        <v>-</v>
      </c>
      <c r="J149" t="str">
        <f>VLOOKUP(Tabla3[[#This Row],[Site]],Table35[],14,FALSE)</f>
        <v>-</v>
      </c>
      <c r="L149" s="32" t="str">
        <f>VLOOKUP(Tabla3[[#This Row],[Site]],Table35[#All],2,FALSE)</f>
        <v>-</v>
      </c>
      <c r="M149" s="32">
        <f>VLOOKUP(Tabla3[[#This Row],[Site]],Table35[#All],3,FALSE)</f>
        <v>6</v>
      </c>
      <c r="N149" s="32" t="str">
        <f>VLOOKUP(Tabla3[[#This Row],[Site]],Table35[#All],4,FALSE)</f>
        <v>1, 2, 3</v>
      </c>
      <c r="O149" s="32" t="str">
        <f>VLOOKUP(Tabla3[[#This Row],[Site]],Table35[#All],5,FALSE)</f>
        <v>7, 10, 16, 29</v>
      </c>
      <c r="P149" s="32" t="str">
        <f>VLOOKUP(Tabla3[[#This Row],[Site]],Table35[#All],6,FALSE)</f>
        <v>14, 17, 30</v>
      </c>
      <c r="Q149" s="32" t="str">
        <f>VLOOKUP(Tabla3[[#This Row],[Site]],Table35[#All],8,FALSE)</f>
        <v>333</v>
      </c>
    </row>
    <row r="150" spans="1:17" hidden="1" x14ac:dyDescent="0.25">
      <c r="A150" t="str">
        <f>+Tabla3[[#This Row],[Site]]&amp;Tabla3[[#This Row],[Split]]</f>
        <v>(AS) Koons Falls Church Ford (NO TOURS)3</v>
      </c>
      <c r="B150">
        <v>3</v>
      </c>
      <c r="C150">
        <v>2</v>
      </c>
      <c r="D150" t="s">
        <v>388</v>
      </c>
      <c r="E150" t="str">
        <f>VLOOKUP(Tabla3[[#This Row],[Site]],Table35[],10,FALSE)</f>
        <v>9:00 P.M.</v>
      </c>
      <c r="F150" t="str">
        <f>VLOOKUP(Tabla3[[#This Row],[Site]],Table35[],11,FALSE)</f>
        <v>ET</v>
      </c>
      <c r="G150" t="str">
        <f>VLOOKUP(Tabla3[[#This Row],[Site]],Table35[],12,FALSE)</f>
        <v>5:00 A.M.</v>
      </c>
      <c r="H150" s="74" t="str">
        <f>HYPERLINK(VLOOKUP(Tabla3[[#This Row],[Site]],Table35[#All],9,FALSE))</f>
        <v>https://tools.sig.systems/site/details/345</v>
      </c>
      <c r="I150" t="str">
        <f>VLOOKUP(Tabla3[[#This Row],[Site]],Table35[],13,FALSE)</f>
        <v>-</v>
      </c>
      <c r="J150" t="str">
        <f>VLOOKUP(Tabla3[[#This Row],[Site]],Table35[],14,FALSE)</f>
        <v>10:00 A.M.</v>
      </c>
      <c r="L150" s="32" t="str">
        <f>VLOOKUP(Tabla3[[#This Row],[Site]],Table35[#All],2,FALSE)</f>
        <v>-</v>
      </c>
      <c r="M150" s="32">
        <f>VLOOKUP(Tabla3[[#This Row],[Site]],Table35[#All],3,FALSE)</f>
        <v>1</v>
      </c>
      <c r="N150" s="32" t="str">
        <f>VLOOKUP(Tabla3[[#This Row],[Site]],Table35[#All],4,FALSE)</f>
        <v>-</v>
      </c>
      <c r="O150" s="32" t="str">
        <f>VLOOKUP(Tabla3[[#This Row],[Site]],Table35[#All],5,FALSE)</f>
        <v>-</v>
      </c>
      <c r="P150" s="32" t="str">
        <f>VLOOKUP(Tabla3[[#This Row],[Site]],Table35[#All],6,FALSE)</f>
        <v>-</v>
      </c>
      <c r="Q150" s="32" t="str">
        <f>VLOOKUP(Tabla3[[#This Row],[Site]],Table35[#All],8,FALSE)</f>
        <v>345</v>
      </c>
    </row>
    <row r="151" spans="1:17" hidden="1" x14ac:dyDescent="0.25">
      <c r="A151" t="str">
        <f>+Tabla3[[#This Row],[Site]]&amp;Tabla3[[#This Row],[Split]]</f>
        <v>(AS) Koons Owings Mills Kia (NO TOURS)3</v>
      </c>
      <c r="B151">
        <v>3</v>
      </c>
      <c r="C151">
        <v>2</v>
      </c>
      <c r="D151" t="s">
        <v>416</v>
      </c>
      <c r="E151" t="str">
        <f>VLOOKUP(Tabla3[[#This Row],[Site]],Table35[],10,FALSE)</f>
        <v>9:00 P.M.</v>
      </c>
      <c r="F151" t="str">
        <f>VLOOKUP(Tabla3[[#This Row],[Site]],Table35[],11,FALSE)</f>
        <v>ET</v>
      </c>
      <c r="G151" t="str">
        <f>VLOOKUP(Tabla3[[#This Row],[Site]],Table35[],12,FALSE)</f>
        <v>5:00 A.M.</v>
      </c>
      <c r="H151" s="74" t="str">
        <f>HYPERLINK(VLOOKUP(Tabla3[[#This Row],[Site]],Table35[#All],9,FALSE))</f>
        <v>https://tools.sig.systems/site/details/336</v>
      </c>
      <c r="I151" t="str">
        <f>VLOOKUP(Tabla3[[#This Row],[Site]],Table35[],13,FALSE)</f>
        <v>-</v>
      </c>
      <c r="J151" t="str">
        <f>VLOOKUP(Tabla3[[#This Row],[Site]],Table35[],14,FALSE)</f>
        <v>-</v>
      </c>
      <c r="L151" s="32">
        <f>VLOOKUP(Tabla3[[#This Row],[Site]],Table35[#All],2,FALSE)</f>
        <v>12</v>
      </c>
      <c r="M151" s="32" t="str">
        <f>VLOOKUP(Tabla3[[#This Row],[Site]],Table35[#All],3,FALSE)</f>
        <v>2, 18</v>
      </c>
      <c r="N151" s="32" t="str">
        <f>VLOOKUP(Tabla3[[#This Row],[Site]],Table35[#All],4,FALSE)</f>
        <v>-</v>
      </c>
      <c r="O151" s="32" t="str">
        <f>VLOOKUP(Tabla3[[#This Row],[Site]],Table35[#All],5,FALSE)</f>
        <v>-</v>
      </c>
      <c r="P151" s="32" t="str">
        <f>VLOOKUP(Tabla3[[#This Row],[Site]],Table35[#All],6,FALSE)</f>
        <v>7, 14</v>
      </c>
      <c r="Q151" s="32">
        <v>336</v>
      </c>
    </row>
    <row r="152" spans="1:17" hidden="1" x14ac:dyDescent="0.25">
      <c r="A152" t="str">
        <f>+Tabla3[[#This Row],[Site]]&amp;Tabla3[[#This Row],[Split]]</f>
        <v>(AS) Koons Westminster Toyota (NO TOURS)3</v>
      </c>
      <c r="B152">
        <v>3</v>
      </c>
      <c r="C152">
        <v>2</v>
      </c>
      <c r="D152" t="s">
        <v>422</v>
      </c>
      <c r="E152" t="str">
        <f>VLOOKUP(Tabla3[[#This Row],[Site]],Table35[],10,FALSE)</f>
        <v>9:00 P.M.</v>
      </c>
      <c r="F152" t="str">
        <f>VLOOKUP(Tabla3[[#This Row],[Site]],Table35[],11,FALSE)</f>
        <v>ET</v>
      </c>
      <c r="G152" t="str">
        <f>VLOOKUP(Tabla3[[#This Row],[Site]],Table35[],12,FALSE)</f>
        <v>5:00 A.M.</v>
      </c>
      <c r="H152" s="74" t="str">
        <f>HYPERLINK(VLOOKUP(Tabla3[[#This Row],[Site]],Table35[#All],9,FALSE))</f>
        <v>https://tools.sig.systems/site/details/341</v>
      </c>
      <c r="I152" t="str">
        <f>VLOOKUP(Tabla3[[#This Row],[Site]],Table35[],13,FALSE)</f>
        <v>-</v>
      </c>
      <c r="J152" t="str">
        <f>VLOOKUP(Tabla3[[#This Row],[Site]],Table35[],14,FALSE)</f>
        <v>-</v>
      </c>
      <c r="L152" s="32" t="str">
        <f>VLOOKUP(Tabla3[[#This Row],[Site]],Table35[#All],2,FALSE)</f>
        <v>-</v>
      </c>
      <c r="M152" s="32" t="str">
        <f>VLOOKUP(Tabla3[[#This Row],[Site]],Table35[#All],3,FALSE)</f>
        <v>1, 7, 9, 18, 25</v>
      </c>
      <c r="N152" s="32" t="str">
        <f>VLOOKUP(Tabla3[[#This Row],[Site]],Table35[#All],4,FALSE)</f>
        <v>-</v>
      </c>
      <c r="O152" s="32" t="str">
        <f>VLOOKUP(Tabla3[[#This Row],[Site]],Table35[#All],5,FALSE)</f>
        <v>-</v>
      </c>
      <c r="P152" s="32" t="str">
        <f>VLOOKUP(Tabla3[[#This Row],[Site]],Table35[#All],6,FALSE)</f>
        <v>8, 14, 16</v>
      </c>
      <c r="Q152" s="32">
        <v>341</v>
      </c>
    </row>
    <row r="153" spans="1:17" hidden="1" x14ac:dyDescent="0.25">
      <c r="A153" t="str">
        <f>+Tabla3[[#This Row],[Site]]&amp;Tabla3[[#This Row],[Split]]</f>
        <v>(AS) Koons Woodbridge GMC (NO TOURS)3</v>
      </c>
      <c r="B153">
        <v>3</v>
      </c>
      <c r="C153">
        <v>2</v>
      </c>
      <c r="D153" t="s">
        <v>383</v>
      </c>
      <c r="E153" t="str">
        <f>VLOOKUP(Tabla3[[#This Row],[Site]],Table35[],10,FALSE)</f>
        <v>9:00 P.M.</v>
      </c>
      <c r="F153" t="str">
        <f>VLOOKUP(Tabla3[[#This Row],[Site]],Table35[],11,FALSE)</f>
        <v>ET</v>
      </c>
      <c r="G153" t="str">
        <f>VLOOKUP(Tabla3[[#This Row],[Site]],Table35[],12,FALSE)</f>
        <v>5:00 A.M.</v>
      </c>
      <c r="H153" s="74" t="str">
        <f>HYPERLINK(VLOOKUP(Tabla3[[#This Row],[Site]],Table35[#All],9,FALSE))</f>
        <v>https://tools.sig.systems/site/details/343</v>
      </c>
      <c r="I153">
        <f>VLOOKUP(Tabla3[[#This Row],[Site]],Table35[],13,FALSE)</f>
        <v>0</v>
      </c>
      <c r="J153" t="str">
        <f>VLOOKUP(Tabla3[[#This Row],[Site]],Table35[],14,FALSE)</f>
        <v>10:00 A.M.</v>
      </c>
      <c r="L153" s="32" t="str">
        <f>VLOOKUP(Tabla3[[#This Row],[Site]],Table35[#All],2,FALSE)</f>
        <v>-</v>
      </c>
      <c r="M153" s="32">
        <f>VLOOKUP(Tabla3[[#This Row],[Site]],Table35[#All],3,FALSE)</f>
        <v>1</v>
      </c>
      <c r="N153" s="32" t="str">
        <f>VLOOKUP(Tabla3[[#This Row],[Site]],Table35[#All],4,FALSE)</f>
        <v>-</v>
      </c>
      <c r="O153" s="32">
        <f>VLOOKUP(Tabla3[[#This Row],[Site]],Table35[#All],5,FALSE)</f>
        <v>11</v>
      </c>
      <c r="P153" s="32" t="str">
        <f>VLOOKUP(Tabla3[[#This Row],[Site]],Table35[#All],6,FALSE)</f>
        <v>2, 7</v>
      </c>
      <c r="Q153" s="32" t="str">
        <f>VLOOKUP(Tabla3[[#This Row],[Site]],Table35[#All],8,FALSE)</f>
        <v>343</v>
      </c>
    </row>
    <row r="154" spans="1:17" hidden="1" x14ac:dyDescent="0.25">
      <c r="A154" t="str">
        <f>+Tabla3[[#This Row],[Site]]&amp;Tabla3[[#This Row],[Split]]</f>
        <v>(AS) Koons Woodbridge Hyundai (NO TOURS)3</v>
      </c>
      <c r="B154">
        <v>3</v>
      </c>
      <c r="C154">
        <v>2</v>
      </c>
      <c r="D154" t="s">
        <v>406</v>
      </c>
      <c r="E154" t="str">
        <f>VLOOKUP(Tabla3[[#This Row],[Site]],Table35[],10,FALSE)</f>
        <v>9:00 P.M.</v>
      </c>
      <c r="F154" t="str">
        <f>VLOOKUP(Tabla3[[#This Row],[Site]],Table35[],11,FALSE)</f>
        <v>ET</v>
      </c>
      <c r="G154" t="str">
        <f>VLOOKUP(Tabla3[[#This Row],[Site]],Table35[],12,FALSE)</f>
        <v>5:00 A.M.</v>
      </c>
      <c r="H154" s="74" t="str">
        <f>HYPERLINK(VLOOKUP(Tabla3[[#This Row],[Site]],Table35[#All],9,FALSE))</f>
        <v>https://tools.sig.systems/site/details/347</v>
      </c>
      <c r="I154" t="str">
        <f>VLOOKUP(Tabla3[[#This Row],[Site]],Table35[],13,FALSE)</f>
        <v>-</v>
      </c>
      <c r="J154" t="str">
        <f>VLOOKUP(Tabla3[[#This Row],[Site]],Table35[],14,FALSE)</f>
        <v>8:00 A.M.</v>
      </c>
      <c r="L154" s="32" t="str">
        <f>VLOOKUP(Tabla3[[#This Row],[Site]],Table35[#All],2,FALSE)</f>
        <v>-</v>
      </c>
      <c r="M154" s="32" t="str">
        <f>VLOOKUP(Tabla3[[#This Row],[Site]],Table35[#All],3,FALSE)</f>
        <v>1, 17</v>
      </c>
      <c r="N154" s="32" t="str">
        <f>VLOOKUP(Tabla3[[#This Row],[Site]],Table35[#All],4,FALSE)</f>
        <v>-</v>
      </c>
      <c r="O154" s="32" t="str">
        <f>VLOOKUP(Tabla3[[#This Row],[Site]],Table35[#All],5,FALSE)</f>
        <v>-</v>
      </c>
      <c r="P154" s="32" t="str">
        <f>VLOOKUP(Tabla3[[#This Row],[Site]],Table35[#All],6,FALSE)</f>
        <v>4, 14, 22</v>
      </c>
      <c r="Q154" s="32" t="str">
        <f>VLOOKUP(Tabla3[[#This Row],[Site]],Table35[#All],8,FALSE)</f>
        <v>347</v>
      </c>
    </row>
    <row r="155" spans="1:17" hidden="1" x14ac:dyDescent="0.25">
      <c r="A155" t="str">
        <f>+Tabla3[[#This Row],[Site]]&amp;Tabla3[[#This Row],[Split]]</f>
        <v>(BRL) Shoemakersville3</v>
      </c>
      <c r="B155">
        <v>3</v>
      </c>
      <c r="C155">
        <v>2</v>
      </c>
      <c r="D155" t="s">
        <v>119</v>
      </c>
      <c r="E155" t="str">
        <f>VLOOKUP(Tabla3[[#This Row],[Site]],Table35[],10,FALSE)</f>
        <v>24H</v>
      </c>
      <c r="F155" t="str">
        <f>VLOOKUP(Tabla3[[#This Row],[Site]],Table35[],11,FALSE)</f>
        <v>ET</v>
      </c>
      <c r="G155" t="str">
        <f>VLOOKUP(Tabla3[[#This Row],[Site]],Table35[],12,FALSE)</f>
        <v>-</v>
      </c>
      <c r="H155" s="74" t="str">
        <f>HYPERLINK(VLOOKUP(Tabla3[[#This Row],[Site]],Table35[#All],9,FALSE))</f>
        <v>https://tools.sig.systems/site/details/302</v>
      </c>
      <c r="I155">
        <f>VLOOKUP(Tabla3[[#This Row],[Site]],Table35[],13,FALSE)</f>
        <v>0</v>
      </c>
      <c r="J155" t="str">
        <f>VLOOKUP(Tabla3[[#This Row],[Site]],Table35[],14,FALSE)</f>
        <v>-</v>
      </c>
      <c r="L155" s="32" t="str">
        <f>VLOOKUP(Tabla3[[#This Row],[Site]],Table35[#All],2,FALSE)</f>
        <v>-</v>
      </c>
      <c r="M155" s="32" t="str">
        <f>VLOOKUP(Tabla3[[#This Row],[Site]],Table35[#All],3,FALSE)</f>
        <v>8, 11</v>
      </c>
      <c r="N155" s="32" t="str">
        <f>VLOOKUP(Tabla3[[#This Row],[Site]],Table35[#All],4,FALSE)</f>
        <v>-</v>
      </c>
      <c r="O155" s="32" t="str">
        <f>VLOOKUP(Tabla3[[#This Row],[Site]],Table35[#All],5,FALSE)</f>
        <v>1, 6, 13A, 15, 18A</v>
      </c>
      <c r="P155" s="32" t="str">
        <f>VLOOKUP(Tabla3[[#This Row],[Site]],Table35[#All],6,FALSE)</f>
        <v>13B, 23</v>
      </c>
      <c r="Q155" s="32" t="str">
        <f>VLOOKUP(Tabla3[[#This Row],[Site]],Table35[#All],8,FALSE)</f>
        <v>302</v>
      </c>
    </row>
    <row r="156" spans="1:17" hidden="1" x14ac:dyDescent="0.25">
      <c r="A156" t="str">
        <f>+Tabla3[[#This Row],[Site]]&amp;Tabla3[[#This Row],[Split]]</f>
        <v>(KG) Big Star Cadillac3</v>
      </c>
      <c r="B156">
        <v>3</v>
      </c>
      <c r="C156">
        <v>2</v>
      </c>
      <c r="D156" t="s">
        <v>237</v>
      </c>
      <c r="E156" t="str">
        <f>VLOOKUP(Tabla3[[#This Row],[Site]],Table35[],10,FALSE)</f>
        <v>10:00 P.M.</v>
      </c>
      <c r="F156" t="str">
        <f>VLOOKUP(Tabla3[[#This Row],[Site]],Table35[],11,FALSE)</f>
        <v>CT</v>
      </c>
      <c r="G156" t="str">
        <f>VLOOKUP(Tabla3[[#This Row],[Site]],Table35[],12,FALSE)</f>
        <v>6:00 A.M.</v>
      </c>
      <c r="H156" s="74" t="str">
        <f>HYPERLINK(VLOOKUP(Tabla3[[#This Row],[Site]],Table35[#All],9,FALSE))</f>
        <v>https://tools.sig.systems/site/details/316</v>
      </c>
      <c r="I156" t="str">
        <f>VLOOKUP(Tabla3[[#This Row],[Site]],Table35[],13,FALSE)</f>
        <v>https://www.google.com/maps/d/edit?mid=1jIRkMUnWNPuTgDjQgDP-f33LClT85NU&amp;usp=sharing</v>
      </c>
      <c r="J156" t="str">
        <f>VLOOKUP(Tabla3[[#This Row],[Site]],Table35[],14,FALSE)</f>
        <v>-</v>
      </c>
      <c r="L156" s="32" t="str">
        <f>VLOOKUP(Tabla3[[#This Row],[Site]],Table35[#All],2,FALSE)</f>
        <v>1, 4, 16</v>
      </c>
      <c r="M156" s="32" t="str">
        <f>VLOOKUP(Tabla3[[#This Row],[Site]],Table35[#All],3,FALSE)</f>
        <v>-</v>
      </c>
      <c r="N156" s="32" t="str">
        <f>VLOOKUP(Tabla3[[#This Row],[Site]],Table35[#All],4,FALSE)</f>
        <v>-</v>
      </c>
      <c r="O156" s="32" t="str">
        <f>VLOOKUP(Tabla3[[#This Row],[Site]],Table35[#All],5,FALSE)</f>
        <v>-</v>
      </c>
      <c r="P156" s="32" t="str">
        <f>VLOOKUP(Tabla3[[#This Row],[Site]],Table35[#All],6,FALSE)</f>
        <v>15, 16, 19, 20</v>
      </c>
      <c r="Q156" s="32" t="str">
        <f>VLOOKUP(Tabla3[[#This Row],[Site]],Table35[#All],8,FALSE)</f>
        <v>316</v>
      </c>
    </row>
    <row r="157" spans="1:17" hidden="1" x14ac:dyDescent="0.25">
      <c r="A157" t="str">
        <f>+Tabla3[[#This Row],[Site]]&amp;Tabla3[[#This Row],[Split]]</f>
        <v>(KG) Ken Garff Kia of Avondale3</v>
      </c>
      <c r="B157">
        <v>3</v>
      </c>
      <c r="C157">
        <v>2</v>
      </c>
      <c r="D157" t="s">
        <v>297</v>
      </c>
      <c r="E157" t="str">
        <f>VLOOKUP(Tabla3[[#This Row],[Site]],Table35[],10,FALSE)</f>
        <v>12:00 A.M.</v>
      </c>
      <c r="F157" t="str">
        <f>VLOOKUP(Tabla3[[#This Row],[Site]],Table35[],11,FALSE)</f>
        <v>MST</v>
      </c>
      <c r="G157" t="str">
        <f>VLOOKUP(Tabla3[[#This Row],[Site]],Table35[],12,FALSE)</f>
        <v>8:00 A.M.</v>
      </c>
      <c r="H157" s="74" t="str">
        <f>HYPERLINK(VLOOKUP(Tabla3[[#This Row],[Site]],Table35[#All],9,FALSE))</f>
        <v>https://tools.sig.systems/site/details/283</v>
      </c>
      <c r="I157" t="str">
        <f>VLOOKUP(Tabla3[[#This Row],[Site]],Table35[],13,FALSE)</f>
        <v>https://www.google.com/maps/d/viewer?mid=1bDs0QGFZwL3vEeGKxjVMk_j4azr0-lg&amp;ll=33.4593758581648%2C-112.28793780000001&amp;z=18</v>
      </c>
      <c r="J157" t="str">
        <f>VLOOKUP(Tabla3[[#This Row],[Site]],Table35[],14,FALSE)</f>
        <v>12:00 P.M.</v>
      </c>
      <c r="L157" s="32" t="str">
        <f>VLOOKUP(Tabla3[[#This Row],[Site]],Table35[#All],2,FALSE)</f>
        <v>5, 19</v>
      </c>
      <c r="M157" s="32" t="str">
        <f>VLOOKUP(Tabla3[[#This Row],[Site]],Table35[#All],3,FALSE)</f>
        <v>-</v>
      </c>
      <c r="N157" s="32" t="str">
        <f>VLOOKUP(Tabla3[[#This Row],[Site]],Table35[#All],4,FALSE)</f>
        <v>-</v>
      </c>
      <c r="O157" s="32" t="str">
        <f>VLOOKUP(Tabla3[[#This Row],[Site]],Table35[#All],5,FALSE)</f>
        <v>3, 5</v>
      </c>
      <c r="P157" s="32" t="str">
        <f>VLOOKUP(Tabla3[[#This Row],[Site]],Table35[#All],6,FALSE)</f>
        <v>1, 6, 7, 12, 15, 17, 21</v>
      </c>
      <c r="Q157" s="32" t="str">
        <f>VLOOKUP(Tabla3[[#This Row],[Site]],Table35[#All],8,FALSE)</f>
        <v>283</v>
      </c>
    </row>
    <row r="158" spans="1:17" hidden="1" x14ac:dyDescent="0.25">
      <c r="A158" t="str">
        <f>+Tabla3[[#This Row],[Site]]&amp;Tabla3[[#This Row],[Split]]</f>
        <v>(LT) Luther Bloomington Subaru - Acura3</v>
      </c>
      <c r="B158">
        <v>3</v>
      </c>
      <c r="C158">
        <v>2</v>
      </c>
      <c r="D158" t="s">
        <v>123</v>
      </c>
      <c r="E158" t="str">
        <f>VLOOKUP(Tabla3[[#This Row],[Site]],Table35[],10,FALSE)</f>
        <v>9:30 P.M.</v>
      </c>
      <c r="F158" t="str">
        <f>VLOOKUP(Tabla3[[#This Row],[Site]],Table35[],11,FALSE)</f>
        <v>CT</v>
      </c>
      <c r="G158" t="str">
        <f>VLOOKUP(Tabla3[[#This Row],[Site]],Table35[],12,FALSE)</f>
        <v>4:00 A.M.</v>
      </c>
      <c r="H158" s="74" t="str">
        <f>HYPERLINK(VLOOKUP(Tabla3[[#This Row],[Site]],Table35[#All],9,FALSE))</f>
        <v>https://tools.sig.systems/site/details/289</v>
      </c>
      <c r="I158">
        <f>VLOOKUP(Tabla3[[#This Row],[Site]],Table35[],13,FALSE)</f>
        <v>0</v>
      </c>
      <c r="J158" t="str">
        <f>VLOOKUP(Tabla3[[#This Row],[Site]],Table35[],14,FALSE)</f>
        <v>-</v>
      </c>
      <c r="L158" s="32">
        <f>VLOOKUP(Tabla3[[#This Row],[Site]],Table35[#All],2,FALSE)</f>
        <v>29</v>
      </c>
      <c r="M158" s="32" t="str">
        <f>VLOOKUP(Tabla3[[#This Row],[Site]],Table35[#All],3,FALSE)</f>
        <v>5, 8, 33</v>
      </c>
      <c r="N158" s="32" t="str">
        <f>VLOOKUP(Tabla3[[#This Row],[Site]],Table35[#All],4,FALSE)</f>
        <v>4, 7, 35</v>
      </c>
      <c r="O158" s="32" t="str">
        <f>VLOOKUP(Tabla3[[#This Row],[Site]],Table35[#All],5,FALSE)</f>
        <v>-</v>
      </c>
      <c r="P158" s="32" t="str">
        <f>VLOOKUP(Tabla3[[#This Row],[Site]],Table35[#All],6,FALSE)</f>
        <v xml:space="preserve">1, 2, 14, 24, 34  </v>
      </c>
      <c r="Q158" s="32" t="str">
        <f>VLOOKUP(Tabla3[[#This Row],[Site]],Table35[#All],8,FALSE)</f>
        <v>289</v>
      </c>
    </row>
    <row r="159" spans="1:17" hidden="1" x14ac:dyDescent="0.25">
      <c r="A159" t="str">
        <f>+Tabla3[[#This Row],[Site]]&amp;Tabla3[[#This Row],[Split]]</f>
        <v>(LT) Luther Brookdale Honda (NO TOURS)3</v>
      </c>
      <c r="B159">
        <v>3</v>
      </c>
      <c r="C159">
        <v>2</v>
      </c>
      <c r="D159" t="s">
        <v>271</v>
      </c>
      <c r="E159" t="str">
        <f>VLOOKUP(Tabla3[[#This Row],[Site]],Table35[],10,FALSE)</f>
        <v>10:00 P.M.</v>
      </c>
      <c r="F159" t="str">
        <f>VLOOKUP(Tabla3[[#This Row],[Site]],Table35[],11,FALSE)</f>
        <v>CT</v>
      </c>
      <c r="G159" t="str">
        <f>VLOOKUP(Tabla3[[#This Row],[Site]],Table35[],12,FALSE)</f>
        <v>6:00 A.M.</v>
      </c>
      <c r="H159" s="74" t="str">
        <f>HYPERLINK(VLOOKUP(Tabla3[[#This Row],[Site]],Table35[#All],9,FALSE))</f>
        <v>https://tools.sig.systems/site/details/280</v>
      </c>
      <c r="I159" t="str">
        <f>VLOOKUP(Tabla3[[#This Row],[Site]],Table35[],13,FALSE)</f>
        <v>https://www.google.com/maps/d/viewer?mid=1ot0ILX76JMuvd9yMuqkb4_e0yH1n7TA&amp;ll=45.07815812965141%2C-93.33506855000002&amp;z=17</v>
      </c>
      <c r="J159" t="str">
        <f>VLOOKUP(Tabla3[[#This Row],[Site]],Table35[],14,FALSE)</f>
        <v>-</v>
      </c>
      <c r="L159" s="32" t="str">
        <f>VLOOKUP(Tabla3[[#This Row],[Site]],Table35[#All],2,FALSE)</f>
        <v>-</v>
      </c>
      <c r="M159" s="32" t="str">
        <f>VLOOKUP(Tabla3[[#This Row],[Site]],Table35[#All],3,FALSE)</f>
        <v>1, 21</v>
      </c>
      <c r="N159" s="32" t="str">
        <f>VLOOKUP(Tabla3[[#This Row],[Site]],Table35[#All],4,FALSE)</f>
        <v>38, 39, 40</v>
      </c>
      <c r="O159" s="32" t="str">
        <f>VLOOKUP(Tabla3[[#This Row],[Site]],Table35[#All],5,FALSE)</f>
        <v>2, 10, 19</v>
      </c>
      <c r="P159" s="32" t="str">
        <f>VLOOKUP(Tabla3[[#This Row],[Site]],Table35[#All],6,FALSE)</f>
        <v>4, 5, 7, 11, 13, 20, 24, 36</v>
      </c>
      <c r="Q159" s="32" t="str">
        <f>VLOOKUP(Tabla3[[#This Row],[Site]],Table35[#All],8,FALSE)</f>
        <v>280</v>
      </c>
    </row>
    <row r="160" spans="1:17" hidden="1" x14ac:dyDescent="0.25">
      <c r="A160" t="str">
        <f>+Tabla3[[#This Row],[Site]]&amp;Tabla3[[#This Row],[Split]]</f>
        <v>(LT) Luther Genesis of Minneapolis3</v>
      </c>
      <c r="B160">
        <v>3</v>
      </c>
      <c r="C160">
        <v>2</v>
      </c>
      <c r="D160" t="s">
        <v>260</v>
      </c>
      <c r="E160" t="str">
        <f>VLOOKUP(Tabla3[[#This Row],[Site]],Table35[],10,FALSE)</f>
        <v>10:00 P.M.</v>
      </c>
      <c r="F160" t="str">
        <f>VLOOKUP(Tabla3[[#This Row],[Site]],Table35[],11,FALSE)</f>
        <v>CT</v>
      </c>
      <c r="G160" t="str">
        <f>VLOOKUP(Tabla3[[#This Row],[Site]],Table35[],12,FALSE)</f>
        <v>6:00 A.M.</v>
      </c>
      <c r="H160" s="74" t="str">
        <f>HYPERLINK(VLOOKUP(Tabla3[[#This Row],[Site]],Table35[#All],9,FALSE))</f>
        <v>https://tools.sig.systems/site/details/315</v>
      </c>
      <c r="I160">
        <f>VLOOKUP(Tabla3[[#This Row],[Site]],Table35[],13,FALSE)</f>
        <v>0</v>
      </c>
      <c r="J160" t="str">
        <f>VLOOKUP(Tabla3[[#This Row],[Site]],Table35[],14,FALSE)</f>
        <v>-</v>
      </c>
      <c r="L160" s="32" t="str">
        <f>VLOOKUP(Tabla3[[#This Row],[Site]],Table35[#All],2,FALSE)</f>
        <v>-</v>
      </c>
      <c r="M160" s="32" t="str">
        <f>VLOOKUP(Tabla3[[#This Row],[Site]],Table35[#All],3,FALSE)</f>
        <v>1,2,3,18</v>
      </c>
      <c r="N160" s="32" t="str">
        <f>VLOOKUP(Tabla3[[#This Row],[Site]],Table35[#All],4,FALSE)</f>
        <v>-</v>
      </c>
      <c r="O160" s="32" t="str">
        <f>VLOOKUP(Tabla3[[#This Row],[Site]],Table35[#All],5,FALSE)</f>
        <v>-</v>
      </c>
      <c r="P160" s="32" t="str">
        <f>VLOOKUP(Tabla3[[#This Row],[Site]],Table35[#All],6,FALSE)</f>
        <v>1,2,3,5,16,18</v>
      </c>
      <c r="Q160" s="32" t="str">
        <f>VLOOKUP(Tabla3[[#This Row],[Site]],Table35[#All],8,FALSE)</f>
        <v>315</v>
      </c>
    </row>
    <row r="161" spans="1:17" hidden="1" x14ac:dyDescent="0.25">
      <c r="A161" t="str">
        <f>+Tabla3[[#This Row],[Site]]&amp;Tabla3[[#This Row],[Split]]</f>
        <v>(PE) JLR Englewood (NO TOURS)3</v>
      </c>
      <c r="B161">
        <v>3</v>
      </c>
      <c r="C161">
        <v>2</v>
      </c>
      <c r="D161" t="s">
        <v>216</v>
      </c>
      <c r="E161" t="str">
        <f>VLOOKUP(Tabla3[[#This Row],[Site]],Table35[],10,FALSE)</f>
        <v>8:00 P.M.</v>
      </c>
      <c r="F161" t="str">
        <f>VLOOKUP(Tabla3[[#This Row],[Site]],Table35[],11,FALSE)</f>
        <v>ET</v>
      </c>
      <c r="G161" t="str">
        <f>VLOOKUP(Tabla3[[#This Row],[Site]],Table35[],12,FALSE)</f>
        <v>5:00 A.M.</v>
      </c>
      <c r="H161" s="74" t="str">
        <f>HYPERLINK(VLOOKUP(Tabla3[[#This Row],[Site]],Table35[#All],9,FALSE))</f>
        <v>https://tools.sig.systems/site/details/178</v>
      </c>
      <c r="I161" t="str">
        <f>VLOOKUP(Tabla3[[#This Row],[Site]],Table35[],13,FALSE)</f>
        <v>https://www.google.com/maps/d/viewer?mid=1ubI2iKs1JyYXssuT4oLPnVvFnyLPi_s&amp;ll=40.878808846788026%2C-73.98560655&amp;z=17</v>
      </c>
      <c r="J161" t="str">
        <f>VLOOKUP(Tabla3[[#This Row],[Site]],Table35[],14,FALSE)</f>
        <v>-</v>
      </c>
      <c r="L161" s="32" t="str">
        <f>VLOOKUP(Tabla3[[#This Row],[Site]],Table35[#All],2,FALSE)</f>
        <v>1, 2</v>
      </c>
      <c r="M161" s="32" t="str">
        <f>VLOOKUP(Tabla3[[#This Row],[Site]],Table35[#All],3,FALSE)</f>
        <v>-</v>
      </c>
      <c r="N161" s="32" t="str">
        <f>VLOOKUP(Tabla3[[#This Row],[Site]],Table35[#All],4,FALSE)</f>
        <v>-</v>
      </c>
      <c r="O161" s="32" t="str">
        <f>VLOOKUP(Tabla3[[#This Row],[Site]],Table35[#All],5,FALSE)</f>
        <v>-</v>
      </c>
      <c r="P161" s="32" t="str">
        <f>VLOOKUP(Tabla3[[#This Row],[Site]],Table35[#All],6,FALSE)</f>
        <v>-</v>
      </c>
      <c r="Q161" s="32" t="str">
        <f>VLOOKUP(Tabla3[[#This Row],[Site]],Table35[#All],8,FALSE)</f>
        <v>178</v>
      </c>
    </row>
    <row r="162" spans="1:17" hidden="1" x14ac:dyDescent="0.25">
      <c r="A162" t="str">
        <f>+Tabla3[[#This Row],[Site]]&amp;Tabla3[[#This Row],[Split]]</f>
        <v>(SCH) Schumacher of Delray I &amp; III3</v>
      </c>
      <c r="B162">
        <v>3</v>
      </c>
      <c r="C162">
        <v>2</v>
      </c>
      <c r="D162" t="s">
        <v>387</v>
      </c>
      <c r="E162" t="str">
        <f>VLOOKUP(Tabla3[[#This Row],[Site]],Table35[],10,FALSE)</f>
        <v>9:00 P.M.</v>
      </c>
      <c r="F162" t="str">
        <f>VLOOKUP(Tabla3[[#This Row],[Site]],Table35[],11,FALSE)</f>
        <v>ET</v>
      </c>
      <c r="G162" t="str">
        <f>VLOOKUP(Tabla3[[#This Row],[Site]],Table35[],12,FALSE)</f>
        <v>5:00 A.M.</v>
      </c>
      <c r="H162" s="74" t="str">
        <f>HYPERLINK(VLOOKUP(Tabla3[[#This Row],[Site]],Table35[#All],9,FALSE))</f>
        <v>https://tools.sig.systems/site/details/159</v>
      </c>
      <c r="I162" t="str">
        <f>VLOOKUP(Tabla3[[#This Row],[Site]],Table35[],13,FALSE)</f>
        <v>https://www.google.com/maps/d/viewer?mid=1ZLGV-cDM9aCfovhmXHIAXgVOKts0dEI&amp;ll=26.438859950088858%2C-80.07968125000001&amp;z=16</v>
      </c>
      <c r="J162" t="str">
        <f>VLOOKUP(Tabla3[[#This Row],[Site]],Table35[],14,FALSE)</f>
        <v>11:00 A.M.</v>
      </c>
      <c r="L162" s="32" t="str">
        <f>VLOOKUP(Tabla3[[#This Row],[Site]],Table35[#All],2,FALSE)</f>
        <v>11, 21, 22, 57, 69</v>
      </c>
      <c r="M162" s="32" t="str">
        <f>VLOOKUP(Tabla3[[#This Row],[Site]],Table35[#All],3,FALSE)</f>
        <v>2, 16, 46</v>
      </c>
      <c r="N162" s="32" t="str">
        <f>VLOOKUP(Tabla3[[#This Row],[Site]],Table35[#All],4,FALSE)</f>
        <v>-</v>
      </c>
      <c r="O162" s="32" t="str">
        <f>VLOOKUP(Tabla3[[#This Row],[Site]],Table35[#All],5,FALSE)</f>
        <v>-</v>
      </c>
      <c r="P162" s="32" t="str">
        <f>VLOOKUP(Tabla3[[#This Row],[Site]],Table35[#All],6,FALSE)</f>
        <v>24, 39</v>
      </c>
      <c r="Q162" s="32" t="str">
        <f>VLOOKUP(Tabla3[[#This Row],[Site]],Table35[#All],8,FALSE)</f>
        <v>159</v>
      </c>
    </row>
    <row r="163" spans="1:17" hidden="1" x14ac:dyDescent="0.25">
      <c r="A163" t="str">
        <f>+Tabla3[[#This Row],[Site]]&amp;Tabla3[[#This Row],[Split]]</f>
        <v>(AS) Coggin Honda of Orlando (NO TOURS)3</v>
      </c>
      <c r="B163">
        <v>3</v>
      </c>
      <c r="C163">
        <v>3</v>
      </c>
      <c r="D163" t="s">
        <v>375</v>
      </c>
      <c r="E163" t="str">
        <f>VLOOKUP(Tabla3[[#This Row],[Site]],Table35[],10,FALSE)</f>
        <v>9:00 P.M.</v>
      </c>
      <c r="F163" t="str">
        <f>VLOOKUP(Tabla3[[#This Row],[Site]],Table35[],11,FALSE)</f>
        <v>ET</v>
      </c>
      <c r="G163" t="str">
        <f>VLOOKUP(Tabla3[[#This Row],[Site]],Table35[],12,FALSE)</f>
        <v>5:00 A.M.</v>
      </c>
      <c r="H163" s="74" t="str">
        <f>HYPERLINK(VLOOKUP(Tabla3[[#This Row],[Site]],Table35[#All],9,FALSE))</f>
        <v>https://tools.sig.systems/site/details/324</v>
      </c>
      <c r="I163">
        <f>VLOOKUP(Tabla3[[#This Row],[Site]],Table35[],13,FALSE)</f>
        <v>0</v>
      </c>
      <c r="J163" t="str">
        <f>VLOOKUP(Tabla3[[#This Row],[Site]],Table35[],14,FALSE)</f>
        <v>11:00 A.M.</v>
      </c>
      <c r="L163" s="32" t="str">
        <f>VLOOKUP(Tabla3[[#This Row],[Site]],Table35[#All],2,FALSE)</f>
        <v>2, 10, 12B, 14, 38</v>
      </c>
      <c r="M163" s="32" t="str">
        <f>VLOOKUP(Tabla3[[#This Row],[Site]],Table35[#All],3,FALSE)</f>
        <v>-</v>
      </c>
      <c r="N163" s="32" t="str">
        <f>VLOOKUP(Tabla3[[#This Row],[Site]],Table35[#All],4,FALSE)</f>
        <v>-</v>
      </c>
      <c r="O163" s="32" t="str">
        <f>VLOOKUP(Tabla3[[#This Row],[Site]],Table35[#All],5,FALSE)</f>
        <v>12, 31</v>
      </c>
      <c r="P163" s="32" t="str">
        <f>VLOOKUP(Tabla3[[#This Row],[Site]],Table35[#All],6,FALSE)</f>
        <v>12B, 26, 37, 19</v>
      </c>
      <c r="Q163" s="32" t="str">
        <f>VLOOKUP(Tabla3[[#This Row],[Site]],Table35[#All],8,FALSE)</f>
        <v>324</v>
      </c>
    </row>
    <row r="164" spans="1:17" hidden="1" x14ac:dyDescent="0.25">
      <c r="A164" t="str">
        <f>+Tabla3[[#This Row],[Site]]&amp;Tabla3[[#This Row],[Split]]</f>
        <v>(AS) Hare Truck Center (NO TOURS)3</v>
      </c>
      <c r="B164">
        <v>3</v>
      </c>
      <c r="C164">
        <v>3</v>
      </c>
      <c r="D164" t="s">
        <v>377</v>
      </c>
      <c r="E164" t="str">
        <f>VLOOKUP(Tabla3[[#This Row],[Site]],Table35[],10,FALSE)</f>
        <v>9:00 P.M.</v>
      </c>
      <c r="F164" t="str">
        <f>VLOOKUP(Tabla3[[#This Row],[Site]],Table35[],11,FALSE)</f>
        <v>ET</v>
      </c>
      <c r="G164" t="str">
        <f>VLOOKUP(Tabla3[[#This Row],[Site]],Table35[],12,FALSE)</f>
        <v>5:00 A.M.</v>
      </c>
      <c r="H164" s="74" t="str">
        <f>HYPERLINK(VLOOKUP(Tabla3[[#This Row],[Site]],Table35[#All],9,FALSE))</f>
        <v>https://tools.sig.systems/site/details/300</v>
      </c>
      <c r="I164" t="str">
        <f>VLOOKUP(Tabla3[[#This Row],[Site]],Table35[],13,FALSE)</f>
        <v>https://www.google.com/maps/d/edit?mid=1hsX5GGrNcCQgAuzDCDz1OWgEkhsAc78&amp;usp=sharing</v>
      </c>
      <c r="J164" t="str">
        <f>VLOOKUP(Tabla3[[#This Row],[Site]],Table35[],14,FALSE)</f>
        <v>-</v>
      </c>
      <c r="L164" s="32" t="str">
        <f>VLOOKUP(Tabla3[[#This Row],[Site]],Table35[#All],2,FALSE)</f>
        <v>-</v>
      </c>
      <c r="M164" s="32" t="str">
        <f>VLOOKUP(Tabla3[[#This Row],[Site]],Table35[#All],3,FALSE)</f>
        <v>1, 5</v>
      </c>
      <c r="N164" s="32" t="str">
        <f>VLOOKUP(Tabla3[[#This Row],[Site]],Table35[#All],4,FALSE)</f>
        <v>-</v>
      </c>
      <c r="O164" s="32" t="str">
        <f>VLOOKUP(Tabla3[[#This Row],[Site]],Table35[#All],5,FALSE)</f>
        <v>-</v>
      </c>
      <c r="P164" s="32" t="str">
        <f>VLOOKUP(Tabla3[[#This Row],[Site]],Table35[#All],6,FALSE)</f>
        <v xml:space="preserve">2, 6, 10, 12, 17 </v>
      </c>
      <c r="Q164" s="32" t="str">
        <f>VLOOKUP(Tabla3[[#This Row],[Site]],Table35[#All],8,FALSE)</f>
        <v>300</v>
      </c>
    </row>
    <row r="165" spans="1:17" hidden="1" x14ac:dyDescent="0.25">
      <c r="A165" t="str">
        <f>+Tabla3[[#This Row],[Site]]&amp;Tabla3[[#This Row],[Split]]</f>
        <v>(AS) Kahlo CDJR (NO TOURS)3</v>
      </c>
      <c r="B165">
        <v>3</v>
      </c>
      <c r="C165">
        <v>3</v>
      </c>
      <c r="D165" t="s">
        <v>378</v>
      </c>
      <c r="E165" t="str">
        <f>VLOOKUP(Tabla3[[#This Row],[Site]],Table35[],10,FALSE)</f>
        <v>9:00 P.M.</v>
      </c>
      <c r="F165" t="str">
        <f>VLOOKUP(Tabla3[[#This Row],[Site]],Table35[],11,FALSE)</f>
        <v>ET</v>
      </c>
      <c r="G165" t="str">
        <f>VLOOKUP(Tabla3[[#This Row],[Site]],Table35[],12,FALSE)</f>
        <v>5:00 A.M.</v>
      </c>
      <c r="H165" s="74" t="str">
        <f>HYPERLINK(VLOOKUP(Tabla3[[#This Row],[Site]],Table35[#All],9,FALSE))</f>
        <v>https://tools.sig.systems/site/details/282</v>
      </c>
      <c r="I165" t="str">
        <f>VLOOKUP(Tabla3[[#This Row],[Site]],Table35[],13,FALSE)</f>
        <v>https://www.google.com/maps/d/edit?mid=1hsX5GGrNcCQgAuzDCDz1OWgEkhsAc78&amp;usp=sharing</v>
      </c>
      <c r="J165" t="str">
        <f>VLOOKUP(Tabla3[[#This Row],[Site]],Table35[],14,FALSE)</f>
        <v>-</v>
      </c>
      <c r="L165" s="32" t="str">
        <f>VLOOKUP(Tabla3[[#This Row],[Site]],Table35[#All],2,FALSE)</f>
        <v>-</v>
      </c>
      <c r="M165" s="32" t="str">
        <f>VLOOKUP(Tabla3[[#This Row],[Site]],Table35[#All],3,FALSE)</f>
        <v>12, 25</v>
      </c>
      <c r="N165" s="32" t="str">
        <f>VLOOKUP(Tabla3[[#This Row],[Site]],Table35[#All],4,FALSE)</f>
        <v>15, 16</v>
      </c>
      <c r="O165" s="32">
        <f>VLOOKUP(Tabla3[[#This Row],[Site]],Table35[#All],5,FALSE)</f>
        <v>20</v>
      </c>
      <c r="P165" s="32" t="str">
        <f>VLOOKUP(Tabla3[[#This Row],[Site]],Table35[#All],6,FALSE)</f>
        <v>1, 2, 9, 22, 31, 57</v>
      </c>
      <c r="Q165" s="32" t="str">
        <f>VLOOKUP(Tabla3[[#This Row],[Site]],Table35[#All],8,FALSE)</f>
        <v>282</v>
      </c>
    </row>
    <row r="166" spans="1:17" hidden="1" x14ac:dyDescent="0.25">
      <c r="A166" t="str">
        <f>+Tabla3[[#This Row],[Site]]&amp;Tabla3[[#This Row],[Split]]</f>
        <v>(AS) Koons Arlington Toyota - New Car (NO TOURS)3</v>
      </c>
      <c r="B166">
        <v>3</v>
      </c>
      <c r="C166">
        <v>3</v>
      </c>
      <c r="D166" t="s">
        <v>380</v>
      </c>
      <c r="E166" t="str">
        <f>VLOOKUP(Tabla3[[#This Row],[Site]],Table35[],10,FALSE)</f>
        <v>9:00 P.M.</v>
      </c>
      <c r="F166" t="str">
        <f>VLOOKUP(Tabla3[[#This Row],[Site]],Table35[],11,FALSE)</f>
        <v>ET</v>
      </c>
      <c r="G166" t="str">
        <f>VLOOKUP(Tabla3[[#This Row],[Site]],Table35[],12,FALSE)</f>
        <v>5:00 A.M.</v>
      </c>
      <c r="H166" s="74" t="str">
        <f>HYPERLINK(VLOOKUP(Tabla3[[#This Row],[Site]],Table35[#All],9,FALSE))</f>
        <v>https://tools.sig.systems/site/details/334</v>
      </c>
      <c r="I166">
        <f>VLOOKUP(Tabla3[[#This Row],[Site]],Table35[],13,FALSE)</f>
        <v>0</v>
      </c>
      <c r="J166" t="str">
        <f>VLOOKUP(Tabla3[[#This Row],[Site]],Table35[],14,FALSE)</f>
        <v>10:00 A.M.</v>
      </c>
      <c r="L166" s="32" t="str">
        <f>VLOOKUP(Tabla3[[#This Row],[Site]],Table35[#All],2,FALSE)</f>
        <v>-</v>
      </c>
      <c r="M166" s="32" t="str">
        <f>VLOOKUP(Tabla3[[#This Row],[Site]],Table35[#All],3,FALSE)</f>
        <v>1, 3, 12, 15, 17</v>
      </c>
      <c r="N166" s="32" t="str">
        <f>VLOOKUP(Tabla3[[#This Row],[Site]],Table35[#All],4,FALSE)</f>
        <v>-</v>
      </c>
      <c r="O166" s="32" t="str">
        <f>VLOOKUP(Tabla3[[#This Row],[Site]],Table35[#All],5,FALSE)</f>
        <v>-</v>
      </c>
      <c r="P166" s="32" t="str">
        <f>VLOOKUP(Tabla3[[#This Row],[Site]],Table35[#All],6,FALSE)</f>
        <v>2, 6, 18, 20</v>
      </c>
      <c r="Q166" s="32" t="str">
        <f>VLOOKUP(Tabla3[[#This Row],[Site]],Table35[#All],8,FALSE)</f>
        <v>334</v>
      </c>
    </row>
    <row r="167" spans="1:17" hidden="1" x14ac:dyDescent="0.25">
      <c r="A167" t="str">
        <f>+Tabla3[[#This Row],[Site]]&amp;Tabla3[[#This Row],[Split]]</f>
        <v>(AS) Koons MB of Catonsville (NO TOURS)3</v>
      </c>
      <c r="B167">
        <v>3</v>
      </c>
      <c r="C167">
        <v>3</v>
      </c>
      <c r="D167" t="s">
        <v>233</v>
      </c>
      <c r="E167" t="str">
        <f>VLOOKUP(Tabla3[[#This Row],[Site]],Table35[],10,FALSE)</f>
        <v>9:00 P.M.</v>
      </c>
      <c r="F167" t="str">
        <f>VLOOKUP(Tabla3[[#This Row],[Site]],Table35[],11,FALSE)</f>
        <v>ET</v>
      </c>
      <c r="G167" t="str">
        <f>VLOOKUP(Tabla3[[#This Row],[Site]],Table35[],12,FALSE)</f>
        <v>5:00 A.M.</v>
      </c>
      <c r="H167" s="74" t="str">
        <f>HYPERLINK(VLOOKUP(Tabla3[[#This Row],[Site]],Table35[#All],9,FALSE))</f>
        <v>https://tools.sig.systems/site/details/303</v>
      </c>
      <c r="I167">
        <f>VLOOKUP(Tabla3[[#This Row],[Site]],Table35[],13,FALSE)</f>
        <v>0</v>
      </c>
      <c r="J167" t="str">
        <f>VLOOKUP(Tabla3[[#This Row],[Site]],Table35[],14,FALSE)</f>
        <v>-</v>
      </c>
      <c r="L167" s="32" t="str">
        <f>VLOOKUP(Tabla3[[#This Row],[Site]],Table35[#All],2,FALSE)</f>
        <v>-</v>
      </c>
      <c r="M167" s="32" t="str">
        <f>VLOOKUP(Tabla3[[#This Row],[Site]],Table35[#All],3,FALSE)</f>
        <v>15, 16, 17, 29</v>
      </c>
      <c r="N167" s="32">
        <f>VLOOKUP(Tabla3[[#This Row],[Site]],Table35[#All],4,FALSE)</f>
        <v>29</v>
      </c>
      <c r="O167" s="32">
        <f>VLOOKUP(Tabla3[[#This Row],[Site]],Table35[#All],5,FALSE)</f>
        <v>5</v>
      </c>
      <c r="P167" s="32" t="str">
        <f>VLOOKUP(Tabla3[[#This Row],[Site]],Table35[#All],6,FALSE)</f>
        <v>1, 7, 8, 12, 19, 32</v>
      </c>
      <c r="Q167" s="32" t="str">
        <f>VLOOKUP(Tabla3[[#This Row],[Site]],Table35[#All],8,FALSE)</f>
        <v>303</v>
      </c>
    </row>
    <row r="168" spans="1:17" hidden="1" x14ac:dyDescent="0.25">
      <c r="A168" t="str">
        <f>+Tabla3[[#This Row],[Site]]&amp;Tabla3[[#This Row],[Split]]</f>
        <v>(AS) Koons Tysons Toyota - Main Dealership (NO TOURS)3</v>
      </c>
      <c r="B168">
        <v>3</v>
      </c>
      <c r="C168">
        <v>3</v>
      </c>
      <c r="D168" t="s">
        <v>432</v>
      </c>
      <c r="E168" t="str">
        <f>VLOOKUP(Tabla3[[#This Row],[Site]],Table35[],10,FALSE)</f>
        <v>9:00 P.M.</v>
      </c>
      <c r="F168" t="str">
        <f>VLOOKUP(Tabla3[[#This Row],[Site]],Table35[],11,FALSE)</f>
        <v>ET</v>
      </c>
      <c r="G168" t="str">
        <f>VLOOKUP(Tabla3[[#This Row],[Site]],Table35[],12,FALSE)</f>
        <v>5:00 A.M.</v>
      </c>
      <c r="H168" s="74" t="str">
        <f>HYPERLINK(VLOOKUP(Tabla3[[#This Row],[Site]],Table35[#All],9,FALSE))</f>
        <v>https://tools.sig.systems/site/details/344</v>
      </c>
      <c r="I168" t="str">
        <f>VLOOKUP(Tabla3[[#This Row],[Site]],Table35[],13,FALSE)</f>
        <v>-</v>
      </c>
      <c r="J168" t="str">
        <f>VLOOKUP(Tabla3[[#This Row],[Site]],Table35[],14,FALSE)</f>
        <v>-</v>
      </c>
      <c r="L168" s="32" t="str">
        <f>VLOOKUP(Tabla3[[#This Row],[Site]],Table35[#All],2,FALSE)</f>
        <v>-</v>
      </c>
      <c r="M168" s="32" t="str">
        <f>VLOOKUP(Tabla3[[#This Row],[Site]],Table35[#All],3,FALSE)</f>
        <v>1, 25</v>
      </c>
      <c r="N168" s="32" t="str">
        <f>VLOOKUP(Tabla3[[#This Row],[Site]],Table35[#All],4,FALSE)</f>
        <v>-</v>
      </c>
      <c r="O168" s="32" t="str">
        <f>VLOOKUP(Tabla3[[#This Row],[Site]],Table35[#All],5,FALSE)</f>
        <v>-</v>
      </c>
      <c r="P168" s="32" t="str">
        <f>VLOOKUP(Tabla3[[#This Row],[Site]],Table35[#All],6,FALSE)</f>
        <v>13, 22, 27</v>
      </c>
      <c r="Q168" s="32" t="str">
        <f>VLOOKUP(Tabla3[[#This Row],[Site]],Table35[#All],8,FALSE)</f>
        <v>344</v>
      </c>
    </row>
    <row r="169" spans="1:17" hidden="1" x14ac:dyDescent="0.25">
      <c r="A169" t="str">
        <f>+Tabla3[[#This Row],[Site]]&amp;Tabla3[[#This Row],[Split]]</f>
        <v>(AS) Koons Volvo Cars White Marsh (NO TOURS)3</v>
      </c>
      <c r="B169">
        <v>3</v>
      </c>
      <c r="C169">
        <v>3</v>
      </c>
      <c r="D169" t="s">
        <v>382</v>
      </c>
      <c r="E169" t="str">
        <f>VLOOKUP(Tabla3[[#This Row],[Site]],Table35[],10,FALSE)</f>
        <v>9:00 P.M.</v>
      </c>
      <c r="F169" t="str">
        <f>VLOOKUP(Tabla3[[#This Row],[Site]],Table35[],11,FALSE)</f>
        <v>ET</v>
      </c>
      <c r="G169" t="str">
        <f>VLOOKUP(Tabla3[[#This Row],[Site]],Table35[],12,FALSE)</f>
        <v>5:00 A.M.</v>
      </c>
      <c r="H169" s="74" t="str">
        <f>HYPERLINK(VLOOKUP(Tabla3[[#This Row],[Site]],Table35[#All],9,FALSE))</f>
        <v>https://tools.sig.systems/site/details/338</v>
      </c>
      <c r="I169">
        <f>VLOOKUP(Tabla3[[#This Row],[Site]],Table35[],13,FALSE)</f>
        <v>0</v>
      </c>
      <c r="J169" t="str">
        <f>VLOOKUP(Tabla3[[#This Row],[Site]],Table35[],14,FALSE)</f>
        <v>-</v>
      </c>
      <c r="L169" s="32" t="str">
        <f>VLOOKUP(Tabla3[[#This Row],[Site]],Table35[#All],2,FALSE)</f>
        <v>-</v>
      </c>
      <c r="M169" s="32" t="str">
        <f>VLOOKUP(Tabla3[[#This Row],[Site]],Table35[#All],3,FALSE)</f>
        <v>5, 7, 9</v>
      </c>
      <c r="N169" s="32" t="str">
        <f>VLOOKUP(Tabla3[[#This Row],[Site]],Table35[#All],4,FALSE)</f>
        <v>-</v>
      </c>
      <c r="O169" s="32" t="str">
        <f>VLOOKUP(Tabla3[[#This Row],[Site]],Table35[#All],5,FALSE)</f>
        <v>-</v>
      </c>
      <c r="P169" s="32" t="str">
        <f>VLOOKUP(Tabla3[[#This Row],[Site]],Table35[#All],6,FALSE)</f>
        <v>6, 10, 1</v>
      </c>
      <c r="Q169" s="32" t="str">
        <f>VLOOKUP(Tabla3[[#This Row],[Site]],Table35[#All],8,FALSE)</f>
        <v>338</v>
      </c>
    </row>
    <row r="170" spans="1:17" hidden="1" x14ac:dyDescent="0.25">
      <c r="A170" t="str">
        <f>+Tabla3[[#This Row],[Site]]&amp;Tabla3[[#This Row],[Split]]</f>
        <v>(AS) Koons White Marsh Chevrolet (NO TOURS)3</v>
      </c>
      <c r="B170">
        <v>3</v>
      </c>
      <c r="C170">
        <v>3</v>
      </c>
      <c r="D170" t="s">
        <v>393</v>
      </c>
      <c r="E170" t="str">
        <f>VLOOKUP(Tabla3[[#This Row],[Site]],Table35[],10,FALSE)</f>
        <v>9:00 P.M.</v>
      </c>
      <c r="F170" t="str">
        <f>VLOOKUP(Tabla3[[#This Row],[Site]],Table35[],11,FALSE)</f>
        <v>ET</v>
      </c>
      <c r="G170" t="str">
        <f>VLOOKUP(Tabla3[[#This Row],[Site]],Table35[],12,FALSE)</f>
        <v>5:00 A.M.</v>
      </c>
      <c r="H170" s="74" t="str">
        <f>HYPERLINK(VLOOKUP(Tabla3[[#This Row],[Site]],Table35[#All],9,FALSE))</f>
        <v>https://tools.sig.systems/site/details/339</v>
      </c>
      <c r="I170" t="str">
        <f>VLOOKUP(Tabla3[[#This Row],[Site]],Table35[],13,FALSE)</f>
        <v>-</v>
      </c>
      <c r="J170" t="str">
        <f>VLOOKUP(Tabla3[[#This Row],[Site]],Table35[],14,FALSE)</f>
        <v>-</v>
      </c>
      <c r="L170" s="32">
        <f>VLOOKUP(Tabla3[[#This Row],[Site]],Table35[#All],2,FALSE)</f>
        <v>25</v>
      </c>
      <c r="M170" s="32">
        <f>VLOOKUP(Tabla3[[#This Row],[Site]],Table35[#All],3,FALSE)</f>
        <v>10</v>
      </c>
      <c r="N170" s="32" t="str">
        <f>VLOOKUP(Tabla3[[#This Row],[Site]],Table35[#All],4,FALSE)</f>
        <v>-</v>
      </c>
      <c r="O170" s="32" t="str">
        <f>VLOOKUP(Tabla3[[#This Row],[Site]],Table35[#All],5,FALSE)</f>
        <v>-</v>
      </c>
      <c r="P170" s="32">
        <f>VLOOKUP(Tabla3[[#This Row],[Site]],Table35[#All],6,FALSE)</f>
        <v>12</v>
      </c>
      <c r="Q170" s="32" t="str">
        <f>VLOOKUP(Tabla3[[#This Row],[Site]],Table35[#All],8,FALSE)</f>
        <v>339</v>
      </c>
    </row>
    <row r="171" spans="1:17" hidden="1" x14ac:dyDescent="0.25">
      <c r="A171" t="str">
        <f>+Tabla3[[#This Row],[Site]]&amp;Tabla3[[#This Row],[Split]]</f>
        <v>(AS) Koons Woodbridge Ford (NO TOURS)3</v>
      </c>
      <c r="B171">
        <v>3</v>
      </c>
      <c r="C171">
        <v>3</v>
      </c>
      <c r="D171" t="s">
        <v>384</v>
      </c>
      <c r="E171" t="str">
        <f>VLOOKUP(Tabla3[[#This Row],[Site]],Table35[],10,FALSE)</f>
        <v>9:00 P.M.</v>
      </c>
      <c r="F171" t="str">
        <f>VLOOKUP(Tabla3[[#This Row],[Site]],Table35[],11,FALSE)</f>
        <v>ET</v>
      </c>
      <c r="G171" t="str">
        <f>VLOOKUP(Tabla3[[#This Row],[Site]],Table35[],12,FALSE)</f>
        <v>5:00 A.M.</v>
      </c>
      <c r="H171" s="74" t="str">
        <f>HYPERLINK(VLOOKUP(Tabla3[[#This Row],[Site]],Table35[#All],9,FALSE))</f>
        <v>https://tools.sig.systems/site/details/342</v>
      </c>
      <c r="I171">
        <f>VLOOKUP(Tabla3[[#This Row],[Site]],Table35[],13,FALSE)</f>
        <v>0</v>
      </c>
      <c r="J171" t="str">
        <f>VLOOKUP(Tabla3[[#This Row],[Site]],Table35[],14,FALSE)</f>
        <v>9:00 A.M.</v>
      </c>
      <c r="L171" s="32" t="str">
        <f>VLOOKUP(Tabla3[[#This Row],[Site]],Table35[#All],2,FALSE)</f>
        <v>-</v>
      </c>
      <c r="M171" s="32" t="str">
        <f>VLOOKUP(Tabla3[[#This Row],[Site]],Table35[#All],3,FALSE)</f>
        <v>3, 24, 26, 27, 31, 36</v>
      </c>
      <c r="N171" s="32" t="str">
        <f>VLOOKUP(Tabla3[[#This Row],[Site]],Table35[#All],4,FALSE)</f>
        <v>-</v>
      </c>
      <c r="O171" s="32" t="str">
        <f>VLOOKUP(Tabla3[[#This Row],[Site]],Table35[#All],5,FALSE)</f>
        <v>-</v>
      </c>
      <c r="P171" s="32" t="str">
        <f>VLOOKUP(Tabla3[[#This Row],[Site]],Table35[#All],6,FALSE)</f>
        <v>13, 26, 29</v>
      </c>
      <c r="Q171" s="32" t="str">
        <f>VLOOKUP(Tabla3[[#This Row],[Site]],Table35[#All],8,FALSE)</f>
        <v>342</v>
      </c>
    </row>
    <row r="172" spans="1:17" hidden="1" x14ac:dyDescent="0.25">
      <c r="A172" t="str">
        <f>+Tabla3[[#This Row],[Site]]&amp;Tabla3[[#This Row],[Split]]</f>
        <v>(AS) Larry H Miller CDJR Fiat (NO TOURS)3</v>
      </c>
      <c r="B172">
        <v>3</v>
      </c>
      <c r="C172">
        <v>3</v>
      </c>
      <c r="D172" t="s">
        <v>215</v>
      </c>
      <c r="E172" t="str">
        <f>VLOOKUP(Tabla3[[#This Row],[Site]],Table35[],10,FALSE)</f>
        <v>11:00 P.M.</v>
      </c>
      <c r="F172" t="str">
        <f>VLOOKUP(Tabla3[[#This Row],[Site]],Table35[],11,FALSE)</f>
        <v>MT</v>
      </c>
      <c r="G172" t="str">
        <f>VLOOKUP(Tabla3[[#This Row],[Site]],Table35[],12,FALSE)</f>
        <v>7:00 A.M.</v>
      </c>
      <c r="H172" s="74" t="str">
        <f>HYPERLINK(VLOOKUP(Tabla3[[#This Row],[Site]],Table35[#All],9,FALSE))</f>
        <v>https://tools.sig.systems/site/details/298</v>
      </c>
      <c r="I172">
        <f>VLOOKUP(Tabla3[[#This Row],[Site]],Table35[],13,FALSE)</f>
        <v>0</v>
      </c>
      <c r="J172" t="str">
        <f>VLOOKUP(Tabla3[[#This Row],[Site]],Table35[],14,FALSE)</f>
        <v>-</v>
      </c>
      <c r="L172" s="32" t="str">
        <f>VLOOKUP(Tabla3[[#This Row],[Site]],Table35[#All],2,FALSE)</f>
        <v>7, 11</v>
      </c>
      <c r="M172" s="32" t="str">
        <f>VLOOKUP(Tabla3[[#This Row],[Site]],Table35[#All],3,FALSE)</f>
        <v>2, 3</v>
      </c>
      <c r="N172" s="32" t="str">
        <f>VLOOKUP(Tabla3[[#This Row],[Site]],Table35[#All],4,FALSE)</f>
        <v>-</v>
      </c>
      <c r="O172" s="32" t="str">
        <f>VLOOKUP(Tabla3[[#This Row],[Site]],Table35[#All],5,FALSE)</f>
        <v>-</v>
      </c>
      <c r="P172" s="32" t="str">
        <f>VLOOKUP(Tabla3[[#This Row],[Site]],Table35[#All],6,FALSE)</f>
        <v xml:space="preserve">2, 6, 10, 15, 18 </v>
      </c>
      <c r="Q172" s="32" t="str">
        <f>VLOOKUP(Tabla3[[#This Row],[Site]],Table35[#All],8,FALSE)</f>
        <v>298</v>
      </c>
    </row>
    <row r="173" spans="1:17" hidden="1" x14ac:dyDescent="0.25">
      <c r="A173" t="str">
        <f>+Tabla3[[#This Row],[Site]]&amp;Tabla3[[#This Row],[Split]]</f>
        <v>(AS) Plaza Collision ST Louis (NO TOURS)3</v>
      </c>
      <c r="B173">
        <v>3</v>
      </c>
      <c r="C173">
        <v>3</v>
      </c>
      <c r="D173" t="s">
        <v>437</v>
      </c>
      <c r="E173" t="str">
        <f>VLOOKUP(Tabla3[[#This Row],[Site]],Table35[],10,FALSE)</f>
        <v>10:00 P.M.</v>
      </c>
      <c r="F173" t="str">
        <f>VLOOKUP(Tabla3[[#This Row],[Site]],Table35[],11,FALSE)</f>
        <v>CT</v>
      </c>
      <c r="G173" t="str">
        <f>VLOOKUP(Tabla3[[#This Row],[Site]],Table35[],12,FALSE)</f>
        <v>6:00 A.M.</v>
      </c>
      <c r="H173" s="74" t="str">
        <f>HYPERLINK(VLOOKUP(Tabla3[[#This Row],[Site]],Table35[#All],9,FALSE))</f>
        <v>https://tools.sig.systems/site/details/350</v>
      </c>
      <c r="I173" t="str">
        <f>VLOOKUP(Tabla3[[#This Row],[Site]],Table35[],13,FALSE)</f>
        <v>-</v>
      </c>
      <c r="J173" t="str">
        <f>VLOOKUP(Tabla3[[#This Row],[Site]],Table35[],14,FALSE)</f>
        <v>-</v>
      </c>
      <c r="L173" s="32" t="str">
        <f>VLOOKUP(Tabla3[[#This Row],[Site]],Table35[#All],2,FALSE)</f>
        <v>2, 6</v>
      </c>
      <c r="M173" s="32">
        <f>VLOOKUP(Tabla3[[#This Row],[Site]],Table35[#All],3,FALSE)</f>
        <v>1</v>
      </c>
      <c r="N173" s="32" t="str">
        <f>VLOOKUP(Tabla3[[#This Row],[Site]],Table35[#All],4,FALSE)</f>
        <v>-</v>
      </c>
      <c r="O173" s="32" t="str">
        <f>VLOOKUP(Tabla3[[#This Row],[Site]],Table35[#All],5,FALSE)</f>
        <v>-</v>
      </c>
      <c r="P173" s="32">
        <f>VLOOKUP(Tabla3[[#This Row],[Site]],Table35[#All],6,FALSE)</f>
        <v>3</v>
      </c>
      <c r="Q173" s="32" t="str">
        <f>VLOOKUP(Tabla3[[#This Row],[Site]],Table35[#All],8,FALSE)</f>
        <v>350</v>
      </c>
    </row>
    <row r="174" spans="1:17" hidden="1" x14ac:dyDescent="0.25">
      <c r="A174" t="str">
        <f>+Tabla3[[#This Row],[Site]]&amp;Tabla3[[#This Row],[Split]]</f>
        <v>(DT) Arlington3</v>
      </c>
      <c r="B174">
        <v>3</v>
      </c>
      <c r="C174">
        <v>3</v>
      </c>
      <c r="D174" t="s">
        <v>18</v>
      </c>
      <c r="E174" t="str">
        <f>VLOOKUP(Tabla3[[#This Row],[Site]],Table35[],10,FALSE)</f>
        <v>10:00 P.M.</v>
      </c>
      <c r="F174" t="str">
        <f>VLOOKUP(Tabla3[[#This Row],[Site]],Table35[],11,FALSE)</f>
        <v>CT</v>
      </c>
      <c r="G174" t="str">
        <f>VLOOKUP(Tabla3[[#This Row],[Site]],Table35[],12,FALSE)</f>
        <v>6:00 A.M.</v>
      </c>
      <c r="H174" s="74" t="str">
        <f>HYPERLINK(VLOOKUP(Tabla3[[#This Row],[Site]],Table35[#All],9,FALSE))</f>
        <v>https://tools.sig.systems/site/details/199</v>
      </c>
      <c r="I174">
        <f>VLOOKUP(Tabla3[[#This Row],[Site]],Table35[],13,FALSE)</f>
        <v>0</v>
      </c>
      <c r="J174" t="str">
        <f>VLOOKUP(Tabla3[[#This Row],[Site]],Table35[],14,FALSE)</f>
        <v>-</v>
      </c>
      <c r="L174" s="32">
        <f>VLOOKUP(Tabla3[[#This Row],[Site]],Table35[#All],2,FALSE)</f>
        <v>8</v>
      </c>
      <c r="M174" s="32">
        <f>VLOOKUP(Tabla3[[#This Row],[Site]],Table35[#All],3,FALSE)</f>
        <v>3</v>
      </c>
      <c r="N174" s="32" t="str">
        <f>VLOOKUP(Tabla3[[#This Row],[Site]],Table35[#All],4,FALSE)</f>
        <v>-</v>
      </c>
      <c r="O174" s="32" t="str">
        <f>VLOOKUP(Tabla3[[#This Row],[Site]],Table35[#All],5,FALSE)</f>
        <v>-</v>
      </c>
      <c r="P174" s="32" t="str">
        <f>VLOOKUP(Tabla3[[#This Row],[Site]],Table35[#All],6,FALSE)</f>
        <v>3, 8, 9</v>
      </c>
      <c r="Q174" s="32">
        <v>334</v>
      </c>
    </row>
    <row r="175" spans="1:17" hidden="1" x14ac:dyDescent="0.25">
      <c r="A175" t="str">
        <f>+Tabla3[[#This Row],[Site]]&amp;Tabla3[[#This Row],[Split]]</f>
        <v>(DT) Modesto3</v>
      </c>
      <c r="B175">
        <v>3</v>
      </c>
      <c r="C175">
        <v>3</v>
      </c>
      <c r="D175" t="s">
        <v>14</v>
      </c>
      <c r="E175" t="str">
        <f>VLOOKUP(Tabla3[[#This Row],[Site]],Table35[],10,FALSE)</f>
        <v>12:00 A.M.</v>
      </c>
      <c r="F175" t="str">
        <f>VLOOKUP(Tabla3[[#This Row],[Site]],Table35[],11,FALSE)</f>
        <v>PT</v>
      </c>
      <c r="G175" t="str">
        <f>VLOOKUP(Tabla3[[#This Row],[Site]],Table35[],12,FALSE)</f>
        <v>8:00 A.M.</v>
      </c>
      <c r="H175" s="74" t="str">
        <f>HYPERLINK(VLOOKUP(Tabla3[[#This Row],[Site]],Table35[#All],9,FALSE))</f>
        <v>https://tools.sig.systems/site/details/267</v>
      </c>
      <c r="I175">
        <f>VLOOKUP(Tabla3[[#This Row],[Site]],Table35[],13,FALSE)</f>
        <v>0</v>
      </c>
      <c r="J175" t="str">
        <f>VLOOKUP(Tabla3[[#This Row],[Site]],Table35[],14,FALSE)</f>
        <v>-</v>
      </c>
      <c r="L175" s="32">
        <f>VLOOKUP(Tabla3[[#This Row],[Site]],Table35[#All],2,FALSE)</f>
        <v>10</v>
      </c>
      <c r="M175" s="32" t="str">
        <f>VLOOKUP(Tabla3[[#This Row],[Site]],Table35[#All],3,FALSE)</f>
        <v>5, 6</v>
      </c>
      <c r="N175" s="32" t="str">
        <f>VLOOKUP(Tabla3[[#This Row],[Site]],Table35[#All],4,FALSE)</f>
        <v>-</v>
      </c>
      <c r="O175" s="32" t="str">
        <f>VLOOKUP(Tabla3[[#This Row],[Site]],Table35[#All],5,FALSE)</f>
        <v>-</v>
      </c>
      <c r="P175" s="32" t="str">
        <f>VLOOKUP(Tabla3[[#This Row],[Site]],Table35[#All],6,FALSE)</f>
        <v>2, 3, 5, 10</v>
      </c>
      <c r="Q175" s="32" t="str">
        <f>VLOOKUP(Tabla3[[#This Row],[Site]],Table35[#All],8,FALSE)</f>
        <v>267</v>
      </c>
    </row>
    <row r="176" spans="1:17" hidden="1" x14ac:dyDescent="0.25">
      <c r="A176" t="str">
        <f>+Tabla3[[#This Row],[Site]]&amp;Tabla3[[#This Row],[Split]]</f>
        <v>(KG) Ken Garff Volkswagen of Gilbert3</v>
      </c>
      <c r="B176">
        <v>3</v>
      </c>
      <c r="C176">
        <v>3</v>
      </c>
      <c r="D176" t="s">
        <v>129</v>
      </c>
      <c r="E176" t="str">
        <f>VLOOKUP(Tabla3[[#This Row],[Site]],Table35[],10,FALSE)</f>
        <v>12:00 A.M.</v>
      </c>
      <c r="F176" t="str">
        <f>VLOOKUP(Tabla3[[#This Row],[Site]],Table35[],11,FALSE)</f>
        <v>MST</v>
      </c>
      <c r="G176" t="str">
        <f>VLOOKUP(Tabla3[[#This Row],[Site]],Table35[],12,FALSE)</f>
        <v>8:00 A.M.</v>
      </c>
      <c r="H176" s="74" t="str">
        <f>HYPERLINK(VLOOKUP(Tabla3[[#This Row],[Site]],Table35[#All],9,FALSE))</f>
        <v>https://tools.sig.systems/site/details/284</v>
      </c>
      <c r="I176" t="str">
        <f>VLOOKUP(Tabla3[[#This Row],[Site]],Table35[],13,FALSE)</f>
        <v>https://www.google.com/maps/d/viewer?hl=es&amp;mid=19SU7XE9Cg8jhVFpEI21Vi9Zfgdih9Ds&amp;ll=33.29158262977276%2C-111.75783630000002&amp;z=17</v>
      </c>
      <c r="J176" t="str">
        <f>VLOOKUP(Tabla3[[#This Row],[Site]],Table35[],14,FALSE)</f>
        <v>12:00 P.M.</v>
      </c>
      <c r="L176" s="32" t="str">
        <f>VLOOKUP(Tabla3[[#This Row],[Site]],Table35[#All],2,FALSE)</f>
        <v>4, 6</v>
      </c>
      <c r="M176" s="32" t="str">
        <f>VLOOKUP(Tabla3[[#This Row],[Site]],Table35[#All],3,FALSE)</f>
        <v>-</v>
      </c>
      <c r="N176" s="32" t="str">
        <f>VLOOKUP(Tabla3[[#This Row],[Site]],Table35[#All],4,FALSE)</f>
        <v>-</v>
      </c>
      <c r="O176" s="32" t="str">
        <f>VLOOKUP(Tabla3[[#This Row],[Site]],Table35[#All],5,FALSE)</f>
        <v>2, 14</v>
      </c>
      <c r="P176" s="32" t="str">
        <f>VLOOKUP(Tabla3[[#This Row],[Site]],Table35[#All],6,FALSE)</f>
        <v>1, 5, 8, 9, 17, 19, 21</v>
      </c>
      <c r="Q176" s="32" t="str">
        <f>VLOOKUP(Tabla3[[#This Row],[Site]],Table35[#All],8,FALSE)</f>
        <v>284</v>
      </c>
    </row>
    <row r="177" spans="1:17" x14ac:dyDescent="0.25">
      <c r="A177" t="str">
        <f>+Tabla3[[#This Row],[Site]]&amp;Tabla3[[#This Row],[Split]]</f>
        <v>(LT) Luther Bloomington Hyundai (NO TOURS)3</v>
      </c>
      <c r="B177">
        <v>3</v>
      </c>
      <c r="C177">
        <v>3</v>
      </c>
      <c r="D177" t="s">
        <v>455</v>
      </c>
      <c r="E177" t="str">
        <f>VLOOKUP(Tabla3[[#This Row],[Site]],Table35[],10,FALSE)</f>
        <v>10:00 P.M.</v>
      </c>
      <c r="F177" t="str">
        <f>VLOOKUP(Tabla3[[#This Row],[Site]],Table35[],11,FALSE)</f>
        <v>CT</v>
      </c>
      <c r="G177" t="str">
        <f>VLOOKUP(Tabla3[[#This Row],[Site]],Table35[],12,FALSE)</f>
        <v>6:00 A.M.</v>
      </c>
      <c r="H177" s="74" t="str">
        <f>HYPERLINK(VLOOKUP(Tabla3[[#This Row],[Site]],Table35[#All],9,FALSE))</f>
        <v>https://tools.sig.systems/site/details/318</v>
      </c>
      <c r="I177">
        <f>VLOOKUP(Tabla3[[#This Row],[Site]],Table35[],13,FALSE)</f>
        <v>0</v>
      </c>
      <c r="J177" t="str">
        <f>VLOOKUP(Tabla3[[#This Row],[Site]],Table35[],14,FALSE)</f>
        <v>-</v>
      </c>
      <c r="L177" s="32" t="str">
        <f>VLOOKUP(Tabla3[[#This Row],[Site]],Table35[#All],2,FALSE)</f>
        <v>-</v>
      </c>
      <c r="M177" s="32" t="str">
        <f>VLOOKUP(Tabla3[[#This Row],[Site]],Table35[#All],3,FALSE)</f>
        <v>6, 9, 13</v>
      </c>
      <c r="N177" s="32" t="str">
        <f>VLOOKUP(Tabla3[[#This Row],[Site]],Table35[#All],4,FALSE)</f>
        <v>58, 59</v>
      </c>
      <c r="O177" s="32">
        <f>VLOOKUP(Tabla3[[#This Row],[Site]],Table35[#All],5,FALSE)</f>
        <v>10</v>
      </c>
      <c r="P177" s="32" t="str">
        <f>VLOOKUP(Tabla3[[#This Row],[Site]],Table35[#All],6,FALSE)</f>
        <v>11, 18</v>
      </c>
      <c r="Q177" s="32" t="str">
        <f>VLOOKUP(Tabla3[[#This Row],[Site]],Table35[#All],8,FALSE)</f>
        <v>318</v>
      </c>
    </row>
    <row r="178" spans="1:17" hidden="1" x14ac:dyDescent="0.25">
      <c r="A178" t="str">
        <f>+Tabla3[[#This Row],[Site]]&amp;Tabla3[[#This Row],[Split]]</f>
        <v>(LT) Luther Brookdale Toyota3</v>
      </c>
      <c r="B178">
        <v>3</v>
      </c>
      <c r="C178">
        <v>3</v>
      </c>
      <c r="D178" t="s">
        <v>125</v>
      </c>
      <c r="E178" t="str">
        <f>VLOOKUP(Tabla3[[#This Row],[Site]],Table35[],10,FALSE)</f>
        <v>10:00 P.M.</v>
      </c>
      <c r="F178" t="str">
        <f>VLOOKUP(Tabla3[[#This Row],[Site]],Table35[],11,FALSE)</f>
        <v>CT</v>
      </c>
      <c r="G178" t="str">
        <f>VLOOKUP(Tabla3[[#This Row],[Site]],Table35[],12,FALSE)</f>
        <v>5:00 A.M.</v>
      </c>
      <c r="H178" s="74" t="str">
        <f>HYPERLINK(VLOOKUP(Tabla3[[#This Row],[Site]],Table35[#All],9,FALSE))</f>
        <v>https://tools.sig.systems/site/details/281</v>
      </c>
      <c r="I178" t="str">
        <f>VLOOKUP(Tabla3[[#This Row],[Site]],Table35[],13,FALSE)</f>
        <v>https://www.google.com/maps/d/viewer?mid=1ot0ILX76JMuvd9yMuqkb4_e0yH1n7TA&amp;ll=45.07815812965141%2C-93.33506855000002&amp;z=17</v>
      </c>
      <c r="J178" t="str">
        <f>VLOOKUP(Tabla3[[#This Row],[Site]],Table35[],14,FALSE)</f>
        <v>-</v>
      </c>
      <c r="L178" s="32" t="str">
        <f>VLOOKUP(Tabla3[[#This Row],[Site]],Table35[#All],2,FALSE)</f>
        <v>-</v>
      </c>
      <c r="M178" s="32" t="str">
        <f>VLOOKUP(Tabla3[[#This Row],[Site]],Table35[#All],3,FALSE)</f>
        <v>5, 7</v>
      </c>
      <c r="N178" s="32">
        <f>VLOOKUP(Tabla3[[#This Row],[Site]],Table35[#All],4,FALSE)</f>
        <v>29</v>
      </c>
      <c r="O178" s="32">
        <f>VLOOKUP(Tabla3[[#This Row],[Site]],Table35[#All],5,FALSE)</f>
        <v>20</v>
      </c>
      <c r="P178" s="32" t="str">
        <f>VLOOKUP(Tabla3[[#This Row],[Site]],Table35[#All],6,FALSE)</f>
        <v xml:space="preserve">1, 2, 4, 10, 18, 24, 25 </v>
      </c>
      <c r="Q178" s="32" t="str">
        <f>VLOOKUP(Tabla3[[#This Row],[Site]],Table35[#All],8,FALSE)</f>
        <v>281</v>
      </c>
    </row>
    <row r="179" spans="1:17" hidden="1" x14ac:dyDescent="0.25">
      <c r="A179" t="str">
        <f>+Tabla3[[#This Row],[Site]]&amp;Tabla3[[#This Row],[Split]]</f>
        <v>(LT) Luther Hopkins Honda (NO TOURS)3</v>
      </c>
      <c r="B179">
        <v>3</v>
      </c>
      <c r="C179">
        <v>3</v>
      </c>
      <c r="D179" t="s">
        <v>303</v>
      </c>
      <c r="E179" t="str">
        <f>VLOOKUP(Tabla3[[#This Row],[Site]],Table35[],10,FALSE)</f>
        <v>10:00 P.M.</v>
      </c>
      <c r="F179" t="str">
        <f>VLOOKUP(Tabla3[[#This Row],[Site]],Table35[],11,FALSE)</f>
        <v>CT</v>
      </c>
      <c r="G179" t="str">
        <f>VLOOKUP(Tabla3[[#This Row],[Site]],Table35[],12,FALSE)</f>
        <v>6:00 A.M.</v>
      </c>
      <c r="H179" s="74" t="str">
        <f>HYPERLINK(VLOOKUP(Tabla3[[#This Row],[Site]],Table35[#All],9,FALSE))</f>
        <v>https://tools.sig.systems/site/details/288</v>
      </c>
      <c r="I179">
        <f>VLOOKUP(Tabla3[[#This Row],[Site]],Table35[],13,FALSE)</f>
        <v>0</v>
      </c>
      <c r="J179" t="str">
        <f>VLOOKUP(Tabla3[[#This Row],[Site]],Table35[],14,FALSE)</f>
        <v>-</v>
      </c>
      <c r="L179" s="32" t="str">
        <f>VLOOKUP(Tabla3[[#This Row],[Site]],Table35[#All],2,FALSE)</f>
        <v>-</v>
      </c>
      <c r="M179" s="32" t="str">
        <f>VLOOKUP(Tabla3[[#This Row],[Site]],Table35[#All],3,FALSE)</f>
        <v>9, 36</v>
      </c>
      <c r="N179" s="32" t="str">
        <f>VLOOKUP(Tabla3[[#This Row],[Site]],Table35[#All],4,FALSE)</f>
        <v>38, 39</v>
      </c>
      <c r="O179" s="32" t="str">
        <f>VLOOKUP(Tabla3[[#This Row],[Site]],Table35[#All],5,FALSE)</f>
        <v>3, 26</v>
      </c>
      <c r="P179" s="32" t="str">
        <f>VLOOKUP(Tabla3[[#This Row],[Site]],Table35[#All],6,FALSE)</f>
        <v>1, 4, 11, 18, 23, 25, 31</v>
      </c>
      <c r="Q179" s="32" t="str">
        <f>VLOOKUP(Tabla3[[#This Row],[Site]],Table35[#All],8,FALSE)</f>
        <v>288</v>
      </c>
    </row>
    <row r="180" spans="1:17" hidden="1" x14ac:dyDescent="0.25">
      <c r="A180" t="str">
        <f>+Tabla3[[#This Row],[Site]]&amp;Tabla3[[#This Row],[Split]]</f>
        <v>(LT) Luther Landers Recon Center3</v>
      </c>
      <c r="B180">
        <v>3</v>
      </c>
      <c r="C180">
        <v>3</v>
      </c>
      <c r="D180" t="s">
        <v>253</v>
      </c>
      <c r="E180" t="str">
        <f>VLOOKUP(Tabla3[[#This Row],[Site]],Table35[],10,FALSE)</f>
        <v>10:00 P.M.</v>
      </c>
      <c r="F180" t="str">
        <f>VLOOKUP(Tabla3[[#This Row],[Site]],Table35[],11,FALSE)</f>
        <v>CT</v>
      </c>
      <c r="G180" t="str">
        <f>VLOOKUP(Tabla3[[#This Row],[Site]],Table35[],12,FALSE)</f>
        <v>6:00 A.M.</v>
      </c>
      <c r="H180" s="74" t="str">
        <f>HYPERLINK(VLOOKUP(Tabla3[[#This Row],[Site]],Table35[#All],9,FALSE))</f>
        <v>https://tools.sig.systems/site/details/323</v>
      </c>
      <c r="I180" t="str">
        <f>VLOOKUP(Tabla3[[#This Row],[Site]],Table35[],13,FALSE)</f>
        <v>https://www.google.com/maps/d/u/1/edit?mid=1-zEzsc6U6nZom08edp0XAd3_HYFvAyk&amp;usp=sharing</v>
      </c>
      <c r="J180" t="str">
        <f>VLOOKUP(Tabla3[[#This Row],[Site]],Table35[],14,FALSE)</f>
        <v>-</v>
      </c>
      <c r="L180" s="32" t="str">
        <f>VLOOKUP(Tabla3[[#This Row],[Site]],Table35[#All],2,FALSE)</f>
        <v>2, 4</v>
      </c>
      <c r="M180" s="32" t="str">
        <f>VLOOKUP(Tabla3[[#This Row],[Site]],Table35[#All],3,FALSE)</f>
        <v>-</v>
      </c>
      <c r="N180" s="32" t="str">
        <f>VLOOKUP(Tabla3[[#This Row],[Site]],Table35[#All],4,FALSE)</f>
        <v>-</v>
      </c>
      <c r="O180" s="32" t="str">
        <f>VLOOKUP(Tabla3[[#This Row],[Site]],Table35[#All],5,FALSE)</f>
        <v>-</v>
      </c>
      <c r="P180" s="32" t="str">
        <f>VLOOKUP(Tabla3[[#This Row],[Site]],Table35[#All],6,FALSE)</f>
        <v>3, 9, 11</v>
      </c>
      <c r="Q180" s="32" t="str">
        <f>VLOOKUP(Tabla3[[#This Row],[Site]],Table35[#All],8,FALSE)</f>
        <v>323</v>
      </c>
    </row>
    <row r="181" spans="1:17" hidden="1" x14ac:dyDescent="0.25">
      <c r="A181" t="str">
        <f>+Tabla3[[#This Row],[Site]]&amp;Tabla3[[#This Row],[Split]]</f>
        <v>(PE) MB of Greenwich3</v>
      </c>
      <c r="B181">
        <v>3</v>
      </c>
      <c r="C181">
        <v>3</v>
      </c>
      <c r="D181" t="s">
        <v>120</v>
      </c>
      <c r="E181" t="str">
        <f>VLOOKUP(Tabla3[[#This Row],[Site]],Table35[],10,FALSE)</f>
        <v>8:00 P.M.</v>
      </c>
      <c r="F181" t="str">
        <f>VLOOKUP(Tabla3[[#This Row],[Site]],Table35[],11,FALSE)</f>
        <v>ET</v>
      </c>
      <c r="G181" t="str">
        <f>VLOOKUP(Tabla3[[#This Row],[Site]],Table35[],12,FALSE)</f>
        <v>5:00 A.M.</v>
      </c>
      <c r="H181" s="74" t="str">
        <f>HYPERLINK(VLOOKUP(Tabla3[[#This Row],[Site]],Table35[#All],9,FALSE))</f>
        <v>https://tools.sig.systems/site/details/188</v>
      </c>
      <c r="I181" t="str">
        <f>VLOOKUP(Tabla3[[#This Row],[Site]],Table35[],13,FALSE)</f>
        <v>https://www.google.com/maps/d/edit?hl=en&amp;mid=1UHmt7tH1ihTa85i0MfQIcTfVvIQg_vM&amp;ll=41.02423447529239%2C-73.63721502222738&amp;z=18</v>
      </c>
      <c r="J181" t="str">
        <f>VLOOKUP(Tabla3[[#This Row],[Site]],Table35[],14,FALSE)</f>
        <v>-</v>
      </c>
      <c r="L181" s="32" t="str">
        <f>VLOOKUP(Tabla3[[#This Row],[Site]],Table35[#All],2,FALSE)</f>
        <v>1, 2, 8</v>
      </c>
      <c r="M181" s="32" t="str">
        <f>VLOOKUP(Tabla3[[#This Row],[Site]],Table35[#All],3,FALSE)</f>
        <v>13, 14, 20, 26, 40</v>
      </c>
      <c r="N181" s="32" t="str">
        <f>VLOOKUP(Tabla3[[#This Row],[Site]],Table35[#All],4,FALSE)</f>
        <v>-</v>
      </c>
      <c r="O181" s="32" t="str">
        <f>VLOOKUP(Tabla3[[#This Row],[Site]],Table35[#All],5,FALSE)</f>
        <v>-</v>
      </c>
      <c r="P181" s="32">
        <f>VLOOKUP(Tabla3[[#This Row],[Site]],Table35[#All],6,FALSE)</f>
        <v>29</v>
      </c>
      <c r="Q181" s="32" t="str">
        <f>VLOOKUP(Tabla3[[#This Row],[Site]],Table35[#All],8,FALSE)</f>
        <v>188</v>
      </c>
    </row>
    <row r="182" spans="1:17" hidden="1" x14ac:dyDescent="0.25">
      <c r="A182" t="str">
        <f>+Tabla3[[#This Row],[Site]]&amp;Tabla3[[#This Row],[Split]]</f>
        <v>(AS) 3281 Storage Lot (NO TOURS)4</v>
      </c>
      <c r="B182">
        <v>4</v>
      </c>
      <c r="C182">
        <v>1</v>
      </c>
      <c r="D182" t="s">
        <v>374</v>
      </c>
      <c r="E182" t="str">
        <f>VLOOKUP(Tabla3[[#This Row],[Site]],Table35[],10,FALSE)</f>
        <v>10:00 P.M.</v>
      </c>
      <c r="F182" t="str">
        <f>VLOOKUP(Tabla3[[#This Row],[Site]],Table35[],11,FALSE)</f>
        <v>CT</v>
      </c>
      <c r="G182" t="str">
        <f>VLOOKUP(Tabla3[[#This Row],[Site]],Table35[],12,FALSE)</f>
        <v>6:00 A.M.</v>
      </c>
      <c r="H182" s="74" t="str">
        <f>HYPERLINK(VLOOKUP(Tabla3[[#This Row],[Site]],Table35[#All],9,FALSE))</f>
        <v>https://tools.sig.systems/site/details/305</v>
      </c>
      <c r="I182" t="str">
        <f>VLOOKUP(Tabla3[[#This Row],[Site]],Table35[],13,FALSE)</f>
        <v>https://www.google.com/maps/d/edit?hl=es&amp;mid=1uPmsRMsXnp74hPFW2t-sp2totVWF_xY&amp;ll=32.83050137713022%2C-96.83197783061323&amp;z=17</v>
      </c>
      <c r="J182" t="str">
        <f>VLOOKUP(Tabla3[[#This Row],[Site]],Table35[],14,FALSE)</f>
        <v>-</v>
      </c>
      <c r="L182" s="32" t="str">
        <f>VLOOKUP(Tabla3[[#This Row],[Site]],Table35[#All],2,FALSE)</f>
        <v>-</v>
      </c>
      <c r="M182" s="32" t="str">
        <f>VLOOKUP(Tabla3[[#This Row],[Site]],Table35[#All],3,FALSE)</f>
        <v>2, 14</v>
      </c>
      <c r="N182" s="32" t="str">
        <f>VLOOKUP(Tabla3[[#This Row],[Site]],Table35[#All],4,FALSE)</f>
        <v>-</v>
      </c>
      <c r="O182" s="32" t="str">
        <f>VLOOKUP(Tabla3[[#This Row],[Site]],Table35[#All],5,FALSE)</f>
        <v>-</v>
      </c>
      <c r="P182" s="32" t="str">
        <f>VLOOKUP(Tabla3[[#This Row],[Site]],Table35[#All],6,FALSE)</f>
        <v>1, 3, 9, 10, 14</v>
      </c>
      <c r="Q182" s="32">
        <f>VLOOKUP(Tabla3[[#This Row],[Site]],Table35[#All],8,FALSE)</f>
        <v>305</v>
      </c>
    </row>
    <row r="183" spans="1:17" hidden="1" x14ac:dyDescent="0.25">
      <c r="A183" t="str">
        <f>+Tabla3[[#This Row],[Site]]&amp;Tabla3[[#This Row],[Split]]</f>
        <v>(AS) Koons Chevrolet Buick GMC - Clarksville (NO TOURS)4</v>
      </c>
      <c r="B183">
        <v>4</v>
      </c>
      <c r="C183">
        <v>1</v>
      </c>
      <c r="D183" t="s">
        <v>379</v>
      </c>
      <c r="E183" t="str">
        <f>VLOOKUP(Tabla3[[#This Row],[Site]],Table35[],10,FALSE)</f>
        <v>9:00 P.M.</v>
      </c>
      <c r="F183" t="str">
        <f>VLOOKUP(Tabla3[[#This Row],[Site]],Table35[],11,FALSE)</f>
        <v>ET</v>
      </c>
      <c r="G183" t="str">
        <f>VLOOKUP(Tabla3[[#This Row],[Site]],Table35[],12,FALSE)</f>
        <v>5:00 A.M.</v>
      </c>
      <c r="H183" s="74" t="str">
        <f>HYPERLINK(VLOOKUP(Tabla3[[#This Row],[Site]],Table35[#All],9,FALSE))</f>
        <v>https://tools.sig.systems/site/details/306</v>
      </c>
      <c r="I183" t="str">
        <f>VLOOKUP(Tabla3[[#This Row],[Site]],Table35[],13,FALSE)</f>
        <v>https://www.google.com/maps/d/edit?hl=es&amp;mid=11XB1lTSP7EcDCDvzypdUPWP6bWCNAEI&amp;ll=39.21145022420528%2C-76.94003711910554&amp;z=17</v>
      </c>
      <c r="J183" t="str">
        <f>VLOOKUP(Tabla3[[#This Row],[Site]],Table35[],14,FALSE)</f>
        <v>10:00 A.M.</v>
      </c>
      <c r="L183" s="32" t="str">
        <f>VLOOKUP(Tabla3[[#This Row],[Site]],Table35[#All],2,FALSE)</f>
        <v>-</v>
      </c>
      <c r="M183" s="32" t="str">
        <f>VLOOKUP(Tabla3[[#This Row],[Site]],Table35[#All],3,FALSE)</f>
        <v>1, 22, 26, 28, 29</v>
      </c>
      <c r="N183" s="32" t="str">
        <f>VLOOKUP(Tabla3[[#This Row],[Site]],Table35[#All],4,FALSE)</f>
        <v>-</v>
      </c>
      <c r="O183" s="32" t="str">
        <f>VLOOKUP(Tabla3[[#This Row],[Site]],Table35[#All],5,FALSE)</f>
        <v>-</v>
      </c>
      <c r="P183" s="32" t="str">
        <f>VLOOKUP(Tabla3[[#This Row],[Site]],Table35[#All],6,FALSE)</f>
        <v>3, 11, 15, 23</v>
      </c>
      <c r="Q183" s="32" t="str">
        <f>VLOOKUP(Tabla3[[#This Row],[Site]],Table35[#All],8,FALSE)</f>
        <v>306</v>
      </c>
    </row>
    <row r="184" spans="1:17" hidden="1" x14ac:dyDescent="0.25">
      <c r="A184" t="str">
        <f>+Tabla3[[#This Row],[Site]]&amp;Tabla3[[#This Row],[Split]]</f>
        <v>(AS) Koons Tysons Toyota - Main Dealership (NO TOURS)4</v>
      </c>
      <c r="B184">
        <v>4</v>
      </c>
      <c r="C184">
        <v>1</v>
      </c>
      <c r="D184" t="s">
        <v>432</v>
      </c>
      <c r="E184" t="str">
        <f>VLOOKUP(Tabla3[[#This Row],[Site]],Table35[],10,FALSE)</f>
        <v>9:00 P.M.</v>
      </c>
      <c r="F184" t="str">
        <f>VLOOKUP(Tabla3[[#This Row],[Site]],Table35[],11,FALSE)</f>
        <v>ET</v>
      </c>
      <c r="G184" t="str">
        <f>VLOOKUP(Tabla3[[#This Row],[Site]],Table35[],12,FALSE)</f>
        <v>5:00 A.M.</v>
      </c>
      <c r="H184" s="74" t="str">
        <f>HYPERLINK(VLOOKUP(Tabla3[[#This Row],[Site]],Table35[#All],9,FALSE))</f>
        <v>https://tools.sig.systems/site/details/344</v>
      </c>
      <c r="I184" t="str">
        <f>VLOOKUP(Tabla3[[#This Row],[Site]],Table35[],13,FALSE)</f>
        <v>-</v>
      </c>
      <c r="J184" t="str">
        <f>VLOOKUP(Tabla3[[#This Row],[Site]],Table35[],14,FALSE)</f>
        <v>-</v>
      </c>
      <c r="L184" s="32" t="str">
        <f>VLOOKUP(Tabla3[[#This Row],[Site]],Table35[#All],2,FALSE)</f>
        <v>-</v>
      </c>
      <c r="M184" s="32" t="str">
        <f>VLOOKUP(Tabla3[[#This Row],[Site]],Table35[#All],3,FALSE)</f>
        <v>1, 25</v>
      </c>
      <c r="N184" s="32" t="str">
        <f>VLOOKUP(Tabla3[[#This Row],[Site]],Table35[#All],4,FALSE)</f>
        <v>-</v>
      </c>
      <c r="O184" s="32" t="str">
        <f>VLOOKUP(Tabla3[[#This Row],[Site]],Table35[#All],5,FALSE)</f>
        <v>-</v>
      </c>
      <c r="P184" s="32" t="str">
        <f>VLOOKUP(Tabla3[[#This Row],[Site]],Table35[#All],6,FALSE)</f>
        <v>13, 22, 27</v>
      </c>
      <c r="Q184" s="32" t="str">
        <f>VLOOKUP(Tabla3[[#This Row],[Site]],Table35[#All],8,FALSE)</f>
        <v>344</v>
      </c>
    </row>
    <row r="185" spans="1:17" hidden="1" x14ac:dyDescent="0.25">
      <c r="A185" t="str">
        <f>+Tabla3[[#This Row],[Site]]&amp;Tabla3[[#This Row],[Split]]</f>
        <v>(AS) Koons Annapolis Toyota (NO TOURS)4</v>
      </c>
      <c r="B185">
        <v>4</v>
      </c>
      <c r="C185">
        <v>1</v>
      </c>
      <c r="D185" t="s">
        <v>446</v>
      </c>
      <c r="E185" t="str">
        <f>VLOOKUP(Tabla3[[#This Row],[Site]],Table35[],10,FALSE)</f>
        <v>9:00 P.M.</v>
      </c>
      <c r="F185" t="str">
        <f>VLOOKUP(Tabla3[[#This Row],[Site]],Table35[],11,FALSE)</f>
        <v>ET</v>
      </c>
      <c r="G185" t="str">
        <f>VLOOKUP(Tabla3[[#This Row],[Site]],Table35[],12,FALSE)</f>
        <v>5:00 A.M.</v>
      </c>
      <c r="H185" s="74" t="str">
        <f>HYPERLINK(VLOOKUP(Tabla3[[#This Row],[Site]],Table35[#All],9,FALSE))</f>
        <v>https://tools.sig.systems/site/details/337</v>
      </c>
      <c r="I185">
        <f>VLOOKUP(Tabla3[[#This Row],[Site]],Table35[],13,FALSE)</f>
        <v>0</v>
      </c>
      <c r="J185" t="str">
        <f>VLOOKUP(Tabla3[[#This Row],[Site]],Table35[],14,FALSE)</f>
        <v>-</v>
      </c>
      <c r="L185" s="32">
        <f>VLOOKUP(Tabla3[[#This Row],[Site]],Table35[#All],2,FALSE)</f>
        <v>6</v>
      </c>
      <c r="M185" s="32" t="str">
        <f>VLOOKUP(Tabla3[[#This Row],[Site]],Table35[#All],3,FALSE)</f>
        <v>1, 6, 21</v>
      </c>
      <c r="N185" s="32" t="str">
        <f>VLOOKUP(Tabla3[[#This Row],[Site]],Table35[#All],4,FALSE)</f>
        <v>-</v>
      </c>
      <c r="O185" s="32" t="str">
        <f>VLOOKUP(Tabla3[[#This Row],[Site]],Table35[#All],5,FALSE)</f>
        <v>-</v>
      </c>
      <c r="P185" s="32" t="str">
        <f>VLOOKUP(Tabla3[[#This Row],[Site]],Table35[#All],6,FALSE)</f>
        <v>3, 5, 7, 19</v>
      </c>
      <c r="Q185" s="32" t="str">
        <f>VLOOKUP(Tabla3[[#This Row],[Site]],Table35[#All],8,FALSE)</f>
        <v>337</v>
      </c>
    </row>
    <row r="186" spans="1:17" hidden="1" x14ac:dyDescent="0.25">
      <c r="A186" t="str">
        <f>+Tabla3[[#This Row],[Site]]&amp;Tabla3[[#This Row],[Split]]</f>
        <v>(AS) Koons Woodbridge Kia (NO TOURS)4</v>
      </c>
      <c r="B186">
        <v>4</v>
      </c>
      <c r="C186">
        <v>1</v>
      </c>
      <c r="D186" t="s">
        <v>407</v>
      </c>
      <c r="E186" t="str">
        <f>VLOOKUP(Tabla3[[#This Row],[Site]],Table35[],10,FALSE)</f>
        <v>9:00 P.M.</v>
      </c>
      <c r="F186" t="str">
        <f>VLOOKUP(Tabla3[[#This Row],[Site]],Table35[],11,FALSE)</f>
        <v>ET</v>
      </c>
      <c r="G186" t="str">
        <f>VLOOKUP(Tabla3[[#This Row],[Site]],Table35[],12,FALSE)</f>
        <v>5:00 A.M.</v>
      </c>
      <c r="H186" s="74" t="str">
        <f>HYPERLINK(VLOOKUP(Tabla3[[#This Row],[Site]],Table35[#All],9,FALSE))</f>
        <v>https://tools.sig.systems/site/details/346</v>
      </c>
      <c r="I186" t="str">
        <f>VLOOKUP(Tabla3[[#This Row],[Site]],Table35[],13,FALSE)</f>
        <v>-</v>
      </c>
      <c r="J186" t="str">
        <f>VLOOKUP(Tabla3[[#This Row],[Site]],Table35[],14,FALSE)</f>
        <v>10:00 A.M.</v>
      </c>
      <c r="L186" s="32" t="str">
        <f>VLOOKUP(Tabla3[[#This Row],[Site]],Table35[#All],2,FALSE)</f>
        <v>-</v>
      </c>
      <c r="M186" s="32">
        <f>VLOOKUP(Tabla3[[#This Row],[Site]],Table35[#All],3,FALSE)</f>
        <v>2</v>
      </c>
      <c r="N186" s="32" t="str">
        <f>VLOOKUP(Tabla3[[#This Row],[Site]],Table35[#All],4,FALSE)</f>
        <v>-</v>
      </c>
      <c r="O186" s="32" t="str">
        <f>VLOOKUP(Tabla3[[#This Row],[Site]],Table35[#All],5,FALSE)</f>
        <v>-</v>
      </c>
      <c r="P186" s="32">
        <f>VLOOKUP(Tabla3[[#This Row],[Site]],Table35[#All],6,FALSE)</f>
        <v>5</v>
      </c>
      <c r="Q186" s="32" t="str">
        <f>VLOOKUP(Tabla3[[#This Row],[Site]],Table35[#All],8,FALSE)</f>
        <v>346</v>
      </c>
    </row>
    <row r="187" spans="1:17" hidden="1" x14ac:dyDescent="0.25">
      <c r="A187" t="str">
        <f>+Tabla3[[#This Row],[Site]]&amp;Tabla3[[#This Row],[Split]]</f>
        <v>(AS) Plaza Mercedes Benz West (NO TOURS)4</v>
      </c>
      <c r="B187">
        <v>4</v>
      </c>
      <c r="C187">
        <v>1</v>
      </c>
      <c r="D187" t="s">
        <v>394</v>
      </c>
      <c r="E187" t="str">
        <f>VLOOKUP(Tabla3[[#This Row],[Site]],Table35[],10,FALSE)</f>
        <v>10:00 P.M.</v>
      </c>
      <c r="F187" t="str">
        <f>VLOOKUP(Tabla3[[#This Row],[Site]],Table35[],11,FALSE)</f>
        <v>CT</v>
      </c>
      <c r="G187" t="str">
        <f>VLOOKUP(Tabla3[[#This Row],[Site]],Table35[],12,FALSE)</f>
        <v>6:00 A.M.</v>
      </c>
      <c r="H187" s="74" t="str">
        <f>HYPERLINK(VLOOKUP(Tabla3[[#This Row],[Site]],Table35[#All],9,FALSE))</f>
        <v>https://tools.sig.systems/site/details/349</v>
      </c>
      <c r="I187">
        <f>VLOOKUP(Tabla3[[#This Row],[Site]],Table35[],13,FALSE)</f>
        <v>0</v>
      </c>
      <c r="J187" t="str">
        <f>VLOOKUP(Tabla3[[#This Row],[Site]],Table35[],14,FALSE)</f>
        <v>-</v>
      </c>
      <c r="L187" s="32" t="str">
        <f>VLOOKUP(Tabla3[[#This Row],[Site]],Table35[#All],2,FALSE)</f>
        <v>-</v>
      </c>
      <c r="M187" s="32" t="str">
        <f>VLOOKUP(Tabla3[[#This Row],[Site]],Table35[#All],3,FALSE)</f>
        <v>1, 7</v>
      </c>
      <c r="N187" s="32" t="str">
        <f>VLOOKUP(Tabla3[[#This Row],[Site]],Table35[#All],4,FALSE)</f>
        <v>-</v>
      </c>
      <c r="O187" s="32">
        <f>VLOOKUP(Tabla3[[#This Row],[Site]],Table35[#All],5,FALSE)</f>
        <v>17</v>
      </c>
      <c r="P187" s="32" t="str">
        <f>VLOOKUP(Tabla3[[#This Row],[Site]],Table35[#All],6,FALSE)</f>
        <v>6, 21</v>
      </c>
      <c r="Q187" s="32" t="str">
        <f>VLOOKUP(Tabla3[[#This Row],[Site]],Table35[#All],8,FALSE)</f>
        <v>349</v>
      </c>
    </row>
    <row r="188" spans="1:17" hidden="1" x14ac:dyDescent="0.25">
      <c r="A188" t="str">
        <f>+Tabla3[[#This Row],[Site]]&amp;Tabla3[[#This Row],[Split]]</f>
        <v>(BRL) Fort Pierce4</v>
      </c>
      <c r="B188">
        <v>4</v>
      </c>
      <c r="C188">
        <v>1</v>
      </c>
      <c r="D188" t="s">
        <v>347</v>
      </c>
      <c r="E188" t="str">
        <f>VLOOKUP(Tabla3[[#This Row],[Site]],Table35[],10,FALSE)</f>
        <v>24H</v>
      </c>
      <c r="F188" t="str">
        <f>VLOOKUP(Tabla3[[#This Row],[Site]],Table35[],11,FALSE)</f>
        <v>ET</v>
      </c>
      <c r="G188" t="str">
        <f>VLOOKUP(Tabla3[[#This Row],[Site]],Table35[],12,FALSE)</f>
        <v>-</v>
      </c>
      <c r="H188" s="74" t="str">
        <f>HYPERLINK(VLOOKUP(Tabla3[[#This Row],[Site]],Table35[#All],9,FALSE))</f>
        <v>https://tools.sig.systems/site/details/326</v>
      </c>
      <c r="I188" t="str">
        <f>VLOOKUP(Tabla3[[#This Row],[Site]],Table35[],13,FALSE)</f>
        <v>-</v>
      </c>
      <c r="J188" t="str">
        <f>VLOOKUP(Tabla3[[#This Row],[Site]],Table35[],14,FALSE)</f>
        <v>-</v>
      </c>
      <c r="L188" s="32" t="str">
        <f>VLOOKUP(Tabla3[[#This Row],[Site]],Table35[#All],2,FALSE)</f>
        <v>-</v>
      </c>
      <c r="M188" s="32">
        <f>VLOOKUP(Tabla3[[#This Row],[Site]],Table35[#All],3,FALSE)</f>
        <v>1</v>
      </c>
      <c r="N188" s="32" t="str">
        <f>VLOOKUP(Tabla3[[#This Row],[Site]],Table35[#All],4,FALSE)</f>
        <v>-</v>
      </c>
      <c r="O188" s="32">
        <f>VLOOKUP(Tabla3[[#This Row],[Site]],Table35[#All],5,FALSE)</f>
        <v>2</v>
      </c>
      <c r="P188" s="32" t="str">
        <f>VLOOKUP(Tabla3[[#This Row],[Site]],Table35[#All],6,FALSE)</f>
        <v>15, 18</v>
      </c>
      <c r="Q188" s="32" t="str">
        <f>VLOOKUP(Tabla3[[#This Row],[Site]],Table35[#All],8,FALSE)</f>
        <v>326</v>
      </c>
    </row>
    <row r="189" spans="1:17" hidden="1" x14ac:dyDescent="0.25">
      <c r="A189" t="str">
        <f>+Tabla3[[#This Row],[Site]]&amp;Tabla3[[#This Row],[Split]]</f>
        <v>(DT) Charlotte4</v>
      </c>
      <c r="B189">
        <v>4</v>
      </c>
      <c r="C189">
        <v>1</v>
      </c>
      <c r="D189" t="s">
        <v>150</v>
      </c>
      <c r="E189" t="str">
        <f>VLOOKUP(Tabla3[[#This Row],[Site]],Table35[],10,FALSE)</f>
        <v>9:00 P.M.</v>
      </c>
      <c r="F189" t="str">
        <f>VLOOKUP(Tabla3[[#This Row],[Site]],Table35[],11,FALSE)</f>
        <v>ET</v>
      </c>
      <c r="G189" t="str">
        <f>VLOOKUP(Tabla3[[#This Row],[Site]],Table35[],12,FALSE)</f>
        <v>5:00 A.M.</v>
      </c>
      <c r="H189" s="74" t="str">
        <f>HYPERLINK(VLOOKUP(Tabla3[[#This Row],[Site]],Table35[#All],9,FALSE))</f>
        <v>https://tools.sig.systems/site/details/299</v>
      </c>
      <c r="I189">
        <f>VLOOKUP(Tabla3[[#This Row],[Site]],Table35[],13,FALSE)</f>
        <v>0</v>
      </c>
      <c r="J189" t="str">
        <f>VLOOKUP(Tabla3[[#This Row],[Site]],Table35[],14,FALSE)</f>
        <v>-</v>
      </c>
      <c r="L189" s="32" t="str">
        <f>VLOOKUP(Tabla3[[#This Row],[Site]],Table35[#All],2,FALSE)</f>
        <v>4, 25, 41</v>
      </c>
      <c r="M189" s="32" t="str">
        <f>VLOOKUP(Tabla3[[#This Row],[Site]],Table35[#All],3,FALSE)</f>
        <v>-</v>
      </c>
      <c r="N189" s="32" t="str">
        <f>VLOOKUP(Tabla3[[#This Row],[Site]],Table35[#All],4,FALSE)</f>
        <v>-</v>
      </c>
      <c r="O189" s="32" t="str">
        <f>VLOOKUP(Tabla3[[#This Row],[Site]],Table35[#All],5,FALSE)</f>
        <v xml:space="preserve">11, 32, 35 </v>
      </c>
      <c r="P189" s="32" t="str">
        <f>VLOOKUP(Tabla3[[#This Row],[Site]],Table35[#All],6,FALSE)</f>
        <v>6, 11, 18, 29, 34,  38, 39</v>
      </c>
      <c r="Q189" s="32" t="str">
        <f>VLOOKUP(Tabla3[[#This Row],[Site]],Table35[#All],8,FALSE)</f>
        <v>299</v>
      </c>
    </row>
    <row r="190" spans="1:17" hidden="1" x14ac:dyDescent="0.25">
      <c r="A190" t="str">
        <f>+Tabla3[[#This Row],[Site]]&amp;Tabla3[[#This Row],[Split]]</f>
        <v>(KG) Big Star Hyundai Houston4</v>
      </c>
      <c r="B190">
        <v>4</v>
      </c>
      <c r="C190">
        <v>1</v>
      </c>
      <c r="D190" t="s">
        <v>128</v>
      </c>
      <c r="E190" t="str">
        <f>VLOOKUP(Tabla3[[#This Row],[Site]],Table35[],10,FALSE)</f>
        <v>10:00 P.M.</v>
      </c>
      <c r="F190" t="str">
        <f>VLOOKUP(Tabla3[[#This Row],[Site]],Table35[],11,FALSE)</f>
        <v>CT</v>
      </c>
      <c r="G190" t="str">
        <f>VLOOKUP(Tabla3[[#This Row],[Site]],Table35[],12,FALSE)</f>
        <v>6:00 A.M.</v>
      </c>
      <c r="H190" s="74" t="str">
        <f>HYPERLINK(VLOOKUP(Tabla3[[#This Row],[Site]],Table35[#All],9,FALSE))</f>
        <v>https://tools.sig.systems/site/details/287</v>
      </c>
      <c r="I190" t="str">
        <f>VLOOKUP(Tabla3[[#This Row],[Site]],Table35[],13,FALSE)</f>
        <v>https://www.google.com/maps/d/edit?hl=en&amp;mid=1jIRkMUnWNPuTgDjQgDP-f33LClT85NU&amp;ll=29.55731827236326%2C-95.1601644&amp;z=17</v>
      </c>
      <c r="J190" t="str">
        <f>VLOOKUP(Tabla3[[#This Row],[Site]],Table35[],14,FALSE)</f>
        <v>-</v>
      </c>
      <c r="L190" s="32" t="s">
        <v>198</v>
      </c>
      <c r="M190" s="32" t="s">
        <v>199</v>
      </c>
      <c r="N190" s="32" t="s">
        <v>96</v>
      </c>
      <c r="O190" s="32" t="s">
        <v>200</v>
      </c>
      <c r="P190" s="32" t="s">
        <v>201</v>
      </c>
      <c r="Q190" s="32" t="s">
        <v>296</v>
      </c>
    </row>
    <row r="191" spans="1:17" hidden="1" x14ac:dyDescent="0.25">
      <c r="A191" t="str">
        <f>+Tabla3[[#This Row],[Site]]&amp;Tabla3[[#This Row],[Split]]</f>
        <v>(LT) Luther Brookdale Toyota4</v>
      </c>
      <c r="B191">
        <v>4</v>
      </c>
      <c r="C191">
        <v>1</v>
      </c>
      <c r="D191" t="s">
        <v>125</v>
      </c>
      <c r="E191" t="str">
        <f>VLOOKUP(Tabla3[[#This Row],[Site]],Table35[],10,FALSE)</f>
        <v>10:00 P.M.</v>
      </c>
      <c r="F191" t="str">
        <f>VLOOKUP(Tabla3[[#This Row],[Site]],Table35[],11,FALSE)</f>
        <v>CT</v>
      </c>
      <c r="G191" t="str">
        <f>VLOOKUP(Tabla3[[#This Row],[Site]],Table35[],12,FALSE)</f>
        <v>5:00 A.M.</v>
      </c>
      <c r="H191" s="74" t="str">
        <f>HYPERLINK(VLOOKUP(Tabla3[[#This Row],[Site]],Table35[#All],9,FALSE))</f>
        <v>https://tools.sig.systems/site/details/281</v>
      </c>
      <c r="I191" t="str">
        <f>VLOOKUP(Tabla3[[#This Row],[Site]],Table35[],13,FALSE)</f>
        <v>https://www.google.com/maps/d/viewer?mid=1ot0ILX76JMuvd9yMuqkb4_e0yH1n7TA&amp;ll=45.07815812965141%2C-93.33506855000002&amp;z=17</v>
      </c>
      <c r="J191" t="str">
        <f>VLOOKUP(Tabla3[[#This Row],[Site]],Table35[],14,FALSE)</f>
        <v>-</v>
      </c>
      <c r="L191" s="32" t="str">
        <f>VLOOKUP(Tabla3[[#This Row],[Site]],Table35[#All],2,FALSE)</f>
        <v>-</v>
      </c>
      <c r="M191" s="32" t="str">
        <f>VLOOKUP(Tabla3[[#This Row],[Site]],Table35[#All],3,FALSE)</f>
        <v>5, 7</v>
      </c>
      <c r="N191" s="32">
        <f>VLOOKUP(Tabla3[[#This Row],[Site]],Table35[#All],4,FALSE)</f>
        <v>29</v>
      </c>
      <c r="O191" s="32">
        <f>VLOOKUP(Tabla3[[#This Row],[Site]],Table35[#All],5,FALSE)</f>
        <v>20</v>
      </c>
      <c r="P191" s="32" t="str">
        <f>VLOOKUP(Tabla3[[#This Row],[Site]],Table35[#All],6,FALSE)</f>
        <v xml:space="preserve">1, 2, 4, 10, 18, 24, 25 </v>
      </c>
      <c r="Q191" s="32" t="str">
        <f>VLOOKUP(Tabla3[[#This Row],[Site]],Table35[#All],8,FALSE)</f>
        <v>281</v>
      </c>
    </row>
    <row r="192" spans="1:17" hidden="1" x14ac:dyDescent="0.25">
      <c r="A192" t="str">
        <f>+Tabla3[[#This Row],[Site]]&amp;Tabla3[[#This Row],[Split]]</f>
        <v>(LT) Luther Burnsville Hyundai4</v>
      </c>
      <c r="B192">
        <v>4</v>
      </c>
      <c r="C192">
        <v>1</v>
      </c>
      <c r="D192" t="s">
        <v>280</v>
      </c>
      <c r="E192" t="str">
        <f>VLOOKUP(Tabla3[[#This Row],[Site]],Table35[],10,FALSE)</f>
        <v>10:00 P.M.</v>
      </c>
      <c r="F192" t="str">
        <f>VLOOKUP(Tabla3[[#This Row],[Site]],Table35[],11,FALSE)</f>
        <v>CT</v>
      </c>
      <c r="G192" t="str">
        <f>VLOOKUP(Tabla3[[#This Row],[Site]],Table35[],12,FALSE)</f>
        <v>6:00 A.M.</v>
      </c>
      <c r="H192" s="74" t="str">
        <f>HYPERLINK(VLOOKUP(Tabla3[[#This Row],[Site]],Table35[#All],9,FALSE))</f>
        <v>https://tools.sig.systems/site/details/307</v>
      </c>
      <c r="I192">
        <f>VLOOKUP(Tabla3[[#This Row],[Site]],Table35[],13,FALSE)</f>
        <v>0</v>
      </c>
      <c r="J192" t="str">
        <f>VLOOKUP(Tabla3[[#This Row],[Site]],Table35[],14,FALSE)</f>
        <v>-</v>
      </c>
      <c r="L192" s="32" t="str">
        <f>VLOOKUP(Tabla3[[#This Row],[Site]],Table35[#All],2,FALSE)</f>
        <v>-</v>
      </c>
      <c r="M192" s="32" t="str">
        <f>VLOOKUP(Tabla3[[#This Row],[Site]],Table35[#All],3,FALSE)</f>
        <v>6, 17</v>
      </c>
      <c r="N192" s="32" t="str">
        <f>VLOOKUP(Tabla3[[#This Row],[Site]],Table35[#All],4,FALSE)</f>
        <v>22, 21</v>
      </c>
      <c r="O192" s="32">
        <f>VLOOKUP(Tabla3[[#This Row],[Site]],Table35[#All],5,FALSE)</f>
        <v>7</v>
      </c>
      <c r="P192" s="32" t="str">
        <f>VLOOKUP(Tabla3[[#This Row],[Site]],Table35[#All],6,FALSE)</f>
        <v>2, 4, 16</v>
      </c>
      <c r="Q192" s="32" t="str">
        <f>VLOOKUP(Tabla3[[#This Row],[Site]],Table35[#All],8,FALSE)</f>
        <v>307</v>
      </c>
    </row>
    <row r="193" spans="1:17" hidden="1" x14ac:dyDescent="0.25">
      <c r="A193" t="str">
        <f>+Tabla3[[#This Row],[Site]]&amp;Tabla3[[#This Row],[Split]]</f>
        <v>(LT) Luther St. Cloud Subaru4</v>
      </c>
      <c r="B193">
        <v>4</v>
      </c>
      <c r="C193">
        <v>1</v>
      </c>
      <c r="D193" t="s">
        <v>127</v>
      </c>
      <c r="E193" t="str">
        <f>VLOOKUP(Tabla3[[#This Row],[Site]],Table35[],10,FALSE)</f>
        <v>10:00 P.M.</v>
      </c>
      <c r="F193" t="str">
        <f>VLOOKUP(Tabla3[[#This Row],[Site]],Table35[],11,FALSE)</f>
        <v>CT</v>
      </c>
      <c r="G193" t="str">
        <f>VLOOKUP(Tabla3[[#This Row],[Site]],Table35[],12,FALSE)</f>
        <v>5:30 A.M.</v>
      </c>
      <c r="H193" s="74" t="str">
        <f>HYPERLINK(VLOOKUP(Tabla3[[#This Row],[Site]],Table35[#All],9,FALSE))</f>
        <v>https://tools.sig.systems/site/details/295</v>
      </c>
      <c r="I193">
        <f>VLOOKUP(Tabla3[[#This Row],[Site]],Table35[],13,FALSE)</f>
        <v>0</v>
      </c>
      <c r="J193" t="str">
        <f>VLOOKUP(Tabla3[[#This Row],[Site]],Table35[],14,FALSE)</f>
        <v>-</v>
      </c>
      <c r="L193" s="32" t="str">
        <f>VLOOKUP(Tabla3[[#This Row],[Site]],Table35[#All],2,FALSE)</f>
        <v>25, 31</v>
      </c>
      <c r="M193" s="32" t="str">
        <f>VLOOKUP(Tabla3[[#This Row],[Site]],Table35[#All],3,FALSE)</f>
        <v>9, 13, 20</v>
      </c>
      <c r="N193" s="32" t="str">
        <f>VLOOKUP(Tabla3[[#This Row],[Site]],Table35[#All],4,FALSE)</f>
        <v>38, 39, 40, 41</v>
      </c>
      <c r="O193" s="32">
        <f>VLOOKUP(Tabla3[[#This Row],[Site]],Table35[#All],5,FALSE)</f>
        <v>27</v>
      </c>
      <c r="P193" s="32" t="str">
        <f>VLOOKUP(Tabla3[[#This Row],[Site]],Table35[#All],6,FALSE)</f>
        <v>2, 6, 8, 11, 14, 19, 23, 26</v>
      </c>
      <c r="Q193" s="32" t="str">
        <f>VLOOKUP(Tabla3[[#This Row],[Site]],Table35[#All],8,FALSE)</f>
        <v>295</v>
      </c>
    </row>
    <row r="194" spans="1:17" hidden="1" x14ac:dyDescent="0.25">
      <c r="A194" t="str">
        <f>+Tabla3[[#This Row],[Site]]&amp;Tabla3[[#This Row],[Split]]</f>
        <v>(ML) Joe Machens Hyundai4</v>
      </c>
      <c r="B194">
        <v>4</v>
      </c>
      <c r="C194">
        <v>1</v>
      </c>
      <c r="D194" t="s">
        <v>124</v>
      </c>
      <c r="E194" t="str">
        <f>VLOOKUP(Tabla3[[#This Row],[Site]],Table35[],10,FALSE)</f>
        <v>10:00 P.M.</v>
      </c>
      <c r="F194" t="str">
        <f>VLOOKUP(Tabla3[[#This Row],[Site]],Table35[],11,FALSE)</f>
        <v>CT</v>
      </c>
      <c r="G194" t="str">
        <f>VLOOKUP(Tabla3[[#This Row],[Site]],Table35[],12,FALSE)</f>
        <v>6:00 A.M.</v>
      </c>
      <c r="H194" s="74" t="str">
        <f>HYPERLINK(VLOOKUP(Tabla3[[#This Row],[Site]],Table35[#All],9,FALSE))</f>
        <v>https://tools.sig.systems/site/details/286</v>
      </c>
      <c r="I194" t="str">
        <f>VLOOKUP(Tabla3[[#This Row],[Site]],Table35[],13,FALSE)</f>
        <v>https://www.google.com/maps/d/viewer?hl=es&amp;mid=1C1oZdjH3dNvCvqdpIv_Lk0Yn1OCVn-4&amp;ll=38.965368114274455%2C-92.3405954&amp;z=15</v>
      </c>
      <c r="J194" t="str">
        <f>VLOOKUP(Tabla3[[#This Row],[Site]],Table35[],14,FALSE)</f>
        <v>-</v>
      </c>
      <c r="L194" s="32" t="str">
        <f>VLOOKUP(Tabla3[[#This Row],[Site]],Table35[#All],2,FALSE)</f>
        <v>-</v>
      </c>
      <c r="M194" s="32" t="str">
        <f>VLOOKUP(Tabla3[[#This Row],[Site]],Table35[#All],3,FALSE)</f>
        <v>3, 4, 14, 25</v>
      </c>
      <c r="N194" s="32" t="str">
        <f>VLOOKUP(Tabla3[[#This Row],[Site]],Table35[#All],4,FALSE)</f>
        <v>-</v>
      </c>
      <c r="O194" s="32">
        <f>VLOOKUP(Tabla3[[#This Row],[Site]],Table35[#All],5,FALSE)</f>
        <v>17</v>
      </c>
      <c r="P194" s="32" t="str">
        <f>VLOOKUP(Tabla3[[#This Row],[Site]],Table35[#All],6,FALSE)</f>
        <v>1, 11, 12, 13, 15</v>
      </c>
      <c r="Q194" s="32" t="str">
        <f>VLOOKUP(Tabla3[[#This Row],[Site]],Table35[#All],8,FALSE)</f>
        <v>286</v>
      </c>
    </row>
    <row r="195" spans="1:17" hidden="1" x14ac:dyDescent="0.25">
      <c r="A195" t="str">
        <f>+Tabla3[[#This Row],[Site]]&amp;Tabla3[[#This Row],[Split]]</f>
        <v>(PE) BMW Service Center (NO TOURS)4</v>
      </c>
      <c r="B195">
        <v>4</v>
      </c>
      <c r="C195">
        <v>1</v>
      </c>
      <c r="D195" t="s">
        <v>38</v>
      </c>
      <c r="E195" t="str">
        <f>VLOOKUP(Tabla3[[#This Row],[Site]],Table35[],10,FALSE)</f>
        <v>8:00 P.M.</v>
      </c>
      <c r="F195" t="str">
        <f>VLOOKUP(Tabla3[[#This Row],[Site]],Table35[],11,FALSE)</f>
        <v>ET</v>
      </c>
      <c r="G195" t="str">
        <f>VLOOKUP(Tabla3[[#This Row],[Site]],Table35[],12,FALSE)</f>
        <v>5:00 A.M.</v>
      </c>
      <c r="H195" s="74" t="str">
        <f>HYPERLINK(VLOOKUP(Tabla3[[#This Row],[Site]],Table35[#All],9,FALSE))</f>
        <v>https://tools.sig.systems/site/details/184</v>
      </c>
      <c r="I195" t="str">
        <f>VLOOKUP(Tabla3[[#This Row],[Site]],Table35[],13,FALSE)</f>
        <v>https://www.google.com/maps/d/edit?hl=en&amp;mid=1UHmt7tH1ihTa85i0MfQIcTfVvIQg_vM&amp;ll=41.02423447529239%2C-73.63721502222738&amp;z=18</v>
      </c>
      <c r="J195" t="str">
        <f>VLOOKUP(Tabla3[[#This Row],[Site]],Table35[],14,FALSE)</f>
        <v>-</v>
      </c>
      <c r="L195" s="32">
        <f>VLOOKUP(Tabla3[[#This Row],[Site]],Table35[#All],2,FALSE)</f>
        <v>3</v>
      </c>
      <c r="M195" s="32" t="str">
        <f>VLOOKUP(Tabla3[[#This Row],[Site]],Table35[#All],3,FALSE)</f>
        <v>-</v>
      </c>
      <c r="N195" s="32" t="str">
        <f>VLOOKUP(Tabla3[[#This Row],[Site]],Table35[#All],4,FALSE)</f>
        <v>-</v>
      </c>
      <c r="O195" s="32" t="str">
        <f>VLOOKUP(Tabla3[[#This Row],[Site]],Table35[#All],5,FALSE)</f>
        <v>-</v>
      </c>
      <c r="P195" s="32" t="str">
        <f>VLOOKUP(Tabla3[[#This Row],[Site]],Table35[#All],6,FALSE)</f>
        <v xml:space="preserve">1, 2 </v>
      </c>
      <c r="Q195" s="32" t="str">
        <f>VLOOKUP(Tabla3[[#This Row],[Site]],Table35[#All],8,FALSE)</f>
        <v>184</v>
      </c>
    </row>
    <row r="196" spans="1:17" hidden="1" x14ac:dyDescent="0.25">
      <c r="A196" t="str">
        <f>+Tabla3[[#This Row],[Site]]&amp;Tabla3[[#This Row],[Split]]</f>
        <v>(PE) Porsche Audi Fairfield (NO TOURS)4</v>
      </c>
      <c r="B196">
        <v>4</v>
      </c>
      <c r="C196">
        <v>1</v>
      </c>
      <c r="D196" t="s">
        <v>362</v>
      </c>
      <c r="E196" t="str">
        <f>VLOOKUP(Tabla3[[#This Row],[Site]],Table35[],10,FALSE)</f>
        <v>8:00 P.M.</v>
      </c>
      <c r="F196" t="str">
        <f>VLOOKUP(Tabla3[[#This Row],[Site]],Table35[],11,FALSE)</f>
        <v>ET</v>
      </c>
      <c r="G196" t="str">
        <f>VLOOKUP(Tabla3[[#This Row],[Site]],Table35[],12,FALSE)</f>
        <v>5:00 A.M.</v>
      </c>
      <c r="H196" s="74" t="str">
        <f>HYPERLINK(VLOOKUP(Tabla3[[#This Row],[Site]],Table35[#All],9,FALSE))</f>
        <v>https://tools.sig.systems/site/details/194</v>
      </c>
      <c r="I196">
        <f>VLOOKUP(Tabla3[[#This Row],[Site]],Table35[],13,FALSE)</f>
        <v>0</v>
      </c>
      <c r="J196" t="str">
        <f>VLOOKUP(Tabla3[[#This Row],[Site]],Table35[],14,FALSE)</f>
        <v>-</v>
      </c>
      <c r="L196" s="32" t="str">
        <f>VLOOKUP(Tabla3[[#This Row],[Site]],Table35[#All],2,FALSE)</f>
        <v>1, 18</v>
      </c>
      <c r="M196" s="32" t="str">
        <f>VLOOKUP(Tabla3[[#This Row],[Site]],Table35[#All],3,FALSE)</f>
        <v>-</v>
      </c>
      <c r="N196" s="32" t="str">
        <f>VLOOKUP(Tabla3[[#This Row],[Site]],Table35[#All],4,FALSE)</f>
        <v>-</v>
      </c>
      <c r="O196" s="32">
        <f>VLOOKUP(Tabla3[[#This Row],[Site]],Table35[#All],5,FALSE)</f>
        <v>20</v>
      </c>
      <c r="P196" s="32">
        <f>VLOOKUP(Tabla3[[#This Row],[Site]],Table35[#All],6,FALSE)</f>
        <v>15</v>
      </c>
      <c r="Q196" s="32" t="str">
        <f>VLOOKUP(Tabla3[[#This Row],[Site]],Table35[#All],8,FALSE)</f>
        <v>194</v>
      </c>
    </row>
    <row r="197" spans="1:17" hidden="1" x14ac:dyDescent="0.25">
      <c r="A197" t="str">
        <f>+Tabla3[[#This Row],[Site]]&amp;Tabla3[[#This Row],[Split]]</f>
        <v>(TC) Lamborghini South Dade4</v>
      </c>
      <c r="B197">
        <v>4</v>
      </c>
      <c r="C197">
        <v>1</v>
      </c>
      <c r="D197" t="s">
        <v>234</v>
      </c>
      <c r="E197" t="str">
        <f>VLOOKUP(Tabla3[[#This Row],[Site]],Table35[],10,FALSE)</f>
        <v>9:00 P.M.</v>
      </c>
      <c r="F197" t="str">
        <f>VLOOKUP(Tabla3[[#This Row],[Site]],Table35[],11,FALSE)</f>
        <v>ET</v>
      </c>
      <c r="G197" t="str">
        <f>VLOOKUP(Tabla3[[#This Row],[Site]],Table35[],12,FALSE)</f>
        <v>5:00 A.M.</v>
      </c>
      <c r="H197" s="74" t="str">
        <f>HYPERLINK(VLOOKUP(Tabla3[[#This Row],[Site]],Table35[#All],9,FALSE))</f>
        <v>https://tools.sig.systems/site/details/313</v>
      </c>
      <c r="I197">
        <f>VLOOKUP(Tabla3[[#This Row],[Site]],Table35[],13,FALSE)</f>
        <v>0</v>
      </c>
      <c r="J197" t="str">
        <f>VLOOKUP(Tabla3[[#This Row],[Site]],Table35[],14,FALSE)</f>
        <v>-</v>
      </c>
      <c r="L197" s="32" t="str">
        <f>VLOOKUP(Tabla3[[#This Row],[Site]],Table35[#All],2,FALSE)</f>
        <v>-</v>
      </c>
      <c r="M197" s="32" t="str">
        <f>VLOOKUP(Tabla3[[#This Row],[Site]],Table35[#All],3,FALSE)</f>
        <v>9, 11</v>
      </c>
      <c r="N197" s="32" t="str">
        <f>VLOOKUP(Tabla3[[#This Row],[Site]],Table35[#All],4,FALSE)</f>
        <v>-</v>
      </c>
      <c r="O197" s="32" t="str">
        <f>VLOOKUP(Tabla3[[#This Row],[Site]],Table35[#All],5,FALSE)</f>
        <v>-</v>
      </c>
      <c r="P197" s="32" t="str">
        <f>VLOOKUP(Tabla3[[#This Row],[Site]],Table35[#All],6,FALSE)</f>
        <v>-</v>
      </c>
      <c r="Q197" s="32" t="str">
        <f>VLOOKUP(Tabla3[[#This Row],[Site]],Table35[#All],8,FALSE)</f>
        <v>313</v>
      </c>
    </row>
    <row r="198" spans="1:17" hidden="1" x14ac:dyDescent="0.25">
      <c r="A198" t="str">
        <f>+Tabla3[[#This Row],[Site]]&amp;Tabla3[[#This Row],[Split]]</f>
        <v>(AS) Coggin BMW Ft. Pierce (NO TOURS)4</v>
      </c>
      <c r="B198">
        <v>4</v>
      </c>
      <c r="C198">
        <v>2</v>
      </c>
      <c r="D198" t="s">
        <v>121</v>
      </c>
      <c r="E198" t="str">
        <f>VLOOKUP(Tabla3[[#This Row],[Site]],Table35[],10,FALSE)</f>
        <v>9:00 P.M.</v>
      </c>
      <c r="F198" t="str">
        <f>VLOOKUP(Tabla3[[#This Row],[Site]],Table35[],11,FALSE)</f>
        <v>ET</v>
      </c>
      <c r="G198" t="str">
        <f>VLOOKUP(Tabla3[[#This Row],[Site]],Table35[],12,FALSE)</f>
        <v>5:00 A.M.</v>
      </c>
      <c r="H198" s="74" t="str">
        <f>HYPERLINK(VLOOKUP(Tabla3[[#This Row],[Site]],Table35[#All],9,FALSE))</f>
        <v>https://tools.sig.systems/site/details/119</v>
      </c>
      <c r="I198" t="str">
        <f>VLOOKUP(Tabla3[[#This Row],[Site]],Table35[],13,FALSE)</f>
        <v>https://www.google.com/maps/d/viewer?mid=1AyViBuyeq7iwDua1SVudJ2A1BYi3IBA&amp;ll=27.38181516363982%2C-80.32568845000002&amp;z=18</v>
      </c>
      <c r="J198" t="str">
        <f>VLOOKUP(Tabla3[[#This Row],[Site]],Table35[],14,FALSE)</f>
        <v>-</v>
      </c>
      <c r="L198" s="32" t="str">
        <f>VLOOKUP(Tabla3[[#This Row],[Site]],Table35[#All],2,FALSE)</f>
        <v>3, 10, 13</v>
      </c>
      <c r="M198" s="32" t="str">
        <f>VLOOKUP(Tabla3[[#This Row],[Site]],Table35[#All],3,FALSE)</f>
        <v>-</v>
      </c>
      <c r="N198" s="32" t="str">
        <f>VLOOKUP(Tabla3[[#This Row],[Site]],Table35[#All],4,FALSE)</f>
        <v>-</v>
      </c>
      <c r="O198" s="32">
        <f>VLOOKUP(Tabla3[[#This Row],[Site]],Table35[#All],5,FALSE)</f>
        <v>2</v>
      </c>
      <c r="P198" s="32" t="str">
        <f>VLOOKUP(Tabla3[[#This Row],[Site]],Table35[#All],6,FALSE)</f>
        <v>1, 20, 27</v>
      </c>
      <c r="Q198" s="32" t="str">
        <f>VLOOKUP(Tabla3[[#This Row],[Site]],Table35[#All],8,FALSE)</f>
        <v>119</v>
      </c>
    </row>
    <row r="199" spans="1:17" hidden="1" x14ac:dyDescent="0.25">
      <c r="A199" t="str">
        <f>+Tabla3[[#This Row],[Site]]&amp;Tabla3[[#This Row],[Split]]</f>
        <v>(AS) Hare Chevrolet (NO TOURS)4</v>
      </c>
      <c r="B199">
        <v>4</v>
      </c>
      <c r="C199">
        <v>2</v>
      </c>
      <c r="D199" t="s">
        <v>376</v>
      </c>
      <c r="E199" t="str">
        <f>VLOOKUP(Tabla3[[#This Row],[Site]],Table35[],10,FALSE)</f>
        <v>9:00 P.M.</v>
      </c>
      <c r="F199" t="str">
        <f>VLOOKUP(Tabla3[[#This Row],[Site]],Table35[],11,FALSE)</f>
        <v>ET</v>
      </c>
      <c r="G199" t="str">
        <f>VLOOKUP(Tabla3[[#This Row],[Site]],Table35[],12,FALSE)</f>
        <v>5:00 A.M.</v>
      </c>
      <c r="H199" s="74" t="str">
        <f>HYPERLINK(VLOOKUP(Tabla3[[#This Row],[Site]],Table35[#All],9,FALSE))</f>
        <v>https://tools.sig.systems/site/details/301</v>
      </c>
      <c r="I199" t="str">
        <f>VLOOKUP(Tabla3[[#This Row],[Site]],Table35[],13,FALSE)</f>
        <v>https://www.google.com/maps/d/edit?mid=1hsX5GGrNcCQgAuzDCDz1OWgEkhsAc78&amp;usp=sharing</v>
      </c>
      <c r="J199" t="str">
        <f>VLOOKUP(Tabla3[[#This Row],[Site]],Table35[],14,FALSE)</f>
        <v>-</v>
      </c>
      <c r="L199" s="32" t="str">
        <f>VLOOKUP(Tabla3[[#This Row],[Site]],Table35[#All],2,FALSE)</f>
        <v>18, 24</v>
      </c>
      <c r="M199" s="32" t="str">
        <f>VLOOKUP(Tabla3[[#This Row],[Site]],Table35[#All],3,FALSE)</f>
        <v>2, 3</v>
      </c>
      <c r="N199" s="32" t="str">
        <f>VLOOKUP(Tabla3[[#This Row],[Site]],Table35[#All],4,FALSE)</f>
        <v>-</v>
      </c>
      <c r="O199" s="32">
        <f>VLOOKUP(Tabla3[[#This Row],[Site]],Table35[#All],5,FALSE)</f>
        <v>5</v>
      </c>
      <c r="P199" s="32" t="str">
        <f>VLOOKUP(Tabla3[[#This Row],[Site]],Table35[#All],6,FALSE)</f>
        <v>1, 5, 7, 8, 21, 29</v>
      </c>
      <c r="Q199" s="32" t="str">
        <f>VLOOKUP(Tabla3[[#This Row],[Site]],Table35[#All],8,FALSE)</f>
        <v>301</v>
      </c>
    </row>
    <row r="200" spans="1:17" hidden="1" x14ac:dyDescent="0.25">
      <c r="A200" t="str">
        <f>+Tabla3[[#This Row],[Site]]&amp;Tabla3[[#This Row],[Split]]</f>
        <v>(AS) Koons Chevrolet Buick GMC - Clarksville Remote Lot (NO TOURS)4</v>
      </c>
      <c r="B200">
        <v>4</v>
      </c>
      <c r="C200">
        <v>2</v>
      </c>
      <c r="D200" t="s">
        <v>415</v>
      </c>
      <c r="E200" t="str">
        <f>VLOOKUP(Tabla3[[#This Row],[Site]],Table35[],10,FALSE)</f>
        <v>9:00 P.M.</v>
      </c>
      <c r="F200" t="str">
        <f>VLOOKUP(Tabla3[[#This Row],[Site]],Table35[],11,FALSE)</f>
        <v>ET</v>
      </c>
      <c r="G200" t="str">
        <f>VLOOKUP(Tabla3[[#This Row],[Site]],Table35[],12,FALSE)</f>
        <v>5:00 A.M.</v>
      </c>
      <c r="H200" s="74" t="str">
        <f>HYPERLINK(VLOOKUP(Tabla3[[#This Row],[Site]],Table35[#All],9,FALSE))</f>
        <v>https://tools.sig.systems/site/details/308</v>
      </c>
      <c r="I200" t="str">
        <f>VLOOKUP(Tabla3[[#This Row],[Site]],Table35[],13,FALSE)</f>
        <v>https://www.google.com/maps/d/edit?hl=es&amp;mid=11XB1lTSP7EcDCDvzypdUPWP6bWCNAEI&amp;ll=39.21145022420528%2C-76.94003711910554&amp;z=21</v>
      </c>
      <c r="J200" t="str">
        <f>VLOOKUP(Tabla3[[#This Row],[Site]],Table35[],14,FALSE)</f>
        <v>10:00 A.M.</v>
      </c>
      <c r="L200" s="32" t="str">
        <f>VLOOKUP(Tabla3[[#This Row],[Site]],Table35[#All],2,FALSE)</f>
        <v>-</v>
      </c>
      <c r="M200" s="32" t="str">
        <f>VLOOKUP(Tabla3[[#This Row],[Site]],Table35[#All],3,FALSE)</f>
        <v>1, 5</v>
      </c>
      <c r="N200" s="32" t="str">
        <f>VLOOKUP(Tabla3[[#This Row],[Site]],Table35[#All],4,FALSE)</f>
        <v>-</v>
      </c>
      <c r="O200" s="32" t="str">
        <f>VLOOKUP(Tabla3[[#This Row],[Site]],Table35[#All],5,FALSE)</f>
        <v>-</v>
      </c>
      <c r="P200" s="32" t="str">
        <f>VLOOKUP(Tabla3[[#This Row],[Site]],Table35[#All],6,FALSE)</f>
        <v>14, 16</v>
      </c>
      <c r="Q200" s="32" t="str">
        <f>VLOOKUP(Tabla3[[#This Row],[Site]],Table35[#All],8,FALSE)</f>
        <v>308</v>
      </c>
    </row>
    <row r="201" spans="1:17" hidden="1" x14ac:dyDescent="0.25">
      <c r="A201" t="str">
        <f>+Tabla3[[#This Row],[Site]]&amp;Tabla3[[#This Row],[Split]]</f>
        <v>(AS) Koons Chevrolet Buick GMC - Tysons (NO TOURS)4</v>
      </c>
      <c r="B201">
        <v>4</v>
      </c>
      <c r="C201">
        <v>2</v>
      </c>
      <c r="D201" t="s">
        <v>386</v>
      </c>
      <c r="E201" t="str">
        <f>VLOOKUP(Tabla3[[#This Row],[Site]],Table35[],10,FALSE)</f>
        <v>9:00 P.M.</v>
      </c>
      <c r="F201" t="str">
        <f>VLOOKUP(Tabla3[[#This Row],[Site]],Table35[],11,FALSE)</f>
        <v>ET</v>
      </c>
      <c r="G201" t="str">
        <f>VLOOKUP(Tabla3[[#This Row],[Site]],Table35[],12,FALSE)</f>
        <v>5:00 A.M.</v>
      </c>
      <c r="H201" s="74" t="str">
        <f>HYPERLINK(VLOOKUP(Tabla3[[#This Row],[Site]],Table35[#All],9,FALSE))</f>
        <v>https://tools.sig.systems/site/details/352</v>
      </c>
      <c r="I201" t="str">
        <f>VLOOKUP(Tabla3[[#This Row],[Site]],Table35[],13,FALSE)</f>
        <v>-</v>
      </c>
      <c r="J201" t="str">
        <f>VLOOKUP(Tabla3[[#This Row],[Site]],Table35[],14,FALSE)</f>
        <v>10:00 A.M.</v>
      </c>
      <c r="L201" s="32" t="str">
        <f>VLOOKUP(Tabla3[[#This Row],[Site]],Table35[#All],2,FALSE)</f>
        <v>4, 6</v>
      </c>
      <c r="M201" s="32" t="str">
        <f>VLOOKUP(Tabla3[[#This Row],[Site]],Table35[#All],3,FALSE)</f>
        <v>-</v>
      </c>
      <c r="N201" s="32" t="str">
        <f>VLOOKUP(Tabla3[[#This Row],[Site]],Table35[#All],4,FALSE)</f>
        <v>-</v>
      </c>
      <c r="O201" s="32">
        <f>VLOOKUP(Tabla3[[#This Row],[Site]],Table35[#All],5,FALSE)</f>
        <v>4</v>
      </c>
      <c r="P201" s="32" t="str">
        <f>VLOOKUP(Tabla3[[#This Row],[Site]],Table35[#All],6,FALSE)</f>
        <v>6, 12, 15</v>
      </c>
      <c r="Q201" s="32" t="str">
        <f>VLOOKUP(Tabla3[[#This Row],[Site]],Table35[#All],8,FALSE)</f>
        <v>352</v>
      </c>
    </row>
    <row r="202" spans="1:17" hidden="1" x14ac:dyDescent="0.25">
      <c r="A202" t="str">
        <f>+Tabla3[[#This Row],[Site]]&amp;Tabla3[[#This Row],[Split]]</f>
        <v>(AS) Koons Falls Church Ford (NO TOURS)4</v>
      </c>
      <c r="B202">
        <v>4</v>
      </c>
      <c r="C202">
        <v>2</v>
      </c>
      <c r="D202" t="s">
        <v>388</v>
      </c>
      <c r="E202" t="str">
        <f>VLOOKUP(Tabla3[[#This Row],[Site]],Table35[],10,FALSE)</f>
        <v>9:00 P.M.</v>
      </c>
      <c r="F202" t="str">
        <f>VLOOKUP(Tabla3[[#This Row],[Site]],Table35[],11,FALSE)</f>
        <v>ET</v>
      </c>
      <c r="G202" t="str">
        <f>VLOOKUP(Tabla3[[#This Row],[Site]],Table35[],12,FALSE)</f>
        <v>5:00 A.M.</v>
      </c>
      <c r="H202" s="74" t="str">
        <f>HYPERLINK(VLOOKUP(Tabla3[[#This Row],[Site]],Table35[#All],9,FALSE))</f>
        <v>https://tools.sig.systems/site/details/345</v>
      </c>
      <c r="I202" t="str">
        <f>VLOOKUP(Tabla3[[#This Row],[Site]],Table35[],13,FALSE)</f>
        <v>-</v>
      </c>
      <c r="J202" t="str">
        <f>VLOOKUP(Tabla3[[#This Row],[Site]],Table35[],14,FALSE)</f>
        <v>10:00 A.M.</v>
      </c>
      <c r="L202" s="32" t="str">
        <f>VLOOKUP(Tabla3[[#This Row],[Site]],Table35[#All],2,FALSE)</f>
        <v>-</v>
      </c>
      <c r="M202" s="32">
        <f>VLOOKUP(Tabla3[[#This Row],[Site]],Table35[#All],3,FALSE)</f>
        <v>1</v>
      </c>
      <c r="N202" s="32" t="str">
        <f>VLOOKUP(Tabla3[[#This Row],[Site]],Table35[#All],4,FALSE)</f>
        <v>-</v>
      </c>
      <c r="O202" s="32" t="str">
        <f>VLOOKUP(Tabla3[[#This Row],[Site]],Table35[#All],5,FALSE)</f>
        <v>-</v>
      </c>
      <c r="P202" s="32" t="str">
        <f>VLOOKUP(Tabla3[[#This Row],[Site]],Table35[#All],6,FALSE)</f>
        <v>-</v>
      </c>
      <c r="Q202" s="32" t="str">
        <f>VLOOKUP(Tabla3[[#This Row],[Site]],Table35[#All],8,FALSE)</f>
        <v>345</v>
      </c>
    </row>
    <row r="203" spans="1:17" hidden="1" x14ac:dyDescent="0.25">
      <c r="A203" t="str">
        <f>+Tabla3[[#This Row],[Site]]&amp;Tabla3[[#This Row],[Split]]</f>
        <v>(AS) Koons Owings Mills Kia (NO TOURS)4</v>
      </c>
      <c r="B203">
        <v>4</v>
      </c>
      <c r="C203">
        <v>2</v>
      </c>
      <c r="D203" t="s">
        <v>416</v>
      </c>
      <c r="E203" t="str">
        <f>VLOOKUP(Tabla3[[#This Row],[Site]],Table35[],10,FALSE)</f>
        <v>9:00 P.M.</v>
      </c>
      <c r="F203" t="str">
        <f>VLOOKUP(Tabla3[[#This Row],[Site]],Table35[],11,FALSE)</f>
        <v>ET</v>
      </c>
      <c r="G203" t="str">
        <f>VLOOKUP(Tabla3[[#This Row],[Site]],Table35[],12,FALSE)</f>
        <v>5:00 A.M.</v>
      </c>
      <c r="H203" s="74" t="str">
        <f>HYPERLINK(VLOOKUP(Tabla3[[#This Row],[Site]],Table35[#All],9,FALSE))</f>
        <v>https://tools.sig.systems/site/details/336</v>
      </c>
      <c r="I203" t="str">
        <f>VLOOKUP(Tabla3[[#This Row],[Site]],Table35[],13,FALSE)</f>
        <v>-</v>
      </c>
      <c r="J203" t="str">
        <f>VLOOKUP(Tabla3[[#This Row],[Site]],Table35[],14,FALSE)</f>
        <v>-</v>
      </c>
      <c r="L203" s="32">
        <f>VLOOKUP(Tabla3[[#This Row],[Site]],Table35[#All],2,FALSE)</f>
        <v>12</v>
      </c>
      <c r="M203" s="32" t="str">
        <f>VLOOKUP(Tabla3[[#This Row],[Site]],Table35[#All],3,FALSE)</f>
        <v>2, 18</v>
      </c>
      <c r="N203" s="32" t="str">
        <f>VLOOKUP(Tabla3[[#This Row],[Site]],Table35[#All],4,FALSE)</f>
        <v>-</v>
      </c>
      <c r="O203" s="32" t="str">
        <f>VLOOKUP(Tabla3[[#This Row],[Site]],Table35[#All],5,FALSE)</f>
        <v>-</v>
      </c>
      <c r="P203" s="32" t="str">
        <f>VLOOKUP(Tabla3[[#This Row],[Site]],Table35[#All],6,FALSE)</f>
        <v>7, 14</v>
      </c>
      <c r="Q203" s="32">
        <v>336</v>
      </c>
    </row>
    <row r="204" spans="1:17" hidden="1" x14ac:dyDescent="0.25">
      <c r="A204" t="str">
        <f>+Tabla3[[#This Row],[Site]]&amp;Tabla3[[#This Row],[Split]]</f>
        <v>(AS) Koons Westminster Toyota (NO TOURS)4</v>
      </c>
      <c r="B204">
        <v>4</v>
      </c>
      <c r="C204">
        <v>2</v>
      </c>
      <c r="D204" t="s">
        <v>422</v>
      </c>
      <c r="E204" t="str">
        <f>VLOOKUP(Tabla3[[#This Row],[Site]],Table35[],10,FALSE)</f>
        <v>9:00 P.M.</v>
      </c>
      <c r="F204" t="str">
        <f>VLOOKUP(Tabla3[[#This Row],[Site]],Table35[],11,FALSE)</f>
        <v>ET</v>
      </c>
      <c r="G204" t="str">
        <f>VLOOKUP(Tabla3[[#This Row],[Site]],Table35[],12,FALSE)</f>
        <v>5:00 A.M.</v>
      </c>
      <c r="H204" s="74" t="str">
        <f>HYPERLINK(VLOOKUP(Tabla3[[#This Row],[Site]],Table35[#All],9,FALSE))</f>
        <v>https://tools.sig.systems/site/details/341</v>
      </c>
      <c r="I204" t="str">
        <f>VLOOKUP(Tabla3[[#This Row],[Site]],Table35[],13,FALSE)</f>
        <v>-</v>
      </c>
      <c r="J204" t="str">
        <f>VLOOKUP(Tabla3[[#This Row],[Site]],Table35[],14,FALSE)</f>
        <v>-</v>
      </c>
      <c r="L204" s="32" t="str">
        <f>VLOOKUP(Tabla3[[#This Row],[Site]],Table35[#All],2,FALSE)</f>
        <v>-</v>
      </c>
      <c r="M204" s="32" t="str">
        <f>VLOOKUP(Tabla3[[#This Row],[Site]],Table35[#All],3,FALSE)</f>
        <v>1, 7, 9, 18, 25</v>
      </c>
      <c r="N204" s="32" t="str">
        <f>VLOOKUP(Tabla3[[#This Row],[Site]],Table35[#All],4,FALSE)</f>
        <v>-</v>
      </c>
      <c r="O204" s="32" t="str">
        <f>VLOOKUP(Tabla3[[#This Row],[Site]],Table35[#All],5,FALSE)</f>
        <v>-</v>
      </c>
      <c r="P204" s="32" t="str">
        <f>VLOOKUP(Tabla3[[#This Row],[Site]],Table35[#All],6,FALSE)</f>
        <v>8, 14, 16</v>
      </c>
      <c r="Q204" s="32">
        <v>341</v>
      </c>
    </row>
    <row r="205" spans="1:17" hidden="1" x14ac:dyDescent="0.25">
      <c r="A205" t="str">
        <f>+Tabla3[[#This Row],[Site]]&amp;Tabla3[[#This Row],[Split]]</f>
        <v>(AS) Koons Woodbridge GMC (NO TOURS)4</v>
      </c>
      <c r="B205">
        <v>4</v>
      </c>
      <c r="C205">
        <v>2</v>
      </c>
      <c r="D205" t="s">
        <v>383</v>
      </c>
      <c r="E205" t="str">
        <f>VLOOKUP(Tabla3[[#This Row],[Site]],Table35[],10,FALSE)</f>
        <v>9:00 P.M.</v>
      </c>
      <c r="F205" t="str">
        <f>VLOOKUP(Tabla3[[#This Row],[Site]],Table35[],11,FALSE)</f>
        <v>ET</v>
      </c>
      <c r="G205" t="str">
        <f>VLOOKUP(Tabla3[[#This Row],[Site]],Table35[],12,FALSE)</f>
        <v>5:00 A.M.</v>
      </c>
      <c r="H205" s="74" t="str">
        <f>HYPERLINK(VLOOKUP(Tabla3[[#This Row],[Site]],Table35[#All],9,FALSE))</f>
        <v>https://tools.sig.systems/site/details/343</v>
      </c>
      <c r="I205">
        <f>VLOOKUP(Tabla3[[#This Row],[Site]],Table35[],13,FALSE)</f>
        <v>0</v>
      </c>
      <c r="J205" t="str">
        <f>VLOOKUP(Tabla3[[#This Row],[Site]],Table35[],14,FALSE)</f>
        <v>10:00 A.M.</v>
      </c>
      <c r="L205" s="32" t="str">
        <f>VLOOKUP(Tabla3[[#This Row],[Site]],Table35[#All],2,FALSE)</f>
        <v>-</v>
      </c>
      <c r="M205" s="32">
        <f>VLOOKUP(Tabla3[[#This Row],[Site]],Table35[#All],3,FALSE)</f>
        <v>1</v>
      </c>
      <c r="N205" s="32" t="str">
        <f>VLOOKUP(Tabla3[[#This Row],[Site]],Table35[#All],4,FALSE)</f>
        <v>-</v>
      </c>
      <c r="O205" s="32">
        <f>VLOOKUP(Tabla3[[#This Row],[Site]],Table35[#All],5,FALSE)</f>
        <v>11</v>
      </c>
      <c r="P205" s="32" t="str">
        <f>VLOOKUP(Tabla3[[#This Row],[Site]],Table35[#All],6,FALSE)</f>
        <v>2, 7</v>
      </c>
      <c r="Q205" s="32" t="str">
        <f>VLOOKUP(Tabla3[[#This Row],[Site]],Table35[#All],8,FALSE)</f>
        <v>343</v>
      </c>
    </row>
    <row r="206" spans="1:17" hidden="1" x14ac:dyDescent="0.25">
      <c r="A206" t="str">
        <f>+Tabla3[[#This Row],[Site]]&amp;Tabla3[[#This Row],[Split]]</f>
        <v>(AS) Koons Woodbridge Hyundai (NO TOURS)4</v>
      </c>
      <c r="B206">
        <v>4</v>
      </c>
      <c r="C206">
        <v>2</v>
      </c>
      <c r="D206" t="s">
        <v>406</v>
      </c>
      <c r="E206" t="str">
        <f>VLOOKUP(Tabla3[[#This Row],[Site]],Table35[],10,FALSE)</f>
        <v>9:00 P.M.</v>
      </c>
      <c r="F206" t="str">
        <f>VLOOKUP(Tabla3[[#This Row],[Site]],Table35[],11,FALSE)</f>
        <v>ET</v>
      </c>
      <c r="G206" t="str">
        <f>VLOOKUP(Tabla3[[#This Row],[Site]],Table35[],12,FALSE)</f>
        <v>5:00 A.M.</v>
      </c>
      <c r="H206" s="74" t="str">
        <f>HYPERLINK(VLOOKUP(Tabla3[[#This Row],[Site]],Table35[#All],9,FALSE))</f>
        <v>https://tools.sig.systems/site/details/347</v>
      </c>
      <c r="I206" t="str">
        <f>VLOOKUP(Tabla3[[#This Row],[Site]],Table35[],13,FALSE)</f>
        <v>-</v>
      </c>
      <c r="J206" t="str">
        <f>VLOOKUP(Tabla3[[#This Row],[Site]],Table35[],14,FALSE)</f>
        <v>8:00 A.M.</v>
      </c>
      <c r="L206" s="32" t="str">
        <f>VLOOKUP(Tabla3[[#This Row],[Site]],Table35[#All],2,FALSE)</f>
        <v>-</v>
      </c>
      <c r="M206" s="32" t="str">
        <f>VLOOKUP(Tabla3[[#This Row],[Site]],Table35[#All],3,FALSE)</f>
        <v>1, 17</v>
      </c>
      <c r="N206" s="32" t="str">
        <f>VLOOKUP(Tabla3[[#This Row],[Site]],Table35[#All],4,FALSE)</f>
        <v>-</v>
      </c>
      <c r="O206" s="32" t="str">
        <f>VLOOKUP(Tabla3[[#This Row],[Site]],Table35[#All],5,FALSE)</f>
        <v>-</v>
      </c>
      <c r="P206" s="32" t="str">
        <f>VLOOKUP(Tabla3[[#This Row],[Site]],Table35[#All],6,FALSE)</f>
        <v>4, 14, 22</v>
      </c>
      <c r="Q206" s="32" t="str">
        <f>VLOOKUP(Tabla3[[#This Row],[Site]],Table35[#All],8,FALSE)</f>
        <v>347</v>
      </c>
    </row>
    <row r="207" spans="1:17" hidden="1" x14ac:dyDescent="0.25">
      <c r="A207" t="str">
        <f>+Tabla3[[#This Row],[Site]]&amp;Tabla3[[#This Row],[Split]]</f>
        <v>(BRL) Shoemakersville4</v>
      </c>
      <c r="B207">
        <v>4</v>
      </c>
      <c r="C207">
        <v>2</v>
      </c>
      <c r="D207" t="s">
        <v>119</v>
      </c>
      <c r="E207" t="str">
        <f>VLOOKUP(Tabla3[[#This Row],[Site]],Table35[],10,FALSE)</f>
        <v>24H</v>
      </c>
      <c r="F207" t="str">
        <f>VLOOKUP(Tabla3[[#This Row],[Site]],Table35[],11,FALSE)</f>
        <v>ET</v>
      </c>
      <c r="G207" t="str">
        <f>VLOOKUP(Tabla3[[#This Row],[Site]],Table35[],12,FALSE)</f>
        <v>-</v>
      </c>
      <c r="H207" s="74" t="str">
        <f>HYPERLINK(VLOOKUP(Tabla3[[#This Row],[Site]],Table35[#All],9,FALSE))</f>
        <v>https://tools.sig.systems/site/details/302</v>
      </c>
      <c r="I207">
        <f>VLOOKUP(Tabla3[[#This Row],[Site]],Table35[],13,FALSE)</f>
        <v>0</v>
      </c>
      <c r="J207" t="str">
        <f>VLOOKUP(Tabla3[[#This Row],[Site]],Table35[],14,FALSE)</f>
        <v>-</v>
      </c>
      <c r="L207" s="32" t="str">
        <f>VLOOKUP(Tabla3[[#This Row],[Site]],Table35[#All],2,FALSE)</f>
        <v>-</v>
      </c>
      <c r="M207" s="32" t="str">
        <f>VLOOKUP(Tabla3[[#This Row],[Site]],Table35[#All],3,FALSE)</f>
        <v>8, 11</v>
      </c>
      <c r="N207" s="32" t="str">
        <f>VLOOKUP(Tabla3[[#This Row],[Site]],Table35[#All],4,FALSE)</f>
        <v>-</v>
      </c>
      <c r="O207" s="32" t="str">
        <f>VLOOKUP(Tabla3[[#This Row],[Site]],Table35[#All],5,FALSE)</f>
        <v>1, 6, 13A, 15, 18A</v>
      </c>
      <c r="P207" s="32" t="str">
        <f>VLOOKUP(Tabla3[[#This Row],[Site]],Table35[#All],6,FALSE)</f>
        <v>13B, 23</v>
      </c>
      <c r="Q207" s="32" t="str">
        <f>VLOOKUP(Tabla3[[#This Row],[Site]],Table35[#All],8,FALSE)</f>
        <v>302</v>
      </c>
    </row>
    <row r="208" spans="1:17" hidden="1" x14ac:dyDescent="0.25">
      <c r="A208" t="str">
        <f>+Tabla3[[#This Row],[Site]]&amp;Tabla3[[#This Row],[Split]]</f>
        <v>(KG) Big Star Cadillac4</v>
      </c>
      <c r="B208">
        <v>4</v>
      </c>
      <c r="C208">
        <v>2</v>
      </c>
      <c r="D208" t="s">
        <v>237</v>
      </c>
      <c r="E208" t="str">
        <f>VLOOKUP(Tabla3[[#This Row],[Site]],Table35[],10,FALSE)</f>
        <v>10:00 P.M.</v>
      </c>
      <c r="F208" t="str">
        <f>VLOOKUP(Tabla3[[#This Row],[Site]],Table35[],11,FALSE)</f>
        <v>CT</v>
      </c>
      <c r="G208" t="str">
        <f>VLOOKUP(Tabla3[[#This Row],[Site]],Table35[],12,FALSE)</f>
        <v>6:00 A.M.</v>
      </c>
      <c r="H208" s="74" t="str">
        <f>HYPERLINK(VLOOKUP(Tabla3[[#This Row],[Site]],Table35[#All],9,FALSE))</f>
        <v>https://tools.sig.systems/site/details/316</v>
      </c>
      <c r="I208" t="str">
        <f>VLOOKUP(Tabla3[[#This Row],[Site]],Table35[],13,FALSE)</f>
        <v>https://www.google.com/maps/d/edit?mid=1jIRkMUnWNPuTgDjQgDP-f33LClT85NU&amp;usp=sharing</v>
      </c>
      <c r="J208" t="str">
        <f>VLOOKUP(Tabla3[[#This Row],[Site]],Table35[],14,FALSE)</f>
        <v>-</v>
      </c>
      <c r="L208" s="32" t="str">
        <f>VLOOKUP(Tabla3[[#This Row],[Site]],Table35[#All],2,FALSE)</f>
        <v>1, 4, 16</v>
      </c>
      <c r="M208" s="32" t="str">
        <f>VLOOKUP(Tabla3[[#This Row],[Site]],Table35[#All],3,FALSE)</f>
        <v>-</v>
      </c>
      <c r="N208" s="32" t="str">
        <f>VLOOKUP(Tabla3[[#This Row],[Site]],Table35[#All],4,FALSE)</f>
        <v>-</v>
      </c>
      <c r="O208" s="32" t="str">
        <f>VLOOKUP(Tabla3[[#This Row],[Site]],Table35[#All],5,FALSE)</f>
        <v>-</v>
      </c>
      <c r="P208" s="32" t="str">
        <f>VLOOKUP(Tabla3[[#This Row],[Site]],Table35[#All],6,FALSE)</f>
        <v>15, 16, 19, 20</v>
      </c>
      <c r="Q208" s="32" t="str">
        <f>VLOOKUP(Tabla3[[#This Row],[Site]],Table35[#All],8,FALSE)</f>
        <v>316</v>
      </c>
    </row>
    <row r="209" spans="1:17" hidden="1" x14ac:dyDescent="0.25">
      <c r="A209" t="str">
        <f>+Tabla3[[#This Row],[Site]]&amp;Tabla3[[#This Row],[Split]]</f>
        <v>(KG) Ken Garff Kia of Avondale4</v>
      </c>
      <c r="B209">
        <v>4</v>
      </c>
      <c r="C209">
        <v>2</v>
      </c>
      <c r="D209" t="s">
        <v>297</v>
      </c>
      <c r="E209" t="str">
        <f>VLOOKUP(Tabla3[[#This Row],[Site]],Table35[],10,FALSE)</f>
        <v>12:00 A.M.</v>
      </c>
      <c r="F209" t="str">
        <f>VLOOKUP(Tabla3[[#This Row],[Site]],Table35[],11,FALSE)</f>
        <v>MST</v>
      </c>
      <c r="G209" t="str">
        <f>VLOOKUP(Tabla3[[#This Row],[Site]],Table35[],12,FALSE)</f>
        <v>8:00 A.M.</v>
      </c>
      <c r="H209" s="74" t="str">
        <f>HYPERLINK(VLOOKUP(Tabla3[[#This Row],[Site]],Table35[#All],9,FALSE))</f>
        <v>https://tools.sig.systems/site/details/283</v>
      </c>
      <c r="I209" t="str">
        <f>VLOOKUP(Tabla3[[#This Row],[Site]],Table35[],13,FALSE)</f>
        <v>https://www.google.com/maps/d/viewer?mid=1bDs0QGFZwL3vEeGKxjVMk_j4azr0-lg&amp;ll=33.4593758581648%2C-112.28793780000001&amp;z=18</v>
      </c>
      <c r="J209" t="str">
        <f>VLOOKUP(Tabla3[[#This Row],[Site]],Table35[],14,FALSE)</f>
        <v>12:00 P.M.</v>
      </c>
      <c r="L209" s="32" t="str">
        <f>VLOOKUP(Tabla3[[#This Row],[Site]],Table35[#All],2,FALSE)</f>
        <v>5, 19</v>
      </c>
      <c r="M209" s="32" t="str">
        <f>VLOOKUP(Tabla3[[#This Row],[Site]],Table35[#All],3,FALSE)</f>
        <v>-</v>
      </c>
      <c r="N209" s="32" t="str">
        <f>VLOOKUP(Tabla3[[#This Row],[Site]],Table35[#All],4,FALSE)</f>
        <v>-</v>
      </c>
      <c r="O209" s="32" t="str">
        <f>VLOOKUP(Tabla3[[#This Row],[Site]],Table35[#All],5,FALSE)</f>
        <v>3, 5</v>
      </c>
      <c r="P209" s="32" t="str">
        <f>VLOOKUP(Tabla3[[#This Row],[Site]],Table35[#All],6,FALSE)</f>
        <v>1, 6, 7, 12, 15, 17, 21</v>
      </c>
      <c r="Q209" s="32" t="str">
        <f>VLOOKUP(Tabla3[[#This Row],[Site]],Table35[#All],8,FALSE)</f>
        <v>283</v>
      </c>
    </row>
    <row r="210" spans="1:17" hidden="1" x14ac:dyDescent="0.25">
      <c r="A210" t="str">
        <f>+Tabla3[[#This Row],[Site]]&amp;Tabla3[[#This Row],[Split]]</f>
        <v>(LT) Luther Brookdale Honda (NO TOURS)4</v>
      </c>
      <c r="B210">
        <v>4</v>
      </c>
      <c r="C210">
        <v>2</v>
      </c>
      <c r="D210" t="s">
        <v>271</v>
      </c>
      <c r="E210" t="str">
        <f>VLOOKUP(Tabla3[[#This Row],[Site]],Table35[],10,FALSE)</f>
        <v>10:00 P.M.</v>
      </c>
      <c r="F210" t="str">
        <f>VLOOKUP(Tabla3[[#This Row],[Site]],Table35[],11,FALSE)</f>
        <v>CT</v>
      </c>
      <c r="G210" t="str">
        <f>VLOOKUP(Tabla3[[#This Row],[Site]],Table35[],12,FALSE)</f>
        <v>6:00 A.M.</v>
      </c>
      <c r="H210" s="74" t="str">
        <f>HYPERLINK(VLOOKUP(Tabla3[[#This Row],[Site]],Table35[#All],9,FALSE))</f>
        <v>https://tools.sig.systems/site/details/280</v>
      </c>
      <c r="I210" t="str">
        <f>VLOOKUP(Tabla3[[#This Row],[Site]],Table35[],13,FALSE)</f>
        <v>https://www.google.com/maps/d/viewer?mid=1ot0ILX76JMuvd9yMuqkb4_e0yH1n7TA&amp;ll=45.07815812965141%2C-93.33506855000002&amp;z=17</v>
      </c>
      <c r="J210" t="str">
        <f>VLOOKUP(Tabla3[[#This Row],[Site]],Table35[],14,FALSE)</f>
        <v>-</v>
      </c>
      <c r="L210" s="32" t="str">
        <f>VLOOKUP(Tabla3[[#This Row],[Site]],Table35[#All],2,FALSE)</f>
        <v>-</v>
      </c>
      <c r="M210" s="32" t="str">
        <f>VLOOKUP(Tabla3[[#This Row],[Site]],Table35[#All],3,FALSE)</f>
        <v>1, 21</v>
      </c>
      <c r="N210" s="32" t="str">
        <f>VLOOKUP(Tabla3[[#This Row],[Site]],Table35[#All],4,FALSE)</f>
        <v>38, 39, 40</v>
      </c>
      <c r="O210" s="32" t="str">
        <f>VLOOKUP(Tabla3[[#This Row],[Site]],Table35[#All],5,FALSE)</f>
        <v>2, 10, 19</v>
      </c>
      <c r="P210" s="32" t="str">
        <f>VLOOKUP(Tabla3[[#This Row],[Site]],Table35[#All],6,FALSE)</f>
        <v>4, 5, 7, 11, 13, 20, 24, 36</v>
      </c>
      <c r="Q210" s="32" t="str">
        <f>VLOOKUP(Tabla3[[#This Row],[Site]],Table35[#All],8,FALSE)</f>
        <v>280</v>
      </c>
    </row>
    <row r="211" spans="1:17" hidden="1" x14ac:dyDescent="0.25">
      <c r="A211" t="str">
        <f>+Tabla3[[#This Row],[Site]]&amp;Tabla3[[#This Row],[Split]]</f>
        <v>(LT) Luther Genesis of Minneapolis4</v>
      </c>
      <c r="B211">
        <v>4</v>
      </c>
      <c r="C211">
        <v>2</v>
      </c>
      <c r="D211" t="s">
        <v>260</v>
      </c>
      <c r="E211" t="str">
        <f>VLOOKUP(Tabla3[[#This Row],[Site]],Table35[],10,FALSE)</f>
        <v>10:00 P.M.</v>
      </c>
      <c r="F211" t="str">
        <f>VLOOKUP(Tabla3[[#This Row],[Site]],Table35[],11,FALSE)</f>
        <v>CT</v>
      </c>
      <c r="G211" t="str">
        <f>VLOOKUP(Tabla3[[#This Row],[Site]],Table35[],12,FALSE)</f>
        <v>6:00 A.M.</v>
      </c>
      <c r="H211" s="74" t="str">
        <f>HYPERLINK(VLOOKUP(Tabla3[[#This Row],[Site]],Table35[#All],9,FALSE))</f>
        <v>https://tools.sig.systems/site/details/315</v>
      </c>
      <c r="I211">
        <f>VLOOKUP(Tabla3[[#This Row],[Site]],Table35[],13,FALSE)</f>
        <v>0</v>
      </c>
      <c r="J211" t="str">
        <f>VLOOKUP(Tabla3[[#This Row],[Site]],Table35[],14,FALSE)</f>
        <v>-</v>
      </c>
      <c r="L211" s="32" t="str">
        <f>VLOOKUP(Tabla3[[#This Row],[Site]],Table35[#All],2,FALSE)</f>
        <v>-</v>
      </c>
      <c r="M211" s="32" t="str">
        <f>VLOOKUP(Tabla3[[#This Row],[Site]],Table35[#All],3,FALSE)</f>
        <v>1,2,3,18</v>
      </c>
      <c r="N211" s="32" t="str">
        <f>VLOOKUP(Tabla3[[#This Row],[Site]],Table35[#All],4,FALSE)</f>
        <v>-</v>
      </c>
      <c r="O211" s="32" t="str">
        <f>VLOOKUP(Tabla3[[#This Row],[Site]],Table35[#All],5,FALSE)</f>
        <v>-</v>
      </c>
      <c r="P211" s="32" t="str">
        <f>VLOOKUP(Tabla3[[#This Row],[Site]],Table35[#All],6,FALSE)</f>
        <v>1,2,3,5,16,18</v>
      </c>
      <c r="Q211" s="32" t="str">
        <f>VLOOKUP(Tabla3[[#This Row],[Site]],Table35[#All],8,FALSE)</f>
        <v>315</v>
      </c>
    </row>
    <row r="212" spans="1:17" hidden="1" x14ac:dyDescent="0.25">
      <c r="A212" t="str">
        <f>+Tabla3[[#This Row],[Site]]&amp;Tabla3[[#This Row],[Split]]</f>
        <v>(PE) JLR Englewood (NO TOURS)4</v>
      </c>
      <c r="B212">
        <v>4</v>
      </c>
      <c r="C212">
        <v>2</v>
      </c>
      <c r="D212" t="s">
        <v>216</v>
      </c>
      <c r="E212" t="str">
        <f>VLOOKUP(Tabla3[[#This Row],[Site]],Table35[],10,FALSE)</f>
        <v>8:00 P.M.</v>
      </c>
      <c r="F212" t="str">
        <f>VLOOKUP(Tabla3[[#This Row],[Site]],Table35[],11,FALSE)</f>
        <v>ET</v>
      </c>
      <c r="G212" t="str">
        <f>VLOOKUP(Tabla3[[#This Row],[Site]],Table35[],12,FALSE)</f>
        <v>5:00 A.M.</v>
      </c>
      <c r="H212" s="74" t="str">
        <f>HYPERLINK(VLOOKUP(Tabla3[[#This Row],[Site]],Table35[#All],9,FALSE))</f>
        <v>https://tools.sig.systems/site/details/178</v>
      </c>
      <c r="I212" t="str">
        <f>VLOOKUP(Tabla3[[#This Row],[Site]],Table35[],13,FALSE)</f>
        <v>https://www.google.com/maps/d/viewer?mid=1ubI2iKs1JyYXssuT4oLPnVvFnyLPi_s&amp;ll=40.878808846788026%2C-73.98560655&amp;z=17</v>
      </c>
      <c r="J212" t="str">
        <f>VLOOKUP(Tabla3[[#This Row],[Site]],Table35[],14,FALSE)</f>
        <v>-</v>
      </c>
      <c r="L212" s="32" t="str">
        <f>VLOOKUP(Tabla3[[#This Row],[Site]],Table35[#All],2,FALSE)</f>
        <v>1, 2</v>
      </c>
      <c r="M212" s="32" t="str">
        <f>VLOOKUP(Tabla3[[#This Row],[Site]],Table35[#All],3,FALSE)</f>
        <v>-</v>
      </c>
      <c r="N212" s="32" t="str">
        <f>VLOOKUP(Tabla3[[#This Row],[Site]],Table35[#All],4,FALSE)</f>
        <v>-</v>
      </c>
      <c r="O212" s="32" t="str">
        <f>VLOOKUP(Tabla3[[#This Row],[Site]],Table35[#All],5,FALSE)</f>
        <v>-</v>
      </c>
      <c r="P212" s="32" t="str">
        <f>VLOOKUP(Tabla3[[#This Row],[Site]],Table35[#All],6,FALSE)</f>
        <v>-</v>
      </c>
      <c r="Q212" s="32" t="str">
        <f>VLOOKUP(Tabla3[[#This Row],[Site]],Table35[#All],8,FALSE)</f>
        <v>178</v>
      </c>
    </row>
    <row r="213" spans="1:17" hidden="1" x14ac:dyDescent="0.25">
      <c r="A213" t="str">
        <f>+Tabla3[[#This Row],[Site]]&amp;Tabla3[[#This Row],[Split]]</f>
        <v>(PE) JLR Paramus (NO TOURS)4</v>
      </c>
      <c r="B213">
        <v>4</v>
      </c>
      <c r="C213">
        <v>2</v>
      </c>
      <c r="D213" t="s">
        <v>210</v>
      </c>
      <c r="E213" t="str">
        <f>VLOOKUP(Tabla3[[#This Row],[Site]],Table35[],10,FALSE)</f>
        <v>8:00 P.M.</v>
      </c>
      <c r="F213" t="str">
        <f>VLOOKUP(Tabla3[[#This Row],[Site]],Table35[],11,FALSE)</f>
        <v>ET</v>
      </c>
      <c r="G213" t="str">
        <f>VLOOKUP(Tabla3[[#This Row],[Site]],Table35[],12,FALSE)</f>
        <v>5:00 A.M.</v>
      </c>
      <c r="H213" s="74" t="str">
        <f>HYPERLINK(VLOOKUP(Tabla3[[#This Row],[Site]],Table35[#All],9,FALSE))</f>
        <v>https://tools.sig.systems/site/details/177</v>
      </c>
      <c r="I213">
        <f>VLOOKUP(Tabla3[[#This Row],[Site]],Table35[],13,FALSE)</f>
        <v>0</v>
      </c>
      <c r="J213" t="str">
        <f>VLOOKUP(Tabla3[[#This Row],[Site]],Table35[],14,FALSE)</f>
        <v>-</v>
      </c>
      <c r="L213" s="32" t="str">
        <f>VLOOKUP(Tabla3[[#This Row],[Site]],Table35[#All],2,FALSE)</f>
        <v>1, 17</v>
      </c>
      <c r="M213" s="32" t="str">
        <f>VLOOKUP(Tabla3[[#This Row],[Site]],Table35[#All],3,FALSE)</f>
        <v>-</v>
      </c>
      <c r="N213" s="32" t="str">
        <f>VLOOKUP(Tabla3[[#This Row],[Site]],Table35[#All],4,FALSE)</f>
        <v>-</v>
      </c>
      <c r="O213" s="32" t="str">
        <f>VLOOKUP(Tabla3[[#This Row],[Site]],Table35[#All],5,FALSE)</f>
        <v>-</v>
      </c>
      <c r="P213" s="32" t="str">
        <f>VLOOKUP(Tabla3[[#This Row],[Site]],Table35[#All],6,FALSE)</f>
        <v>1, 17</v>
      </c>
      <c r="Q213" s="32" t="str">
        <f>VLOOKUP(Tabla3[[#This Row],[Site]],Table35[#All],8,FALSE)</f>
        <v>177</v>
      </c>
    </row>
    <row r="214" spans="1:17" hidden="1" x14ac:dyDescent="0.25">
      <c r="A214" t="str">
        <f>+Tabla3[[#This Row],[Site]]&amp;Tabla3[[#This Row],[Split]]</f>
        <v>(AS) Coggin Collision Center of Kissimmee (NO TOURS)4</v>
      </c>
      <c r="B214">
        <v>4</v>
      </c>
      <c r="C214">
        <v>3</v>
      </c>
      <c r="D214" t="s">
        <v>285</v>
      </c>
      <c r="E214" t="str">
        <f>VLOOKUP(Tabla3[[#This Row],[Site]],Table35[],10,FALSE)</f>
        <v>9:00 P.M.</v>
      </c>
      <c r="F214" t="str">
        <f>VLOOKUP(Tabla3[[#This Row],[Site]],Table35[],11,FALSE)</f>
        <v>ET</v>
      </c>
      <c r="G214" t="str">
        <f>VLOOKUP(Tabla3[[#This Row],[Site]],Table35[],12,FALSE)</f>
        <v>5:00 A.M.</v>
      </c>
      <c r="H214" s="74" t="str">
        <f>HYPERLINK(VLOOKUP(Tabla3[[#This Row],[Site]],Table35[#All],9,FALSE))</f>
        <v>https://tools.sig.systems/site/details/331</v>
      </c>
      <c r="I214">
        <f>VLOOKUP(Tabla3[[#This Row],[Site]],Table35[],13,FALSE)</f>
        <v>0</v>
      </c>
      <c r="J214" t="str">
        <f>VLOOKUP(Tabla3[[#This Row],[Site]],Table35[],14,FALSE)</f>
        <v>-</v>
      </c>
      <c r="L214" s="32" t="str">
        <f>VLOOKUP(Tabla3[[#This Row],[Site]],Table35[#All],2,FALSE)</f>
        <v>1, 12</v>
      </c>
      <c r="M214" s="32" t="str">
        <f>VLOOKUP(Tabla3[[#This Row],[Site]],Table35[#All],3,FALSE)</f>
        <v>-</v>
      </c>
      <c r="N214" s="32" t="str">
        <f>VLOOKUP(Tabla3[[#This Row],[Site]],Table35[#All],4,FALSE)</f>
        <v>-</v>
      </c>
      <c r="O214" s="32" t="str">
        <f>VLOOKUP(Tabla3[[#This Row],[Site]],Table35[#All],5,FALSE)</f>
        <v>-</v>
      </c>
      <c r="P214" s="32" t="str">
        <f>VLOOKUP(Tabla3[[#This Row],[Site]],Table35[#All],6,FALSE)</f>
        <v>2, 7, 9</v>
      </c>
      <c r="Q214" s="32" t="str">
        <f>VLOOKUP(Tabla3[[#This Row],[Site]],Table35[#All],8,FALSE)</f>
        <v>331</v>
      </c>
    </row>
    <row r="215" spans="1:17" hidden="1" x14ac:dyDescent="0.25">
      <c r="A215" t="str">
        <f>+Tabla3[[#This Row],[Site]]&amp;Tabla3[[#This Row],[Split]]</f>
        <v>(AS) Hare Truck Center (NO TOURS)4</v>
      </c>
      <c r="B215">
        <v>4</v>
      </c>
      <c r="C215">
        <v>3</v>
      </c>
      <c r="D215" t="s">
        <v>377</v>
      </c>
      <c r="E215" t="str">
        <f>VLOOKUP(Tabla3[[#This Row],[Site]],Table35[],10,FALSE)</f>
        <v>9:00 P.M.</v>
      </c>
      <c r="F215" t="str">
        <f>VLOOKUP(Tabla3[[#This Row],[Site]],Table35[],11,FALSE)</f>
        <v>ET</v>
      </c>
      <c r="G215" t="str">
        <f>VLOOKUP(Tabla3[[#This Row],[Site]],Table35[],12,FALSE)</f>
        <v>5:00 A.M.</v>
      </c>
      <c r="H215" s="74" t="str">
        <f>HYPERLINK(VLOOKUP(Tabla3[[#This Row],[Site]],Table35[#All],9,FALSE))</f>
        <v>https://tools.sig.systems/site/details/300</v>
      </c>
      <c r="I215" t="str">
        <f>VLOOKUP(Tabla3[[#This Row],[Site]],Table35[],13,FALSE)</f>
        <v>https://www.google.com/maps/d/edit?mid=1hsX5GGrNcCQgAuzDCDz1OWgEkhsAc78&amp;usp=sharing</v>
      </c>
      <c r="J215" t="str">
        <f>VLOOKUP(Tabla3[[#This Row],[Site]],Table35[],14,FALSE)</f>
        <v>-</v>
      </c>
      <c r="L215" s="32" t="str">
        <f>VLOOKUP(Tabla3[[#This Row],[Site]],Table35[#All],2,FALSE)</f>
        <v>-</v>
      </c>
      <c r="M215" s="32" t="str">
        <f>VLOOKUP(Tabla3[[#This Row],[Site]],Table35[#All],3,FALSE)</f>
        <v>1, 5</v>
      </c>
      <c r="N215" s="32" t="str">
        <f>VLOOKUP(Tabla3[[#This Row],[Site]],Table35[#All],4,FALSE)</f>
        <v>-</v>
      </c>
      <c r="O215" s="32" t="str">
        <f>VLOOKUP(Tabla3[[#This Row],[Site]],Table35[#All],5,FALSE)</f>
        <v>-</v>
      </c>
      <c r="P215" s="32" t="str">
        <f>VLOOKUP(Tabla3[[#This Row],[Site]],Table35[#All],6,FALSE)</f>
        <v xml:space="preserve">2, 6, 10, 12, 17 </v>
      </c>
      <c r="Q215" s="32" t="str">
        <f>VLOOKUP(Tabla3[[#This Row],[Site]],Table35[#All],8,FALSE)</f>
        <v>300</v>
      </c>
    </row>
    <row r="216" spans="1:17" hidden="1" x14ac:dyDescent="0.25">
      <c r="A216" t="str">
        <f>+Tabla3[[#This Row],[Site]]&amp;Tabla3[[#This Row],[Split]]</f>
        <v>(AS) Koons MB of Catonsville (NO TOURS)4</v>
      </c>
      <c r="B216">
        <v>4</v>
      </c>
      <c r="C216">
        <v>3</v>
      </c>
      <c r="D216" t="s">
        <v>233</v>
      </c>
      <c r="E216" t="str">
        <f>VLOOKUP(Tabla3[[#This Row],[Site]],Table35[],10,FALSE)</f>
        <v>9:00 P.M.</v>
      </c>
      <c r="F216" t="str">
        <f>VLOOKUP(Tabla3[[#This Row],[Site]],Table35[],11,FALSE)</f>
        <v>ET</v>
      </c>
      <c r="G216" t="str">
        <f>VLOOKUP(Tabla3[[#This Row],[Site]],Table35[],12,FALSE)</f>
        <v>5:00 A.M.</v>
      </c>
      <c r="H216" s="74" t="str">
        <f>HYPERLINK(VLOOKUP(Tabla3[[#This Row],[Site]],Table35[#All],9,FALSE))</f>
        <v>https://tools.sig.systems/site/details/303</v>
      </c>
      <c r="I216">
        <f>VLOOKUP(Tabla3[[#This Row],[Site]],Table35[],13,FALSE)</f>
        <v>0</v>
      </c>
      <c r="J216" t="str">
        <f>VLOOKUP(Tabla3[[#This Row],[Site]],Table35[],14,FALSE)</f>
        <v>-</v>
      </c>
      <c r="L216" s="32" t="str">
        <f>VLOOKUP(Tabla3[[#This Row],[Site]],Table35[#All],2,FALSE)</f>
        <v>-</v>
      </c>
      <c r="M216" s="32" t="str">
        <f>VLOOKUP(Tabla3[[#This Row],[Site]],Table35[#All],3,FALSE)</f>
        <v>15, 16, 17, 29</v>
      </c>
      <c r="N216" s="32">
        <f>VLOOKUP(Tabla3[[#This Row],[Site]],Table35[#All],4,FALSE)</f>
        <v>29</v>
      </c>
      <c r="O216" s="32">
        <f>VLOOKUP(Tabla3[[#This Row],[Site]],Table35[#All],5,FALSE)</f>
        <v>5</v>
      </c>
      <c r="P216" s="32" t="str">
        <f>VLOOKUP(Tabla3[[#This Row],[Site]],Table35[#All],6,FALSE)</f>
        <v>1, 7, 8, 12, 19, 32</v>
      </c>
      <c r="Q216" s="32" t="str">
        <f>VLOOKUP(Tabla3[[#This Row],[Site]],Table35[#All],8,FALSE)</f>
        <v>303</v>
      </c>
    </row>
    <row r="217" spans="1:17" hidden="1" x14ac:dyDescent="0.25">
      <c r="A217" t="str">
        <f>+Tabla3[[#This Row],[Site]]&amp;Tabla3[[#This Row],[Split]]</f>
        <v>(AS) Koons Sterling Ford - Main Dealership (NO TOURS)4</v>
      </c>
      <c r="B217">
        <v>4</v>
      </c>
      <c r="C217">
        <v>3</v>
      </c>
      <c r="D217" t="s">
        <v>411</v>
      </c>
      <c r="E217" t="str">
        <f>VLOOKUP(Tabla3[[#This Row],[Site]],Table35[],10,FALSE)</f>
        <v>9:00 P.M.</v>
      </c>
      <c r="F217" t="str">
        <f>VLOOKUP(Tabla3[[#This Row],[Site]],Table35[],11,FALSE)</f>
        <v>ET</v>
      </c>
      <c r="G217" t="str">
        <f>VLOOKUP(Tabla3[[#This Row],[Site]],Table35[],12,FALSE)</f>
        <v>5:00 A.M.</v>
      </c>
      <c r="H217" s="74" t="str">
        <f>HYPERLINK(VLOOKUP(Tabla3[[#This Row],[Site]],Table35[#All],9,FALSE))</f>
        <v>https://tools.sig.systems/site/details/348</v>
      </c>
      <c r="I217" t="str">
        <f>VLOOKUP(Tabla3[[#This Row],[Site]],Table35[],13,FALSE)</f>
        <v>-</v>
      </c>
      <c r="J217" t="str">
        <f>VLOOKUP(Tabla3[[#This Row],[Site]],Table35[],14,FALSE)</f>
        <v>10:00 A.M.</v>
      </c>
      <c r="L217" s="32">
        <f>VLOOKUP(Tabla3[[#This Row],[Site]],Table35[#All],2,FALSE)</f>
        <v>19</v>
      </c>
      <c r="M217" s="32">
        <f>VLOOKUP(Tabla3[[#This Row],[Site]],Table35[#All],3,FALSE)</f>
        <v>3</v>
      </c>
      <c r="N217" s="32" t="str">
        <f>VLOOKUP(Tabla3[[#This Row],[Site]],Table35[#All],4,FALSE)</f>
        <v>-</v>
      </c>
      <c r="O217" s="32" t="str">
        <f>VLOOKUP(Tabla3[[#This Row],[Site]],Table35[#All],5,FALSE)</f>
        <v>4, 21</v>
      </c>
      <c r="P217" s="32" t="str">
        <f>VLOOKUP(Tabla3[[#This Row],[Site]],Table35[#All],6,FALSE)</f>
        <v>7, 8</v>
      </c>
      <c r="Q217" s="32" t="str">
        <f>VLOOKUP(Tabla3[[#This Row],[Site]],Table35[#All],8,FALSE)</f>
        <v>348</v>
      </c>
    </row>
    <row r="218" spans="1:17" hidden="1" x14ac:dyDescent="0.25">
      <c r="A218" t="str">
        <f>+Tabla3[[#This Row],[Site]]&amp;Tabla3[[#This Row],[Split]]</f>
        <v>(AS) Koons White Marsh Chevrolet (NO TOURS)4</v>
      </c>
      <c r="B218">
        <v>4</v>
      </c>
      <c r="C218">
        <v>3</v>
      </c>
      <c r="D218" t="s">
        <v>393</v>
      </c>
      <c r="E218" t="str">
        <f>VLOOKUP(Tabla3[[#This Row],[Site]],Table35[],10,FALSE)</f>
        <v>9:00 P.M.</v>
      </c>
      <c r="F218" t="str">
        <f>VLOOKUP(Tabla3[[#This Row],[Site]],Table35[],11,FALSE)</f>
        <v>ET</v>
      </c>
      <c r="G218" t="str">
        <f>VLOOKUP(Tabla3[[#This Row],[Site]],Table35[],12,FALSE)</f>
        <v>5:00 A.M.</v>
      </c>
      <c r="H218" s="74" t="str">
        <f>HYPERLINK(VLOOKUP(Tabla3[[#This Row],[Site]],Table35[#All],9,FALSE))</f>
        <v>https://tools.sig.systems/site/details/339</v>
      </c>
      <c r="I218" t="str">
        <f>VLOOKUP(Tabla3[[#This Row],[Site]],Table35[],13,FALSE)</f>
        <v>-</v>
      </c>
      <c r="J218" t="str">
        <f>VLOOKUP(Tabla3[[#This Row],[Site]],Table35[],14,FALSE)</f>
        <v>-</v>
      </c>
      <c r="L218" s="32">
        <f>VLOOKUP(Tabla3[[#This Row],[Site]],Table35[#All],2,FALSE)</f>
        <v>25</v>
      </c>
      <c r="M218" s="32">
        <f>VLOOKUP(Tabla3[[#This Row],[Site]],Table35[#All],3,FALSE)</f>
        <v>10</v>
      </c>
      <c r="N218" s="32" t="str">
        <f>VLOOKUP(Tabla3[[#This Row],[Site]],Table35[#All],4,FALSE)</f>
        <v>-</v>
      </c>
      <c r="O218" s="32" t="str">
        <f>VLOOKUP(Tabla3[[#This Row],[Site]],Table35[#All],5,FALSE)</f>
        <v>-</v>
      </c>
      <c r="P218" s="32">
        <f>VLOOKUP(Tabla3[[#This Row],[Site]],Table35[#All],6,FALSE)</f>
        <v>12</v>
      </c>
      <c r="Q218" s="32" t="str">
        <f>VLOOKUP(Tabla3[[#This Row],[Site]],Table35[#All],8,FALSE)</f>
        <v>339</v>
      </c>
    </row>
    <row r="219" spans="1:17" hidden="1" x14ac:dyDescent="0.25">
      <c r="A219" t="str">
        <f>+Tabla3[[#This Row],[Site]]&amp;Tabla3[[#This Row],[Split]]</f>
        <v>(AS) Koons Woodbridge Ford (NO TOURS)4</v>
      </c>
      <c r="B219">
        <v>4</v>
      </c>
      <c r="C219">
        <v>3</v>
      </c>
      <c r="D219" t="s">
        <v>384</v>
      </c>
      <c r="E219" t="str">
        <f>VLOOKUP(Tabla3[[#This Row],[Site]],Table35[],10,FALSE)</f>
        <v>9:00 P.M.</v>
      </c>
      <c r="F219" t="str">
        <f>VLOOKUP(Tabla3[[#This Row],[Site]],Table35[],11,FALSE)</f>
        <v>ET</v>
      </c>
      <c r="G219" t="str">
        <f>VLOOKUP(Tabla3[[#This Row],[Site]],Table35[],12,FALSE)</f>
        <v>5:00 A.M.</v>
      </c>
      <c r="H219" s="74" t="str">
        <f>HYPERLINK(VLOOKUP(Tabla3[[#This Row],[Site]],Table35[#All],9,FALSE))</f>
        <v>https://tools.sig.systems/site/details/342</v>
      </c>
      <c r="I219">
        <f>VLOOKUP(Tabla3[[#This Row],[Site]],Table35[],13,FALSE)</f>
        <v>0</v>
      </c>
      <c r="J219" t="str">
        <f>VLOOKUP(Tabla3[[#This Row],[Site]],Table35[],14,FALSE)</f>
        <v>9:00 A.M.</v>
      </c>
      <c r="L219" s="32" t="str">
        <f>VLOOKUP(Tabla3[[#This Row],[Site]],Table35[#All],2,FALSE)</f>
        <v>-</v>
      </c>
      <c r="M219" s="32" t="str">
        <f>VLOOKUP(Tabla3[[#This Row],[Site]],Table35[#All],3,FALSE)</f>
        <v>3, 24, 26, 27, 31, 36</v>
      </c>
      <c r="N219" s="32" t="str">
        <f>VLOOKUP(Tabla3[[#This Row],[Site]],Table35[#All],4,FALSE)</f>
        <v>-</v>
      </c>
      <c r="O219" s="32" t="str">
        <f>VLOOKUP(Tabla3[[#This Row],[Site]],Table35[#All],5,FALSE)</f>
        <v>-</v>
      </c>
      <c r="P219" s="32" t="str">
        <f>VLOOKUP(Tabla3[[#This Row],[Site]],Table35[#All],6,FALSE)</f>
        <v>13, 26, 29</v>
      </c>
      <c r="Q219" s="32" t="str">
        <f>VLOOKUP(Tabla3[[#This Row],[Site]],Table35[#All],8,FALSE)</f>
        <v>342</v>
      </c>
    </row>
    <row r="220" spans="1:17" hidden="1" x14ac:dyDescent="0.25">
      <c r="A220" t="str">
        <f>+Tabla3[[#This Row],[Site]]&amp;Tabla3[[#This Row],[Split]]</f>
        <v>(AS) Larry H Miller CDJR Fiat (NO TOURS)4</v>
      </c>
      <c r="B220">
        <v>4</v>
      </c>
      <c r="C220">
        <v>3</v>
      </c>
      <c r="D220" t="s">
        <v>215</v>
      </c>
      <c r="E220" t="str">
        <f>VLOOKUP(Tabla3[[#This Row],[Site]],Table35[],10,FALSE)</f>
        <v>11:00 P.M.</v>
      </c>
      <c r="F220" t="str">
        <f>VLOOKUP(Tabla3[[#This Row],[Site]],Table35[],11,FALSE)</f>
        <v>MT</v>
      </c>
      <c r="G220" t="str">
        <f>VLOOKUP(Tabla3[[#This Row],[Site]],Table35[],12,FALSE)</f>
        <v>7:00 A.M.</v>
      </c>
      <c r="H220" s="74" t="str">
        <f>HYPERLINK(VLOOKUP(Tabla3[[#This Row],[Site]],Table35[#All],9,FALSE))</f>
        <v>https://tools.sig.systems/site/details/298</v>
      </c>
      <c r="I220">
        <f>VLOOKUP(Tabla3[[#This Row],[Site]],Table35[],13,FALSE)</f>
        <v>0</v>
      </c>
      <c r="J220" t="str">
        <f>VLOOKUP(Tabla3[[#This Row],[Site]],Table35[],14,FALSE)</f>
        <v>-</v>
      </c>
      <c r="L220" s="32" t="str">
        <f>VLOOKUP(Tabla3[[#This Row],[Site]],Table35[#All],2,FALSE)</f>
        <v>7, 11</v>
      </c>
      <c r="M220" s="32" t="str">
        <f>VLOOKUP(Tabla3[[#This Row],[Site]],Table35[#All],3,FALSE)</f>
        <v>2, 3</v>
      </c>
      <c r="N220" s="32" t="str">
        <f>VLOOKUP(Tabla3[[#This Row],[Site]],Table35[#All],4,FALSE)</f>
        <v>-</v>
      </c>
      <c r="O220" s="32" t="str">
        <f>VLOOKUP(Tabla3[[#This Row],[Site]],Table35[#All],5,FALSE)</f>
        <v>-</v>
      </c>
      <c r="P220" s="32" t="str">
        <f>VLOOKUP(Tabla3[[#This Row],[Site]],Table35[#All],6,FALSE)</f>
        <v xml:space="preserve">2, 6, 10, 15, 18 </v>
      </c>
      <c r="Q220" s="32" t="str">
        <f>VLOOKUP(Tabla3[[#This Row],[Site]],Table35[#All],8,FALSE)</f>
        <v>298</v>
      </c>
    </row>
    <row r="221" spans="1:17" hidden="1" x14ac:dyDescent="0.25">
      <c r="A221" t="str">
        <f>+Tabla3[[#This Row],[Site]]&amp;Tabla3[[#This Row],[Split]]</f>
        <v>(AS) Plaza Collision ST Louis (NO TOURS)4</v>
      </c>
      <c r="B221">
        <v>4</v>
      </c>
      <c r="C221">
        <v>3</v>
      </c>
      <c r="D221" t="s">
        <v>437</v>
      </c>
      <c r="E221" t="str">
        <f>VLOOKUP(Tabla3[[#This Row],[Site]],Table35[],10,FALSE)</f>
        <v>10:00 P.M.</v>
      </c>
      <c r="F221" t="str">
        <f>VLOOKUP(Tabla3[[#This Row],[Site]],Table35[],11,FALSE)</f>
        <v>CT</v>
      </c>
      <c r="G221" t="str">
        <f>VLOOKUP(Tabla3[[#This Row],[Site]],Table35[],12,FALSE)</f>
        <v>6:00 A.M.</v>
      </c>
      <c r="H221" s="74" t="str">
        <f>HYPERLINK(VLOOKUP(Tabla3[[#This Row],[Site]],Table35[#All],9,FALSE))</f>
        <v>https://tools.sig.systems/site/details/350</v>
      </c>
      <c r="I221" t="str">
        <f>VLOOKUP(Tabla3[[#This Row],[Site]],Table35[],13,FALSE)</f>
        <v>-</v>
      </c>
      <c r="J221" t="str">
        <f>VLOOKUP(Tabla3[[#This Row],[Site]],Table35[],14,FALSE)</f>
        <v>-</v>
      </c>
      <c r="L221" s="32" t="str">
        <f>VLOOKUP(Tabla3[[#This Row],[Site]],Table35[#All],2,FALSE)</f>
        <v>2, 6</v>
      </c>
      <c r="M221" s="32">
        <f>VLOOKUP(Tabla3[[#This Row],[Site]],Table35[#All],3,FALSE)</f>
        <v>1</v>
      </c>
      <c r="N221" s="32" t="str">
        <f>VLOOKUP(Tabla3[[#This Row],[Site]],Table35[#All],4,FALSE)</f>
        <v>-</v>
      </c>
      <c r="O221" s="32" t="str">
        <f>VLOOKUP(Tabla3[[#This Row],[Site]],Table35[#All],5,FALSE)</f>
        <v>-</v>
      </c>
      <c r="P221" s="32">
        <f>VLOOKUP(Tabla3[[#This Row],[Site]],Table35[#All],6,FALSE)</f>
        <v>3</v>
      </c>
      <c r="Q221" s="32" t="str">
        <f>VLOOKUP(Tabla3[[#This Row],[Site]],Table35[#All],8,FALSE)</f>
        <v>350</v>
      </c>
    </row>
    <row r="222" spans="1:17" hidden="1" x14ac:dyDescent="0.25">
      <c r="A222" t="str">
        <f>+Tabla3[[#This Row],[Site]]&amp;Tabla3[[#This Row],[Split]]</f>
        <v>(DT) Arlington4</v>
      </c>
      <c r="B222">
        <v>4</v>
      </c>
      <c r="C222">
        <v>3</v>
      </c>
      <c r="D222" t="s">
        <v>18</v>
      </c>
      <c r="E222" t="str">
        <f>VLOOKUP(Tabla3[[#This Row],[Site]],Table35[],10,FALSE)</f>
        <v>10:00 P.M.</v>
      </c>
      <c r="F222" t="str">
        <f>VLOOKUP(Tabla3[[#This Row],[Site]],Table35[],11,FALSE)</f>
        <v>CT</v>
      </c>
      <c r="G222" t="str">
        <f>VLOOKUP(Tabla3[[#This Row],[Site]],Table35[],12,FALSE)</f>
        <v>6:00 A.M.</v>
      </c>
      <c r="H222" s="74" t="str">
        <f>HYPERLINK(VLOOKUP(Tabla3[[#This Row],[Site]],Table35[#All],9,FALSE))</f>
        <v>https://tools.sig.systems/site/details/199</v>
      </c>
      <c r="I222">
        <f>VLOOKUP(Tabla3[[#This Row],[Site]],Table35[],13,FALSE)</f>
        <v>0</v>
      </c>
      <c r="J222" t="str">
        <f>VLOOKUP(Tabla3[[#This Row],[Site]],Table35[],14,FALSE)</f>
        <v>-</v>
      </c>
      <c r="L222" s="32">
        <f>VLOOKUP(Tabla3[[#This Row],[Site]],Table35[#All],2,FALSE)</f>
        <v>8</v>
      </c>
      <c r="M222" s="32">
        <f>VLOOKUP(Tabla3[[#This Row],[Site]],Table35[#All],3,FALSE)</f>
        <v>3</v>
      </c>
      <c r="N222" s="32" t="str">
        <f>VLOOKUP(Tabla3[[#This Row],[Site]],Table35[#All],4,FALSE)</f>
        <v>-</v>
      </c>
      <c r="O222" s="32" t="str">
        <f>VLOOKUP(Tabla3[[#This Row],[Site]],Table35[#All],5,FALSE)</f>
        <v>-</v>
      </c>
      <c r="P222" s="32" t="str">
        <f>VLOOKUP(Tabla3[[#This Row],[Site]],Table35[#All],6,FALSE)</f>
        <v>3, 8, 9</v>
      </c>
      <c r="Q222" s="32">
        <v>334</v>
      </c>
    </row>
    <row r="223" spans="1:17" hidden="1" x14ac:dyDescent="0.25">
      <c r="A223" t="str">
        <f>+Tabla3[[#This Row],[Site]]&amp;Tabla3[[#This Row],[Split]]</f>
        <v>(KG) Ken Garff Volkswagen of Gilbert4</v>
      </c>
      <c r="B223">
        <v>4</v>
      </c>
      <c r="C223">
        <v>3</v>
      </c>
      <c r="D223" t="s">
        <v>129</v>
      </c>
      <c r="E223" t="str">
        <f>VLOOKUP(Tabla3[[#This Row],[Site]],Table35[],10,FALSE)</f>
        <v>12:00 A.M.</v>
      </c>
      <c r="F223" t="str">
        <f>VLOOKUP(Tabla3[[#This Row],[Site]],Table35[],11,FALSE)</f>
        <v>MST</v>
      </c>
      <c r="G223" t="str">
        <f>VLOOKUP(Tabla3[[#This Row],[Site]],Table35[],12,FALSE)</f>
        <v>8:00 A.M.</v>
      </c>
      <c r="H223" s="74" t="str">
        <f>HYPERLINK(VLOOKUP(Tabla3[[#This Row],[Site]],Table35[#All],9,FALSE))</f>
        <v>https://tools.sig.systems/site/details/284</v>
      </c>
      <c r="I223" t="str">
        <f>VLOOKUP(Tabla3[[#This Row],[Site]],Table35[],13,FALSE)</f>
        <v>https://www.google.com/maps/d/viewer?hl=es&amp;mid=19SU7XE9Cg8jhVFpEI21Vi9Zfgdih9Ds&amp;ll=33.29158262977276%2C-111.75783630000002&amp;z=17</v>
      </c>
      <c r="J223" t="str">
        <f>VLOOKUP(Tabla3[[#This Row],[Site]],Table35[],14,FALSE)</f>
        <v>12:00 P.M.</v>
      </c>
      <c r="L223" s="32" t="str">
        <f>VLOOKUP(Tabla3[[#This Row],[Site]],Table35[#All],2,FALSE)</f>
        <v>4, 6</v>
      </c>
      <c r="M223" s="32" t="str">
        <f>VLOOKUP(Tabla3[[#This Row],[Site]],Table35[#All],3,FALSE)</f>
        <v>-</v>
      </c>
      <c r="N223" s="32" t="str">
        <f>VLOOKUP(Tabla3[[#This Row],[Site]],Table35[#All],4,FALSE)</f>
        <v>-</v>
      </c>
      <c r="O223" s="32" t="str">
        <f>VLOOKUP(Tabla3[[#This Row],[Site]],Table35[#All],5,FALSE)</f>
        <v>2, 14</v>
      </c>
      <c r="P223" s="32" t="str">
        <f>VLOOKUP(Tabla3[[#This Row],[Site]],Table35[#All],6,FALSE)</f>
        <v>1, 5, 8, 9, 17, 19, 21</v>
      </c>
      <c r="Q223" s="32" t="str">
        <f>VLOOKUP(Tabla3[[#This Row],[Site]],Table35[#All],8,FALSE)</f>
        <v>284</v>
      </c>
    </row>
    <row r="224" spans="1:17" x14ac:dyDescent="0.25">
      <c r="A224" t="str">
        <f>+Tabla3[[#This Row],[Site]]&amp;Tabla3[[#This Row],[Split]]</f>
        <v>(LT) Luther Bloomington Hyundai (NO TOURS)4</v>
      </c>
      <c r="B224">
        <v>4</v>
      </c>
      <c r="C224">
        <v>3</v>
      </c>
      <c r="D224" t="s">
        <v>455</v>
      </c>
      <c r="E224" t="str">
        <f>VLOOKUP(Tabla3[[#This Row],[Site]],Table35[],10,FALSE)</f>
        <v>10:00 P.M.</v>
      </c>
      <c r="F224" t="str">
        <f>VLOOKUP(Tabla3[[#This Row],[Site]],Table35[],11,FALSE)</f>
        <v>CT</v>
      </c>
      <c r="G224" t="str">
        <f>VLOOKUP(Tabla3[[#This Row],[Site]],Table35[],12,FALSE)</f>
        <v>6:00 A.M.</v>
      </c>
      <c r="H224" s="74" t="str">
        <f>HYPERLINK(VLOOKUP(Tabla3[[#This Row],[Site]],Table35[#All],9,FALSE))</f>
        <v>https://tools.sig.systems/site/details/318</v>
      </c>
      <c r="I224">
        <f>VLOOKUP(Tabla3[[#This Row],[Site]],Table35[],13,FALSE)</f>
        <v>0</v>
      </c>
      <c r="J224" t="str">
        <f>VLOOKUP(Tabla3[[#This Row],[Site]],Table35[],14,FALSE)</f>
        <v>-</v>
      </c>
      <c r="L224" s="32" t="str">
        <f>VLOOKUP(Tabla3[[#This Row],[Site]],Table35[#All],2,FALSE)</f>
        <v>-</v>
      </c>
      <c r="M224" s="32" t="str">
        <f>VLOOKUP(Tabla3[[#This Row],[Site]],Table35[#All],3,FALSE)</f>
        <v>6, 9, 13</v>
      </c>
      <c r="N224" s="32" t="str">
        <f>VLOOKUP(Tabla3[[#This Row],[Site]],Table35[#All],4,FALSE)</f>
        <v>58, 59</v>
      </c>
      <c r="O224" s="32">
        <f>VLOOKUP(Tabla3[[#This Row],[Site]],Table35[#All],5,FALSE)</f>
        <v>10</v>
      </c>
      <c r="P224" s="32" t="str">
        <f>VLOOKUP(Tabla3[[#This Row],[Site]],Table35[#All],6,FALSE)</f>
        <v>11, 18</v>
      </c>
      <c r="Q224" s="32" t="str">
        <f>VLOOKUP(Tabla3[[#This Row],[Site]],Table35[#All],8,FALSE)</f>
        <v>318</v>
      </c>
    </row>
    <row r="225" spans="1:17" hidden="1" x14ac:dyDescent="0.25">
      <c r="A225" t="str">
        <f>+Tabla3[[#This Row],[Site]]&amp;Tabla3[[#This Row],[Split]]</f>
        <v>(LT) Luther Hopkins Honda (NO TOURS)4</v>
      </c>
      <c r="B225">
        <v>4</v>
      </c>
      <c r="C225">
        <v>4</v>
      </c>
      <c r="D225" t="s">
        <v>303</v>
      </c>
      <c r="E225" t="str">
        <f>VLOOKUP(Tabla3[[#This Row],[Site]],Table35[],10,FALSE)</f>
        <v>10:00 P.M.</v>
      </c>
      <c r="F225" t="str">
        <f>VLOOKUP(Tabla3[[#This Row],[Site]],Table35[],11,FALSE)</f>
        <v>CT</v>
      </c>
      <c r="G225" t="str">
        <f>VLOOKUP(Tabla3[[#This Row],[Site]],Table35[],12,FALSE)</f>
        <v>6:00 A.M.</v>
      </c>
      <c r="H225" s="74" t="str">
        <f>HYPERLINK(VLOOKUP(Tabla3[[#This Row],[Site]],Table35[#All],9,FALSE))</f>
        <v>https://tools.sig.systems/site/details/288</v>
      </c>
      <c r="I225">
        <f>VLOOKUP(Tabla3[[#This Row],[Site]],Table35[],13,FALSE)</f>
        <v>0</v>
      </c>
      <c r="J225" t="str">
        <f>VLOOKUP(Tabla3[[#This Row],[Site]],Table35[],14,FALSE)</f>
        <v>-</v>
      </c>
      <c r="L225" s="32" t="str">
        <f>VLOOKUP(Tabla3[[#This Row],[Site]],Table35[#All],2,FALSE)</f>
        <v>-</v>
      </c>
      <c r="M225" s="32" t="str">
        <f>VLOOKUP(Tabla3[[#This Row],[Site]],Table35[#All],3,FALSE)</f>
        <v>9, 36</v>
      </c>
      <c r="N225" s="32" t="str">
        <f>VLOOKUP(Tabla3[[#This Row],[Site]],Table35[#All],4,FALSE)</f>
        <v>38, 39</v>
      </c>
      <c r="O225" s="32" t="str">
        <f>VLOOKUP(Tabla3[[#This Row],[Site]],Table35[#All],5,FALSE)</f>
        <v>3, 26</v>
      </c>
      <c r="P225" s="32" t="str">
        <f>VLOOKUP(Tabla3[[#This Row],[Site]],Table35[#All],6,FALSE)</f>
        <v>1, 4, 11, 18, 23, 25, 31</v>
      </c>
      <c r="Q225" s="32" t="str">
        <f>VLOOKUP(Tabla3[[#This Row],[Site]],Table35[#All],8,FALSE)</f>
        <v>288</v>
      </c>
    </row>
    <row r="226" spans="1:17" hidden="1" x14ac:dyDescent="0.25">
      <c r="A226" t="str">
        <f>+Tabla3[[#This Row],[Site]]&amp;Tabla3[[#This Row],[Split]]</f>
        <v>(LT) Luther Landers Recon Center4</v>
      </c>
      <c r="B226">
        <v>4</v>
      </c>
      <c r="C226">
        <v>3</v>
      </c>
      <c r="D226" t="s">
        <v>253</v>
      </c>
      <c r="E226" t="str">
        <f>VLOOKUP(Tabla3[[#This Row],[Site]],Table35[],10,FALSE)</f>
        <v>10:00 P.M.</v>
      </c>
      <c r="F226" t="str">
        <f>VLOOKUP(Tabla3[[#This Row],[Site]],Table35[],11,FALSE)</f>
        <v>CT</v>
      </c>
      <c r="G226" t="str">
        <f>VLOOKUP(Tabla3[[#This Row],[Site]],Table35[],12,FALSE)</f>
        <v>6:00 A.M.</v>
      </c>
      <c r="H226" s="74" t="str">
        <f>HYPERLINK(VLOOKUP(Tabla3[[#This Row],[Site]],Table35[#All],9,FALSE))</f>
        <v>https://tools.sig.systems/site/details/323</v>
      </c>
      <c r="I226" t="str">
        <f>VLOOKUP(Tabla3[[#This Row],[Site]],Table35[],13,FALSE)</f>
        <v>https://www.google.com/maps/d/u/1/edit?mid=1-zEzsc6U6nZom08edp0XAd3_HYFvAyk&amp;usp=sharing</v>
      </c>
      <c r="J226" t="str">
        <f>VLOOKUP(Tabla3[[#This Row],[Site]],Table35[],14,FALSE)</f>
        <v>-</v>
      </c>
      <c r="L226" s="32" t="str">
        <f>VLOOKUP(Tabla3[[#This Row],[Site]],Table35[#All],2,FALSE)</f>
        <v>2, 4</v>
      </c>
      <c r="M226" s="32" t="str">
        <f>VLOOKUP(Tabla3[[#This Row],[Site]],Table35[#All],3,FALSE)</f>
        <v>-</v>
      </c>
      <c r="N226" s="32" t="str">
        <f>VLOOKUP(Tabla3[[#This Row],[Site]],Table35[#All],4,FALSE)</f>
        <v>-</v>
      </c>
      <c r="O226" s="32" t="str">
        <f>VLOOKUP(Tabla3[[#This Row],[Site]],Table35[#All],5,FALSE)</f>
        <v>-</v>
      </c>
      <c r="P226" s="32" t="str">
        <f>VLOOKUP(Tabla3[[#This Row],[Site]],Table35[#All],6,FALSE)</f>
        <v>3, 9, 11</v>
      </c>
      <c r="Q226" s="32" t="str">
        <f>VLOOKUP(Tabla3[[#This Row],[Site]],Table35[#All],8,FALSE)</f>
        <v>323</v>
      </c>
    </row>
    <row r="227" spans="1:17" hidden="1" x14ac:dyDescent="0.25">
      <c r="A227" t="str">
        <f>+Tabla3[[#This Row],[Site]]&amp;Tabla3[[#This Row],[Split]]</f>
        <v>(PE) JLR Darien (NO TOURS)4</v>
      </c>
      <c r="B227">
        <v>4</v>
      </c>
      <c r="C227">
        <v>3</v>
      </c>
      <c r="D227" t="s">
        <v>370</v>
      </c>
      <c r="E227" t="str">
        <f>VLOOKUP(Tabla3[[#This Row],[Site]],Table35[],10,FALSE)</f>
        <v>8:00 P.M.</v>
      </c>
      <c r="F227" t="str">
        <f>VLOOKUP(Tabla3[[#This Row],[Site]],Table35[],11,FALSE)</f>
        <v>ET</v>
      </c>
      <c r="G227" t="str">
        <f>VLOOKUP(Tabla3[[#This Row],[Site]],Table35[],12,FALSE)</f>
        <v>5:00 A.M.</v>
      </c>
      <c r="H227" s="74" t="str">
        <f>HYPERLINK(VLOOKUP(Tabla3[[#This Row],[Site]],Table35[#All],9,FALSE))</f>
        <v>https://tools.sig.systems/site/details/189</v>
      </c>
      <c r="I227" t="str">
        <f>VLOOKUP(Tabla3[[#This Row],[Site]],Table35[],13,FALSE)</f>
        <v>-</v>
      </c>
      <c r="J227" t="str">
        <f>VLOOKUP(Tabla3[[#This Row],[Site]],Table35[],14,FALSE)</f>
        <v>-</v>
      </c>
      <c r="L227" s="32" t="str">
        <f>VLOOKUP(Tabla3[[#This Row],[Site]],Table35[#All],2,FALSE)</f>
        <v>1, 13</v>
      </c>
      <c r="M227" s="32" t="str">
        <f>VLOOKUP(Tabla3[[#This Row],[Site]],Table35[#All],3,FALSE)</f>
        <v>-</v>
      </c>
      <c r="N227" s="32" t="str">
        <f>VLOOKUP(Tabla3[[#This Row],[Site]],Table35[#All],4,FALSE)</f>
        <v>-</v>
      </c>
      <c r="O227" s="32" t="str">
        <f>VLOOKUP(Tabla3[[#This Row],[Site]],Table35[#All],5,FALSE)</f>
        <v>-</v>
      </c>
      <c r="P227" s="32" t="str">
        <f>VLOOKUP(Tabla3[[#This Row],[Site]],Table35[#All],6,FALSE)</f>
        <v>-</v>
      </c>
      <c r="Q227" s="32" t="str">
        <f>VLOOKUP(Tabla3[[#This Row],[Site]],Table35[#All],8,FALSE)</f>
        <v>189</v>
      </c>
    </row>
    <row r="228" spans="1:17" hidden="1" x14ac:dyDescent="0.25">
      <c r="A228" t="str">
        <f>+Tabla3[[#This Row],[Site]]&amp;Tabla3[[#This Row],[Split]]</f>
        <v>(PE) MB of Greenwich4</v>
      </c>
      <c r="B228">
        <v>4</v>
      </c>
      <c r="C228">
        <v>3</v>
      </c>
      <c r="D228" t="s">
        <v>120</v>
      </c>
      <c r="E228" t="str">
        <f>VLOOKUP(Tabla3[[#This Row],[Site]],Table35[],10,FALSE)</f>
        <v>8:00 P.M.</v>
      </c>
      <c r="F228" t="str">
        <f>VLOOKUP(Tabla3[[#This Row],[Site]],Table35[],11,FALSE)</f>
        <v>ET</v>
      </c>
      <c r="G228" t="str">
        <f>VLOOKUP(Tabla3[[#This Row],[Site]],Table35[],12,FALSE)</f>
        <v>5:00 A.M.</v>
      </c>
      <c r="H228" s="74" t="str">
        <f>HYPERLINK(VLOOKUP(Tabla3[[#This Row],[Site]],Table35[#All],9,FALSE))</f>
        <v>https://tools.sig.systems/site/details/188</v>
      </c>
      <c r="I228" t="str">
        <f>VLOOKUP(Tabla3[[#This Row],[Site]],Table35[],13,FALSE)</f>
        <v>https://www.google.com/maps/d/edit?hl=en&amp;mid=1UHmt7tH1ihTa85i0MfQIcTfVvIQg_vM&amp;ll=41.02423447529239%2C-73.63721502222738&amp;z=18</v>
      </c>
      <c r="J228" t="str">
        <f>VLOOKUP(Tabla3[[#This Row],[Site]],Table35[],14,FALSE)</f>
        <v>-</v>
      </c>
      <c r="L228" s="32" t="str">
        <f>VLOOKUP(Tabla3[[#This Row],[Site]],Table35[#All],2,FALSE)</f>
        <v>1, 2, 8</v>
      </c>
      <c r="M228" s="32" t="str">
        <f>VLOOKUP(Tabla3[[#This Row],[Site]],Table35[#All],3,FALSE)</f>
        <v>13, 14, 20, 26, 40</v>
      </c>
      <c r="N228" s="32" t="str">
        <f>VLOOKUP(Tabla3[[#This Row],[Site]],Table35[#All],4,FALSE)</f>
        <v>-</v>
      </c>
      <c r="O228" s="32" t="str">
        <f>VLOOKUP(Tabla3[[#This Row],[Site]],Table35[#All],5,FALSE)</f>
        <v>-</v>
      </c>
      <c r="P228" s="32">
        <f>VLOOKUP(Tabla3[[#This Row],[Site]],Table35[#All],6,FALSE)</f>
        <v>29</v>
      </c>
      <c r="Q228" s="32" t="str">
        <f>VLOOKUP(Tabla3[[#This Row],[Site]],Table35[#All],8,FALSE)</f>
        <v>188</v>
      </c>
    </row>
    <row r="229" spans="1:17" hidden="1" x14ac:dyDescent="0.25">
      <c r="A229" t="str">
        <f>+Tabla3[[#This Row],[Site]]&amp;Tabla3[[#This Row],[Split]]</f>
        <v>Mario Residence4</v>
      </c>
      <c r="B229">
        <v>4</v>
      </c>
      <c r="C229">
        <v>3</v>
      </c>
      <c r="D229" t="s">
        <v>100</v>
      </c>
      <c r="E229" t="str">
        <f>VLOOKUP(Tabla3[[#This Row],[Site]],Table35[],10,FALSE)</f>
        <v>24H</v>
      </c>
      <c r="F229" t="str">
        <f>VLOOKUP(Tabla3[[#This Row],[Site]],Table35[],11,FALSE)</f>
        <v>ET</v>
      </c>
      <c r="G229" t="str">
        <f>VLOOKUP(Tabla3[[#This Row],[Site]],Table35[],12,FALSE)</f>
        <v>-</v>
      </c>
      <c r="H229" s="74" t="str">
        <f>HYPERLINK(VLOOKUP(Tabla3[[#This Row],[Site]],Table35[#All],9,FALSE))</f>
        <v>https://tools.sig.systems/site/details/148</v>
      </c>
      <c r="I229" t="str">
        <f>VLOOKUP(Tabla3[[#This Row],[Site]],Table35[],13,FALSE)</f>
        <v>https://www.google.com/maps/d/edit?hl=es&amp;mid=13OmECPqyeB7fXgZmEoM9cnG34HU_v5g&amp;ll=26.046837034777553%2C-80.38753458591658&amp;z=19</v>
      </c>
      <c r="J229" t="str">
        <f>VLOOKUP(Tabla3[[#This Row],[Site]],Table35[],14,FALSE)</f>
        <v>-</v>
      </c>
      <c r="L229" s="32" t="str">
        <f>VLOOKUP(Tabla3[[#This Row],[Site]],Table35[#All],2,FALSE)</f>
        <v>7, 8</v>
      </c>
      <c r="M229" s="32" t="str">
        <f>VLOOKUP(Tabla3[[#This Row],[Site]],Table35[#All],3,FALSE)</f>
        <v>7, 8</v>
      </c>
      <c r="N229" s="32" t="str">
        <f>VLOOKUP(Tabla3[[#This Row],[Site]],Table35[#All],4,FALSE)</f>
        <v>-</v>
      </c>
      <c r="O229" s="32" t="str">
        <f>VLOOKUP(Tabla3[[#This Row],[Site]],Table35[#All],5,FALSE)</f>
        <v>-</v>
      </c>
      <c r="P229" s="32" t="str">
        <f>VLOOKUP(Tabla3[[#This Row],[Site]],Table35[#All],6,FALSE)</f>
        <v>4,12,13</v>
      </c>
      <c r="Q229" s="32">
        <v>199</v>
      </c>
    </row>
    <row r="230" spans="1:17" hidden="1" x14ac:dyDescent="0.25">
      <c r="A230" t="str">
        <f>+Tabla3[[#This Row],[Site]]&amp;Tabla3[[#This Row],[Split]]</f>
        <v>(AS) Coggin Honda of Orlando (NO TOURS)4</v>
      </c>
      <c r="B230">
        <v>4</v>
      </c>
      <c r="C230">
        <v>4</v>
      </c>
      <c r="D230" t="s">
        <v>375</v>
      </c>
      <c r="E230" t="str">
        <f>VLOOKUP(Tabla3[[#This Row],[Site]],Table35[],10,FALSE)</f>
        <v>9:00 P.M.</v>
      </c>
      <c r="F230" t="str">
        <f>VLOOKUP(Tabla3[[#This Row],[Site]],Table35[],11,FALSE)</f>
        <v>ET</v>
      </c>
      <c r="G230" t="str">
        <f>VLOOKUP(Tabla3[[#This Row],[Site]],Table35[],12,FALSE)</f>
        <v>5:00 A.M.</v>
      </c>
      <c r="H230" s="74" t="str">
        <f>HYPERLINK(VLOOKUP(Tabla3[[#This Row],[Site]],Table35[#All],9,FALSE))</f>
        <v>https://tools.sig.systems/site/details/324</v>
      </c>
      <c r="I230">
        <f>VLOOKUP(Tabla3[[#This Row],[Site]],Table35[],13,FALSE)</f>
        <v>0</v>
      </c>
      <c r="J230" t="str">
        <f>VLOOKUP(Tabla3[[#This Row],[Site]],Table35[],14,FALSE)</f>
        <v>11:00 A.M.</v>
      </c>
      <c r="L230" s="32" t="str">
        <f>VLOOKUP(Tabla3[[#This Row],[Site]],Table35[#All],2,FALSE)</f>
        <v>2, 10, 12B, 14, 38</v>
      </c>
      <c r="M230" s="32" t="str">
        <f>VLOOKUP(Tabla3[[#This Row],[Site]],Table35[#All],3,FALSE)</f>
        <v>-</v>
      </c>
      <c r="N230" s="32" t="str">
        <f>VLOOKUP(Tabla3[[#This Row],[Site]],Table35[#All],4,FALSE)</f>
        <v>-</v>
      </c>
      <c r="O230" s="32" t="str">
        <f>VLOOKUP(Tabla3[[#This Row],[Site]],Table35[#All],5,FALSE)</f>
        <v>12, 31</v>
      </c>
      <c r="P230" s="32" t="str">
        <f>VLOOKUP(Tabla3[[#This Row],[Site]],Table35[#All],6,FALSE)</f>
        <v>12B, 26, 37, 19</v>
      </c>
      <c r="Q230" s="32" t="str">
        <f>VLOOKUP(Tabla3[[#This Row],[Site]],Table35[#All],8,FALSE)</f>
        <v>324</v>
      </c>
    </row>
    <row r="231" spans="1:17" hidden="1" x14ac:dyDescent="0.25">
      <c r="A231" t="str">
        <f>+Tabla3[[#This Row],[Site]]&amp;Tabla3[[#This Row],[Split]]</f>
        <v>(AS) Kahlo CDJR (NO TOURS)4</v>
      </c>
      <c r="B231">
        <v>4</v>
      </c>
      <c r="C231">
        <v>4</v>
      </c>
      <c r="D231" t="s">
        <v>378</v>
      </c>
      <c r="E231" t="str">
        <f>VLOOKUP(Tabla3[[#This Row],[Site]],Table35[],10,FALSE)</f>
        <v>9:00 P.M.</v>
      </c>
      <c r="F231" t="str">
        <f>VLOOKUP(Tabla3[[#This Row],[Site]],Table35[],11,FALSE)</f>
        <v>ET</v>
      </c>
      <c r="G231" t="str">
        <f>VLOOKUP(Tabla3[[#This Row],[Site]],Table35[],12,FALSE)</f>
        <v>5:00 A.M.</v>
      </c>
      <c r="H231" s="74" t="str">
        <f>HYPERLINK(VLOOKUP(Tabla3[[#This Row],[Site]],Table35[#All],9,FALSE))</f>
        <v>https://tools.sig.systems/site/details/282</v>
      </c>
      <c r="I231" t="str">
        <f>VLOOKUP(Tabla3[[#This Row],[Site]],Table35[],13,FALSE)</f>
        <v>https://www.google.com/maps/d/edit?mid=1hsX5GGrNcCQgAuzDCDz1OWgEkhsAc78&amp;usp=sharing</v>
      </c>
      <c r="J231" t="str">
        <f>VLOOKUP(Tabla3[[#This Row],[Site]],Table35[],14,FALSE)</f>
        <v>-</v>
      </c>
      <c r="L231" s="32" t="str">
        <f>VLOOKUP(Tabla3[[#This Row],[Site]],Table35[#All],2,FALSE)</f>
        <v>-</v>
      </c>
      <c r="M231" s="32" t="str">
        <f>VLOOKUP(Tabla3[[#This Row],[Site]],Table35[#All],3,FALSE)</f>
        <v>12, 25</v>
      </c>
      <c r="N231" s="32" t="str">
        <f>VLOOKUP(Tabla3[[#This Row],[Site]],Table35[#All],4,FALSE)</f>
        <v>15, 16</v>
      </c>
      <c r="O231" s="32">
        <f>VLOOKUP(Tabla3[[#This Row],[Site]],Table35[#All],5,FALSE)</f>
        <v>20</v>
      </c>
      <c r="P231" s="32" t="str">
        <f>VLOOKUP(Tabla3[[#This Row],[Site]],Table35[#All],6,FALSE)</f>
        <v>1, 2, 9, 22, 31, 57</v>
      </c>
      <c r="Q231" s="32" t="str">
        <f>VLOOKUP(Tabla3[[#This Row],[Site]],Table35[#All],8,FALSE)</f>
        <v>282</v>
      </c>
    </row>
    <row r="232" spans="1:17" hidden="1" x14ac:dyDescent="0.25">
      <c r="A232" t="str">
        <f>+Tabla3[[#This Row],[Site]]&amp;Tabla3[[#This Row],[Split]]</f>
        <v>(AS) Koons Arlington Toyota - New Car (NO TOURS)4</v>
      </c>
      <c r="B232">
        <v>4</v>
      </c>
      <c r="C232">
        <v>4</v>
      </c>
      <c r="D232" t="s">
        <v>380</v>
      </c>
      <c r="E232" t="str">
        <f>VLOOKUP(Tabla3[[#This Row],[Site]],Table35[],10,FALSE)</f>
        <v>9:00 P.M.</v>
      </c>
      <c r="F232" t="str">
        <f>VLOOKUP(Tabla3[[#This Row],[Site]],Table35[],11,FALSE)</f>
        <v>ET</v>
      </c>
      <c r="G232" t="str">
        <f>VLOOKUP(Tabla3[[#This Row],[Site]],Table35[],12,FALSE)</f>
        <v>5:00 A.M.</v>
      </c>
      <c r="H232" s="74" t="str">
        <f>HYPERLINK(VLOOKUP(Tabla3[[#This Row],[Site]],Table35[#All],9,FALSE))</f>
        <v>https://tools.sig.systems/site/details/334</v>
      </c>
      <c r="I232">
        <f>VLOOKUP(Tabla3[[#This Row],[Site]],Table35[],13,FALSE)</f>
        <v>0</v>
      </c>
      <c r="J232" t="str">
        <f>VLOOKUP(Tabla3[[#This Row],[Site]],Table35[],14,FALSE)</f>
        <v>10:00 A.M.</v>
      </c>
      <c r="L232" s="32" t="str">
        <f>VLOOKUP(Tabla3[[#This Row],[Site]],Table35[#All],2,FALSE)</f>
        <v>-</v>
      </c>
      <c r="M232" s="32" t="str">
        <f>VLOOKUP(Tabla3[[#This Row],[Site]],Table35[#All],3,FALSE)</f>
        <v>1, 3, 12, 15, 17</v>
      </c>
      <c r="N232" s="32" t="str">
        <f>VLOOKUP(Tabla3[[#This Row],[Site]],Table35[#All],4,FALSE)</f>
        <v>-</v>
      </c>
      <c r="O232" s="32" t="str">
        <f>VLOOKUP(Tabla3[[#This Row],[Site]],Table35[#All],5,FALSE)</f>
        <v>-</v>
      </c>
      <c r="P232" s="32" t="str">
        <f>VLOOKUP(Tabla3[[#This Row],[Site]],Table35[#All],6,FALSE)</f>
        <v>2, 6, 18, 20</v>
      </c>
      <c r="Q232" s="32" t="str">
        <f>VLOOKUP(Tabla3[[#This Row],[Site]],Table35[#All],8,FALSE)</f>
        <v>334</v>
      </c>
    </row>
    <row r="233" spans="1:17" hidden="1" x14ac:dyDescent="0.25">
      <c r="A233" t="str">
        <f>+Tabla3[[#This Row],[Site]]&amp;Tabla3[[#This Row],[Split]]</f>
        <v>(AS) Koons Baltimore Ford - Main Dealership (NO TOURS)4</v>
      </c>
      <c r="B233">
        <v>4</v>
      </c>
      <c r="C233">
        <v>4</v>
      </c>
      <c r="D233" t="s">
        <v>351</v>
      </c>
      <c r="E233" t="str">
        <f>VLOOKUP(Tabla3[[#This Row],[Site]],Table35[],10,FALSE)</f>
        <v>9:00 P.M.</v>
      </c>
      <c r="F233" t="str">
        <f>VLOOKUP(Tabla3[[#This Row],[Site]],Table35[],11,FALSE)</f>
        <v>ET</v>
      </c>
      <c r="G233" t="str">
        <f>VLOOKUP(Tabla3[[#This Row],[Site]],Table35[],12,FALSE)</f>
        <v>5:00 A.M.</v>
      </c>
      <c r="H233" s="74" t="str">
        <f>HYPERLINK(VLOOKUP(Tabla3[[#This Row],[Site]],Table35[#All],9,FALSE))</f>
        <v>https://tools.sig.systems/site/details/335</v>
      </c>
      <c r="I233" t="str">
        <f>VLOOKUP(Tabla3[[#This Row],[Site]],Table35[],13,FALSE)</f>
        <v>-</v>
      </c>
      <c r="J233" t="str">
        <f>VLOOKUP(Tabla3[[#This Row],[Site]],Table35[],14,FALSE)</f>
        <v>-</v>
      </c>
      <c r="L233" s="32" t="str">
        <f>VLOOKUP(Tabla3[[#This Row],[Site]],Table35[#All],2,FALSE)</f>
        <v>21, 22, 24, 32, 45</v>
      </c>
      <c r="M233" s="32">
        <f>VLOOKUP(Tabla3[[#This Row],[Site]],Table35[#All],3,FALSE)</f>
        <v>1</v>
      </c>
      <c r="N233" s="32" t="str">
        <f>VLOOKUP(Tabla3[[#This Row],[Site]],Table35[#All],4,FALSE)</f>
        <v>-</v>
      </c>
      <c r="O233" s="32" t="str">
        <f>VLOOKUP(Tabla3[[#This Row],[Site]],Table35[#All],5,FALSE)</f>
        <v>1, 8</v>
      </c>
      <c r="P233" s="32" t="str">
        <f>VLOOKUP(Tabla3[[#This Row],[Site]],Table35[#All],6,FALSE)</f>
        <v>5, 28, 38</v>
      </c>
      <c r="Q233" s="32">
        <v>335</v>
      </c>
    </row>
    <row r="234" spans="1:17" hidden="1" x14ac:dyDescent="0.25">
      <c r="A234" t="str">
        <f>+Tabla3[[#This Row],[Site]]&amp;Tabla3[[#This Row],[Split]]</f>
        <v>(AS) Koons Chevrolet Buick GMC - Tysons Remote Lot (NO TOURS)4</v>
      </c>
      <c r="B234">
        <v>4</v>
      </c>
      <c r="C234">
        <v>4</v>
      </c>
      <c r="D234" t="s">
        <v>385</v>
      </c>
      <c r="E234" t="str">
        <f>VLOOKUP(Tabla3[[#This Row],[Site]],Table35[],10,FALSE)</f>
        <v>9:00 P.M.</v>
      </c>
      <c r="F234" t="str">
        <f>VLOOKUP(Tabla3[[#This Row],[Site]],Table35[],11,FALSE)</f>
        <v>ET</v>
      </c>
      <c r="G234" t="str">
        <f>VLOOKUP(Tabla3[[#This Row],[Site]],Table35[],12,FALSE)</f>
        <v>5:00 A.M.</v>
      </c>
      <c r="H234" s="74" t="str">
        <f>HYPERLINK(VLOOKUP(Tabla3[[#This Row],[Site]],Table35[#All],9,FALSE))</f>
        <v>https://tools.sig.systems/site/details/333</v>
      </c>
      <c r="I234" t="str">
        <f>VLOOKUP(Tabla3[[#This Row],[Site]],Table35[],13,FALSE)</f>
        <v>-</v>
      </c>
      <c r="J234" t="str">
        <f>VLOOKUP(Tabla3[[#This Row],[Site]],Table35[],14,FALSE)</f>
        <v>-</v>
      </c>
      <c r="L234" s="32" t="str">
        <f>VLOOKUP(Tabla3[[#This Row],[Site]],Table35[#All],2,FALSE)</f>
        <v>-</v>
      </c>
      <c r="M234" s="32">
        <f>VLOOKUP(Tabla3[[#This Row],[Site]],Table35[#All],3,FALSE)</f>
        <v>6</v>
      </c>
      <c r="N234" s="32" t="str">
        <f>VLOOKUP(Tabla3[[#This Row],[Site]],Table35[#All],4,FALSE)</f>
        <v>1, 2, 3</v>
      </c>
      <c r="O234" s="32" t="str">
        <f>VLOOKUP(Tabla3[[#This Row],[Site]],Table35[#All],5,FALSE)</f>
        <v>7, 10, 16, 29</v>
      </c>
      <c r="P234" s="32" t="str">
        <f>VLOOKUP(Tabla3[[#This Row],[Site]],Table35[#All],6,FALSE)</f>
        <v>14, 17, 30</v>
      </c>
      <c r="Q234" s="32" t="str">
        <f>VLOOKUP(Tabla3[[#This Row],[Site]],Table35[#All],8,FALSE)</f>
        <v>333</v>
      </c>
    </row>
    <row r="235" spans="1:17" hidden="1" x14ac:dyDescent="0.25">
      <c r="A235" t="str">
        <f>+Tabla3[[#This Row],[Site]]&amp;Tabla3[[#This Row],[Split]]</f>
        <v>(AS) Koons Easton Toyota - Main Dealership (NO TOURS)4</v>
      </c>
      <c r="B235">
        <v>4</v>
      </c>
      <c r="C235">
        <v>4</v>
      </c>
      <c r="D235" t="s">
        <v>426</v>
      </c>
      <c r="E235" t="str">
        <f>VLOOKUP(Tabla3[[#This Row],[Site]],Table35[],10,FALSE)</f>
        <v>9:00 P.M.</v>
      </c>
      <c r="F235" t="str">
        <f>VLOOKUP(Tabla3[[#This Row],[Site]],Table35[],11,FALSE)</f>
        <v>ET</v>
      </c>
      <c r="G235" t="str">
        <f>VLOOKUP(Tabla3[[#This Row],[Site]],Table35[],12,FALSE)</f>
        <v>5:00 A.M.</v>
      </c>
      <c r="H235" s="74" t="str">
        <f>HYPERLINK(VLOOKUP(Tabla3[[#This Row],[Site]],Table35[#All],9,FALSE))</f>
        <v>https://tools.sig.systems/site/details/340</v>
      </c>
      <c r="I235" t="str">
        <f>VLOOKUP(Tabla3[[#This Row],[Site]],Table35[],13,FALSE)</f>
        <v>-</v>
      </c>
      <c r="J235" t="str">
        <f>VLOOKUP(Tabla3[[#This Row],[Site]],Table35[],14,FALSE)</f>
        <v>-</v>
      </c>
      <c r="L235" s="32" t="str">
        <f>VLOOKUP(Tabla3[[#This Row],[Site]],Table35[#All],2,FALSE)</f>
        <v>-</v>
      </c>
      <c r="M235" s="32" t="str">
        <f>VLOOKUP(Tabla3[[#This Row],[Site]],Table35[#All],3,FALSE)</f>
        <v>4, 5</v>
      </c>
      <c r="N235" s="32" t="str">
        <f>VLOOKUP(Tabla3[[#This Row],[Site]],Table35[#All],4,FALSE)</f>
        <v>-</v>
      </c>
      <c r="O235" s="32" t="str">
        <f>VLOOKUP(Tabla3[[#This Row],[Site]],Table35[#All],5,FALSE)</f>
        <v>-</v>
      </c>
      <c r="P235" s="32" t="str">
        <f>VLOOKUP(Tabla3[[#This Row],[Site]],Table35[#All],6,FALSE)</f>
        <v>8, 15</v>
      </c>
      <c r="Q235" s="32" t="str">
        <f>VLOOKUP(Tabla3[[#This Row],[Site]],Table35[#All],8,FALSE)</f>
        <v>340</v>
      </c>
    </row>
    <row r="236" spans="1:17" hidden="1" x14ac:dyDescent="0.25">
      <c r="A236" t="str">
        <f>+Tabla3[[#This Row],[Site]]&amp;Tabla3[[#This Row],[Split]]</f>
        <v>(AS) Koons Volvo Cars White Marsh (NO TOURS)4</v>
      </c>
      <c r="B236">
        <v>4</v>
      </c>
      <c r="C236">
        <v>4</v>
      </c>
      <c r="D236" t="s">
        <v>382</v>
      </c>
      <c r="E236" t="str">
        <f>VLOOKUP(Tabla3[[#This Row],[Site]],Table35[],10,FALSE)</f>
        <v>9:00 P.M.</v>
      </c>
      <c r="F236" t="str">
        <f>VLOOKUP(Tabla3[[#This Row],[Site]],Table35[],11,FALSE)</f>
        <v>ET</v>
      </c>
      <c r="G236" t="str">
        <f>VLOOKUP(Tabla3[[#This Row],[Site]],Table35[],12,FALSE)</f>
        <v>5:00 A.M.</v>
      </c>
      <c r="H236" s="74" t="str">
        <f>HYPERLINK(VLOOKUP(Tabla3[[#This Row],[Site]],Table35[#All],9,FALSE))</f>
        <v>https://tools.sig.systems/site/details/338</v>
      </c>
      <c r="I236">
        <f>VLOOKUP(Tabla3[[#This Row],[Site]],Table35[],13,FALSE)</f>
        <v>0</v>
      </c>
      <c r="J236" t="str">
        <f>VLOOKUP(Tabla3[[#This Row],[Site]],Table35[],14,FALSE)</f>
        <v>-</v>
      </c>
      <c r="L236" s="32" t="str">
        <f>VLOOKUP(Tabla3[[#This Row],[Site]],Table35[#All],2,FALSE)</f>
        <v>-</v>
      </c>
      <c r="M236" s="32" t="str">
        <f>VLOOKUP(Tabla3[[#This Row],[Site]],Table35[#All],3,FALSE)</f>
        <v>5, 7, 9</v>
      </c>
      <c r="N236" s="32" t="str">
        <f>VLOOKUP(Tabla3[[#This Row],[Site]],Table35[#All],4,FALSE)</f>
        <v>-</v>
      </c>
      <c r="O236" s="32" t="str">
        <f>VLOOKUP(Tabla3[[#This Row],[Site]],Table35[#All],5,FALSE)</f>
        <v>-</v>
      </c>
      <c r="P236" s="32" t="str">
        <f>VLOOKUP(Tabla3[[#This Row],[Site]],Table35[#All],6,FALSE)</f>
        <v>6, 10, 1</v>
      </c>
      <c r="Q236" s="32" t="str">
        <f>VLOOKUP(Tabla3[[#This Row],[Site]],Table35[#All],8,FALSE)</f>
        <v>338</v>
      </c>
    </row>
    <row r="237" spans="1:17" hidden="1" x14ac:dyDescent="0.25">
      <c r="A237" t="str">
        <f>+Tabla3[[#This Row],[Site]]&amp;Tabla3[[#This Row],[Split]]</f>
        <v>(DT) Modesto4</v>
      </c>
      <c r="B237">
        <v>4</v>
      </c>
      <c r="C237">
        <v>4</v>
      </c>
      <c r="D237" t="s">
        <v>14</v>
      </c>
      <c r="E237" t="str">
        <f>VLOOKUP(Tabla3[[#This Row],[Site]],Table35[],10,FALSE)</f>
        <v>12:00 A.M.</v>
      </c>
      <c r="F237" t="str">
        <f>VLOOKUP(Tabla3[[#This Row],[Site]],Table35[],11,FALSE)</f>
        <v>PT</v>
      </c>
      <c r="G237" t="str">
        <f>VLOOKUP(Tabla3[[#This Row],[Site]],Table35[],12,FALSE)</f>
        <v>8:00 A.M.</v>
      </c>
      <c r="H237" s="74" t="str">
        <f>HYPERLINK(VLOOKUP(Tabla3[[#This Row],[Site]],Table35[#All],9,FALSE))</f>
        <v>https://tools.sig.systems/site/details/267</v>
      </c>
      <c r="I237">
        <f>VLOOKUP(Tabla3[[#This Row],[Site]],Table35[],13,FALSE)</f>
        <v>0</v>
      </c>
      <c r="J237" t="str">
        <f>VLOOKUP(Tabla3[[#This Row],[Site]],Table35[],14,FALSE)</f>
        <v>-</v>
      </c>
      <c r="L237" s="32">
        <f>VLOOKUP(Tabla3[[#This Row],[Site]],Table35[#All],2,FALSE)</f>
        <v>10</v>
      </c>
      <c r="M237" s="32" t="str">
        <f>VLOOKUP(Tabla3[[#This Row],[Site]],Table35[#All],3,FALSE)</f>
        <v>5, 6</v>
      </c>
      <c r="N237" s="32" t="str">
        <f>VLOOKUP(Tabla3[[#This Row],[Site]],Table35[#All],4,FALSE)</f>
        <v>-</v>
      </c>
      <c r="O237" s="32" t="str">
        <f>VLOOKUP(Tabla3[[#This Row],[Site]],Table35[#All],5,FALSE)</f>
        <v>-</v>
      </c>
      <c r="P237" s="32" t="str">
        <f>VLOOKUP(Tabla3[[#This Row],[Site]],Table35[#All],6,FALSE)</f>
        <v>2, 3, 5, 10</v>
      </c>
      <c r="Q237" s="32" t="str">
        <f>VLOOKUP(Tabla3[[#This Row],[Site]],Table35[#All],8,FALSE)</f>
        <v>267</v>
      </c>
    </row>
    <row r="238" spans="1:17" hidden="1" x14ac:dyDescent="0.25">
      <c r="A238" t="str">
        <f>+Tabla3[[#This Row],[Site]]&amp;Tabla3[[#This Row],[Split]]</f>
        <v>(LT) Landers Kia of Little Rock4</v>
      </c>
      <c r="B238">
        <v>4</v>
      </c>
      <c r="C238">
        <v>4</v>
      </c>
      <c r="D238" t="s">
        <v>247</v>
      </c>
      <c r="E238" t="str">
        <f>VLOOKUP(Tabla3[[#This Row],[Site]],Table35[],10,FALSE)</f>
        <v>10:00 P.M.</v>
      </c>
      <c r="F238" t="str">
        <f>VLOOKUP(Tabla3[[#This Row],[Site]],Table35[],11,FALSE)</f>
        <v>CT</v>
      </c>
      <c r="G238" t="str">
        <f>VLOOKUP(Tabla3[[#This Row],[Site]],Table35[],12,FALSE)</f>
        <v>6:00 A.M.</v>
      </c>
      <c r="H238" s="74" t="str">
        <f>HYPERLINK(VLOOKUP(Tabla3[[#This Row],[Site]],Table35[#All],9,FALSE))</f>
        <v>https://tools.sig.systems/site/details/322</v>
      </c>
      <c r="I238" t="str">
        <f>VLOOKUP(Tabla3[[#This Row],[Site]],Table35[],13,FALSE)</f>
        <v>https://www.google.com/maps/d/u/1/edit?mid=1-zEzsc6U6nZom08edp0XAd3_HYFvAyk&amp;usp=sharing</v>
      </c>
      <c r="J238" t="str">
        <f>VLOOKUP(Tabla3[[#This Row],[Site]],Table35[],14,FALSE)</f>
        <v>-</v>
      </c>
      <c r="L238" s="32" t="str">
        <f>VLOOKUP(Tabla3[[#This Row],[Site]],Table35[#All],2,FALSE)</f>
        <v>5, 9, 33, 19</v>
      </c>
      <c r="M238" s="32" t="str">
        <f>VLOOKUP(Tabla3[[#This Row],[Site]],Table35[#All],3,FALSE)</f>
        <v>-</v>
      </c>
      <c r="N238" s="32" t="str">
        <f>VLOOKUP(Tabla3[[#This Row],[Site]],Table35[#All],4,FALSE)</f>
        <v>4, 10</v>
      </c>
      <c r="O238" s="32" t="str">
        <f>VLOOKUP(Tabla3[[#This Row],[Site]],Table35[#All],5,FALSE)</f>
        <v>1, 35</v>
      </c>
      <c r="P238" s="32" t="str">
        <f>VLOOKUP(Tabla3[[#This Row],[Site]],Table35[#All],6,FALSE)</f>
        <v>5, 9, 12, 14, 18, 26, 29</v>
      </c>
      <c r="Q238" s="32" t="str">
        <f>VLOOKUP(Tabla3[[#This Row],[Site]],Table35[#All],8,FALSE)</f>
        <v>322</v>
      </c>
    </row>
    <row r="239" spans="1:17" hidden="1" x14ac:dyDescent="0.25">
      <c r="A239" t="str">
        <f>+Tabla3[[#This Row],[Site]]&amp;Tabla3[[#This Row],[Split]]</f>
        <v>(LT) Luther Bloomington Subaru - Acura4</v>
      </c>
      <c r="B239">
        <v>4</v>
      </c>
      <c r="C239">
        <v>4</v>
      </c>
      <c r="D239" t="s">
        <v>123</v>
      </c>
      <c r="E239" t="str">
        <f>VLOOKUP(Tabla3[[#This Row],[Site]],Table35[],10,FALSE)</f>
        <v>9:30 P.M.</v>
      </c>
      <c r="F239" t="str">
        <f>VLOOKUP(Tabla3[[#This Row],[Site]],Table35[],11,FALSE)</f>
        <v>CT</v>
      </c>
      <c r="G239" t="str">
        <f>VLOOKUP(Tabla3[[#This Row],[Site]],Table35[],12,FALSE)</f>
        <v>4:00 A.M.</v>
      </c>
      <c r="H239" s="74" t="str">
        <f>HYPERLINK(VLOOKUP(Tabla3[[#This Row],[Site]],Table35[#All],9,FALSE))</f>
        <v>https://tools.sig.systems/site/details/289</v>
      </c>
      <c r="I239">
        <f>VLOOKUP(Tabla3[[#This Row],[Site]],Table35[],13,FALSE)</f>
        <v>0</v>
      </c>
      <c r="J239" t="str">
        <f>VLOOKUP(Tabla3[[#This Row],[Site]],Table35[],14,FALSE)</f>
        <v>-</v>
      </c>
      <c r="L239" s="32">
        <f>VLOOKUP(Tabla3[[#This Row],[Site]],Table35[#All],2,FALSE)</f>
        <v>29</v>
      </c>
      <c r="M239" s="32" t="str">
        <f>VLOOKUP(Tabla3[[#This Row],[Site]],Table35[#All],3,FALSE)</f>
        <v>5, 8, 33</v>
      </c>
      <c r="N239" s="32" t="str">
        <f>VLOOKUP(Tabla3[[#This Row],[Site]],Table35[#All],4,FALSE)</f>
        <v>4, 7, 35</v>
      </c>
      <c r="O239" s="32" t="str">
        <f>VLOOKUP(Tabla3[[#This Row],[Site]],Table35[#All],5,FALSE)</f>
        <v>-</v>
      </c>
      <c r="P239" s="32" t="str">
        <f>VLOOKUP(Tabla3[[#This Row],[Site]],Table35[#All],6,FALSE)</f>
        <v xml:space="preserve">1, 2, 14, 24, 34  </v>
      </c>
      <c r="Q239" s="32" t="str">
        <f>VLOOKUP(Tabla3[[#This Row],[Site]],Table35[#All],8,FALSE)</f>
        <v>289</v>
      </c>
    </row>
    <row r="240" spans="1:17" hidden="1" x14ac:dyDescent="0.25">
      <c r="A240" t="str">
        <f>+Tabla3[[#This Row],[Site]]&amp;Tabla3[[#This Row],[Split]]</f>
        <v>(LT) Luther North Country Ford4</v>
      </c>
      <c r="B240">
        <v>4</v>
      </c>
      <c r="C240">
        <v>4</v>
      </c>
      <c r="D240" t="s">
        <v>126</v>
      </c>
      <c r="E240" t="str">
        <f>VLOOKUP(Tabla3[[#This Row],[Site]],Table35[],10,FALSE)</f>
        <v>10:00 P.M.</v>
      </c>
      <c r="F240" t="str">
        <f>VLOOKUP(Tabla3[[#This Row],[Site]],Table35[],11,FALSE)</f>
        <v>CT</v>
      </c>
      <c r="G240" t="str">
        <f>VLOOKUP(Tabla3[[#This Row],[Site]],Table35[],12,FALSE)</f>
        <v>6:00 A.M.</v>
      </c>
      <c r="H240" s="74" t="str">
        <f>HYPERLINK(VLOOKUP(Tabla3[[#This Row],[Site]],Table35[#All],9,FALSE))</f>
        <v>https://tools.sig.systems/site/details/292</v>
      </c>
      <c r="I240">
        <f>VLOOKUP(Tabla3[[#This Row],[Site]],Table35[],13,FALSE)</f>
        <v>0</v>
      </c>
      <c r="J240" t="str">
        <f>VLOOKUP(Tabla3[[#This Row],[Site]],Table35[],14,FALSE)</f>
        <v>-</v>
      </c>
      <c r="L240" s="32" t="str">
        <f>VLOOKUP(Tabla3[[#This Row],[Site]],Table35[#All],2,FALSE)</f>
        <v>-</v>
      </c>
      <c r="M240" s="32" t="str">
        <f>VLOOKUP(Tabla3[[#This Row],[Site]],Table35[#All],3,FALSE)</f>
        <v>7, 14, 19</v>
      </c>
      <c r="N240" s="32" t="str">
        <f>VLOOKUP(Tabla3[[#This Row],[Site]],Table35[#All],4,FALSE)</f>
        <v>30, 31, 32</v>
      </c>
      <c r="O240" s="32" t="str">
        <f>VLOOKUP(Tabla3[[#This Row],[Site]],Table35[#All],5,FALSE)</f>
        <v>-</v>
      </c>
      <c r="P240" s="32" t="str">
        <f>VLOOKUP(Tabla3[[#This Row],[Site]],Table35[#All],6,FALSE)</f>
        <v>1, 4, 9, 13, 15, 16B, 25</v>
      </c>
      <c r="Q240" s="32" t="str">
        <f>VLOOKUP(Tabla3[[#This Row],[Site]],Table35[#All],8,FALSE)</f>
        <v>292</v>
      </c>
    </row>
    <row r="241" spans="1:17" hidden="1" x14ac:dyDescent="0.25">
      <c r="A241" t="str">
        <f>+Tabla3[[#This Row],[Site]]&amp;Tabla3[[#This Row],[Split]]</f>
        <v>(SCH) Schumacher of Delray I &amp; III4</v>
      </c>
      <c r="B241">
        <v>4</v>
      </c>
      <c r="C241">
        <v>4</v>
      </c>
      <c r="D241" t="s">
        <v>387</v>
      </c>
      <c r="E241" t="str">
        <f>VLOOKUP(Tabla3[[#This Row],[Site]],Table35[],10,FALSE)</f>
        <v>9:00 P.M.</v>
      </c>
      <c r="F241" t="str">
        <f>VLOOKUP(Tabla3[[#This Row],[Site]],Table35[],11,FALSE)</f>
        <v>ET</v>
      </c>
      <c r="G241" t="str">
        <f>VLOOKUP(Tabla3[[#This Row],[Site]],Table35[],12,FALSE)</f>
        <v>5:00 A.M.</v>
      </c>
      <c r="H241" s="74" t="str">
        <f>HYPERLINK(VLOOKUP(Tabla3[[#This Row],[Site]],Table35[#All],9,FALSE))</f>
        <v>https://tools.sig.systems/site/details/159</v>
      </c>
      <c r="I241" t="str">
        <f>VLOOKUP(Tabla3[[#This Row],[Site]],Table35[],13,FALSE)</f>
        <v>https://www.google.com/maps/d/viewer?mid=1ZLGV-cDM9aCfovhmXHIAXgVOKts0dEI&amp;ll=26.438859950088858%2C-80.07968125000001&amp;z=16</v>
      </c>
      <c r="J241" t="str">
        <f>VLOOKUP(Tabla3[[#This Row],[Site]],Table35[],14,FALSE)</f>
        <v>11:00 A.M.</v>
      </c>
      <c r="L241" s="32" t="str">
        <f>VLOOKUP(Tabla3[[#This Row],[Site]],Table35[#All],2,FALSE)</f>
        <v>11, 21, 22, 57, 69</v>
      </c>
      <c r="M241" s="32" t="str">
        <f>VLOOKUP(Tabla3[[#This Row],[Site]],Table35[#All],3,FALSE)</f>
        <v>2, 16, 46</v>
      </c>
      <c r="N241" s="32" t="str">
        <f>VLOOKUP(Tabla3[[#This Row],[Site]],Table35[#All],4,FALSE)</f>
        <v>-</v>
      </c>
      <c r="O241" s="32" t="str">
        <f>VLOOKUP(Tabla3[[#This Row],[Site]],Table35[#All],5,FALSE)</f>
        <v>-</v>
      </c>
      <c r="P241" s="32" t="str">
        <f>VLOOKUP(Tabla3[[#This Row],[Site]],Table35[#All],6,FALSE)</f>
        <v>24, 39</v>
      </c>
      <c r="Q241" s="32" t="str">
        <f>VLOOKUP(Tabla3[[#This Row],[Site]],Table35[#All],8,FALSE)</f>
        <v>159</v>
      </c>
    </row>
    <row r="242" spans="1:17" hidden="1" x14ac:dyDescent="0.25">
      <c r="A242" t="str">
        <f>+Tabla3[[#This Row],[Site]]&amp;Tabla3[[#This Row],[Split]]</f>
        <v>(AS) Koons Annapolis Toyota (NO TOURS)5</v>
      </c>
      <c r="B242">
        <v>5</v>
      </c>
      <c r="C242">
        <v>1</v>
      </c>
      <c r="D242" t="s">
        <v>446</v>
      </c>
      <c r="E242" t="str">
        <f>VLOOKUP(Tabla3[[#This Row],[Site]],Table35[],10,FALSE)</f>
        <v>9:00 P.M.</v>
      </c>
      <c r="F242" t="str">
        <f>VLOOKUP(Tabla3[[#This Row],[Site]],Table35[],11,FALSE)</f>
        <v>ET</v>
      </c>
      <c r="G242" t="str">
        <f>VLOOKUP(Tabla3[[#This Row],[Site]],Table35[],12,FALSE)</f>
        <v>5:00 A.M.</v>
      </c>
      <c r="H242" s="74" t="str">
        <f>HYPERLINK(VLOOKUP(Tabla3[[#This Row],[Site]],Table35[#All],9,FALSE))</f>
        <v>https://tools.sig.systems/site/details/337</v>
      </c>
      <c r="I242">
        <f>VLOOKUP(Tabla3[[#This Row],[Site]],Table35[],13,FALSE)</f>
        <v>0</v>
      </c>
      <c r="J242" t="str">
        <f>VLOOKUP(Tabla3[[#This Row],[Site]],Table35[],14,FALSE)</f>
        <v>-</v>
      </c>
      <c r="L242" s="32">
        <f>VLOOKUP(Tabla3[[#This Row],[Site]],Table35[#All],2,FALSE)</f>
        <v>6</v>
      </c>
      <c r="M242" s="32" t="str">
        <f>VLOOKUP(Tabla3[[#This Row],[Site]],Table35[#All],3,FALSE)</f>
        <v>1, 6, 21</v>
      </c>
      <c r="N242" s="32" t="str">
        <f>VLOOKUP(Tabla3[[#This Row],[Site]],Table35[#All],4,FALSE)</f>
        <v>-</v>
      </c>
      <c r="O242" s="32" t="str">
        <f>VLOOKUP(Tabla3[[#This Row],[Site]],Table35[#All],5,FALSE)</f>
        <v>-</v>
      </c>
      <c r="P242" s="32" t="str">
        <f>VLOOKUP(Tabla3[[#This Row],[Site]],Table35[#All],6,FALSE)</f>
        <v>3, 5, 7, 19</v>
      </c>
      <c r="Q242" s="32" t="str">
        <f>VLOOKUP(Tabla3[[#This Row],[Site]],Table35[#All],8,FALSE)</f>
        <v>337</v>
      </c>
    </row>
    <row r="243" spans="1:17" hidden="1" x14ac:dyDescent="0.25">
      <c r="A243" t="str">
        <f>+Tabla3[[#This Row],[Site]]&amp;Tabla3[[#This Row],[Split]]</f>
        <v>(AS) Koons Chevrolet Buick GMC - Clarksville (NO TOURS)5</v>
      </c>
      <c r="B243">
        <v>5</v>
      </c>
      <c r="C243">
        <v>1</v>
      </c>
      <c r="D243" t="s">
        <v>379</v>
      </c>
      <c r="E243" t="str">
        <f>VLOOKUP(Tabla3[[#This Row],[Site]],Table35[],10,FALSE)</f>
        <v>9:00 P.M.</v>
      </c>
      <c r="F243" t="str">
        <f>VLOOKUP(Tabla3[[#This Row],[Site]],Table35[],11,FALSE)</f>
        <v>ET</v>
      </c>
      <c r="G243" t="str">
        <f>VLOOKUP(Tabla3[[#This Row],[Site]],Table35[],12,FALSE)</f>
        <v>5:00 A.M.</v>
      </c>
      <c r="H243" s="74" t="str">
        <f>HYPERLINK(VLOOKUP(Tabla3[[#This Row],[Site]],Table35[#All],9,FALSE))</f>
        <v>https://tools.sig.systems/site/details/306</v>
      </c>
      <c r="I243" t="str">
        <f>VLOOKUP(Tabla3[[#This Row],[Site]],Table35[],13,FALSE)</f>
        <v>https://www.google.com/maps/d/edit?hl=es&amp;mid=11XB1lTSP7EcDCDvzypdUPWP6bWCNAEI&amp;ll=39.21145022420528%2C-76.94003711910554&amp;z=17</v>
      </c>
      <c r="J243" t="str">
        <f>VLOOKUP(Tabla3[[#This Row],[Site]],Table35[],14,FALSE)</f>
        <v>10:00 A.M.</v>
      </c>
      <c r="L243" s="32" t="str">
        <f>VLOOKUP(Tabla3[[#This Row],[Site]],Table35[#All],2,FALSE)</f>
        <v>-</v>
      </c>
      <c r="M243" s="32" t="str">
        <f>VLOOKUP(Tabla3[[#This Row],[Site]],Table35[#All],3,FALSE)</f>
        <v>1, 22, 26, 28, 29</v>
      </c>
      <c r="N243" s="32" t="str">
        <f>VLOOKUP(Tabla3[[#This Row],[Site]],Table35[#All],4,FALSE)</f>
        <v>-</v>
      </c>
      <c r="O243" s="32" t="str">
        <f>VLOOKUP(Tabla3[[#This Row],[Site]],Table35[#All],5,FALSE)</f>
        <v>-</v>
      </c>
      <c r="P243" s="32" t="str">
        <f>VLOOKUP(Tabla3[[#This Row],[Site]],Table35[#All],6,FALSE)</f>
        <v>3, 11, 15, 23</v>
      </c>
      <c r="Q243" s="32" t="str">
        <f>VLOOKUP(Tabla3[[#This Row],[Site]],Table35[#All],8,FALSE)</f>
        <v>306</v>
      </c>
    </row>
    <row r="244" spans="1:17" hidden="1" x14ac:dyDescent="0.25">
      <c r="A244" t="str">
        <f>+Tabla3[[#This Row],[Site]]&amp;Tabla3[[#This Row],[Split]]</f>
        <v>(AS) Koons Sterling Ford - Main Dealership (NO TOURS)5</v>
      </c>
      <c r="B244">
        <v>5</v>
      </c>
      <c r="C244">
        <v>1</v>
      </c>
      <c r="D244" t="s">
        <v>411</v>
      </c>
      <c r="E244" t="str">
        <f>VLOOKUP(Tabla3[[#This Row],[Site]],Table35[],10,FALSE)</f>
        <v>9:00 P.M.</v>
      </c>
      <c r="F244" t="str">
        <f>VLOOKUP(Tabla3[[#This Row],[Site]],Table35[],11,FALSE)</f>
        <v>ET</v>
      </c>
      <c r="G244" t="str">
        <f>VLOOKUP(Tabla3[[#This Row],[Site]],Table35[],12,FALSE)</f>
        <v>5:00 A.M.</v>
      </c>
      <c r="H244" s="74" t="str">
        <f>HYPERLINK(VLOOKUP(Tabla3[[#This Row],[Site]],Table35[#All],9,FALSE))</f>
        <v>https://tools.sig.systems/site/details/348</v>
      </c>
      <c r="I244" t="str">
        <f>VLOOKUP(Tabla3[[#This Row],[Site]],Table35[],13,FALSE)</f>
        <v>-</v>
      </c>
      <c r="J244" t="str">
        <f>VLOOKUP(Tabla3[[#This Row],[Site]],Table35[],14,FALSE)</f>
        <v>10:00 A.M.</v>
      </c>
      <c r="L244" s="32">
        <f>VLOOKUP(Tabla3[[#This Row],[Site]],Table35[#All],2,FALSE)</f>
        <v>19</v>
      </c>
      <c r="M244" s="32">
        <f>VLOOKUP(Tabla3[[#This Row],[Site]],Table35[#All],3,FALSE)</f>
        <v>3</v>
      </c>
      <c r="N244" s="32" t="str">
        <f>VLOOKUP(Tabla3[[#This Row],[Site]],Table35[#All],4,FALSE)</f>
        <v>-</v>
      </c>
      <c r="O244" s="32" t="str">
        <f>VLOOKUP(Tabla3[[#This Row],[Site]],Table35[#All],5,FALSE)</f>
        <v>4, 21</v>
      </c>
      <c r="P244" s="32" t="str">
        <f>VLOOKUP(Tabla3[[#This Row],[Site]],Table35[#All],6,FALSE)</f>
        <v>7, 8</v>
      </c>
      <c r="Q244" s="32" t="str">
        <f>VLOOKUP(Tabla3[[#This Row],[Site]],Table35[#All],8,FALSE)</f>
        <v>348</v>
      </c>
    </row>
    <row r="245" spans="1:17" hidden="1" x14ac:dyDescent="0.25">
      <c r="A245" t="str">
        <f>+Tabla3[[#This Row],[Site]]&amp;Tabla3[[#This Row],[Split]]</f>
        <v>(AS) Plaza Mercedes Benz West (NO TOURS)5</v>
      </c>
      <c r="B245">
        <v>5</v>
      </c>
      <c r="C245">
        <v>1</v>
      </c>
      <c r="D245" t="s">
        <v>394</v>
      </c>
      <c r="E245" t="str">
        <f>VLOOKUP(Tabla3[[#This Row],[Site]],Table35[],10,FALSE)</f>
        <v>10:00 P.M.</v>
      </c>
      <c r="F245" t="str">
        <f>VLOOKUP(Tabla3[[#This Row],[Site]],Table35[],11,FALSE)</f>
        <v>CT</v>
      </c>
      <c r="G245" t="str">
        <f>VLOOKUP(Tabla3[[#This Row],[Site]],Table35[],12,FALSE)</f>
        <v>6:00 A.M.</v>
      </c>
      <c r="H245" s="74" t="str">
        <f>HYPERLINK(VLOOKUP(Tabla3[[#This Row],[Site]],Table35[#All],9,FALSE))</f>
        <v>https://tools.sig.systems/site/details/349</v>
      </c>
      <c r="I245">
        <f>VLOOKUP(Tabla3[[#This Row],[Site]],Table35[],13,FALSE)</f>
        <v>0</v>
      </c>
      <c r="J245" t="str">
        <f>VLOOKUP(Tabla3[[#This Row],[Site]],Table35[],14,FALSE)</f>
        <v>-</v>
      </c>
      <c r="L245" s="32" t="str">
        <f>VLOOKUP(Tabla3[[#This Row],[Site]],Table35[#All],2,FALSE)</f>
        <v>-</v>
      </c>
      <c r="M245" s="32" t="str">
        <f>VLOOKUP(Tabla3[[#This Row],[Site]],Table35[#All],3,FALSE)</f>
        <v>1, 7</v>
      </c>
      <c r="N245" s="32" t="str">
        <f>VLOOKUP(Tabla3[[#This Row],[Site]],Table35[#All],4,FALSE)</f>
        <v>-</v>
      </c>
      <c r="O245" s="32">
        <f>VLOOKUP(Tabla3[[#This Row],[Site]],Table35[#All],5,FALSE)</f>
        <v>17</v>
      </c>
      <c r="P245" s="32" t="str">
        <f>VLOOKUP(Tabla3[[#This Row],[Site]],Table35[#All],6,FALSE)</f>
        <v>6, 21</v>
      </c>
      <c r="Q245" s="32" t="str">
        <f>VLOOKUP(Tabla3[[#This Row],[Site]],Table35[#All],8,FALSE)</f>
        <v>349</v>
      </c>
    </row>
    <row r="246" spans="1:17" hidden="1" x14ac:dyDescent="0.25">
      <c r="A246" t="str">
        <f>+Tabla3[[#This Row],[Site]]&amp;Tabla3[[#This Row],[Split]]</f>
        <v>(BRL) Fort Pierce5</v>
      </c>
      <c r="B246">
        <v>5</v>
      </c>
      <c r="C246">
        <v>1</v>
      </c>
      <c r="D246" t="s">
        <v>347</v>
      </c>
      <c r="E246" t="str">
        <f>VLOOKUP(Tabla3[[#This Row],[Site]],Table35[],10,FALSE)</f>
        <v>24H</v>
      </c>
      <c r="F246" t="str">
        <f>VLOOKUP(Tabla3[[#This Row],[Site]],Table35[],11,FALSE)</f>
        <v>ET</v>
      </c>
      <c r="G246" t="str">
        <f>VLOOKUP(Tabla3[[#This Row],[Site]],Table35[],12,FALSE)</f>
        <v>-</v>
      </c>
      <c r="H246" s="74" t="str">
        <f>HYPERLINK(VLOOKUP(Tabla3[[#This Row],[Site]],Table35[#All],9,FALSE))</f>
        <v>https://tools.sig.systems/site/details/326</v>
      </c>
      <c r="I246" t="str">
        <f>VLOOKUP(Tabla3[[#This Row],[Site]],Table35[],13,FALSE)</f>
        <v>-</v>
      </c>
      <c r="J246" t="str">
        <f>VLOOKUP(Tabla3[[#This Row],[Site]],Table35[],14,FALSE)</f>
        <v>-</v>
      </c>
      <c r="L246" s="32" t="str">
        <f>VLOOKUP(Tabla3[[#This Row],[Site]],Table35[#All],2,FALSE)</f>
        <v>-</v>
      </c>
      <c r="M246" s="32">
        <f>VLOOKUP(Tabla3[[#This Row],[Site]],Table35[#All],3,FALSE)</f>
        <v>1</v>
      </c>
      <c r="N246" s="32" t="str">
        <f>VLOOKUP(Tabla3[[#This Row],[Site]],Table35[#All],4,FALSE)</f>
        <v>-</v>
      </c>
      <c r="O246" s="32">
        <f>VLOOKUP(Tabla3[[#This Row],[Site]],Table35[#All],5,FALSE)</f>
        <v>2</v>
      </c>
      <c r="P246" s="32" t="str">
        <f>VLOOKUP(Tabla3[[#This Row],[Site]],Table35[#All],6,FALSE)</f>
        <v>15, 18</v>
      </c>
      <c r="Q246" s="32" t="str">
        <f>VLOOKUP(Tabla3[[#This Row],[Site]],Table35[#All],8,FALSE)</f>
        <v>326</v>
      </c>
    </row>
    <row r="247" spans="1:17" hidden="1" x14ac:dyDescent="0.25">
      <c r="A247" t="str">
        <f>+Tabla3[[#This Row],[Site]]&amp;Tabla3[[#This Row],[Split]]</f>
        <v>(DT) Charlotte5</v>
      </c>
      <c r="B247">
        <v>5</v>
      </c>
      <c r="C247">
        <v>1</v>
      </c>
      <c r="D247" t="s">
        <v>150</v>
      </c>
      <c r="E247" t="str">
        <f>VLOOKUP(Tabla3[[#This Row],[Site]],Table35[],10,FALSE)</f>
        <v>9:00 P.M.</v>
      </c>
      <c r="F247" t="str">
        <f>VLOOKUP(Tabla3[[#This Row],[Site]],Table35[],11,FALSE)</f>
        <v>ET</v>
      </c>
      <c r="G247" t="str">
        <f>VLOOKUP(Tabla3[[#This Row],[Site]],Table35[],12,FALSE)</f>
        <v>5:00 A.M.</v>
      </c>
      <c r="H247" s="74" t="str">
        <f>HYPERLINK(VLOOKUP(Tabla3[[#This Row],[Site]],Table35[#All],9,FALSE))</f>
        <v>https://tools.sig.systems/site/details/299</v>
      </c>
      <c r="I247">
        <f>VLOOKUP(Tabla3[[#This Row],[Site]],Table35[],13,FALSE)</f>
        <v>0</v>
      </c>
      <c r="J247" t="str">
        <f>VLOOKUP(Tabla3[[#This Row],[Site]],Table35[],14,FALSE)</f>
        <v>-</v>
      </c>
      <c r="L247" s="32" t="str">
        <f>VLOOKUP(Tabla3[[#This Row],[Site]],Table35[#All],2,FALSE)</f>
        <v>4, 25, 41</v>
      </c>
      <c r="M247" s="32" t="str">
        <f>VLOOKUP(Tabla3[[#This Row],[Site]],Table35[#All],3,FALSE)</f>
        <v>-</v>
      </c>
      <c r="N247" s="32" t="str">
        <f>VLOOKUP(Tabla3[[#This Row],[Site]],Table35[#All],4,FALSE)</f>
        <v>-</v>
      </c>
      <c r="O247" s="32" t="str">
        <f>VLOOKUP(Tabla3[[#This Row],[Site]],Table35[#All],5,FALSE)</f>
        <v xml:space="preserve">11, 32, 35 </v>
      </c>
      <c r="P247" s="32" t="str">
        <f>VLOOKUP(Tabla3[[#This Row],[Site]],Table35[#All],6,FALSE)</f>
        <v>6, 11, 18, 29, 34,  38, 39</v>
      </c>
      <c r="Q247" s="32" t="str">
        <f>VLOOKUP(Tabla3[[#This Row],[Site]],Table35[#All],8,FALSE)</f>
        <v>299</v>
      </c>
    </row>
    <row r="248" spans="1:17" hidden="1" x14ac:dyDescent="0.25">
      <c r="A248" t="str">
        <f>+Tabla3[[#This Row],[Site]]&amp;Tabla3[[#This Row],[Split]]</f>
        <v>(KG) Big Star Hyundai Houston5</v>
      </c>
      <c r="B248">
        <v>5</v>
      </c>
      <c r="C248">
        <v>1</v>
      </c>
      <c r="D248" t="s">
        <v>128</v>
      </c>
      <c r="E248" t="str">
        <f>VLOOKUP(Tabla3[[#This Row],[Site]],Table35[],10,FALSE)</f>
        <v>10:00 P.M.</v>
      </c>
      <c r="F248" t="str">
        <f>VLOOKUP(Tabla3[[#This Row],[Site]],Table35[],11,FALSE)</f>
        <v>CT</v>
      </c>
      <c r="G248" t="str">
        <f>VLOOKUP(Tabla3[[#This Row],[Site]],Table35[],12,FALSE)</f>
        <v>6:00 A.M.</v>
      </c>
      <c r="H248" s="74" t="str">
        <f>HYPERLINK(VLOOKUP(Tabla3[[#This Row],[Site]],Table35[#All],9,FALSE))</f>
        <v>https://tools.sig.systems/site/details/287</v>
      </c>
      <c r="I248" t="str">
        <f>VLOOKUP(Tabla3[[#This Row],[Site]],Table35[],13,FALSE)</f>
        <v>https://www.google.com/maps/d/edit?hl=en&amp;mid=1jIRkMUnWNPuTgDjQgDP-f33LClT85NU&amp;ll=29.55731827236326%2C-95.1601644&amp;z=17</v>
      </c>
      <c r="J248" t="str">
        <f>VLOOKUP(Tabla3[[#This Row],[Site]],Table35[],14,FALSE)</f>
        <v>-</v>
      </c>
      <c r="L248" s="32" t="s">
        <v>198</v>
      </c>
      <c r="M248" s="32" t="s">
        <v>199</v>
      </c>
      <c r="N248" s="32" t="s">
        <v>96</v>
      </c>
      <c r="O248" s="32" t="s">
        <v>200</v>
      </c>
      <c r="P248" s="32" t="s">
        <v>201</v>
      </c>
      <c r="Q248" s="32" t="s">
        <v>296</v>
      </c>
    </row>
    <row r="249" spans="1:17" hidden="1" x14ac:dyDescent="0.25">
      <c r="A249" t="str">
        <f>+Tabla3[[#This Row],[Site]]&amp;Tabla3[[#This Row],[Split]]</f>
        <v>(LT) Luther Brookdale Toyota5</v>
      </c>
      <c r="B249">
        <v>5</v>
      </c>
      <c r="C249">
        <v>1</v>
      </c>
      <c r="D249" t="s">
        <v>125</v>
      </c>
      <c r="E249" t="str">
        <f>VLOOKUP(Tabla3[[#This Row],[Site]],Table35[],10,FALSE)</f>
        <v>10:00 P.M.</v>
      </c>
      <c r="F249" t="str">
        <f>VLOOKUP(Tabla3[[#This Row],[Site]],Table35[],11,FALSE)</f>
        <v>CT</v>
      </c>
      <c r="G249" t="str">
        <f>VLOOKUP(Tabla3[[#This Row],[Site]],Table35[],12,FALSE)</f>
        <v>5:00 A.M.</v>
      </c>
      <c r="H249" s="74" t="str">
        <f>HYPERLINK(VLOOKUP(Tabla3[[#This Row],[Site]],Table35[#All],9,FALSE))</f>
        <v>https://tools.sig.systems/site/details/281</v>
      </c>
      <c r="I249" t="str">
        <f>VLOOKUP(Tabla3[[#This Row],[Site]],Table35[],13,FALSE)</f>
        <v>https://www.google.com/maps/d/viewer?mid=1ot0ILX76JMuvd9yMuqkb4_e0yH1n7TA&amp;ll=45.07815812965141%2C-93.33506855000002&amp;z=17</v>
      </c>
      <c r="J249" t="str">
        <f>VLOOKUP(Tabla3[[#This Row],[Site]],Table35[],14,FALSE)</f>
        <v>-</v>
      </c>
      <c r="L249" s="32" t="str">
        <f>VLOOKUP(Tabla3[[#This Row],[Site]],Table35[#All],2,FALSE)</f>
        <v>-</v>
      </c>
      <c r="M249" s="32" t="str">
        <f>VLOOKUP(Tabla3[[#This Row],[Site]],Table35[#All],3,FALSE)</f>
        <v>5, 7</v>
      </c>
      <c r="N249" s="32">
        <f>VLOOKUP(Tabla3[[#This Row],[Site]],Table35[#All],4,FALSE)</f>
        <v>29</v>
      </c>
      <c r="O249" s="32">
        <f>VLOOKUP(Tabla3[[#This Row],[Site]],Table35[#All],5,FALSE)</f>
        <v>20</v>
      </c>
      <c r="P249" s="32" t="str">
        <f>VLOOKUP(Tabla3[[#This Row],[Site]],Table35[#All],6,FALSE)</f>
        <v xml:space="preserve">1, 2, 4, 10, 18, 24, 25 </v>
      </c>
      <c r="Q249" s="32" t="str">
        <f>VLOOKUP(Tabla3[[#This Row],[Site]],Table35[#All],8,FALSE)</f>
        <v>281</v>
      </c>
    </row>
    <row r="250" spans="1:17" hidden="1" x14ac:dyDescent="0.25">
      <c r="A250" t="str">
        <f>+Tabla3[[#This Row],[Site]]&amp;Tabla3[[#This Row],[Split]]</f>
        <v>(LT) Luther Burnsville Hyundai5</v>
      </c>
      <c r="B250">
        <v>5</v>
      </c>
      <c r="C250">
        <v>1</v>
      </c>
      <c r="D250" t="s">
        <v>280</v>
      </c>
      <c r="E250" t="str">
        <f>VLOOKUP(Tabla3[[#This Row],[Site]],Table35[],10,FALSE)</f>
        <v>10:00 P.M.</v>
      </c>
      <c r="F250" t="str">
        <f>VLOOKUP(Tabla3[[#This Row],[Site]],Table35[],11,FALSE)</f>
        <v>CT</v>
      </c>
      <c r="G250" t="str">
        <f>VLOOKUP(Tabla3[[#This Row],[Site]],Table35[],12,FALSE)</f>
        <v>6:00 A.M.</v>
      </c>
      <c r="H250" s="74" t="str">
        <f>HYPERLINK(VLOOKUP(Tabla3[[#This Row],[Site]],Table35[#All],9,FALSE))</f>
        <v>https://tools.sig.systems/site/details/307</v>
      </c>
      <c r="I250">
        <f>VLOOKUP(Tabla3[[#This Row],[Site]],Table35[],13,FALSE)</f>
        <v>0</v>
      </c>
      <c r="J250" t="str">
        <f>VLOOKUP(Tabla3[[#This Row],[Site]],Table35[],14,FALSE)</f>
        <v>-</v>
      </c>
      <c r="L250" s="32" t="str">
        <f>VLOOKUP(Tabla3[[#This Row],[Site]],Table35[#All],2,FALSE)</f>
        <v>-</v>
      </c>
      <c r="M250" s="32" t="str">
        <f>VLOOKUP(Tabla3[[#This Row],[Site]],Table35[#All],3,FALSE)</f>
        <v>6, 17</v>
      </c>
      <c r="N250" s="32" t="str">
        <f>VLOOKUP(Tabla3[[#This Row],[Site]],Table35[#All],4,FALSE)</f>
        <v>22, 21</v>
      </c>
      <c r="O250" s="32">
        <f>VLOOKUP(Tabla3[[#This Row],[Site]],Table35[#All],5,FALSE)</f>
        <v>7</v>
      </c>
      <c r="P250" s="32" t="str">
        <f>VLOOKUP(Tabla3[[#This Row],[Site]],Table35[#All],6,FALSE)</f>
        <v>2, 4, 16</v>
      </c>
      <c r="Q250" s="32" t="str">
        <f>VLOOKUP(Tabla3[[#This Row],[Site]],Table35[#All],8,FALSE)</f>
        <v>307</v>
      </c>
    </row>
    <row r="251" spans="1:17" hidden="1" x14ac:dyDescent="0.25">
      <c r="A251" t="str">
        <f>+Tabla3[[#This Row],[Site]]&amp;Tabla3[[#This Row],[Split]]</f>
        <v>(ML) Joe Machens Hyundai5</v>
      </c>
      <c r="B251">
        <v>5</v>
      </c>
      <c r="C251">
        <v>1</v>
      </c>
      <c r="D251" t="s">
        <v>124</v>
      </c>
      <c r="E251" t="str">
        <f>VLOOKUP(Tabla3[[#This Row],[Site]],Table35[],10,FALSE)</f>
        <v>10:00 P.M.</v>
      </c>
      <c r="F251" t="str">
        <f>VLOOKUP(Tabla3[[#This Row],[Site]],Table35[],11,FALSE)</f>
        <v>CT</v>
      </c>
      <c r="G251" t="str">
        <f>VLOOKUP(Tabla3[[#This Row],[Site]],Table35[],12,FALSE)</f>
        <v>6:00 A.M.</v>
      </c>
      <c r="H251" s="74" t="str">
        <f>HYPERLINK(VLOOKUP(Tabla3[[#This Row],[Site]],Table35[#All],9,FALSE))</f>
        <v>https://tools.sig.systems/site/details/286</v>
      </c>
      <c r="I251" t="str">
        <f>VLOOKUP(Tabla3[[#This Row],[Site]],Table35[],13,FALSE)</f>
        <v>https://www.google.com/maps/d/viewer?hl=es&amp;mid=1C1oZdjH3dNvCvqdpIv_Lk0Yn1OCVn-4&amp;ll=38.965368114274455%2C-92.3405954&amp;z=15</v>
      </c>
      <c r="J251" t="str">
        <f>VLOOKUP(Tabla3[[#This Row],[Site]],Table35[],14,FALSE)</f>
        <v>-</v>
      </c>
      <c r="L251" s="32" t="str">
        <f>VLOOKUP(Tabla3[[#This Row],[Site]],Table35[#All],2,FALSE)</f>
        <v>-</v>
      </c>
      <c r="M251" s="32" t="str">
        <f>VLOOKUP(Tabla3[[#This Row],[Site]],Table35[#All],3,FALSE)</f>
        <v>3, 4, 14, 25</v>
      </c>
      <c r="N251" s="32" t="str">
        <f>VLOOKUP(Tabla3[[#This Row],[Site]],Table35[#All],4,FALSE)</f>
        <v>-</v>
      </c>
      <c r="O251" s="32">
        <f>VLOOKUP(Tabla3[[#This Row],[Site]],Table35[#All],5,FALSE)</f>
        <v>17</v>
      </c>
      <c r="P251" s="32" t="str">
        <f>VLOOKUP(Tabla3[[#This Row],[Site]],Table35[#All],6,FALSE)</f>
        <v>1, 11, 12, 13, 15</v>
      </c>
      <c r="Q251" s="32" t="str">
        <f>VLOOKUP(Tabla3[[#This Row],[Site]],Table35[#All],8,FALSE)</f>
        <v>286</v>
      </c>
    </row>
    <row r="252" spans="1:17" hidden="1" x14ac:dyDescent="0.25">
      <c r="A252" t="str">
        <f>+Tabla3[[#This Row],[Site]]&amp;Tabla3[[#This Row],[Split]]</f>
        <v>(PE) BMW Service Center (NO TOURS)5</v>
      </c>
      <c r="B252">
        <v>5</v>
      </c>
      <c r="C252">
        <v>1</v>
      </c>
      <c r="D252" t="s">
        <v>38</v>
      </c>
      <c r="E252" t="str">
        <f>VLOOKUP(Tabla3[[#This Row],[Site]],Table35[],10,FALSE)</f>
        <v>8:00 P.M.</v>
      </c>
      <c r="F252" t="str">
        <f>VLOOKUP(Tabla3[[#This Row],[Site]],Table35[],11,FALSE)</f>
        <v>ET</v>
      </c>
      <c r="G252" t="str">
        <f>VLOOKUP(Tabla3[[#This Row],[Site]],Table35[],12,FALSE)</f>
        <v>5:00 A.M.</v>
      </c>
      <c r="H252" s="74" t="str">
        <f>HYPERLINK(VLOOKUP(Tabla3[[#This Row],[Site]],Table35[#All],9,FALSE))</f>
        <v>https://tools.sig.systems/site/details/184</v>
      </c>
      <c r="I252" t="str">
        <f>VLOOKUP(Tabla3[[#This Row],[Site]],Table35[],13,FALSE)</f>
        <v>https://www.google.com/maps/d/edit?hl=en&amp;mid=1UHmt7tH1ihTa85i0MfQIcTfVvIQg_vM&amp;ll=41.02423447529239%2C-73.63721502222738&amp;z=18</v>
      </c>
      <c r="J252" t="str">
        <f>VLOOKUP(Tabla3[[#This Row],[Site]],Table35[],14,FALSE)</f>
        <v>-</v>
      </c>
      <c r="L252" s="32">
        <f>VLOOKUP(Tabla3[[#This Row],[Site]],Table35[#All],2,FALSE)</f>
        <v>3</v>
      </c>
      <c r="M252" s="32" t="str">
        <f>VLOOKUP(Tabla3[[#This Row],[Site]],Table35[#All],3,FALSE)</f>
        <v>-</v>
      </c>
      <c r="N252" s="32" t="str">
        <f>VLOOKUP(Tabla3[[#This Row],[Site]],Table35[#All],4,FALSE)</f>
        <v>-</v>
      </c>
      <c r="O252" s="32" t="str">
        <f>VLOOKUP(Tabla3[[#This Row],[Site]],Table35[#All],5,FALSE)</f>
        <v>-</v>
      </c>
      <c r="P252" s="32" t="str">
        <f>VLOOKUP(Tabla3[[#This Row],[Site]],Table35[#All],6,FALSE)</f>
        <v xml:space="preserve">1, 2 </v>
      </c>
      <c r="Q252" s="32" t="str">
        <f>VLOOKUP(Tabla3[[#This Row],[Site]],Table35[#All],8,FALSE)</f>
        <v>184</v>
      </c>
    </row>
    <row r="253" spans="1:17" hidden="1" x14ac:dyDescent="0.25">
      <c r="A253" t="str">
        <f>+Tabla3[[#This Row],[Site]]&amp;Tabla3[[#This Row],[Split]]</f>
        <v>(PE) JLR Darien (NO TOURS)5</v>
      </c>
      <c r="B253">
        <v>5</v>
      </c>
      <c r="C253">
        <v>1</v>
      </c>
      <c r="D253" t="s">
        <v>370</v>
      </c>
      <c r="E253" t="str">
        <f>VLOOKUP(Tabla3[[#This Row],[Site]],Table35[],10,FALSE)</f>
        <v>8:00 P.M.</v>
      </c>
      <c r="F253" t="str">
        <f>VLOOKUP(Tabla3[[#This Row],[Site]],Table35[],11,FALSE)</f>
        <v>ET</v>
      </c>
      <c r="G253" t="str">
        <f>VLOOKUP(Tabla3[[#This Row],[Site]],Table35[],12,FALSE)</f>
        <v>5:00 A.M.</v>
      </c>
      <c r="H253" s="74" t="str">
        <f>HYPERLINK(VLOOKUP(Tabla3[[#This Row],[Site]],Table35[#All],9,FALSE))</f>
        <v>https://tools.sig.systems/site/details/189</v>
      </c>
      <c r="I253" t="str">
        <f>VLOOKUP(Tabla3[[#This Row],[Site]],Table35[],13,FALSE)</f>
        <v>-</v>
      </c>
      <c r="J253" t="str">
        <f>VLOOKUP(Tabla3[[#This Row],[Site]],Table35[],14,FALSE)</f>
        <v>-</v>
      </c>
      <c r="L253" s="32" t="str">
        <f>VLOOKUP(Tabla3[[#This Row],[Site]],Table35[#All],2,FALSE)</f>
        <v>1, 13</v>
      </c>
      <c r="M253" s="32" t="str">
        <f>VLOOKUP(Tabla3[[#This Row],[Site]],Table35[#All],3,FALSE)</f>
        <v>-</v>
      </c>
      <c r="N253" s="32" t="str">
        <f>VLOOKUP(Tabla3[[#This Row],[Site]],Table35[#All],4,FALSE)</f>
        <v>-</v>
      </c>
      <c r="O253" s="32" t="str">
        <f>VLOOKUP(Tabla3[[#This Row],[Site]],Table35[#All],5,FALSE)</f>
        <v>-</v>
      </c>
      <c r="P253" s="32" t="str">
        <f>VLOOKUP(Tabla3[[#This Row],[Site]],Table35[#All],6,FALSE)</f>
        <v>-</v>
      </c>
      <c r="Q253" s="32" t="str">
        <f>VLOOKUP(Tabla3[[#This Row],[Site]],Table35[#All],8,FALSE)</f>
        <v>189</v>
      </c>
    </row>
    <row r="254" spans="1:17" hidden="1" x14ac:dyDescent="0.25">
      <c r="A254" t="str">
        <f>+Tabla3[[#This Row],[Site]]&amp;Tabla3[[#This Row],[Split]]</f>
        <v>(AS) Coggin BMW Ft. Pierce (NO TOURS)5</v>
      </c>
      <c r="B254">
        <v>5</v>
      </c>
      <c r="C254">
        <v>2</v>
      </c>
      <c r="D254" t="s">
        <v>121</v>
      </c>
      <c r="E254" t="str">
        <f>VLOOKUP(Tabla3[[#This Row],[Site]],Table35[],10,FALSE)</f>
        <v>9:00 P.M.</v>
      </c>
      <c r="F254" t="str">
        <f>VLOOKUP(Tabla3[[#This Row],[Site]],Table35[],11,FALSE)</f>
        <v>ET</v>
      </c>
      <c r="G254" t="str">
        <f>VLOOKUP(Tabla3[[#This Row],[Site]],Table35[],12,FALSE)</f>
        <v>5:00 A.M.</v>
      </c>
      <c r="H254" s="74" t="str">
        <f>HYPERLINK(VLOOKUP(Tabla3[[#This Row],[Site]],Table35[#All],9,FALSE))</f>
        <v>https://tools.sig.systems/site/details/119</v>
      </c>
      <c r="I254" t="str">
        <f>VLOOKUP(Tabla3[[#This Row],[Site]],Table35[],13,FALSE)</f>
        <v>https://www.google.com/maps/d/viewer?mid=1AyViBuyeq7iwDua1SVudJ2A1BYi3IBA&amp;ll=27.38181516363982%2C-80.32568845000002&amp;z=18</v>
      </c>
      <c r="J254" t="str">
        <f>VLOOKUP(Tabla3[[#This Row],[Site]],Table35[],14,FALSE)</f>
        <v>-</v>
      </c>
      <c r="L254" s="32" t="str">
        <f>VLOOKUP(Tabla3[[#This Row],[Site]],Table35[#All],2,FALSE)</f>
        <v>3, 10, 13</v>
      </c>
      <c r="M254" s="32" t="str">
        <f>VLOOKUP(Tabla3[[#This Row],[Site]],Table35[#All],3,FALSE)</f>
        <v>-</v>
      </c>
      <c r="N254" s="32" t="str">
        <f>VLOOKUP(Tabla3[[#This Row],[Site]],Table35[#All],4,FALSE)</f>
        <v>-</v>
      </c>
      <c r="O254" s="32">
        <f>VLOOKUP(Tabla3[[#This Row],[Site]],Table35[#All],5,FALSE)</f>
        <v>2</v>
      </c>
      <c r="P254" s="32" t="str">
        <f>VLOOKUP(Tabla3[[#This Row],[Site]],Table35[#All],6,FALSE)</f>
        <v>1, 20, 27</v>
      </c>
      <c r="Q254" s="32" t="str">
        <f>VLOOKUP(Tabla3[[#This Row],[Site]],Table35[#All],8,FALSE)</f>
        <v>119</v>
      </c>
    </row>
    <row r="255" spans="1:17" hidden="1" x14ac:dyDescent="0.25">
      <c r="A255" t="str">
        <f>+Tabla3[[#This Row],[Site]]&amp;Tabla3[[#This Row],[Split]]</f>
        <v>(AS) Coggin Collision Center of Kissimmee (NO TOURS)5</v>
      </c>
      <c r="B255">
        <v>5</v>
      </c>
      <c r="C255">
        <v>2</v>
      </c>
      <c r="D255" t="s">
        <v>285</v>
      </c>
      <c r="E255" t="str">
        <f>VLOOKUP(Tabla3[[#This Row],[Site]],Table35[],10,FALSE)</f>
        <v>9:00 P.M.</v>
      </c>
      <c r="F255" t="str">
        <f>VLOOKUP(Tabla3[[#This Row],[Site]],Table35[],11,FALSE)</f>
        <v>ET</v>
      </c>
      <c r="G255" t="str">
        <f>VLOOKUP(Tabla3[[#This Row],[Site]],Table35[],12,FALSE)</f>
        <v>5:00 A.M.</v>
      </c>
      <c r="H255" s="74" t="str">
        <f>HYPERLINK(VLOOKUP(Tabla3[[#This Row],[Site]],Table35[#All],9,FALSE))</f>
        <v>https://tools.sig.systems/site/details/331</v>
      </c>
      <c r="I255">
        <f>VLOOKUP(Tabla3[[#This Row],[Site]],Table35[],13,FALSE)</f>
        <v>0</v>
      </c>
      <c r="J255" t="str">
        <f>VLOOKUP(Tabla3[[#This Row],[Site]],Table35[],14,FALSE)</f>
        <v>-</v>
      </c>
      <c r="L255" s="32" t="str">
        <f>VLOOKUP(Tabla3[[#This Row],[Site]],Table35[#All],2,FALSE)</f>
        <v>1, 12</v>
      </c>
      <c r="M255" s="32" t="str">
        <f>VLOOKUP(Tabla3[[#This Row],[Site]],Table35[#All],3,FALSE)</f>
        <v>-</v>
      </c>
      <c r="N255" s="32" t="str">
        <f>VLOOKUP(Tabla3[[#This Row],[Site]],Table35[#All],4,FALSE)</f>
        <v>-</v>
      </c>
      <c r="O255" s="32" t="str">
        <f>VLOOKUP(Tabla3[[#This Row],[Site]],Table35[#All],5,FALSE)</f>
        <v>-</v>
      </c>
      <c r="P255" s="32" t="str">
        <f>VLOOKUP(Tabla3[[#This Row],[Site]],Table35[#All],6,FALSE)</f>
        <v>2, 7, 9</v>
      </c>
      <c r="Q255" s="32" t="str">
        <f>VLOOKUP(Tabla3[[#This Row],[Site]],Table35[#All],8,FALSE)</f>
        <v>331</v>
      </c>
    </row>
    <row r="256" spans="1:17" hidden="1" x14ac:dyDescent="0.25">
      <c r="A256" t="str">
        <f>+Tabla3[[#This Row],[Site]]&amp;Tabla3[[#This Row],[Split]]</f>
        <v>(AS) Koons Chevrolet Buick GMC - Clarksville Remote Lot (NO TOURS)5</v>
      </c>
      <c r="B256">
        <v>5</v>
      </c>
      <c r="C256">
        <v>2</v>
      </c>
      <c r="D256" t="s">
        <v>415</v>
      </c>
      <c r="E256" t="str">
        <f>VLOOKUP(Tabla3[[#This Row],[Site]],Table35[],10,FALSE)</f>
        <v>9:00 P.M.</v>
      </c>
      <c r="F256" t="str">
        <f>VLOOKUP(Tabla3[[#This Row],[Site]],Table35[],11,FALSE)</f>
        <v>ET</v>
      </c>
      <c r="G256" t="str">
        <f>VLOOKUP(Tabla3[[#This Row],[Site]],Table35[],12,FALSE)</f>
        <v>5:00 A.M.</v>
      </c>
      <c r="H256" s="74" t="str">
        <f>HYPERLINK(VLOOKUP(Tabla3[[#This Row],[Site]],Table35[#All],9,FALSE))</f>
        <v>https://tools.sig.systems/site/details/308</v>
      </c>
      <c r="I256" t="str">
        <f>VLOOKUP(Tabla3[[#This Row],[Site]],Table35[],13,FALSE)</f>
        <v>https://www.google.com/maps/d/edit?hl=es&amp;mid=11XB1lTSP7EcDCDvzypdUPWP6bWCNAEI&amp;ll=39.21145022420528%2C-76.94003711910554&amp;z=21</v>
      </c>
      <c r="J256" t="str">
        <f>VLOOKUP(Tabla3[[#This Row],[Site]],Table35[],14,FALSE)</f>
        <v>10:00 A.M.</v>
      </c>
      <c r="L256" s="32" t="str">
        <f>VLOOKUP(Tabla3[[#This Row],[Site]],Table35[#All],2,FALSE)</f>
        <v>-</v>
      </c>
      <c r="M256" s="32" t="str">
        <f>VLOOKUP(Tabla3[[#This Row],[Site]],Table35[#All],3,FALSE)</f>
        <v>1, 5</v>
      </c>
      <c r="N256" s="32" t="str">
        <f>VLOOKUP(Tabla3[[#This Row],[Site]],Table35[#All],4,FALSE)</f>
        <v>-</v>
      </c>
      <c r="O256" s="32" t="str">
        <f>VLOOKUP(Tabla3[[#This Row],[Site]],Table35[#All],5,FALSE)</f>
        <v>-</v>
      </c>
      <c r="P256" s="32" t="str">
        <f>VLOOKUP(Tabla3[[#This Row],[Site]],Table35[#All],6,FALSE)</f>
        <v>14, 16</v>
      </c>
      <c r="Q256" s="32" t="str">
        <f>VLOOKUP(Tabla3[[#This Row],[Site]],Table35[#All],8,FALSE)</f>
        <v>308</v>
      </c>
    </row>
    <row r="257" spans="1:17" hidden="1" x14ac:dyDescent="0.25">
      <c r="A257" t="str">
        <f>+Tabla3[[#This Row],[Site]]&amp;Tabla3[[#This Row],[Split]]</f>
        <v>(AS) Koons Chevrolet Buick GMC - Tysons (NO TOURS)5</v>
      </c>
      <c r="B257">
        <v>5</v>
      </c>
      <c r="C257">
        <v>2</v>
      </c>
      <c r="D257" t="s">
        <v>386</v>
      </c>
      <c r="E257" t="str">
        <f>VLOOKUP(Tabla3[[#This Row],[Site]],Table35[],10,FALSE)</f>
        <v>9:00 P.M.</v>
      </c>
      <c r="F257" t="str">
        <f>VLOOKUP(Tabla3[[#This Row],[Site]],Table35[],11,FALSE)</f>
        <v>ET</v>
      </c>
      <c r="G257" t="str">
        <f>VLOOKUP(Tabla3[[#This Row],[Site]],Table35[],12,FALSE)</f>
        <v>5:00 A.M.</v>
      </c>
      <c r="H257" s="74" t="str">
        <f>HYPERLINK(VLOOKUP(Tabla3[[#This Row],[Site]],Table35[#All],9,FALSE))</f>
        <v>https://tools.sig.systems/site/details/352</v>
      </c>
      <c r="I257" t="str">
        <f>VLOOKUP(Tabla3[[#This Row],[Site]],Table35[],13,FALSE)</f>
        <v>-</v>
      </c>
      <c r="J257" t="str">
        <f>VLOOKUP(Tabla3[[#This Row],[Site]],Table35[],14,FALSE)</f>
        <v>10:00 A.M.</v>
      </c>
      <c r="L257" s="32" t="str">
        <f>VLOOKUP(Tabla3[[#This Row],[Site]],Table35[#All],2,FALSE)</f>
        <v>4, 6</v>
      </c>
      <c r="M257" s="32" t="str">
        <f>VLOOKUP(Tabla3[[#This Row],[Site]],Table35[#All],3,FALSE)</f>
        <v>-</v>
      </c>
      <c r="N257" s="32" t="str">
        <f>VLOOKUP(Tabla3[[#This Row],[Site]],Table35[#All],4,FALSE)</f>
        <v>-</v>
      </c>
      <c r="O257" s="32">
        <f>VLOOKUP(Tabla3[[#This Row],[Site]],Table35[#All],5,FALSE)</f>
        <v>4</v>
      </c>
      <c r="P257" s="32" t="str">
        <f>VLOOKUP(Tabla3[[#This Row],[Site]],Table35[#All],6,FALSE)</f>
        <v>6, 12, 15</v>
      </c>
      <c r="Q257" s="32" t="str">
        <f>VLOOKUP(Tabla3[[#This Row],[Site]],Table35[#All],8,FALSE)</f>
        <v>352</v>
      </c>
    </row>
    <row r="258" spans="1:17" hidden="1" x14ac:dyDescent="0.25">
      <c r="A258" t="str">
        <f>+Tabla3[[#This Row],[Site]]&amp;Tabla3[[#This Row],[Split]]</f>
        <v>(AS) Koons Falls Church Ford (NO TOURS)5</v>
      </c>
      <c r="B258">
        <v>5</v>
      </c>
      <c r="C258">
        <v>2</v>
      </c>
      <c r="D258" t="s">
        <v>388</v>
      </c>
      <c r="E258" t="str">
        <f>VLOOKUP(Tabla3[[#This Row],[Site]],Table35[],10,FALSE)</f>
        <v>9:00 P.M.</v>
      </c>
      <c r="F258" t="str">
        <f>VLOOKUP(Tabla3[[#This Row],[Site]],Table35[],11,FALSE)</f>
        <v>ET</v>
      </c>
      <c r="G258" t="str">
        <f>VLOOKUP(Tabla3[[#This Row],[Site]],Table35[],12,FALSE)</f>
        <v>5:00 A.M.</v>
      </c>
      <c r="H258" s="74" t="str">
        <f>HYPERLINK(VLOOKUP(Tabla3[[#This Row],[Site]],Table35[#All],9,FALSE))</f>
        <v>https://tools.sig.systems/site/details/345</v>
      </c>
      <c r="I258" t="str">
        <f>VLOOKUP(Tabla3[[#This Row],[Site]],Table35[],13,FALSE)</f>
        <v>-</v>
      </c>
      <c r="J258" t="str">
        <f>VLOOKUP(Tabla3[[#This Row],[Site]],Table35[],14,FALSE)</f>
        <v>10:00 A.M.</v>
      </c>
      <c r="L258" s="32" t="str">
        <f>VLOOKUP(Tabla3[[#This Row],[Site]],Table35[#All],2,FALSE)</f>
        <v>-</v>
      </c>
      <c r="M258" s="32">
        <f>VLOOKUP(Tabla3[[#This Row],[Site]],Table35[#All],3,FALSE)</f>
        <v>1</v>
      </c>
      <c r="N258" s="32" t="str">
        <f>VLOOKUP(Tabla3[[#This Row],[Site]],Table35[#All],4,FALSE)</f>
        <v>-</v>
      </c>
      <c r="O258" s="32" t="str">
        <f>VLOOKUP(Tabla3[[#This Row],[Site]],Table35[#All],5,FALSE)</f>
        <v>-</v>
      </c>
      <c r="P258" s="32" t="str">
        <f>VLOOKUP(Tabla3[[#This Row],[Site]],Table35[#All],6,FALSE)</f>
        <v>-</v>
      </c>
      <c r="Q258" s="32" t="str">
        <f>VLOOKUP(Tabla3[[#This Row],[Site]],Table35[#All],8,FALSE)</f>
        <v>345</v>
      </c>
    </row>
    <row r="259" spans="1:17" hidden="1" x14ac:dyDescent="0.25">
      <c r="A259" t="str">
        <f>+Tabla3[[#This Row],[Site]]&amp;Tabla3[[#This Row],[Split]]</f>
        <v>(AS) Koons Owings Mills Kia (NO TOURS)5</v>
      </c>
      <c r="B259">
        <v>5</v>
      </c>
      <c r="C259">
        <v>2</v>
      </c>
      <c r="D259" t="s">
        <v>416</v>
      </c>
      <c r="E259" t="str">
        <f>VLOOKUP(Tabla3[[#This Row],[Site]],Table35[],10,FALSE)</f>
        <v>9:00 P.M.</v>
      </c>
      <c r="F259" t="str">
        <f>VLOOKUP(Tabla3[[#This Row],[Site]],Table35[],11,FALSE)</f>
        <v>ET</v>
      </c>
      <c r="G259" t="str">
        <f>VLOOKUP(Tabla3[[#This Row],[Site]],Table35[],12,FALSE)</f>
        <v>5:00 A.M.</v>
      </c>
      <c r="H259" s="74" t="str">
        <f>HYPERLINK(VLOOKUP(Tabla3[[#This Row],[Site]],Table35[#All],9,FALSE))</f>
        <v>https://tools.sig.systems/site/details/336</v>
      </c>
      <c r="I259" t="str">
        <f>VLOOKUP(Tabla3[[#This Row],[Site]],Table35[],13,FALSE)</f>
        <v>-</v>
      </c>
      <c r="J259" t="str">
        <f>VLOOKUP(Tabla3[[#This Row],[Site]],Table35[],14,FALSE)</f>
        <v>-</v>
      </c>
      <c r="L259" s="32">
        <f>VLOOKUP(Tabla3[[#This Row],[Site]],Table35[#All],2,FALSE)</f>
        <v>12</v>
      </c>
      <c r="M259" s="32" t="str">
        <f>VLOOKUP(Tabla3[[#This Row],[Site]],Table35[#All],3,FALSE)</f>
        <v>2, 18</v>
      </c>
      <c r="N259" s="32" t="str">
        <f>VLOOKUP(Tabla3[[#This Row],[Site]],Table35[#All],4,FALSE)</f>
        <v>-</v>
      </c>
      <c r="O259" s="32" t="str">
        <f>VLOOKUP(Tabla3[[#This Row],[Site]],Table35[#All],5,FALSE)</f>
        <v>-</v>
      </c>
      <c r="P259" s="32" t="str">
        <f>VLOOKUP(Tabla3[[#This Row],[Site]],Table35[#All],6,FALSE)</f>
        <v>7, 14</v>
      </c>
      <c r="Q259" s="32">
        <v>336</v>
      </c>
    </row>
    <row r="260" spans="1:17" hidden="1" x14ac:dyDescent="0.25">
      <c r="A260" t="str">
        <f>+Tabla3[[#This Row],[Site]]&amp;Tabla3[[#This Row],[Split]]</f>
        <v>(AS) Koons Westminster Toyota (NO TOURS)5</v>
      </c>
      <c r="B260">
        <v>5</v>
      </c>
      <c r="C260">
        <v>2</v>
      </c>
      <c r="D260" t="s">
        <v>422</v>
      </c>
      <c r="E260" t="str">
        <f>VLOOKUP(Tabla3[[#This Row],[Site]],Table35[],10,FALSE)</f>
        <v>9:00 P.M.</v>
      </c>
      <c r="F260" t="str">
        <f>VLOOKUP(Tabla3[[#This Row],[Site]],Table35[],11,FALSE)</f>
        <v>ET</v>
      </c>
      <c r="G260" t="str">
        <f>VLOOKUP(Tabla3[[#This Row],[Site]],Table35[],12,FALSE)</f>
        <v>5:00 A.M.</v>
      </c>
      <c r="H260" s="74" t="str">
        <f>HYPERLINK(VLOOKUP(Tabla3[[#This Row],[Site]],Table35[#All],9,FALSE))</f>
        <v>https://tools.sig.systems/site/details/341</v>
      </c>
      <c r="I260" t="str">
        <f>VLOOKUP(Tabla3[[#This Row],[Site]],Table35[],13,FALSE)</f>
        <v>-</v>
      </c>
      <c r="J260" t="str">
        <f>VLOOKUP(Tabla3[[#This Row],[Site]],Table35[],14,FALSE)</f>
        <v>-</v>
      </c>
      <c r="L260" s="32" t="str">
        <f>VLOOKUP(Tabla3[[#This Row],[Site]],Table35[#All],2,FALSE)</f>
        <v>-</v>
      </c>
      <c r="M260" s="32" t="str">
        <f>VLOOKUP(Tabla3[[#This Row],[Site]],Table35[#All],3,FALSE)</f>
        <v>1, 7, 9, 18, 25</v>
      </c>
      <c r="N260" s="32" t="str">
        <f>VLOOKUP(Tabla3[[#This Row],[Site]],Table35[#All],4,FALSE)</f>
        <v>-</v>
      </c>
      <c r="O260" s="32" t="str">
        <f>VLOOKUP(Tabla3[[#This Row],[Site]],Table35[#All],5,FALSE)</f>
        <v>-</v>
      </c>
      <c r="P260" s="32" t="str">
        <f>VLOOKUP(Tabla3[[#This Row],[Site]],Table35[#All],6,FALSE)</f>
        <v>8, 14, 16</v>
      </c>
      <c r="Q260" s="32">
        <v>341</v>
      </c>
    </row>
    <row r="261" spans="1:17" hidden="1" x14ac:dyDescent="0.25">
      <c r="A261" t="str">
        <f>+Tabla3[[#This Row],[Site]]&amp;Tabla3[[#This Row],[Split]]</f>
        <v>(AS) Koons Woodbridge GMC (NO TOURS)5</v>
      </c>
      <c r="B261">
        <v>5</v>
      </c>
      <c r="C261">
        <v>2</v>
      </c>
      <c r="D261" t="s">
        <v>383</v>
      </c>
      <c r="E261" t="str">
        <f>VLOOKUP(Tabla3[[#This Row],[Site]],Table35[],10,FALSE)</f>
        <v>9:00 P.M.</v>
      </c>
      <c r="F261" t="str">
        <f>VLOOKUP(Tabla3[[#This Row],[Site]],Table35[],11,FALSE)</f>
        <v>ET</v>
      </c>
      <c r="G261" t="str">
        <f>VLOOKUP(Tabla3[[#This Row],[Site]],Table35[],12,FALSE)</f>
        <v>5:00 A.M.</v>
      </c>
      <c r="H261" s="74" t="str">
        <f>HYPERLINK(VLOOKUP(Tabla3[[#This Row],[Site]],Table35[#All],9,FALSE))</f>
        <v>https://tools.sig.systems/site/details/343</v>
      </c>
      <c r="I261">
        <f>VLOOKUP(Tabla3[[#This Row],[Site]],Table35[],13,FALSE)</f>
        <v>0</v>
      </c>
      <c r="J261" t="str">
        <f>VLOOKUP(Tabla3[[#This Row],[Site]],Table35[],14,FALSE)</f>
        <v>10:00 A.M.</v>
      </c>
      <c r="L261" s="32" t="str">
        <f>VLOOKUP(Tabla3[[#This Row],[Site]],Table35[#All],2,FALSE)</f>
        <v>-</v>
      </c>
      <c r="M261" s="32">
        <f>VLOOKUP(Tabla3[[#This Row],[Site]],Table35[#All],3,FALSE)</f>
        <v>1</v>
      </c>
      <c r="N261" s="32" t="str">
        <f>VLOOKUP(Tabla3[[#This Row],[Site]],Table35[#All],4,FALSE)</f>
        <v>-</v>
      </c>
      <c r="O261" s="32">
        <f>VLOOKUP(Tabla3[[#This Row],[Site]],Table35[#All],5,FALSE)</f>
        <v>11</v>
      </c>
      <c r="P261" s="32" t="str">
        <f>VLOOKUP(Tabla3[[#This Row],[Site]],Table35[#All],6,FALSE)</f>
        <v>2, 7</v>
      </c>
      <c r="Q261" s="32" t="str">
        <f>VLOOKUP(Tabla3[[#This Row],[Site]],Table35[#All],8,FALSE)</f>
        <v>343</v>
      </c>
    </row>
    <row r="262" spans="1:17" hidden="1" x14ac:dyDescent="0.25">
      <c r="A262" t="str">
        <f>+Tabla3[[#This Row],[Site]]&amp;Tabla3[[#This Row],[Split]]</f>
        <v>(KG) Big Star Cadillac5</v>
      </c>
      <c r="B262">
        <v>5</v>
      </c>
      <c r="C262">
        <v>2</v>
      </c>
      <c r="D262" t="s">
        <v>237</v>
      </c>
      <c r="E262" t="str">
        <f>VLOOKUP(Tabla3[[#This Row],[Site]],Table35[],10,FALSE)</f>
        <v>10:00 P.M.</v>
      </c>
      <c r="F262" t="str">
        <f>VLOOKUP(Tabla3[[#This Row],[Site]],Table35[],11,FALSE)</f>
        <v>CT</v>
      </c>
      <c r="G262" t="str">
        <f>VLOOKUP(Tabla3[[#This Row],[Site]],Table35[],12,FALSE)</f>
        <v>6:00 A.M.</v>
      </c>
      <c r="H262" s="74" t="str">
        <f>HYPERLINK(VLOOKUP(Tabla3[[#This Row],[Site]],Table35[#All],9,FALSE))</f>
        <v>https://tools.sig.systems/site/details/316</v>
      </c>
      <c r="I262" t="str">
        <f>VLOOKUP(Tabla3[[#This Row],[Site]],Table35[],13,FALSE)</f>
        <v>https://www.google.com/maps/d/edit?mid=1jIRkMUnWNPuTgDjQgDP-f33LClT85NU&amp;usp=sharing</v>
      </c>
      <c r="J262" t="str">
        <f>VLOOKUP(Tabla3[[#This Row],[Site]],Table35[],14,FALSE)</f>
        <v>-</v>
      </c>
      <c r="L262" s="32" t="str">
        <f>VLOOKUP(Tabla3[[#This Row],[Site]],Table35[#All],2,FALSE)</f>
        <v>1, 4, 16</v>
      </c>
      <c r="M262" s="32" t="str">
        <f>VLOOKUP(Tabla3[[#This Row],[Site]],Table35[#All],3,FALSE)</f>
        <v>-</v>
      </c>
      <c r="N262" s="32" t="str">
        <f>VLOOKUP(Tabla3[[#This Row],[Site]],Table35[#All],4,FALSE)</f>
        <v>-</v>
      </c>
      <c r="O262" s="32" t="str">
        <f>VLOOKUP(Tabla3[[#This Row],[Site]],Table35[#All],5,FALSE)</f>
        <v>-</v>
      </c>
      <c r="P262" s="32" t="str">
        <f>VLOOKUP(Tabla3[[#This Row],[Site]],Table35[#All],6,FALSE)</f>
        <v>15, 16, 19, 20</v>
      </c>
      <c r="Q262" s="32" t="str">
        <f>VLOOKUP(Tabla3[[#This Row],[Site]],Table35[#All],8,FALSE)</f>
        <v>316</v>
      </c>
    </row>
    <row r="263" spans="1:17" hidden="1" x14ac:dyDescent="0.25">
      <c r="A263" t="str">
        <f>+Tabla3[[#This Row],[Site]]&amp;Tabla3[[#This Row],[Split]]</f>
        <v>(KG) Ken Garff Kia of Avondale5</v>
      </c>
      <c r="B263">
        <v>5</v>
      </c>
      <c r="C263">
        <v>2</v>
      </c>
      <c r="D263" t="s">
        <v>297</v>
      </c>
      <c r="E263" t="str">
        <f>VLOOKUP(Tabla3[[#This Row],[Site]],Table35[],10,FALSE)</f>
        <v>12:00 A.M.</v>
      </c>
      <c r="F263" t="str">
        <f>VLOOKUP(Tabla3[[#This Row],[Site]],Table35[],11,FALSE)</f>
        <v>MST</v>
      </c>
      <c r="G263" t="str">
        <f>VLOOKUP(Tabla3[[#This Row],[Site]],Table35[],12,FALSE)</f>
        <v>8:00 A.M.</v>
      </c>
      <c r="H263" s="74" t="str">
        <f>HYPERLINK(VLOOKUP(Tabla3[[#This Row],[Site]],Table35[#All],9,FALSE))</f>
        <v>https://tools.sig.systems/site/details/283</v>
      </c>
      <c r="I263" t="str">
        <f>VLOOKUP(Tabla3[[#This Row],[Site]],Table35[],13,FALSE)</f>
        <v>https://www.google.com/maps/d/viewer?mid=1bDs0QGFZwL3vEeGKxjVMk_j4azr0-lg&amp;ll=33.4593758581648%2C-112.28793780000001&amp;z=18</v>
      </c>
      <c r="J263" t="str">
        <f>VLOOKUP(Tabla3[[#This Row],[Site]],Table35[],14,FALSE)</f>
        <v>12:00 P.M.</v>
      </c>
      <c r="L263" s="32" t="str">
        <f>VLOOKUP(Tabla3[[#This Row],[Site]],Table35[#All],2,FALSE)</f>
        <v>5, 19</v>
      </c>
      <c r="M263" s="32" t="str">
        <f>VLOOKUP(Tabla3[[#This Row],[Site]],Table35[#All],3,FALSE)</f>
        <v>-</v>
      </c>
      <c r="N263" s="32" t="str">
        <f>VLOOKUP(Tabla3[[#This Row],[Site]],Table35[#All],4,FALSE)</f>
        <v>-</v>
      </c>
      <c r="O263" s="32" t="str">
        <f>VLOOKUP(Tabla3[[#This Row],[Site]],Table35[#All],5,FALSE)</f>
        <v>3, 5</v>
      </c>
      <c r="P263" s="32" t="str">
        <f>VLOOKUP(Tabla3[[#This Row],[Site]],Table35[#All],6,FALSE)</f>
        <v>1, 6, 7, 12, 15, 17, 21</v>
      </c>
      <c r="Q263" s="32" t="str">
        <f>VLOOKUP(Tabla3[[#This Row],[Site]],Table35[#All],8,FALSE)</f>
        <v>283</v>
      </c>
    </row>
    <row r="264" spans="1:17" hidden="1" x14ac:dyDescent="0.25">
      <c r="A264" t="str">
        <f>+Tabla3[[#This Row],[Site]]&amp;Tabla3[[#This Row],[Split]]</f>
        <v>(LT) Luther Brookdale Honda (NO TOURS)5</v>
      </c>
      <c r="B264">
        <v>5</v>
      </c>
      <c r="C264">
        <v>2</v>
      </c>
      <c r="D264" t="s">
        <v>271</v>
      </c>
      <c r="E264" t="str">
        <f>VLOOKUP(Tabla3[[#This Row],[Site]],Table35[],10,FALSE)</f>
        <v>10:00 P.M.</v>
      </c>
      <c r="F264" t="str">
        <f>VLOOKUP(Tabla3[[#This Row],[Site]],Table35[],11,FALSE)</f>
        <v>CT</v>
      </c>
      <c r="G264" t="str">
        <f>VLOOKUP(Tabla3[[#This Row],[Site]],Table35[],12,FALSE)</f>
        <v>6:00 A.M.</v>
      </c>
      <c r="H264" s="74" t="str">
        <f>HYPERLINK(VLOOKUP(Tabla3[[#This Row],[Site]],Table35[#All],9,FALSE))</f>
        <v>https://tools.sig.systems/site/details/280</v>
      </c>
      <c r="I264" t="str">
        <f>VLOOKUP(Tabla3[[#This Row],[Site]],Table35[],13,FALSE)</f>
        <v>https://www.google.com/maps/d/viewer?mid=1ot0ILX76JMuvd9yMuqkb4_e0yH1n7TA&amp;ll=45.07815812965141%2C-93.33506855000002&amp;z=17</v>
      </c>
      <c r="J264" t="str">
        <f>VLOOKUP(Tabla3[[#This Row],[Site]],Table35[],14,FALSE)</f>
        <v>-</v>
      </c>
      <c r="L264" s="32" t="str">
        <f>VLOOKUP(Tabla3[[#This Row],[Site]],Table35[#All],2,FALSE)</f>
        <v>-</v>
      </c>
      <c r="M264" s="32" t="str">
        <f>VLOOKUP(Tabla3[[#This Row],[Site]],Table35[#All],3,FALSE)</f>
        <v>1, 21</v>
      </c>
      <c r="N264" s="32" t="str">
        <f>VLOOKUP(Tabla3[[#This Row],[Site]],Table35[#All],4,FALSE)</f>
        <v>38, 39, 40</v>
      </c>
      <c r="O264" s="32" t="str">
        <f>VLOOKUP(Tabla3[[#This Row],[Site]],Table35[#All],5,FALSE)</f>
        <v>2, 10, 19</v>
      </c>
      <c r="P264" s="32" t="str">
        <f>VLOOKUP(Tabla3[[#This Row],[Site]],Table35[#All],6,FALSE)</f>
        <v>4, 5, 7, 11, 13, 20, 24, 36</v>
      </c>
      <c r="Q264" s="32" t="str">
        <f>VLOOKUP(Tabla3[[#This Row],[Site]],Table35[#All],8,FALSE)</f>
        <v>280</v>
      </c>
    </row>
    <row r="265" spans="1:17" hidden="1" x14ac:dyDescent="0.25">
      <c r="A265" t="str">
        <f>+Tabla3[[#This Row],[Site]]&amp;Tabla3[[#This Row],[Split]]</f>
        <v>(LT) Luther Genesis of Minneapolis5</v>
      </c>
      <c r="B265">
        <v>5</v>
      </c>
      <c r="C265">
        <v>2</v>
      </c>
      <c r="D265" t="s">
        <v>260</v>
      </c>
      <c r="E265" t="str">
        <f>VLOOKUP(Tabla3[[#This Row],[Site]],Table35[],10,FALSE)</f>
        <v>10:00 P.M.</v>
      </c>
      <c r="F265" t="str">
        <f>VLOOKUP(Tabla3[[#This Row],[Site]],Table35[],11,FALSE)</f>
        <v>CT</v>
      </c>
      <c r="G265" t="str">
        <f>VLOOKUP(Tabla3[[#This Row],[Site]],Table35[],12,FALSE)</f>
        <v>6:00 A.M.</v>
      </c>
      <c r="H265" s="74" t="str">
        <f>HYPERLINK(VLOOKUP(Tabla3[[#This Row],[Site]],Table35[#All],9,FALSE))</f>
        <v>https://tools.sig.systems/site/details/315</v>
      </c>
      <c r="I265">
        <f>VLOOKUP(Tabla3[[#This Row],[Site]],Table35[],13,FALSE)</f>
        <v>0</v>
      </c>
      <c r="J265" t="str">
        <f>VLOOKUP(Tabla3[[#This Row],[Site]],Table35[],14,FALSE)</f>
        <v>-</v>
      </c>
      <c r="L265" s="32" t="str">
        <f>VLOOKUP(Tabla3[[#This Row],[Site]],Table35[#All],2,FALSE)</f>
        <v>-</v>
      </c>
      <c r="M265" s="32" t="str">
        <f>VLOOKUP(Tabla3[[#This Row],[Site]],Table35[#All],3,FALSE)</f>
        <v>1,2,3,18</v>
      </c>
      <c r="N265" s="32" t="str">
        <f>VLOOKUP(Tabla3[[#This Row],[Site]],Table35[#All],4,FALSE)</f>
        <v>-</v>
      </c>
      <c r="O265" s="32" t="str">
        <f>VLOOKUP(Tabla3[[#This Row],[Site]],Table35[#All],5,FALSE)</f>
        <v>-</v>
      </c>
      <c r="P265" s="32" t="str">
        <f>VLOOKUP(Tabla3[[#This Row],[Site]],Table35[#All],6,FALSE)</f>
        <v>1,2,3,5,16,18</v>
      </c>
      <c r="Q265" s="32" t="str">
        <f>VLOOKUP(Tabla3[[#This Row],[Site]],Table35[#All],8,FALSE)</f>
        <v>315</v>
      </c>
    </row>
    <row r="266" spans="1:17" hidden="1" x14ac:dyDescent="0.25">
      <c r="A266" t="str">
        <f>+Tabla3[[#This Row],[Site]]&amp;Tabla3[[#This Row],[Split]]</f>
        <v>(PE) JLR Paramus (NO TOURS)5</v>
      </c>
      <c r="B266">
        <v>5</v>
      </c>
      <c r="C266">
        <v>2</v>
      </c>
      <c r="D266" t="s">
        <v>210</v>
      </c>
      <c r="E266" t="str">
        <f>VLOOKUP(Tabla3[[#This Row],[Site]],Table35[],10,FALSE)</f>
        <v>8:00 P.M.</v>
      </c>
      <c r="F266" t="str">
        <f>VLOOKUP(Tabla3[[#This Row],[Site]],Table35[],11,FALSE)</f>
        <v>ET</v>
      </c>
      <c r="G266" t="str">
        <f>VLOOKUP(Tabla3[[#This Row],[Site]],Table35[],12,FALSE)</f>
        <v>5:00 A.M.</v>
      </c>
      <c r="H266" s="74" t="str">
        <f>HYPERLINK(VLOOKUP(Tabla3[[#This Row],[Site]],Table35[#All],9,FALSE))</f>
        <v>https://tools.sig.systems/site/details/177</v>
      </c>
      <c r="I266">
        <f>VLOOKUP(Tabla3[[#This Row],[Site]],Table35[],13,FALSE)</f>
        <v>0</v>
      </c>
      <c r="J266" t="str">
        <f>VLOOKUP(Tabla3[[#This Row],[Site]],Table35[],14,FALSE)</f>
        <v>-</v>
      </c>
      <c r="L266" s="32" t="str">
        <f>VLOOKUP(Tabla3[[#This Row],[Site]],Table35[#All],2,FALSE)</f>
        <v>1, 17</v>
      </c>
      <c r="M266" s="32" t="str">
        <f>VLOOKUP(Tabla3[[#This Row],[Site]],Table35[#All],3,FALSE)</f>
        <v>-</v>
      </c>
      <c r="N266" s="32" t="str">
        <f>VLOOKUP(Tabla3[[#This Row],[Site]],Table35[#All],4,FALSE)</f>
        <v>-</v>
      </c>
      <c r="O266" s="32" t="str">
        <f>VLOOKUP(Tabla3[[#This Row],[Site]],Table35[#All],5,FALSE)</f>
        <v>-</v>
      </c>
      <c r="P266" s="32" t="str">
        <f>VLOOKUP(Tabla3[[#This Row],[Site]],Table35[#All],6,FALSE)</f>
        <v>1, 17</v>
      </c>
      <c r="Q266" s="32" t="str">
        <f>VLOOKUP(Tabla3[[#This Row],[Site]],Table35[#All],8,FALSE)</f>
        <v>177</v>
      </c>
    </row>
    <row r="267" spans="1:17" hidden="1" x14ac:dyDescent="0.25">
      <c r="A267" t="str">
        <f>+Tabla3[[#This Row],[Site]]&amp;Tabla3[[#This Row],[Split]]</f>
        <v>(PE) Porsche Audi Fairfield (NO TOURS)5</v>
      </c>
      <c r="B267">
        <v>5</v>
      </c>
      <c r="C267">
        <v>2</v>
      </c>
      <c r="D267" t="s">
        <v>362</v>
      </c>
      <c r="E267" t="str">
        <f>VLOOKUP(Tabla3[[#This Row],[Site]],Table35[],10,FALSE)</f>
        <v>8:00 P.M.</v>
      </c>
      <c r="F267" t="str">
        <f>VLOOKUP(Tabla3[[#This Row],[Site]],Table35[],11,FALSE)</f>
        <v>ET</v>
      </c>
      <c r="G267" t="str">
        <f>VLOOKUP(Tabla3[[#This Row],[Site]],Table35[],12,FALSE)</f>
        <v>5:00 A.M.</v>
      </c>
      <c r="H267" s="74" t="str">
        <f>HYPERLINK(VLOOKUP(Tabla3[[#This Row],[Site]],Table35[#All],9,FALSE))</f>
        <v>https://tools.sig.systems/site/details/194</v>
      </c>
      <c r="I267">
        <f>VLOOKUP(Tabla3[[#This Row],[Site]],Table35[],13,FALSE)</f>
        <v>0</v>
      </c>
      <c r="J267" t="str">
        <f>VLOOKUP(Tabla3[[#This Row],[Site]],Table35[],14,FALSE)</f>
        <v>-</v>
      </c>
      <c r="L267" s="32" t="str">
        <f>VLOOKUP(Tabla3[[#This Row],[Site]],Table35[#All],2,FALSE)</f>
        <v>1, 18</v>
      </c>
      <c r="M267" s="32" t="str">
        <f>VLOOKUP(Tabla3[[#This Row],[Site]],Table35[#All],3,FALSE)</f>
        <v>-</v>
      </c>
      <c r="N267" s="32" t="str">
        <f>VLOOKUP(Tabla3[[#This Row],[Site]],Table35[#All],4,FALSE)</f>
        <v>-</v>
      </c>
      <c r="O267" s="32">
        <f>VLOOKUP(Tabla3[[#This Row],[Site]],Table35[#All],5,FALSE)</f>
        <v>20</v>
      </c>
      <c r="P267" s="32">
        <f>VLOOKUP(Tabla3[[#This Row],[Site]],Table35[#All],6,FALSE)</f>
        <v>15</v>
      </c>
      <c r="Q267" s="32" t="str">
        <f>VLOOKUP(Tabla3[[#This Row],[Site]],Table35[#All],8,FALSE)</f>
        <v>194</v>
      </c>
    </row>
    <row r="268" spans="1:17" hidden="1" x14ac:dyDescent="0.25">
      <c r="A268" t="str">
        <f>+Tabla3[[#This Row],[Site]]&amp;Tabla3[[#This Row],[Split]]</f>
        <v>(AS) Hare Truck Center (NO TOURS)5</v>
      </c>
      <c r="B268">
        <v>5</v>
      </c>
      <c r="C268">
        <v>3</v>
      </c>
      <c r="D268" t="s">
        <v>377</v>
      </c>
      <c r="E268" t="str">
        <f>VLOOKUP(Tabla3[[#This Row],[Site]],Table35[],10,FALSE)</f>
        <v>9:00 P.M.</v>
      </c>
      <c r="F268" t="str">
        <f>VLOOKUP(Tabla3[[#This Row],[Site]],Table35[],11,FALSE)</f>
        <v>ET</v>
      </c>
      <c r="G268" t="str">
        <f>VLOOKUP(Tabla3[[#This Row],[Site]],Table35[],12,FALSE)</f>
        <v>5:00 A.M.</v>
      </c>
      <c r="H268" s="74" t="str">
        <f>HYPERLINK(VLOOKUP(Tabla3[[#This Row],[Site]],Table35[#All],9,FALSE))</f>
        <v>https://tools.sig.systems/site/details/300</v>
      </c>
      <c r="I268" t="str">
        <f>VLOOKUP(Tabla3[[#This Row],[Site]],Table35[],13,FALSE)</f>
        <v>https://www.google.com/maps/d/edit?mid=1hsX5GGrNcCQgAuzDCDz1OWgEkhsAc78&amp;usp=sharing</v>
      </c>
      <c r="J268" t="str">
        <f>VLOOKUP(Tabla3[[#This Row],[Site]],Table35[],14,FALSE)</f>
        <v>-</v>
      </c>
      <c r="L268" s="32" t="str">
        <f>VLOOKUP(Tabla3[[#This Row],[Site]],Table35[#All],2,FALSE)</f>
        <v>-</v>
      </c>
      <c r="M268" s="32" t="str">
        <f>VLOOKUP(Tabla3[[#This Row],[Site]],Table35[#All],3,FALSE)</f>
        <v>1, 5</v>
      </c>
      <c r="N268" s="32" t="str">
        <f>VLOOKUP(Tabla3[[#This Row],[Site]],Table35[#All],4,FALSE)</f>
        <v>-</v>
      </c>
      <c r="O268" s="32" t="str">
        <f>VLOOKUP(Tabla3[[#This Row],[Site]],Table35[#All],5,FALSE)</f>
        <v>-</v>
      </c>
      <c r="P268" s="32" t="str">
        <f>VLOOKUP(Tabla3[[#This Row],[Site]],Table35[#All],6,FALSE)</f>
        <v xml:space="preserve">2, 6, 10, 12, 17 </v>
      </c>
      <c r="Q268" s="32" t="str">
        <f>VLOOKUP(Tabla3[[#This Row],[Site]],Table35[#All],8,FALSE)</f>
        <v>300</v>
      </c>
    </row>
    <row r="269" spans="1:17" hidden="1" x14ac:dyDescent="0.25">
      <c r="A269" t="str">
        <f>+Tabla3[[#This Row],[Site]]&amp;Tabla3[[#This Row],[Split]]</f>
        <v>(AS) Koons MB of Catonsville (NO TOURS)5</v>
      </c>
      <c r="B269">
        <v>5</v>
      </c>
      <c r="C269">
        <v>3</v>
      </c>
      <c r="D269" t="s">
        <v>233</v>
      </c>
      <c r="E269" t="str">
        <f>VLOOKUP(Tabla3[[#This Row],[Site]],Table35[],10,FALSE)</f>
        <v>9:00 P.M.</v>
      </c>
      <c r="F269" t="str">
        <f>VLOOKUP(Tabla3[[#This Row],[Site]],Table35[],11,FALSE)</f>
        <v>ET</v>
      </c>
      <c r="G269" t="str">
        <f>VLOOKUP(Tabla3[[#This Row],[Site]],Table35[],12,FALSE)</f>
        <v>5:00 A.M.</v>
      </c>
      <c r="H269" s="74" t="str">
        <f>HYPERLINK(VLOOKUP(Tabla3[[#This Row],[Site]],Table35[#All],9,FALSE))</f>
        <v>https://tools.sig.systems/site/details/303</v>
      </c>
      <c r="I269">
        <f>VLOOKUP(Tabla3[[#This Row],[Site]],Table35[],13,FALSE)</f>
        <v>0</v>
      </c>
      <c r="J269" t="str">
        <f>VLOOKUP(Tabla3[[#This Row],[Site]],Table35[],14,FALSE)</f>
        <v>-</v>
      </c>
      <c r="L269" s="32" t="str">
        <f>VLOOKUP(Tabla3[[#This Row],[Site]],Table35[#All],2,FALSE)</f>
        <v>-</v>
      </c>
      <c r="M269" s="32" t="str">
        <f>VLOOKUP(Tabla3[[#This Row],[Site]],Table35[#All],3,FALSE)</f>
        <v>15, 16, 17, 29</v>
      </c>
      <c r="N269" s="32">
        <f>VLOOKUP(Tabla3[[#This Row],[Site]],Table35[#All],4,FALSE)</f>
        <v>29</v>
      </c>
      <c r="O269" s="32">
        <f>VLOOKUP(Tabla3[[#This Row],[Site]],Table35[#All],5,FALSE)</f>
        <v>5</v>
      </c>
      <c r="P269" s="32" t="str">
        <f>VLOOKUP(Tabla3[[#This Row],[Site]],Table35[#All],6,FALSE)</f>
        <v>1, 7, 8, 12, 19, 32</v>
      </c>
      <c r="Q269" s="32" t="str">
        <f>VLOOKUP(Tabla3[[#This Row],[Site]],Table35[#All],8,FALSE)</f>
        <v>303</v>
      </c>
    </row>
    <row r="270" spans="1:17" hidden="1" x14ac:dyDescent="0.25">
      <c r="A270" t="str">
        <f>+Tabla3[[#This Row],[Site]]&amp;Tabla3[[#This Row],[Split]]</f>
        <v>(AS) Koons Tysons Toyota - Main Dealership (NO TOURS)5</v>
      </c>
      <c r="B270">
        <v>5</v>
      </c>
      <c r="C270">
        <v>3</v>
      </c>
      <c r="D270" t="s">
        <v>432</v>
      </c>
      <c r="E270" t="str">
        <f>VLOOKUP(Tabla3[[#This Row],[Site]],Table35[],10,FALSE)</f>
        <v>9:00 P.M.</v>
      </c>
      <c r="F270" t="str">
        <f>VLOOKUP(Tabla3[[#This Row],[Site]],Table35[],11,FALSE)</f>
        <v>ET</v>
      </c>
      <c r="G270" t="str">
        <f>VLOOKUP(Tabla3[[#This Row],[Site]],Table35[],12,FALSE)</f>
        <v>5:00 A.M.</v>
      </c>
      <c r="H270" s="74" t="str">
        <f>HYPERLINK(VLOOKUP(Tabla3[[#This Row],[Site]],Table35[#All],9,FALSE))</f>
        <v>https://tools.sig.systems/site/details/344</v>
      </c>
      <c r="I270" t="str">
        <f>VLOOKUP(Tabla3[[#This Row],[Site]],Table35[],13,FALSE)</f>
        <v>-</v>
      </c>
      <c r="J270" t="str">
        <f>VLOOKUP(Tabla3[[#This Row],[Site]],Table35[],14,FALSE)</f>
        <v>-</v>
      </c>
      <c r="L270" s="32" t="str">
        <f>VLOOKUP(Tabla3[[#This Row],[Site]],Table35[#All],2,FALSE)</f>
        <v>-</v>
      </c>
      <c r="M270" s="32" t="str">
        <f>VLOOKUP(Tabla3[[#This Row],[Site]],Table35[#All],3,FALSE)</f>
        <v>1, 25</v>
      </c>
      <c r="N270" s="32" t="str">
        <f>VLOOKUP(Tabla3[[#This Row],[Site]],Table35[#All],4,FALSE)</f>
        <v>-</v>
      </c>
      <c r="O270" s="32" t="str">
        <f>VLOOKUP(Tabla3[[#This Row],[Site]],Table35[#All],5,FALSE)</f>
        <v>-</v>
      </c>
      <c r="P270" s="32" t="str">
        <f>VLOOKUP(Tabla3[[#This Row],[Site]],Table35[#All],6,FALSE)</f>
        <v>13, 22, 27</v>
      </c>
      <c r="Q270" s="32" t="str">
        <f>VLOOKUP(Tabla3[[#This Row],[Site]],Table35[#All],8,FALSE)</f>
        <v>344</v>
      </c>
    </row>
    <row r="271" spans="1:17" hidden="1" x14ac:dyDescent="0.25">
      <c r="A271" t="str">
        <f>+Tabla3[[#This Row],[Site]]&amp;Tabla3[[#This Row],[Split]]</f>
        <v>(AS) Koons White Marsh Chevrolet (NO TOURS)5</v>
      </c>
      <c r="B271">
        <v>5</v>
      </c>
      <c r="C271">
        <v>3</v>
      </c>
      <c r="D271" t="s">
        <v>393</v>
      </c>
      <c r="E271" t="str">
        <f>VLOOKUP(Tabla3[[#This Row],[Site]],Table35[],10,FALSE)</f>
        <v>9:00 P.M.</v>
      </c>
      <c r="F271" t="str">
        <f>VLOOKUP(Tabla3[[#This Row],[Site]],Table35[],11,FALSE)</f>
        <v>ET</v>
      </c>
      <c r="G271" t="str">
        <f>VLOOKUP(Tabla3[[#This Row],[Site]],Table35[],12,FALSE)</f>
        <v>5:00 A.M.</v>
      </c>
      <c r="H271" s="74" t="str">
        <f>HYPERLINK(VLOOKUP(Tabla3[[#This Row],[Site]],Table35[#All],9,FALSE))</f>
        <v>https://tools.sig.systems/site/details/339</v>
      </c>
      <c r="I271" t="str">
        <f>VLOOKUP(Tabla3[[#This Row],[Site]],Table35[],13,FALSE)</f>
        <v>-</v>
      </c>
      <c r="J271" t="str">
        <f>VLOOKUP(Tabla3[[#This Row],[Site]],Table35[],14,FALSE)</f>
        <v>-</v>
      </c>
      <c r="L271" s="32">
        <f>VLOOKUP(Tabla3[[#This Row],[Site]],Table35[#All],2,FALSE)</f>
        <v>25</v>
      </c>
      <c r="M271" s="32">
        <f>VLOOKUP(Tabla3[[#This Row],[Site]],Table35[#All],3,FALSE)</f>
        <v>10</v>
      </c>
      <c r="N271" s="32" t="str">
        <f>VLOOKUP(Tabla3[[#This Row],[Site]],Table35[#All],4,FALSE)</f>
        <v>-</v>
      </c>
      <c r="O271" s="32" t="str">
        <f>VLOOKUP(Tabla3[[#This Row],[Site]],Table35[#All],5,FALSE)</f>
        <v>-</v>
      </c>
      <c r="P271" s="32">
        <f>VLOOKUP(Tabla3[[#This Row],[Site]],Table35[#All],6,FALSE)</f>
        <v>12</v>
      </c>
      <c r="Q271" s="32" t="str">
        <f>VLOOKUP(Tabla3[[#This Row],[Site]],Table35[#All],8,FALSE)</f>
        <v>339</v>
      </c>
    </row>
    <row r="272" spans="1:17" hidden="1" x14ac:dyDescent="0.25">
      <c r="A272" t="str">
        <f>+Tabla3[[#This Row],[Site]]&amp;Tabla3[[#This Row],[Split]]</f>
        <v>(AS) Koons Woodbridge Ford (NO TOURS)5</v>
      </c>
      <c r="B272">
        <v>5</v>
      </c>
      <c r="C272">
        <v>3</v>
      </c>
      <c r="D272" t="s">
        <v>384</v>
      </c>
      <c r="E272" t="str">
        <f>VLOOKUP(Tabla3[[#This Row],[Site]],Table35[],10,FALSE)</f>
        <v>9:00 P.M.</v>
      </c>
      <c r="F272" t="str">
        <f>VLOOKUP(Tabla3[[#This Row],[Site]],Table35[],11,FALSE)</f>
        <v>ET</v>
      </c>
      <c r="G272" t="str">
        <f>VLOOKUP(Tabla3[[#This Row],[Site]],Table35[],12,FALSE)</f>
        <v>5:00 A.M.</v>
      </c>
      <c r="H272" s="74" t="str">
        <f>HYPERLINK(VLOOKUP(Tabla3[[#This Row],[Site]],Table35[#All],9,FALSE))</f>
        <v>https://tools.sig.systems/site/details/342</v>
      </c>
      <c r="I272">
        <f>VLOOKUP(Tabla3[[#This Row],[Site]],Table35[],13,FALSE)</f>
        <v>0</v>
      </c>
      <c r="J272" t="str">
        <f>VLOOKUP(Tabla3[[#This Row],[Site]],Table35[],14,FALSE)</f>
        <v>9:00 A.M.</v>
      </c>
      <c r="L272" s="32" t="str">
        <f>VLOOKUP(Tabla3[[#This Row],[Site]],Table35[#All],2,FALSE)</f>
        <v>-</v>
      </c>
      <c r="M272" s="32" t="str">
        <f>VLOOKUP(Tabla3[[#This Row],[Site]],Table35[#All],3,FALSE)</f>
        <v>3, 24, 26, 27, 31, 36</v>
      </c>
      <c r="N272" s="32" t="str">
        <f>VLOOKUP(Tabla3[[#This Row],[Site]],Table35[#All],4,FALSE)</f>
        <v>-</v>
      </c>
      <c r="O272" s="32" t="str">
        <f>VLOOKUP(Tabla3[[#This Row],[Site]],Table35[#All],5,FALSE)</f>
        <v>-</v>
      </c>
      <c r="P272" s="32" t="str">
        <f>VLOOKUP(Tabla3[[#This Row],[Site]],Table35[#All],6,FALSE)</f>
        <v>13, 26, 29</v>
      </c>
      <c r="Q272" s="32" t="str">
        <f>VLOOKUP(Tabla3[[#This Row],[Site]],Table35[#All],8,FALSE)</f>
        <v>342</v>
      </c>
    </row>
    <row r="273" spans="1:17" hidden="1" x14ac:dyDescent="0.25">
      <c r="A273" t="str">
        <f>+Tabla3[[#This Row],[Site]]&amp;Tabla3[[#This Row],[Split]]</f>
        <v>(AS) Larry H Miller CDJR Fiat (NO TOURS)5</v>
      </c>
      <c r="B273">
        <v>5</v>
      </c>
      <c r="C273">
        <v>3</v>
      </c>
      <c r="D273" t="s">
        <v>215</v>
      </c>
      <c r="E273" t="str">
        <f>VLOOKUP(Tabla3[[#This Row],[Site]],Table35[],10,FALSE)</f>
        <v>11:00 P.M.</v>
      </c>
      <c r="F273" t="str">
        <f>VLOOKUP(Tabla3[[#This Row],[Site]],Table35[],11,FALSE)</f>
        <v>MT</v>
      </c>
      <c r="G273" t="str">
        <f>VLOOKUP(Tabla3[[#This Row],[Site]],Table35[],12,FALSE)</f>
        <v>7:00 A.M.</v>
      </c>
      <c r="H273" s="74" t="str">
        <f>HYPERLINK(VLOOKUP(Tabla3[[#This Row],[Site]],Table35[#All],9,FALSE))</f>
        <v>https://tools.sig.systems/site/details/298</v>
      </c>
      <c r="I273">
        <f>VLOOKUP(Tabla3[[#This Row],[Site]],Table35[],13,FALSE)</f>
        <v>0</v>
      </c>
      <c r="J273" t="str">
        <f>VLOOKUP(Tabla3[[#This Row],[Site]],Table35[],14,FALSE)</f>
        <v>-</v>
      </c>
      <c r="L273" s="32" t="str">
        <f>VLOOKUP(Tabla3[[#This Row],[Site]],Table35[#All],2,FALSE)</f>
        <v>7, 11</v>
      </c>
      <c r="M273" s="32" t="str">
        <f>VLOOKUP(Tabla3[[#This Row],[Site]],Table35[#All],3,FALSE)</f>
        <v>2, 3</v>
      </c>
      <c r="N273" s="32" t="str">
        <f>VLOOKUP(Tabla3[[#This Row],[Site]],Table35[#All],4,FALSE)</f>
        <v>-</v>
      </c>
      <c r="O273" s="32" t="str">
        <f>VLOOKUP(Tabla3[[#This Row],[Site]],Table35[#All],5,FALSE)</f>
        <v>-</v>
      </c>
      <c r="P273" s="32" t="str">
        <f>VLOOKUP(Tabla3[[#This Row],[Site]],Table35[#All],6,FALSE)</f>
        <v xml:space="preserve">2, 6, 10, 15, 18 </v>
      </c>
      <c r="Q273" s="32" t="str">
        <f>VLOOKUP(Tabla3[[#This Row],[Site]],Table35[#All],8,FALSE)</f>
        <v>298</v>
      </c>
    </row>
    <row r="274" spans="1:17" hidden="1" x14ac:dyDescent="0.25">
      <c r="A274" t="str">
        <f>+Tabla3[[#This Row],[Site]]&amp;Tabla3[[#This Row],[Split]]</f>
        <v>(AS) Plaza Collision ST Louis (NO TOURS)5</v>
      </c>
      <c r="B274">
        <v>5</v>
      </c>
      <c r="C274">
        <v>3</v>
      </c>
      <c r="D274" t="s">
        <v>437</v>
      </c>
      <c r="E274" t="str">
        <f>VLOOKUP(Tabla3[[#This Row],[Site]],Table35[],10,FALSE)</f>
        <v>10:00 P.M.</v>
      </c>
      <c r="F274" t="str">
        <f>VLOOKUP(Tabla3[[#This Row],[Site]],Table35[],11,FALSE)</f>
        <v>CT</v>
      </c>
      <c r="G274" t="str">
        <f>VLOOKUP(Tabla3[[#This Row],[Site]],Table35[],12,FALSE)</f>
        <v>6:00 A.M.</v>
      </c>
      <c r="H274" s="74" t="str">
        <f>HYPERLINK(VLOOKUP(Tabla3[[#This Row],[Site]],Table35[#All],9,FALSE))</f>
        <v>https://tools.sig.systems/site/details/350</v>
      </c>
      <c r="I274" t="str">
        <f>VLOOKUP(Tabla3[[#This Row],[Site]],Table35[],13,FALSE)</f>
        <v>-</v>
      </c>
      <c r="J274" t="str">
        <f>VLOOKUP(Tabla3[[#This Row],[Site]],Table35[],14,FALSE)</f>
        <v>-</v>
      </c>
      <c r="L274" s="32" t="str">
        <f>VLOOKUP(Tabla3[[#This Row],[Site]],Table35[#All],2,FALSE)</f>
        <v>2, 6</v>
      </c>
      <c r="M274" s="32">
        <f>VLOOKUP(Tabla3[[#This Row],[Site]],Table35[#All],3,FALSE)</f>
        <v>1</v>
      </c>
      <c r="N274" s="32" t="str">
        <f>VLOOKUP(Tabla3[[#This Row],[Site]],Table35[#All],4,FALSE)</f>
        <v>-</v>
      </c>
      <c r="O274" s="32" t="str">
        <f>VLOOKUP(Tabla3[[#This Row],[Site]],Table35[#All],5,FALSE)</f>
        <v>-</v>
      </c>
      <c r="P274" s="32">
        <f>VLOOKUP(Tabla3[[#This Row],[Site]],Table35[#All],6,FALSE)</f>
        <v>3</v>
      </c>
      <c r="Q274" s="32" t="str">
        <f>VLOOKUP(Tabla3[[#This Row],[Site]],Table35[#All],8,FALSE)</f>
        <v>350</v>
      </c>
    </row>
    <row r="275" spans="1:17" hidden="1" x14ac:dyDescent="0.25">
      <c r="A275" t="str">
        <f>+Tabla3[[#This Row],[Site]]&amp;Tabla3[[#This Row],[Split]]</f>
        <v>(KG) Ken Garff Volkswagen of Gilbert5</v>
      </c>
      <c r="B275">
        <v>5</v>
      </c>
      <c r="C275">
        <v>3</v>
      </c>
      <c r="D275" t="s">
        <v>129</v>
      </c>
      <c r="E275" t="str">
        <f>VLOOKUP(Tabla3[[#This Row],[Site]],Table35[],10,FALSE)</f>
        <v>12:00 A.M.</v>
      </c>
      <c r="F275" t="str">
        <f>VLOOKUP(Tabla3[[#This Row],[Site]],Table35[],11,FALSE)</f>
        <v>MST</v>
      </c>
      <c r="G275" t="str">
        <f>VLOOKUP(Tabla3[[#This Row],[Site]],Table35[],12,FALSE)</f>
        <v>8:00 A.M.</v>
      </c>
      <c r="H275" s="74" t="str">
        <f>HYPERLINK(VLOOKUP(Tabla3[[#This Row],[Site]],Table35[#All],9,FALSE))</f>
        <v>https://tools.sig.systems/site/details/284</v>
      </c>
      <c r="I275" t="str">
        <f>VLOOKUP(Tabla3[[#This Row],[Site]],Table35[],13,FALSE)</f>
        <v>https://www.google.com/maps/d/viewer?hl=es&amp;mid=19SU7XE9Cg8jhVFpEI21Vi9Zfgdih9Ds&amp;ll=33.29158262977276%2C-111.75783630000002&amp;z=17</v>
      </c>
      <c r="J275" t="str">
        <f>VLOOKUP(Tabla3[[#This Row],[Site]],Table35[],14,FALSE)</f>
        <v>12:00 P.M.</v>
      </c>
      <c r="L275" s="32" t="str">
        <f>VLOOKUP(Tabla3[[#This Row],[Site]],Table35[#All],2,FALSE)</f>
        <v>4, 6</v>
      </c>
      <c r="M275" s="32" t="str">
        <f>VLOOKUP(Tabla3[[#This Row],[Site]],Table35[#All],3,FALSE)</f>
        <v>-</v>
      </c>
      <c r="N275" s="32" t="str">
        <f>VLOOKUP(Tabla3[[#This Row],[Site]],Table35[#All],4,FALSE)</f>
        <v>-</v>
      </c>
      <c r="O275" s="32" t="str">
        <f>VLOOKUP(Tabla3[[#This Row],[Site]],Table35[#All],5,FALSE)</f>
        <v>2, 14</v>
      </c>
      <c r="P275" s="32" t="str">
        <f>VLOOKUP(Tabla3[[#This Row],[Site]],Table35[#All],6,FALSE)</f>
        <v>1, 5, 8, 9, 17, 19, 21</v>
      </c>
      <c r="Q275" s="32" t="str">
        <f>VLOOKUP(Tabla3[[#This Row],[Site]],Table35[#All],8,FALSE)</f>
        <v>284</v>
      </c>
    </row>
    <row r="276" spans="1:17" hidden="1" x14ac:dyDescent="0.25">
      <c r="A276" t="str">
        <f>+Tabla3[[#This Row],[Site]]&amp;Tabla3[[#This Row],[Split]]</f>
        <v>(LT) Luther Hopkins Honda (NO TOURS)5</v>
      </c>
      <c r="B276">
        <v>5</v>
      </c>
      <c r="C276">
        <v>3</v>
      </c>
      <c r="D276" t="s">
        <v>303</v>
      </c>
      <c r="E276" t="str">
        <f>VLOOKUP(Tabla3[[#This Row],[Site]],Table35[],10,FALSE)</f>
        <v>10:00 P.M.</v>
      </c>
      <c r="F276" t="str">
        <f>VLOOKUP(Tabla3[[#This Row],[Site]],Table35[],11,FALSE)</f>
        <v>CT</v>
      </c>
      <c r="G276" t="str">
        <f>VLOOKUP(Tabla3[[#This Row],[Site]],Table35[],12,FALSE)</f>
        <v>6:00 A.M.</v>
      </c>
      <c r="H276" s="74" t="str">
        <f>HYPERLINK(VLOOKUP(Tabla3[[#This Row],[Site]],Table35[#All],9,FALSE))</f>
        <v>https://tools.sig.systems/site/details/288</v>
      </c>
      <c r="I276">
        <f>VLOOKUP(Tabla3[[#This Row],[Site]],Table35[],13,FALSE)</f>
        <v>0</v>
      </c>
      <c r="J276" t="str">
        <f>VLOOKUP(Tabla3[[#This Row],[Site]],Table35[],14,FALSE)</f>
        <v>-</v>
      </c>
      <c r="L276" s="32" t="str">
        <f>VLOOKUP(Tabla3[[#This Row],[Site]],Table35[#All],2,FALSE)</f>
        <v>-</v>
      </c>
      <c r="M276" s="32" t="str">
        <f>VLOOKUP(Tabla3[[#This Row],[Site]],Table35[#All],3,FALSE)</f>
        <v>9, 36</v>
      </c>
      <c r="N276" s="32" t="str">
        <f>VLOOKUP(Tabla3[[#This Row],[Site]],Table35[#All],4,FALSE)</f>
        <v>38, 39</v>
      </c>
      <c r="O276" s="32" t="str">
        <f>VLOOKUP(Tabla3[[#This Row],[Site]],Table35[#All],5,FALSE)</f>
        <v>3, 26</v>
      </c>
      <c r="P276" s="32" t="str">
        <f>VLOOKUP(Tabla3[[#This Row],[Site]],Table35[#All],6,FALSE)</f>
        <v>1, 4, 11, 18, 23, 25, 31</v>
      </c>
      <c r="Q276" s="32" t="str">
        <f>VLOOKUP(Tabla3[[#This Row],[Site]],Table35[#All],8,FALSE)</f>
        <v>288</v>
      </c>
    </row>
    <row r="277" spans="1:17" hidden="1" x14ac:dyDescent="0.25">
      <c r="A277" t="str">
        <f>+Tabla3[[#This Row],[Site]]&amp;Tabla3[[#This Row],[Split]]</f>
        <v>(PE) MB of Greenwich5</v>
      </c>
      <c r="B277">
        <v>5</v>
      </c>
      <c r="C277">
        <v>3</v>
      </c>
      <c r="D277" t="s">
        <v>120</v>
      </c>
      <c r="E277" t="str">
        <f>VLOOKUP(Tabla3[[#This Row],[Site]],Table35[],10,FALSE)</f>
        <v>8:00 P.M.</v>
      </c>
      <c r="F277" t="str">
        <f>VLOOKUP(Tabla3[[#This Row],[Site]],Table35[],11,FALSE)</f>
        <v>ET</v>
      </c>
      <c r="G277" t="str">
        <f>VLOOKUP(Tabla3[[#This Row],[Site]],Table35[],12,FALSE)</f>
        <v>5:00 A.M.</v>
      </c>
      <c r="H277" s="74" t="str">
        <f>HYPERLINK(VLOOKUP(Tabla3[[#This Row],[Site]],Table35[#All],9,FALSE))</f>
        <v>https://tools.sig.systems/site/details/188</v>
      </c>
      <c r="I277" t="str">
        <f>VLOOKUP(Tabla3[[#This Row],[Site]],Table35[],13,FALSE)</f>
        <v>https://www.google.com/maps/d/edit?hl=en&amp;mid=1UHmt7tH1ihTa85i0MfQIcTfVvIQg_vM&amp;ll=41.02423447529239%2C-73.63721502222738&amp;z=18</v>
      </c>
      <c r="J277" t="str">
        <f>VLOOKUP(Tabla3[[#This Row],[Site]],Table35[],14,FALSE)</f>
        <v>-</v>
      </c>
      <c r="L277" s="32" t="str">
        <f>VLOOKUP(Tabla3[[#This Row],[Site]],Table35[#All],2,FALSE)</f>
        <v>1, 2, 8</v>
      </c>
      <c r="M277" s="32" t="str">
        <f>VLOOKUP(Tabla3[[#This Row],[Site]],Table35[#All],3,FALSE)</f>
        <v>13, 14, 20, 26, 40</v>
      </c>
      <c r="N277" s="32" t="str">
        <f>VLOOKUP(Tabla3[[#This Row],[Site]],Table35[#All],4,FALSE)</f>
        <v>-</v>
      </c>
      <c r="O277" s="32" t="str">
        <f>VLOOKUP(Tabla3[[#This Row],[Site]],Table35[#All],5,FALSE)</f>
        <v>-</v>
      </c>
      <c r="P277" s="32">
        <f>VLOOKUP(Tabla3[[#This Row],[Site]],Table35[#All],6,FALSE)</f>
        <v>29</v>
      </c>
      <c r="Q277" s="32" t="str">
        <f>VLOOKUP(Tabla3[[#This Row],[Site]],Table35[#All],8,FALSE)</f>
        <v>188</v>
      </c>
    </row>
    <row r="278" spans="1:17" hidden="1" x14ac:dyDescent="0.25">
      <c r="A278" t="str">
        <f>+Tabla3[[#This Row],[Site]]&amp;Tabla3[[#This Row],[Split]]</f>
        <v>Mario Residence5</v>
      </c>
      <c r="B278">
        <v>5</v>
      </c>
      <c r="C278">
        <v>3</v>
      </c>
      <c r="D278" t="s">
        <v>100</v>
      </c>
      <c r="E278" t="str">
        <f>VLOOKUP(Tabla3[[#This Row],[Site]],Table35[],10,FALSE)</f>
        <v>24H</v>
      </c>
      <c r="F278" t="str">
        <f>VLOOKUP(Tabla3[[#This Row],[Site]],Table35[],11,FALSE)</f>
        <v>ET</v>
      </c>
      <c r="G278" t="str">
        <f>VLOOKUP(Tabla3[[#This Row],[Site]],Table35[],12,FALSE)</f>
        <v>-</v>
      </c>
      <c r="H278" s="74" t="str">
        <f>HYPERLINK(VLOOKUP(Tabla3[[#This Row],[Site]],Table35[#All],9,FALSE))</f>
        <v>https://tools.sig.systems/site/details/148</v>
      </c>
      <c r="I278" t="str">
        <f>VLOOKUP(Tabla3[[#This Row],[Site]],Table35[],13,FALSE)</f>
        <v>https://www.google.com/maps/d/edit?hl=es&amp;mid=13OmECPqyeB7fXgZmEoM9cnG34HU_v5g&amp;ll=26.046837034777553%2C-80.38753458591658&amp;z=19</v>
      </c>
      <c r="J278" t="str">
        <f>VLOOKUP(Tabla3[[#This Row],[Site]],Table35[],14,FALSE)</f>
        <v>-</v>
      </c>
      <c r="L278" s="32" t="str">
        <f>VLOOKUP(Tabla3[[#This Row],[Site]],Table35[#All],2,FALSE)</f>
        <v>7, 8</v>
      </c>
      <c r="M278" s="32" t="str">
        <f>VLOOKUP(Tabla3[[#This Row],[Site]],Table35[#All],3,FALSE)</f>
        <v>7, 8</v>
      </c>
      <c r="N278" s="32" t="str">
        <f>VLOOKUP(Tabla3[[#This Row],[Site]],Table35[#All],4,FALSE)</f>
        <v>-</v>
      </c>
      <c r="O278" s="32" t="str">
        <f>VLOOKUP(Tabla3[[#This Row],[Site]],Table35[#All],5,FALSE)</f>
        <v>-</v>
      </c>
      <c r="P278" s="32" t="str">
        <f>VLOOKUP(Tabla3[[#This Row],[Site]],Table35[#All],6,FALSE)</f>
        <v>4,12,13</v>
      </c>
      <c r="Q278" s="32">
        <v>199</v>
      </c>
    </row>
    <row r="279" spans="1:17" hidden="1" x14ac:dyDescent="0.25">
      <c r="A279" t="str">
        <f>+Tabla3[[#This Row],[Site]]&amp;Tabla3[[#This Row],[Split]]</f>
        <v>(AS) Coggin Honda of Orlando (NO TOURS)5</v>
      </c>
      <c r="B279">
        <v>5</v>
      </c>
      <c r="C279">
        <v>4</v>
      </c>
      <c r="D279" t="s">
        <v>375</v>
      </c>
      <c r="E279" t="str">
        <f>VLOOKUP(Tabla3[[#This Row],[Site]],Table35[],10,FALSE)</f>
        <v>9:00 P.M.</v>
      </c>
      <c r="F279" t="str">
        <f>VLOOKUP(Tabla3[[#This Row],[Site]],Table35[],11,FALSE)</f>
        <v>ET</v>
      </c>
      <c r="G279" t="str">
        <f>VLOOKUP(Tabla3[[#This Row],[Site]],Table35[],12,FALSE)</f>
        <v>5:00 A.M.</v>
      </c>
      <c r="H279" s="74" t="str">
        <f>HYPERLINK(VLOOKUP(Tabla3[[#This Row],[Site]],Table35[#All],9,FALSE))</f>
        <v>https://tools.sig.systems/site/details/324</v>
      </c>
      <c r="I279">
        <f>VLOOKUP(Tabla3[[#This Row],[Site]],Table35[],13,FALSE)</f>
        <v>0</v>
      </c>
      <c r="J279" t="str">
        <f>VLOOKUP(Tabla3[[#This Row],[Site]],Table35[],14,FALSE)</f>
        <v>11:00 A.M.</v>
      </c>
      <c r="L279" s="32" t="str">
        <f>VLOOKUP(Tabla3[[#This Row],[Site]],Table35[#All],2,FALSE)</f>
        <v>2, 10, 12B, 14, 38</v>
      </c>
      <c r="M279" s="32" t="str">
        <f>VLOOKUP(Tabla3[[#This Row],[Site]],Table35[#All],3,FALSE)</f>
        <v>-</v>
      </c>
      <c r="N279" s="32" t="str">
        <f>VLOOKUP(Tabla3[[#This Row],[Site]],Table35[#All],4,FALSE)</f>
        <v>-</v>
      </c>
      <c r="O279" s="32" t="str">
        <f>VLOOKUP(Tabla3[[#This Row],[Site]],Table35[#All],5,FALSE)</f>
        <v>12, 31</v>
      </c>
      <c r="P279" s="32" t="str">
        <f>VLOOKUP(Tabla3[[#This Row],[Site]],Table35[#All],6,FALSE)</f>
        <v>12B, 26, 37, 19</v>
      </c>
      <c r="Q279" s="32" t="str">
        <f>VLOOKUP(Tabla3[[#This Row],[Site]],Table35[#All],8,FALSE)</f>
        <v>324</v>
      </c>
    </row>
    <row r="280" spans="1:17" hidden="1" x14ac:dyDescent="0.25">
      <c r="A280" t="str">
        <f>+Tabla3[[#This Row],[Site]]&amp;Tabla3[[#This Row],[Split]]</f>
        <v>(AS) Kahlo CDJR (NO TOURS)5</v>
      </c>
      <c r="B280">
        <v>5</v>
      </c>
      <c r="C280">
        <v>4</v>
      </c>
      <c r="D280" t="s">
        <v>378</v>
      </c>
      <c r="E280" t="str">
        <f>VLOOKUP(Tabla3[[#This Row],[Site]],Table35[],10,FALSE)</f>
        <v>9:00 P.M.</v>
      </c>
      <c r="F280" t="str">
        <f>VLOOKUP(Tabla3[[#This Row],[Site]],Table35[],11,FALSE)</f>
        <v>ET</v>
      </c>
      <c r="G280" t="str">
        <f>VLOOKUP(Tabla3[[#This Row],[Site]],Table35[],12,FALSE)</f>
        <v>5:00 A.M.</v>
      </c>
      <c r="H280" s="74" t="str">
        <f>HYPERLINK(VLOOKUP(Tabla3[[#This Row],[Site]],Table35[#All],9,FALSE))</f>
        <v>https://tools.sig.systems/site/details/282</v>
      </c>
      <c r="I280" t="str">
        <f>VLOOKUP(Tabla3[[#This Row],[Site]],Table35[],13,FALSE)</f>
        <v>https://www.google.com/maps/d/edit?mid=1hsX5GGrNcCQgAuzDCDz1OWgEkhsAc78&amp;usp=sharing</v>
      </c>
      <c r="J280" t="str">
        <f>VLOOKUP(Tabla3[[#This Row],[Site]],Table35[],14,FALSE)</f>
        <v>-</v>
      </c>
      <c r="L280" s="32" t="str">
        <f>VLOOKUP(Tabla3[[#This Row],[Site]],Table35[#All],2,FALSE)</f>
        <v>-</v>
      </c>
      <c r="M280" s="32" t="str">
        <f>VLOOKUP(Tabla3[[#This Row],[Site]],Table35[#All],3,FALSE)</f>
        <v>12, 25</v>
      </c>
      <c r="N280" s="32" t="str">
        <f>VLOOKUP(Tabla3[[#This Row],[Site]],Table35[#All],4,FALSE)</f>
        <v>15, 16</v>
      </c>
      <c r="O280" s="32">
        <f>VLOOKUP(Tabla3[[#This Row],[Site]],Table35[#All],5,FALSE)</f>
        <v>20</v>
      </c>
      <c r="P280" s="32" t="str">
        <f>VLOOKUP(Tabla3[[#This Row],[Site]],Table35[#All],6,FALSE)</f>
        <v>1, 2, 9, 22, 31, 57</v>
      </c>
      <c r="Q280" s="32" t="str">
        <f>VLOOKUP(Tabla3[[#This Row],[Site]],Table35[#All],8,FALSE)</f>
        <v>282</v>
      </c>
    </row>
    <row r="281" spans="1:17" hidden="1" x14ac:dyDescent="0.25">
      <c r="A281" t="str">
        <f>+Tabla3[[#This Row],[Site]]&amp;Tabla3[[#This Row],[Split]]</f>
        <v>(AS) Koons Baltimore Ford - Main Dealership (NO TOURS)5</v>
      </c>
      <c r="B281">
        <v>5</v>
      </c>
      <c r="C281">
        <v>4</v>
      </c>
      <c r="D281" t="s">
        <v>351</v>
      </c>
      <c r="E281" t="str">
        <f>VLOOKUP(Tabla3[[#This Row],[Site]],Table35[],10,FALSE)</f>
        <v>9:00 P.M.</v>
      </c>
      <c r="F281" t="str">
        <f>VLOOKUP(Tabla3[[#This Row],[Site]],Table35[],11,FALSE)</f>
        <v>ET</v>
      </c>
      <c r="G281" t="str">
        <f>VLOOKUP(Tabla3[[#This Row],[Site]],Table35[],12,FALSE)</f>
        <v>5:00 A.M.</v>
      </c>
      <c r="H281" s="74" t="str">
        <f>HYPERLINK(VLOOKUP(Tabla3[[#This Row],[Site]],Table35[#All],9,FALSE))</f>
        <v>https://tools.sig.systems/site/details/335</v>
      </c>
      <c r="I281" t="str">
        <f>VLOOKUP(Tabla3[[#This Row],[Site]],Table35[],13,FALSE)</f>
        <v>-</v>
      </c>
      <c r="J281" t="str">
        <f>VLOOKUP(Tabla3[[#This Row],[Site]],Table35[],14,FALSE)</f>
        <v>-</v>
      </c>
      <c r="L281" s="32" t="str">
        <f>VLOOKUP(Tabla3[[#This Row],[Site]],Table35[#All],2,FALSE)</f>
        <v>21, 22, 24, 32, 45</v>
      </c>
      <c r="M281" s="32">
        <f>VLOOKUP(Tabla3[[#This Row],[Site]],Table35[#All],3,FALSE)</f>
        <v>1</v>
      </c>
      <c r="N281" s="32" t="str">
        <f>VLOOKUP(Tabla3[[#This Row],[Site]],Table35[#All],4,FALSE)</f>
        <v>-</v>
      </c>
      <c r="O281" s="32" t="str">
        <f>VLOOKUP(Tabla3[[#This Row],[Site]],Table35[#All],5,FALSE)</f>
        <v>1, 8</v>
      </c>
      <c r="P281" s="32" t="str">
        <f>VLOOKUP(Tabla3[[#This Row],[Site]],Table35[#All],6,FALSE)</f>
        <v>5, 28, 38</v>
      </c>
      <c r="Q281" s="32">
        <v>335</v>
      </c>
    </row>
    <row r="282" spans="1:17" hidden="1" x14ac:dyDescent="0.25">
      <c r="A282" t="str">
        <f>+Tabla3[[#This Row],[Site]]&amp;Tabla3[[#This Row],[Split]]</f>
        <v>(AS) Koons Easton Toyota - Main Dealership (NO TOURS)5</v>
      </c>
      <c r="B282">
        <v>5</v>
      </c>
      <c r="C282">
        <v>4</v>
      </c>
      <c r="D282" t="s">
        <v>426</v>
      </c>
      <c r="E282" t="str">
        <f>VLOOKUP(Tabla3[[#This Row],[Site]],Table35[],10,FALSE)</f>
        <v>9:00 P.M.</v>
      </c>
      <c r="F282" t="str">
        <f>VLOOKUP(Tabla3[[#This Row],[Site]],Table35[],11,FALSE)</f>
        <v>ET</v>
      </c>
      <c r="G282" t="str">
        <f>VLOOKUP(Tabla3[[#This Row],[Site]],Table35[],12,FALSE)</f>
        <v>5:00 A.M.</v>
      </c>
      <c r="H282" s="74" t="str">
        <f>HYPERLINK(VLOOKUP(Tabla3[[#This Row],[Site]],Table35[#All],9,FALSE))</f>
        <v>https://tools.sig.systems/site/details/340</v>
      </c>
      <c r="I282" t="str">
        <f>VLOOKUP(Tabla3[[#This Row],[Site]],Table35[],13,FALSE)</f>
        <v>-</v>
      </c>
      <c r="J282" t="str">
        <f>VLOOKUP(Tabla3[[#This Row],[Site]],Table35[],14,FALSE)</f>
        <v>-</v>
      </c>
      <c r="L282" s="32" t="str">
        <f>VLOOKUP(Tabla3[[#This Row],[Site]],Table35[#All],2,FALSE)</f>
        <v>-</v>
      </c>
      <c r="M282" s="32" t="str">
        <f>VLOOKUP(Tabla3[[#This Row],[Site]],Table35[#All],3,FALSE)</f>
        <v>4, 5</v>
      </c>
      <c r="N282" s="32" t="str">
        <f>VLOOKUP(Tabla3[[#This Row],[Site]],Table35[#All],4,FALSE)</f>
        <v>-</v>
      </c>
      <c r="O282" s="32" t="str">
        <f>VLOOKUP(Tabla3[[#This Row],[Site]],Table35[#All],5,FALSE)</f>
        <v>-</v>
      </c>
      <c r="P282" s="32" t="str">
        <f>VLOOKUP(Tabla3[[#This Row],[Site]],Table35[#All],6,FALSE)</f>
        <v>8, 15</v>
      </c>
      <c r="Q282" s="32" t="str">
        <f>VLOOKUP(Tabla3[[#This Row],[Site]],Table35[#All],8,FALSE)</f>
        <v>340</v>
      </c>
    </row>
    <row r="283" spans="1:17" hidden="1" x14ac:dyDescent="0.25">
      <c r="A283" t="str">
        <f>+Tabla3[[#This Row],[Site]]&amp;Tabla3[[#This Row],[Split]]</f>
        <v>(AS) Koons Woodbridge Hyundai (NO TOURS)5</v>
      </c>
      <c r="B283">
        <v>5</v>
      </c>
      <c r="C283">
        <v>4</v>
      </c>
      <c r="D283" t="s">
        <v>406</v>
      </c>
      <c r="E283" t="str">
        <f>VLOOKUP(Tabla3[[#This Row],[Site]],Table35[],10,FALSE)</f>
        <v>9:00 P.M.</v>
      </c>
      <c r="F283" t="str">
        <f>VLOOKUP(Tabla3[[#This Row],[Site]],Table35[],11,FALSE)</f>
        <v>ET</v>
      </c>
      <c r="G283" t="str">
        <f>VLOOKUP(Tabla3[[#This Row],[Site]],Table35[],12,FALSE)</f>
        <v>5:00 A.M.</v>
      </c>
      <c r="H283" s="74" t="str">
        <f>HYPERLINK(VLOOKUP(Tabla3[[#This Row],[Site]],Table35[#All],9,FALSE))</f>
        <v>https://tools.sig.systems/site/details/347</v>
      </c>
      <c r="I283" t="str">
        <f>VLOOKUP(Tabla3[[#This Row],[Site]],Table35[],13,FALSE)</f>
        <v>-</v>
      </c>
      <c r="J283" t="str">
        <f>VLOOKUP(Tabla3[[#This Row],[Site]],Table35[],14,FALSE)</f>
        <v>8:00 A.M.</v>
      </c>
      <c r="L283" s="32" t="str">
        <f>VLOOKUP(Tabla3[[#This Row],[Site]],Table35[#All],2,FALSE)</f>
        <v>-</v>
      </c>
      <c r="M283" s="32" t="str">
        <f>VLOOKUP(Tabla3[[#This Row],[Site]],Table35[#All],3,FALSE)</f>
        <v>1, 17</v>
      </c>
      <c r="N283" s="32" t="str">
        <f>VLOOKUP(Tabla3[[#This Row],[Site]],Table35[#All],4,FALSE)</f>
        <v>-</v>
      </c>
      <c r="O283" s="32" t="str">
        <f>VLOOKUP(Tabla3[[#This Row],[Site]],Table35[#All],5,FALSE)</f>
        <v>-</v>
      </c>
      <c r="P283" s="32" t="str">
        <f>VLOOKUP(Tabla3[[#This Row],[Site]],Table35[#All],6,FALSE)</f>
        <v>4, 14, 22</v>
      </c>
      <c r="Q283" s="32" t="str">
        <f>VLOOKUP(Tabla3[[#This Row],[Site]],Table35[#All],8,FALSE)</f>
        <v>347</v>
      </c>
    </row>
    <row r="284" spans="1:17" hidden="1" x14ac:dyDescent="0.25">
      <c r="A284" t="str">
        <f>+Tabla3[[#This Row],[Site]]&amp;Tabla3[[#This Row],[Split]]</f>
        <v>(AS) Koons Woodbridge Kia (NO TOURS)5</v>
      </c>
      <c r="B284">
        <v>5</v>
      </c>
      <c r="C284">
        <v>4</v>
      </c>
      <c r="D284" t="s">
        <v>407</v>
      </c>
      <c r="E284" t="str">
        <f>VLOOKUP(Tabla3[[#This Row],[Site]],Table35[],10,FALSE)</f>
        <v>9:00 P.M.</v>
      </c>
      <c r="F284" t="str">
        <f>VLOOKUP(Tabla3[[#This Row],[Site]],Table35[],11,FALSE)</f>
        <v>ET</v>
      </c>
      <c r="G284" t="str">
        <f>VLOOKUP(Tabla3[[#This Row],[Site]],Table35[],12,FALSE)</f>
        <v>5:00 A.M.</v>
      </c>
      <c r="H284" s="74" t="str">
        <f>HYPERLINK(VLOOKUP(Tabla3[[#This Row],[Site]],Table35[#All],9,FALSE))</f>
        <v>https://tools.sig.systems/site/details/346</v>
      </c>
      <c r="I284" t="str">
        <f>VLOOKUP(Tabla3[[#This Row],[Site]],Table35[],13,FALSE)</f>
        <v>-</v>
      </c>
      <c r="J284" t="str">
        <f>VLOOKUP(Tabla3[[#This Row],[Site]],Table35[],14,FALSE)</f>
        <v>10:00 A.M.</v>
      </c>
      <c r="L284" s="32" t="str">
        <f>VLOOKUP(Tabla3[[#This Row],[Site]],Table35[#All],2,FALSE)</f>
        <v>-</v>
      </c>
      <c r="M284" s="32">
        <f>VLOOKUP(Tabla3[[#This Row],[Site]],Table35[#All],3,FALSE)</f>
        <v>2</v>
      </c>
      <c r="N284" s="32" t="str">
        <f>VLOOKUP(Tabla3[[#This Row],[Site]],Table35[#All],4,FALSE)</f>
        <v>-</v>
      </c>
      <c r="O284" s="32" t="str">
        <f>VLOOKUP(Tabla3[[#This Row],[Site]],Table35[#All],5,FALSE)</f>
        <v>-</v>
      </c>
      <c r="P284" s="32">
        <f>VLOOKUP(Tabla3[[#This Row],[Site]],Table35[#All],6,FALSE)</f>
        <v>5</v>
      </c>
      <c r="Q284" s="32" t="str">
        <f>VLOOKUP(Tabla3[[#This Row],[Site]],Table35[#All],8,FALSE)</f>
        <v>346</v>
      </c>
    </row>
    <row r="285" spans="1:17" hidden="1" x14ac:dyDescent="0.25">
      <c r="A285" t="str">
        <f>+Tabla3[[#This Row],[Site]]&amp;Tabla3[[#This Row],[Split]]</f>
        <v>(DT) Modesto5</v>
      </c>
      <c r="B285">
        <v>5</v>
      </c>
      <c r="C285">
        <v>4</v>
      </c>
      <c r="D285" t="s">
        <v>14</v>
      </c>
      <c r="E285" t="str">
        <f>VLOOKUP(Tabla3[[#This Row],[Site]],Table35[],10,FALSE)</f>
        <v>12:00 A.M.</v>
      </c>
      <c r="F285" t="str">
        <f>VLOOKUP(Tabla3[[#This Row],[Site]],Table35[],11,FALSE)</f>
        <v>PT</v>
      </c>
      <c r="G285" t="str">
        <f>VLOOKUP(Tabla3[[#This Row],[Site]],Table35[],12,FALSE)</f>
        <v>8:00 A.M.</v>
      </c>
      <c r="H285" s="74" t="str">
        <f>HYPERLINK(VLOOKUP(Tabla3[[#This Row],[Site]],Table35[#All],9,FALSE))</f>
        <v>https://tools.sig.systems/site/details/267</v>
      </c>
      <c r="I285">
        <f>VLOOKUP(Tabla3[[#This Row],[Site]],Table35[],13,FALSE)</f>
        <v>0</v>
      </c>
      <c r="J285" t="str">
        <f>VLOOKUP(Tabla3[[#This Row],[Site]],Table35[],14,FALSE)</f>
        <v>-</v>
      </c>
      <c r="L285" s="32">
        <f>VLOOKUP(Tabla3[[#This Row],[Site]],Table35[#All],2,FALSE)</f>
        <v>10</v>
      </c>
      <c r="M285" s="32" t="str">
        <f>VLOOKUP(Tabla3[[#This Row],[Site]],Table35[#All],3,FALSE)</f>
        <v>5, 6</v>
      </c>
      <c r="N285" s="32" t="str">
        <f>VLOOKUP(Tabla3[[#This Row],[Site]],Table35[#All],4,FALSE)</f>
        <v>-</v>
      </c>
      <c r="O285" s="32" t="str">
        <f>VLOOKUP(Tabla3[[#This Row],[Site]],Table35[#All],5,FALSE)</f>
        <v>-</v>
      </c>
      <c r="P285" s="32" t="str">
        <f>VLOOKUP(Tabla3[[#This Row],[Site]],Table35[#All],6,FALSE)</f>
        <v>2, 3, 5, 10</v>
      </c>
      <c r="Q285" s="32" t="str">
        <f>VLOOKUP(Tabla3[[#This Row],[Site]],Table35[#All],8,FALSE)</f>
        <v>267</v>
      </c>
    </row>
    <row r="286" spans="1:17" hidden="1" x14ac:dyDescent="0.25">
      <c r="A286" t="str">
        <f>+Tabla3[[#This Row],[Site]]&amp;Tabla3[[#This Row],[Split]]</f>
        <v>(LT) Landers Kia of Little Rock5</v>
      </c>
      <c r="B286">
        <v>5</v>
      </c>
      <c r="C286">
        <v>4</v>
      </c>
      <c r="D286" t="s">
        <v>247</v>
      </c>
      <c r="E286" t="str">
        <f>VLOOKUP(Tabla3[[#This Row],[Site]],Table35[],10,FALSE)</f>
        <v>10:00 P.M.</v>
      </c>
      <c r="F286" t="str">
        <f>VLOOKUP(Tabla3[[#This Row],[Site]],Table35[],11,FALSE)</f>
        <v>CT</v>
      </c>
      <c r="G286" t="str">
        <f>VLOOKUP(Tabla3[[#This Row],[Site]],Table35[],12,FALSE)</f>
        <v>6:00 A.M.</v>
      </c>
      <c r="H286" s="74" t="str">
        <f>HYPERLINK(VLOOKUP(Tabla3[[#This Row],[Site]],Table35[#All],9,FALSE))</f>
        <v>https://tools.sig.systems/site/details/322</v>
      </c>
      <c r="I286" t="str">
        <f>VLOOKUP(Tabla3[[#This Row],[Site]],Table35[],13,FALSE)</f>
        <v>https://www.google.com/maps/d/u/1/edit?mid=1-zEzsc6U6nZom08edp0XAd3_HYFvAyk&amp;usp=sharing</v>
      </c>
      <c r="J286" t="str">
        <f>VLOOKUP(Tabla3[[#This Row],[Site]],Table35[],14,FALSE)</f>
        <v>-</v>
      </c>
      <c r="L286" s="32" t="str">
        <f>VLOOKUP(Tabla3[[#This Row],[Site]],Table35[#All],2,FALSE)</f>
        <v>5, 9, 33, 19</v>
      </c>
      <c r="M286" s="32" t="str">
        <f>VLOOKUP(Tabla3[[#This Row],[Site]],Table35[#All],3,FALSE)</f>
        <v>-</v>
      </c>
      <c r="N286" s="32" t="str">
        <f>VLOOKUP(Tabla3[[#This Row],[Site]],Table35[#All],4,FALSE)</f>
        <v>4, 10</v>
      </c>
      <c r="O286" s="32" t="str">
        <f>VLOOKUP(Tabla3[[#This Row],[Site]],Table35[#All],5,FALSE)</f>
        <v>1, 35</v>
      </c>
      <c r="P286" s="32" t="str">
        <f>VLOOKUP(Tabla3[[#This Row],[Site]],Table35[#All],6,FALSE)</f>
        <v>5, 9, 12, 14, 18, 26, 29</v>
      </c>
      <c r="Q286" s="32" t="str">
        <f>VLOOKUP(Tabla3[[#This Row],[Site]],Table35[#All],8,FALSE)</f>
        <v>322</v>
      </c>
    </row>
    <row r="287" spans="1:17" hidden="1" x14ac:dyDescent="0.25">
      <c r="A287" t="str">
        <f>+Tabla3[[#This Row],[Site]]&amp;Tabla3[[#This Row],[Split]]</f>
        <v>(LT) Luther Bloomington Subaru - Acura5</v>
      </c>
      <c r="B287">
        <v>5</v>
      </c>
      <c r="C287">
        <v>4</v>
      </c>
      <c r="D287" t="s">
        <v>123</v>
      </c>
      <c r="E287" t="str">
        <f>VLOOKUP(Tabla3[[#This Row],[Site]],Table35[],10,FALSE)</f>
        <v>9:30 P.M.</v>
      </c>
      <c r="F287" t="str">
        <f>VLOOKUP(Tabla3[[#This Row],[Site]],Table35[],11,FALSE)</f>
        <v>CT</v>
      </c>
      <c r="G287" t="str">
        <f>VLOOKUP(Tabla3[[#This Row],[Site]],Table35[],12,FALSE)</f>
        <v>4:00 A.M.</v>
      </c>
      <c r="H287" s="74" t="str">
        <f>HYPERLINK(VLOOKUP(Tabla3[[#This Row],[Site]],Table35[#All],9,FALSE))</f>
        <v>https://tools.sig.systems/site/details/289</v>
      </c>
      <c r="I287">
        <f>VLOOKUP(Tabla3[[#This Row],[Site]],Table35[],13,FALSE)</f>
        <v>0</v>
      </c>
      <c r="J287" t="str">
        <f>VLOOKUP(Tabla3[[#This Row],[Site]],Table35[],14,FALSE)</f>
        <v>-</v>
      </c>
      <c r="L287" s="32">
        <f>VLOOKUP(Tabla3[[#This Row],[Site]],Table35[#All],2,FALSE)</f>
        <v>29</v>
      </c>
      <c r="M287" s="32" t="str">
        <f>VLOOKUP(Tabla3[[#This Row],[Site]],Table35[#All],3,FALSE)</f>
        <v>5, 8, 33</v>
      </c>
      <c r="N287" s="32" t="str">
        <f>VLOOKUP(Tabla3[[#This Row],[Site]],Table35[#All],4,FALSE)</f>
        <v>4, 7, 35</v>
      </c>
      <c r="O287" s="32" t="str">
        <f>VLOOKUP(Tabla3[[#This Row],[Site]],Table35[#All],5,FALSE)</f>
        <v>-</v>
      </c>
      <c r="P287" s="32" t="str">
        <f>VLOOKUP(Tabla3[[#This Row],[Site]],Table35[#All],6,FALSE)</f>
        <v xml:space="preserve">1, 2, 14, 24, 34  </v>
      </c>
      <c r="Q287" s="32" t="str">
        <f>VLOOKUP(Tabla3[[#This Row],[Site]],Table35[#All],8,FALSE)</f>
        <v>289</v>
      </c>
    </row>
    <row r="288" spans="1:17" hidden="1" x14ac:dyDescent="0.25">
      <c r="A288" t="str">
        <f>+Tabla3[[#This Row],[Site]]&amp;Tabla3[[#This Row],[Split]]</f>
        <v>(LT) Luther North Country Ford5</v>
      </c>
      <c r="B288">
        <v>5</v>
      </c>
      <c r="C288">
        <v>4</v>
      </c>
      <c r="D288" t="s">
        <v>126</v>
      </c>
      <c r="E288" t="str">
        <f>VLOOKUP(Tabla3[[#This Row],[Site]],Table35[],10,FALSE)</f>
        <v>10:00 P.M.</v>
      </c>
      <c r="F288" t="str">
        <f>VLOOKUP(Tabla3[[#This Row],[Site]],Table35[],11,FALSE)</f>
        <v>CT</v>
      </c>
      <c r="G288" t="str">
        <f>VLOOKUP(Tabla3[[#This Row],[Site]],Table35[],12,FALSE)</f>
        <v>6:00 A.M.</v>
      </c>
      <c r="H288" s="74" t="str">
        <f>HYPERLINK(VLOOKUP(Tabla3[[#This Row],[Site]],Table35[#All],9,FALSE))</f>
        <v>https://tools.sig.systems/site/details/292</v>
      </c>
      <c r="I288">
        <f>VLOOKUP(Tabla3[[#This Row],[Site]],Table35[],13,FALSE)</f>
        <v>0</v>
      </c>
      <c r="J288" t="str">
        <f>VLOOKUP(Tabla3[[#This Row],[Site]],Table35[],14,FALSE)</f>
        <v>-</v>
      </c>
      <c r="L288" s="32" t="str">
        <f>VLOOKUP(Tabla3[[#This Row],[Site]],Table35[#All],2,FALSE)</f>
        <v>-</v>
      </c>
      <c r="M288" s="32" t="str">
        <f>VLOOKUP(Tabla3[[#This Row],[Site]],Table35[#All],3,FALSE)</f>
        <v>7, 14, 19</v>
      </c>
      <c r="N288" s="32" t="str">
        <f>VLOOKUP(Tabla3[[#This Row],[Site]],Table35[#All],4,FALSE)</f>
        <v>30, 31, 32</v>
      </c>
      <c r="O288" s="32" t="str">
        <f>VLOOKUP(Tabla3[[#This Row],[Site]],Table35[#All],5,FALSE)</f>
        <v>-</v>
      </c>
      <c r="P288" s="32" t="str">
        <f>VLOOKUP(Tabla3[[#This Row],[Site]],Table35[#All],6,FALSE)</f>
        <v>1, 4, 9, 13, 15, 16B, 25</v>
      </c>
      <c r="Q288" s="32" t="str">
        <f>VLOOKUP(Tabla3[[#This Row],[Site]],Table35[#All],8,FALSE)</f>
        <v>292</v>
      </c>
    </row>
    <row r="289" spans="1:17" hidden="1" x14ac:dyDescent="0.25">
      <c r="A289" t="str">
        <f>+Tabla3[[#This Row],[Site]]&amp;Tabla3[[#This Row],[Split]]</f>
        <v>(PE) JLR Englewood (NO TOURS)5</v>
      </c>
      <c r="B289">
        <v>5</v>
      </c>
      <c r="C289">
        <v>4</v>
      </c>
      <c r="D289" t="s">
        <v>216</v>
      </c>
      <c r="E289" t="str">
        <f>VLOOKUP(Tabla3[[#This Row],[Site]],Table35[],10,FALSE)</f>
        <v>8:00 P.M.</v>
      </c>
      <c r="F289" t="str">
        <f>VLOOKUP(Tabla3[[#This Row],[Site]],Table35[],11,FALSE)</f>
        <v>ET</v>
      </c>
      <c r="G289" t="str">
        <f>VLOOKUP(Tabla3[[#This Row],[Site]],Table35[],12,FALSE)</f>
        <v>5:00 A.M.</v>
      </c>
      <c r="H289" s="74" t="str">
        <f>HYPERLINK(VLOOKUP(Tabla3[[#This Row],[Site]],Table35[#All],9,FALSE))</f>
        <v>https://tools.sig.systems/site/details/178</v>
      </c>
      <c r="I289" t="str">
        <f>VLOOKUP(Tabla3[[#This Row],[Site]],Table35[],13,FALSE)</f>
        <v>https://www.google.com/maps/d/viewer?mid=1ubI2iKs1JyYXssuT4oLPnVvFnyLPi_s&amp;ll=40.878808846788026%2C-73.98560655&amp;z=17</v>
      </c>
      <c r="J289" t="str">
        <f>VLOOKUP(Tabla3[[#This Row],[Site]],Table35[],14,FALSE)</f>
        <v>-</v>
      </c>
      <c r="L289" s="32" t="str">
        <f>VLOOKUP(Tabla3[[#This Row],[Site]],Table35[#All],2,FALSE)</f>
        <v>1, 2</v>
      </c>
      <c r="M289" s="32" t="str">
        <f>VLOOKUP(Tabla3[[#This Row],[Site]],Table35[#All],3,FALSE)</f>
        <v>-</v>
      </c>
      <c r="N289" s="32" t="str">
        <f>VLOOKUP(Tabla3[[#This Row],[Site]],Table35[#All],4,FALSE)</f>
        <v>-</v>
      </c>
      <c r="O289" s="32" t="str">
        <f>VLOOKUP(Tabla3[[#This Row],[Site]],Table35[#All],5,FALSE)</f>
        <v>-</v>
      </c>
      <c r="P289" s="32" t="str">
        <f>VLOOKUP(Tabla3[[#This Row],[Site]],Table35[#All],6,FALSE)</f>
        <v>-</v>
      </c>
      <c r="Q289" s="32" t="str">
        <f>VLOOKUP(Tabla3[[#This Row],[Site]],Table35[#All],8,FALSE)</f>
        <v>178</v>
      </c>
    </row>
    <row r="290" spans="1:17" hidden="1" x14ac:dyDescent="0.25">
      <c r="A290" t="str">
        <f>+Tabla3[[#This Row],[Site]]&amp;Tabla3[[#This Row],[Split]]</f>
        <v>(AS) 3281 Storage Lot (NO TOURS)5</v>
      </c>
      <c r="B290">
        <v>5</v>
      </c>
      <c r="C290">
        <v>5</v>
      </c>
      <c r="D290" t="s">
        <v>374</v>
      </c>
      <c r="E290" t="str">
        <f>VLOOKUP(Tabla3[[#This Row],[Site]],Table35[],10,FALSE)</f>
        <v>10:00 P.M.</v>
      </c>
      <c r="F290" t="str">
        <f>VLOOKUP(Tabla3[[#This Row],[Site]],Table35[],11,FALSE)</f>
        <v>CT</v>
      </c>
      <c r="G290" t="str">
        <f>VLOOKUP(Tabla3[[#This Row],[Site]],Table35[],12,FALSE)</f>
        <v>6:00 A.M.</v>
      </c>
      <c r="H290" s="74" t="str">
        <f>HYPERLINK(VLOOKUP(Tabla3[[#This Row],[Site]],Table35[#All],9,FALSE))</f>
        <v>https://tools.sig.systems/site/details/305</v>
      </c>
      <c r="I290" t="str">
        <f>VLOOKUP(Tabla3[[#This Row],[Site]],Table35[],13,FALSE)</f>
        <v>https://www.google.com/maps/d/edit?hl=es&amp;mid=1uPmsRMsXnp74hPFW2t-sp2totVWF_xY&amp;ll=32.83050137713022%2C-96.83197783061323&amp;z=17</v>
      </c>
      <c r="J290" t="str">
        <f>VLOOKUP(Tabla3[[#This Row],[Site]],Table35[],14,FALSE)</f>
        <v>-</v>
      </c>
      <c r="L290" s="32" t="str">
        <f>VLOOKUP(Tabla3[[#This Row],[Site]],Table35[#All],2,FALSE)</f>
        <v>-</v>
      </c>
      <c r="M290" s="32" t="str">
        <f>VLOOKUP(Tabla3[[#This Row],[Site]],Table35[#All],3,FALSE)</f>
        <v>2, 14</v>
      </c>
      <c r="N290" s="32" t="str">
        <f>VLOOKUP(Tabla3[[#This Row],[Site]],Table35[#All],4,FALSE)</f>
        <v>-</v>
      </c>
      <c r="O290" s="32" t="str">
        <f>VLOOKUP(Tabla3[[#This Row],[Site]],Table35[#All],5,FALSE)</f>
        <v>-</v>
      </c>
      <c r="P290" s="32" t="str">
        <f>VLOOKUP(Tabla3[[#This Row],[Site]],Table35[#All],6,FALSE)</f>
        <v>1, 3, 9, 10, 14</v>
      </c>
      <c r="Q290" s="32">
        <f>VLOOKUP(Tabla3[[#This Row],[Site]],Table35[#All],8,FALSE)</f>
        <v>305</v>
      </c>
    </row>
    <row r="291" spans="1:17" hidden="1" x14ac:dyDescent="0.25">
      <c r="A291" t="str">
        <f>+Tabla3[[#This Row],[Site]]&amp;Tabla3[[#This Row],[Split]]</f>
        <v>(AS) Hare Chevrolet (NO TOURS)5</v>
      </c>
      <c r="B291">
        <v>5</v>
      </c>
      <c r="C291">
        <v>5</v>
      </c>
      <c r="D291" t="s">
        <v>376</v>
      </c>
      <c r="E291" t="str">
        <f>VLOOKUP(Tabla3[[#This Row],[Site]],Table35[],10,FALSE)</f>
        <v>9:00 P.M.</v>
      </c>
      <c r="F291" t="str">
        <f>VLOOKUP(Tabla3[[#This Row],[Site]],Table35[],11,FALSE)</f>
        <v>ET</v>
      </c>
      <c r="G291" t="str">
        <f>VLOOKUP(Tabla3[[#This Row],[Site]],Table35[],12,FALSE)</f>
        <v>5:00 A.M.</v>
      </c>
      <c r="H291" s="74" t="str">
        <f>HYPERLINK(VLOOKUP(Tabla3[[#This Row],[Site]],Table35[#All],9,FALSE))</f>
        <v>https://tools.sig.systems/site/details/301</v>
      </c>
      <c r="I291" t="str">
        <f>VLOOKUP(Tabla3[[#This Row],[Site]],Table35[],13,FALSE)</f>
        <v>https://www.google.com/maps/d/edit?mid=1hsX5GGrNcCQgAuzDCDz1OWgEkhsAc78&amp;usp=sharing</v>
      </c>
      <c r="J291" t="str">
        <f>VLOOKUP(Tabla3[[#This Row],[Site]],Table35[],14,FALSE)</f>
        <v>-</v>
      </c>
      <c r="L291" s="32" t="str">
        <f>VLOOKUP(Tabla3[[#This Row],[Site]],Table35[#All],2,FALSE)</f>
        <v>18, 24</v>
      </c>
      <c r="M291" s="32" t="str">
        <f>VLOOKUP(Tabla3[[#This Row],[Site]],Table35[#All],3,FALSE)</f>
        <v>2, 3</v>
      </c>
      <c r="N291" s="32" t="str">
        <f>VLOOKUP(Tabla3[[#This Row],[Site]],Table35[#All],4,FALSE)</f>
        <v>-</v>
      </c>
      <c r="O291" s="32">
        <f>VLOOKUP(Tabla3[[#This Row],[Site]],Table35[#All],5,FALSE)</f>
        <v>5</v>
      </c>
      <c r="P291" s="32" t="str">
        <f>VLOOKUP(Tabla3[[#This Row],[Site]],Table35[#All],6,FALSE)</f>
        <v>1, 5, 7, 8, 21, 29</v>
      </c>
      <c r="Q291" s="32" t="str">
        <f>VLOOKUP(Tabla3[[#This Row],[Site]],Table35[#All],8,FALSE)</f>
        <v>301</v>
      </c>
    </row>
    <row r="292" spans="1:17" hidden="1" x14ac:dyDescent="0.25">
      <c r="A292" t="str">
        <f>+Tabla3[[#This Row],[Site]]&amp;Tabla3[[#This Row],[Split]]</f>
        <v>(AS) Koons Arlington Toyota - New Car (NO TOURS)5</v>
      </c>
      <c r="B292">
        <v>5</v>
      </c>
      <c r="C292">
        <v>5</v>
      </c>
      <c r="D292" t="s">
        <v>380</v>
      </c>
      <c r="E292" t="str">
        <f>VLOOKUP(Tabla3[[#This Row],[Site]],Table35[],10,FALSE)</f>
        <v>9:00 P.M.</v>
      </c>
      <c r="F292" t="str">
        <f>VLOOKUP(Tabla3[[#This Row],[Site]],Table35[],11,FALSE)</f>
        <v>ET</v>
      </c>
      <c r="G292" t="str">
        <f>VLOOKUP(Tabla3[[#This Row],[Site]],Table35[],12,FALSE)</f>
        <v>5:00 A.M.</v>
      </c>
      <c r="H292" s="74" t="str">
        <f>HYPERLINK(VLOOKUP(Tabla3[[#This Row],[Site]],Table35[#All],9,FALSE))</f>
        <v>https://tools.sig.systems/site/details/334</v>
      </c>
      <c r="I292">
        <f>VLOOKUP(Tabla3[[#This Row],[Site]],Table35[],13,FALSE)</f>
        <v>0</v>
      </c>
      <c r="J292" t="str">
        <f>VLOOKUP(Tabla3[[#This Row],[Site]],Table35[],14,FALSE)</f>
        <v>10:00 A.M.</v>
      </c>
      <c r="L292" s="32" t="str">
        <f>VLOOKUP(Tabla3[[#This Row],[Site]],Table35[#All],2,FALSE)</f>
        <v>-</v>
      </c>
      <c r="M292" s="32" t="str">
        <f>VLOOKUP(Tabla3[[#This Row],[Site]],Table35[#All],3,FALSE)</f>
        <v>1, 3, 12, 15, 17</v>
      </c>
      <c r="N292" s="32" t="str">
        <f>VLOOKUP(Tabla3[[#This Row],[Site]],Table35[#All],4,FALSE)</f>
        <v>-</v>
      </c>
      <c r="O292" s="32" t="str">
        <f>VLOOKUP(Tabla3[[#This Row],[Site]],Table35[#All],5,FALSE)</f>
        <v>-</v>
      </c>
      <c r="P292" s="32" t="str">
        <f>VLOOKUP(Tabla3[[#This Row],[Site]],Table35[#All],6,FALSE)</f>
        <v>2, 6, 18, 20</v>
      </c>
      <c r="Q292" s="32" t="str">
        <f>VLOOKUP(Tabla3[[#This Row],[Site]],Table35[#All],8,FALSE)</f>
        <v>334</v>
      </c>
    </row>
    <row r="293" spans="1:17" hidden="1" x14ac:dyDescent="0.25">
      <c r="A293" t="str">
        <f>+Tabla3[[#This Row],[Site]]&amp;Tabla3[[#This Row],[Split]]</f>
        <v>(AS) Koons Chevrolet Buick GMC - Tysons Remote Lot (NO TOURS)5</v>
      </c>
      <c r="B293">
        <v>5</v>
      </c>
      <c r="C293">
        <v>5</v>
      </c>
      <c r="D293" t="s">
        <v>385</v>
      </c>
      <c r="E293" t="str">
        <f>VLOOKUP(Tabla3[[#This Row],[Site]],Table35[],10,FALSE)</f>
        <v>9:00 P.M.</v>
      </c>
      <c r="F293" t="str">
        <f>VLOOKUP(Tabla3[[#This Row],[Site]],Table35[],11,FALSE)</f>
        <v>ET</v>
      </c>
      <c r="G293" t="str">
        <f>VLOOKUP(Tabla3[[#This Row],[Site]],Table35[],12,FALSE)</f>
        <v>5:00 A.M.</v>
      </c>
      <c r="H293" s="74" t="str">
        <f>HYPERLINK(VLOOKUP(Tabla3[[#This Row],[Site]],Table35[#All],9,FALSE))</f>
        <v>https://tools.sig.systems/site/details/333</v>
      </c>
      <c r="I293" t="str">
        <f>VLOOKUP(Tabla3[[#This Row],[Site]],Table35[],13,FALSE)</f>
        <v>-</v>
      </c>
      <c r="J293" t="str">
        <f>VLOOKUP(Tabla3[[#This Row],[Site]],Table35[],14,FALSE)</f>
        <v>-</v>
      </c>
      <c r="L293" s="32" t="str">
        <f>VLOOKUP(Tabla3[[#This Row],[Site]],Table35[#All],2,FALSE)</f>
        <v>-</v>
      </c>
      <c r="M293" s="32">
        <f>VLOOKUP(Tabla3[[#This Row],[Site]],Table35[#All],3,FALSE)</f>
        <v>6</v>
      </c>
      <c r="N293" s="32" t="str">
        <f>VLOOKUP(Tabla3[[#This Row],[Site]],Table35[#All],4,FALSE)</f>
        <v>1, 2, 3</v>
      </c>
      <c r="O293" s="32" t="str">
        <f>VLOOKUP(Tabla3[[#This Row],[Site]],Table35[#All],5,FALSE)</f>
        <v>7, 10, 16, 29</v>
      </c>
      <c r="P293" s="32" t="str">
        <f>VLOOKUP(Tabla3[[#This Row],[Site]],Table35[#All],6,FALSE)</f>
        <v>14, 17, 30</v>
      </c>
      <c r="Q293" s="32" t="str">
        <f>VLOOKUP(Tabla3[[#This Row],[Site]],Table35[#All],8,FALSE)</f>
        <v>333</v>
      </c>
    </row>
    <row r="294" spans="1:17" hidden="1" x14ac:dyDescent="0.25">
      <c r="A294" t="str">
        <f>+Tabla3[[#This Row],[Site]]&amp;Tabla3[[#This Row],[Split]]</f>
        <v>(AS) Koons Volvo Cars White Marsh (NO TOURS)5</v>
      </c>
      <c r="B294">
        <v>5</v>
      </c>
      <c r="C294">
        <v>5</v>
      </c>
      <c r="D294" t="s">
        <v>382</v>
      </c>
      <c r="E294" t="str">
        <f>VLOOKUP(Tabla3[[#This Row],[Site]],Table35[],10,FALSE)</f>
        <v>9:00 P.M.</v>
      </c>
      <c r="F294" t="str">
        <f>VLOOKUP(Tabla3[[#This Row],[Site]],Table35[],11,FALSE)</f>
        <v>ET</v>
      </c>
      <c r="G294" t="str">
        <f>VLOOKUP(Tabla3[[#This Row],[Site]],Table35[],12,FALSE)</f>
        <v>5:00 A.M.</v>
      </c>
      <c r="H294" s="74" t="str">
        <f>HYPERLINK(VLOOKUP(Tabla3[[#This Row],[Site]],Table35[#All],9,FALSE))</f>
        <v>https://tools.sig.systems/site/details/338</v>
      </c>
      <c r="I294">
        <f>VLOOKUP(Tabla3[[#This Row],[Site]],Table35[],13,FALSE)</f>
        <v>0</v>
      </c>
      <c r="J294" t="str">
        <f>VLOOKUP(Tabla3[[#This Row],[Site]],Table35[],14,FALSE)</f>
        <v>-</v>
      </c>
      <c r="L294" s="32" t="str">
        <f>VLOOKUP(Tabla3[[#This Row],[Site]],Table35[#All],2,FALSE)</f>
        <v>-</v>
      </c>
      <c r="M294" s="32" t="str">
        <f>VLOOKUP(Tabla3[[#This Row],[Site]],Table35[#All],3,FALSE)</f>
        <v>5, 7, 9</v>
      </c>
      <c r="N294" s="32" t="str">
        <f>VLOOKUP(Tabla3[[#This Row],[Site]],Table35[#All],4,FALSE)</f>
        <v>-</v>
      </c>
      <c r="O294" s="32" t="str">
        <f>VLOOKUP(Tabla3[[#This Row],[Site]],Table35[#All],5,FALSE)</f>
        <v>-</v>
      </c>
      <c r="P294" s="32" t="str">
        <f>VLOOKUP(Tabla3[[#This Row],[Site]],Table35[#All],6,FALSE)</f>
        <v>6, 10, 1</v>
      </c>
      <c r="Q294" s="32" t="str">
        <f>VLOOKUP(Tabla3[[#This Row],[Site]],Table35[#All],8,FALSE)</f>
        <v>338</v>
      </c>
    </row>
    <row r="295" spans="1:17" hidden="1" x14ac:dyDescent="0.25">
      <c r="A295" t="str">
        <f>+Tabla3[[#This Row],[Site]]&amp;Tabla3[[#This Row],[Split]]</f>
        <v>(BRL) Shoemakersville5</v>
      </c>
      <c r="B295">
        <v>5</v>
      </c>
      <c r="C295">
        <v>5</v>
      </c>
      <c r="D295" t="s">
        <v>119</v>
      </c>
      <c r="E295" t="str">
        <f>VLOOKUP(Tabla3[[#This Row],[Site]],Table35[],10,FALSE)</f>
        <v>24H</v>
      </c>
      <c r="F295" t="str">
        <f>VLOOKUP(Tabla3[[#This Row],[Site]],Table35[],11,FALSE)</f>
        <v>ET</v>
      </c>
      <c r="G295" t="str">
        <f>VLOOKUP(Tabla3[[#This Row],[Site]],Table35[],12,FALSE)</f>
        <v>-</v>
      </c>
      <c r="H295" s="74" t="str">
        <f>HYPERLINK(VLOOKUP(Tabla3[[#This Row],[Site]],Table35[#All],9,FALSE))</f>
        <v>https://tools.sig.systems/site/details/302</v>
      </c>
      <c r="I295">
        <f>VLOOKUP(Tabla3[[#This Row],[Site]],Table35[],13,FALSE)</f>
        <v>0</v>
      </c>
      <c r="J295" t="str">
        <f>VLOOKUP(Tabla3[[#This Row],[Site]],Table35[],14,FALSE)</f>
        <v>-</v>
      </c>
      <c r="L295" s="32" t="str">
        <f>VLOOKUP(Tabla3[[#This Row],[Site]],Table35[#All],2,FALSE)</f>
        <v>-</v>
      </c>
      <c r="M295" s="32" t="str">
        <f>VLOOKUP(Tabla3[[#This Row],[Site]],Table35[#All],3,FALSE)</f>
        <v>8, 11</v>
      </c>
      <c r="N295" s="32" t="str">
        <f>VLOOKUP(Tabla3[[#This Row],[Site]],Table35[#All],4,FALSE)</f>
        <v>-</v>
      </c>
      <c r="O295" s="32" t="str">
        <f>VLOOKUP(Tabla3[[#This Row],[Site]],Table35[#All],5,FALSE)</f>
        <v>1, 6, 13A, 15, 18A</v>
      </c>
      <c r="P295" s="32" t="str">
        <f>VLOOKUP(Tabla3[[#This Row],[Site]],Table35[#All],6,FALSE)</f>
        <v>13B, 23</v>
      </c>
      <c r="Q295" s="32" t="str">
        <f>VLOOKUP(Tabla3[[#This Row],[Site]],Table35[#All],8,FALSE)</f>
        <v>302</v>
      </c>
    </row>
    <row r="296" spans="1:17" hidden="1" x14ac:dyDescent="0.25">
      <c r="A296" t="str">
        <f>+Tabla3[[#This Row],[Site]]&amp;Tabla3[[#This Row],[Split]]</f>
        <v>(DT) Arlington5</v>
      </c>
      <c r="B296">
        <v>5</v>
      </c>
      <c r="C296">
        <v>5</v>
      </c>
      <c r="D296" t="s">
        <v>18</v>
      </c>
      <c r="E296" t="str">
        <f>VLOOKUP(Tabla3[[#This Row],[Site]],Table35[],10,FALSE)</f>
        <v>10:00 P.M.</v>
      </c>
      <c r="F296" t="str">
        <f>VLOOKUP(Tabla3[[#This Row],[Site]],Table35[],11,FALSE)</f>
        <v>CT</v>
      </c>
      <c r="G296" t="str">
        <f>VLOOKUP(Tabla3[[#This Row],[Site]],Table35[],12,FALSE)</f>
        <v>6:00 A.M.</v>
      </c>
      <c r="H296" s="74" t="str">
        <f>HYPERLINK(VLOOKUP(Tabla3[[#This Row],[Site]],Table35[#All],9,FALSE))</f>
        <v>https://tools.sig.systems/site/details/199</v>
      </c>
      <c r="I296">
        <f>VLOOKUP(Tabla3[[#This Row],[Site]],Table35[],13,FALSE)</f>
        <v>0</v>
      </c>
      <c r="J296" t="str">
        <f>VLOOKUP(Tabla3[[#This Row],[Site]],Table35[],14,FALSE)</f>
        <v>-</v>
      </c>
      <c r="L296" s="32">
        <f>VLOOKUP(Tabla3[[#This Row],[Site]],Table35[#All],2,FALSE)</f>
        <v>8</v>
      </c>
      <c r="M296" s="32">
        <f>VLOOKUP(Tabla3[[#This Row],[Site]],Table35[#All],3,FALSE)</f>
        <v>3</v>
      </c>
      <c r="N296" s="32" t="str">
        <f>VLOOKUP(Tabla3[[#This Row],[Site]],Table35[#All],4,FALSE)</f>
        <v>-</v>
      </c>
      <c r="O296" s="32" t="str">
        <f>VLOOKUP(Tabla3[[#This Row],[Site]],Table35[#All],5,FALSE)</f>
        <v>-</v>
      </c>
      <c r="P296" s="32" t="str">
        <f>VLOOKUP(Tabla3[[#This Row],[Site]],Table35[#All],6,FALSE)</f>
        <v>3, 8, 9</v>
      </c>
      <c r="Q296" s="32">
        <v>334</v>
      </c>
    </row>
    <row r="297" spans="1:17" x14ac:dyDescent="0.25">
      <c r="A297" t="str">
        <f>+Tabla3[[#This Row],[Site]]&amp;Tabla3[[#This Row],[Split]]</f>
        <v>(LT) Luther Bloomington Hyundai (NO TOURS)5</v>
      </c>
      <c r="B297">
        <v>5</v>
      </c>
      <c r="C297">
        <v>5</v>
      </c>
      <c r="D297" t="s">
        <v>455</v>
      </c>
      <c r="E297" t="str">
        <f>VLOOKUP(Tabla3[[#This Row],[Site]],Table35[],10,FALSE)</f>
        <v>10:00 P.M.</v>
      </c>
      <c r="F297" t="str">
        <f>VLOOKUP(Tabla3[[#This Row],[Site]],Table35[],11,FALSE)</f>
        <v>CT</v>
      </c>
      <c r="G297" t="str">
        <f>VLOOKUP(Tabla3[[#This Row],[Site]],Table35[],12,FALSE)</f>
        <v>6:00 A.M.</v>
      </c>
      <c r="H297" s="74" t="str">
        <f>HYPERLINK(VLOOKUP(Tabla3[[#This Row],[Site]],Table35[#All],9,FALSE))</f>
        <v>https://tools.sig.systems/site/details/318</v>
      </c>
      <c r="I297">
        <f>VLOOKUP(Tabla3[[#This Row],[Site]],Table35[],13,FALSE)</f>
        <v>0</v>
      </c>
      <c r="J297" t="str">
        <f>VLOOKUP(Tabla3[[#This Row],[Site]],Table35[],14,FALSE)</f>
        <v>-</v>
      </c>
      <c r="L297" s="32" t="str">
        <f>VLOOKUP(Tabla3[[#This Row],[Site]],Table35[#All],2,FALSE)</f>
        <v>-</v>
      </c>
      <c r="M297" s="32" t="str">
        <f>VLOOKUP(Tabla3[[#This Row],[Site]],Table35[#All],3,FALSE)</f>
        <v>6, 9, 13</v>
      </c>
      <c r="N297" s="32" t="str">
        <f>VLOOKUP(Tabla3[[#This Row],[Site]],Table35[#All],4,FALSE)</f>
        <v>58, 59</v>
      </c>
      <c r="O297" s="32">
        <f>VLOOKUP(Tabla3[[#This Row],[Site]],Table35[#All],5,FALSE)</f>
        <v>10</v>
      </c>
      <c r="P297" s="32" t="str">
        <f>VLOOKUP(Tabla3[[#This Row],[Site]],Table35[#All],6,FALSE)</f>
        <v>11, 18</v>
      </c>
      <c r="Q297" s="32" t="str">
        <f>VLOOKUP(Tabla3[[#This Row],[Site]],Table35[#All],8,FALSE)</f>
        <v>318</v>
      </c>
    </row>
    <row r="298" spans="1:17" hidden="1" x14ac:dyDescent="0.25">
      <c r="A298" t="str">
        <f>+Tabla3[[#This Row],[Site]]&amp;Tabla3[[#This Row],[Split]]</f>
        <v>(LT) Luther Landers Recon Center5</v>
      </c>
      <c r="B298">
        <v>5</v>
      </c>
      <c r="C298">
        <v>5</v>
      </c>
      <c r="D298" t="s">
        <v>253</v>
      </c>
      <c r="E298" t="str">
        <f>VLOOKUP(Tabla3[[#This Row],[Site]],Table35[],10,FALSE)</f>
        <v>10:00 P.M.</v>
      </c>
      <c r="F298" t="str">
        <f>VLOOKUP(Tabla3[[#This Row],[Site]],Table35[],11,FALSE)</f>
        <v>CT</v>
      </c>
      <c r="G298" t="str">
        <f>VLOOKUP(Tabla3[[#This Row],[Site]],Table35[],12,FALSE)</f>
        <v>6:00 A.M.</v>
      </c>
      <c r="H298" s="74" t="str">
        <f>HYPERLINK(VLOOKUP(Tabla3[[#This Row],[Site]],Table35[#All],9,FALSE))</f>
        <v>https://tools.sig.systems/site/details/323</v>
      </c>
      <c r="I298" t="str">
        <f>VLOOKUP(Tabla3[[#This Row],[Site]],Table35[],13,FALSE)</f>
        <v>https://www.google.com/maps/d/u/1/edit?mid=1-zEzsc6U6nZom08edp0XAd3_HYFvAyk&amp;usp=sharing</v>
      </c>
      <c r="J298" t="str">
        <f>VLOOKUP(Tabla3[[#This Row],[Site]],Table35[],14,FALSE)</f>
        <v>-</v>
      </c>
      <c r="L298" s="32" t="str">
        <f>VLOOKUP(Tabla3[[#This Row],[Site]],Table35[#All],2,FALSE)</f>
        <v>2, 4</v>
      </c>
      <c r="M298" s="32" t="str">
        <f>VLOOKUP(Tabla3[[#This Row],[Site]],Table35[#All],3,FALSE)</f>
        <v>-</v>
      </c>
      <c r="N298" s="32" t="str">
        <f>VLOOKUP(Tabla3[[#This Row],[Site]],Table35[#All],4,FALSE)</f>
        <v>-</v>
      </c>
      <c r="O298" s="32" t="str">
        <f>VLOOKUP(Tabla3[[#This Row],[Site]],Table35[#All],5,FALSE)</f>
        <v>-</v>
      </c>
      <c r="P298" s="32" t="str">
        <f>VLOOKUP(Tabla3[[#This Row],[Site]],Table35[#All],6,FALSE)</f>
        <v>3, 9, 11</v>
      </c>
      <c r="Q298" s="32" t="str">
        <f>VLOOKUP(Tabla3[[#This Row],[Site]],Table35[#All],8,FALSE)</f>
        <v>323</v>
      </c>
    </row>
    <row r="299" spans="1:17" hidden="1" x14ac:dyDescent="0.25">
      <c r="A299" t="str">
        <f>+Tabla3[[#This Row],[Site]]&amp;Tabla3[[#This Row],[Split]]</f>
        <v>(LT) Luther St. Cloud Subaru5</v>
      </c>
      <c r="B299">
        <v>5</v>
      </c>
      <c r="C299">
        <v>5</v>
      </c>
      <c r="D299" t="s">
        <v>127</v>
      </c>
      <c r="E299" t="str">
        <f>VLOOKUP(Tabla3[[#This Row],[Site]],Table35[],10,FALSE)</f>
        <v>10:00 P.M.</v>
      </c>
      <c r="F299" t="str">
        <f>VLOOKUP(Tabla3[[#This Row],[Site]],Table35[],11,FALSE)</f>
        <v>CT</v>
      </c>
      <c r="G299" t="str">
        <f>VLOOKUP(Tabla3[[#This Row],[Site]],Table35[],12,FALSE)</f>
        <v>5:30 A.M.</v>
      </c>
      <c r="H299" s="74" t="str">
        <f>HYPERLINK(VLOOKUP(Tabla3[[#This Row],[Site]],Table35[#All],9,FALSE))</f>
        <v>https://tools.sig.systems/site/details/295</v>
      </c>
      <c r="I299">
        <f>VLOOKUP(Tabla3[[#This Row],[Site]],Table35[],13,FALSE)</f>
        <v>0</v>
      </c>
      <c r="J299" t="str">
        <f>VLOOKUP(Tabla3[[#This Row],[Site]],Table35[],14,FALSE)</f>
        <v>-</v>
      </c>
      <c r="L299" s="32" t="str">
        <f>VLOOKUP(Tabla3[[#This Row],[Site]],Table35[#All],2,FALSE)</f>
        <v>25, 31</v>
      </c>
      <c r="M299" s="32" t="str">
        <f>VLOOKUP(Tabla3[[#This Row],[Site]],Table35[#All],3,FALSE)</f>
        <v>9, 13, 20</v>
      </c>
      <c r="N299" s="32" t="str">
        <f>VLOOKUP(Tabla3[[#This Row],[Site]],Table35[#All],4,FALSE)</f>
        <v>38, 39, 40, 41</v>
      </c>
      <c r="O299" s="32">
        <f>VLOOKUP(Tabla3[[#This Row],[Site]],Table35[#All],5,FALSE)</f>
        <v>27</v>
      </c>
      <c r="P299" s="32" t="str">
        <f>VLOOKUP(Tabla3[[#This Row],[Site]],Table35[#All],6,FALSE)</f>
        <v>2, 6, 8, 11, 14, 19, 23, 26</v>
      </c>
      <c r="Q299" s="32" t="str">
        <f>VLOOKUP(Tabla3[[#This Row],[Site]],Table35[#All],8,FALSE)</f>
        <v>295</v>
      </c>
    </row>
    <row r="300" spans="1:17" hidden="1" x14ac:dyDescent="0.25">
      <c r="A300" t="str">
        <f>+Tabla3[[#This Row],[Site]]&amp;Tabla3[[#This Row],[Split]]</f>
        <v>(SCH) Schumacher of Delray I &amp; III5</v>
      </c>
      <c r="B300">
        <v>5</v>
      </c>
      <c r="C300">
        <v>5</v>
      </c>
      <c r="D300" t="s">
        <v>387</v>
      </c>
      <c r="E300" t="str">
        <f>VLOOKUP(Tabla3[[#This Row],[Site]],Table35[],10,FALSE)</f>
        <v>9:00 P.M.</v>
      </c>
      <c r="F300" t="str">
        <f>VLOOKUP(Tabla3[[#This Row],[Site]],Table35[],11,FALSE)</f>
        <v>ET</v>
      </c>
      <c r="G300" t="str">
        <f>VLOOKUP(Tabla3[[#This Row],[Site]],Table35[],12,FALSE)</f>
        <v>5:00 A.M.</v>
      </c>
      <c r="H300" s="74" t="str">
        <f>HYPERLINK(VLOOKUP(Tabla3[[#This Row],[Site]],Table35[#All],9,FALSE))</f>
        <v>https://tools.sig.systems/site/details/159</v>
      </c>
      <c r="I300" t="str">
        <f>VLOOKUP(Tabla3[[#This Row],[Site]],Table35[],13,FALSE)</f>
        <v>https://www.google.com/maps/d/viewer?mid=1ZLGV-cDM9aCfovhmXHIAXgVOKts0dEI&amp;ll=26.438859950088858%2C-80.07968125000001&amp;z=16</v>
      </c>
      <c r="J300" t="str">
        <f>VLOOKUP(Tabla3[[#This Row],[Site]],Table35[],14,FALSE)</f>
        <v>11:00 A.M.</v>
      </c>
      <c r="L300" s="32" t="str">
        <f>VLOOKUP(Tabla3[[#This Row],[Site]],Table35[#All],2,FALSE)</f>
        <v>11, 21, 22, 57, 69</v>
      </c>
      <c r="M300" s="32" t="str">
        <f>VLOOKUP(Tabla3[[#This Row],[Site]],Table35[#All],3,FALSE)</f>
        <v>2, 16, 46</v>
      </c>
      <c r="N300" s="32" t="str">
        <f>VLOOKUP(Tabla3[[#This Row],[Site]],Table35[#All],4,FALSE)</f>
        <v>-</v>
      </c>
      <c r="O300" s="32" t="str">
        <f>VLOOKUP(Tabla3[[#This Row],[Site]],Table35[#All],5,FALSE)</f>
        <v>-</v>
      </c>
      <c r="P300" s="32" t="str">
        <f>VLOOKUP(Tabla3[[#This Row],[Site]],Table35[#All],6,FALSE)</f>
        <v>24, 39</v>
      </c>
      <c r="Q300" s="32" t="str">
        <f>VLOOKUP(Tabla3[[#This Row],[Site]],Table35[#All],8,FALSE)</f>
        <v>159</v>
      </c>
    </row>
    <row r="301" spans="1:17" hidden="1" x14ac:dyDescent="0.25">
      <c r="A301" t="str">
        <f>+Tabla3[[#This Row],[Site]]&amp;Tabla3[[#This Row],[Split]]</f>
        <v>(TC) Lamborghini South Dade5</v>
      </c>
      <c r="B301">
        <v>5</v>
      </c>
      <c r="C301">
        <v>5</v>
      </c>
      <c r="D301" t="s">
        <v>234</v>
      </c>
      <c r="E301" t="str">
        <f>VLOOKUP(Tabla3[[#This Row],[Site]],Table35[],10,FALSE)</f>
        <v>9:00 P.M.</v>
      </c>
      <c r="F301" t="str">
        <f>VLOOKUP(Tabla3[[#This Row],[Site]],Table35[],11,FALSE)</f>
        <v>ET</v>
      </c>
      <c r="G301" t="str">
        <f>VLOOKUP(Tabla3[[#This Row],[Site]],Table35[],12,FALSE)</f>
        <v>5:00 A.M.</v>
      </c>
      <c r="H301" s="74" t="str">
        <f>HYPERLINK(VLOOKUP(Tabla3[[#This Row],[Site]],Table35[#All],9,FALSE))</f>
        <v>https://tools.sig.systems/site/details/313</v>
      </c>
      <c r="I301">
        <f>VLOOKUP(Tabla3[[#This Row],[Site]],Table35[],13,FALSE)</f>
        <v>0</v>
      </c>
      <c r="J301" t="str">
        <f>VLOOKUP(Tabla3[[#This Row],[Site]],Table35[],14,FALSE)</f>
        <v>-</v>
      </c>
      <c r="L301" s="32" t="str">
        <f>VLOOKUP(Tabla3[[#This Row],[Site]],Table35[#All],2,FALSE)</f>
        <v>-</v>
      </c>
      <c r="M301" s="32" t="str">
        <f>VLOOKUP(Tabla3[[#This Row],[Site]],Table35[#All],3,FALSE)</f>
        <v>9, 11</v>
      </c>
      <c r="N301" s="32" t="str">
        <f>VLOOKUP(Tabla3[[#This Row],[Site]],Table35[#All],4,FALSE)</f>
        <v>-</v>
      </c>
      <c r="O301" s="32" t="str">
        <f>VLOOKUP(Tabla3[[#This Row],[Site]],Table35[#All],5,FALSE)</f>
        <v>-</v>
      </c>
      <c r="P301" s="32" t="str">
        <f>VLOOKUP(Tabla3[[#This Row],[Site]],Table35[#All],6,FALSE)</f>
        <v>-</v>
      </c>
      <c r="Q301" s="32" t="str">
        <f>VLOOKUP(Tabla3[[#This Row],[Site]],Table35[#All],8,FALSE)</f>
        <v>313</v>
      </c>
    </row>
    <row r="302" spans="1:17" hidden="1" x14ac:dyDescent="0.25">
      <c r="A302" t="str">
        <f>+Tabla3[[#This Row],[Site]]&amp;Tabla3[[#This Row],[Split]]</f>
        <v>(AS) 3281 Storage Lot (NO TOURS)6</v>
      </c>
      <c r="B302">
        <v>6</v>
      </c>
      <c r="C302">
        <v>1</v>
      </c>
      <c r="D302" t="s">
        <v>374</v>
      </c>
      <c r="E302" t="str">
        <f>VLOOKUP(Tabla3[[#This Row],[Site]],Table35[],10,FALSE)</f>
        <v>10:00 P.M.</v>
      </c>
      <c r="F302" t="str">
        <f>VLOOKUP(Tabla3[[#This Row],[Site]],Table35[],11,FALSE)</f>
        <v>CT</v>
      </c>
      <c r="G302" t="str">
        <f>VLOOKUP(Tabla3[[#This Row],[Site]],Table35[],12,FALSE)</f>
        <v>6:00 A.M.</v>
      </c>
      <c r="H302" s="74" t="str">
        <f>HYPERLINK(VLOOKUP(Tabla3[[#This Row],[Site]],Table35[#All],9,FALSE))</f>
        <v>https://tools.sig.systems/site/details/305</v>
      </c>
      <c r="I302" t="str">
        <f>VLOOKUP(Tabla3[[#This Row],[Site]],Table35[],13,FALSE)</f>
        <v>https://www.google.com/maps/d/edit?hl=es&amp;mid=1uPmsRMsXnp74hPFW2t-sp2totVWF_xY&amp;ll=32.83050137713022%2C-96.83197783061323&amp;z=17</v>
      </c>
      <c r="J302" t="str">
        <f>VLOOKUP(Tabla3[[#This Row],[Site]],Table35[],14,FALSE)</f>
        <v>-</v>
      </c>
      <c r="L302" s="32" t="str">
        <f>VLOOKUP(Tabla3[[#This Row],[Site]],Table35[#All],2,FALSE)</f>
        <v>-</v>
      </c>
      <c r="M302" s="32" t="str">
        <f>VLOOKUP(Tabla3[[#This Row],[Site]],Table35[#All],3,FALSE)</f>
        <v>2, 14</v>
      </c>
      <c r="N302" s="32" t="str">
        <f>VLOOKUP(Tabla3[[#This Row],[Site]],Table35[#All],4,FALSE)</f>
        <v>-</v>
      </c>
      <c r="O302" s="32" t="str">
        <f>VLOOKUP(Tabla3[[#This Row],[Site]],Table35[#All],5,FALSE)</f>
        <v>-</v>
      </c>
      <c r="P302" s="32" t="str">
        <f>VLOOKUP(Tabla3[[#This Row],[Site]],Table35[#All],6,FALSE)</f>
        <v>1, 3, 9, 10, 14</v>
      </c>
      <c r="Q302" s="32">
        <f>VLOOKUP(Tabla3[[#This Row],[Site]],Table35[#All],8,FALSE)</f>
        <v>305</v>
      </c>
    </row>
    <row r="303" spans="1:17" hidden="1" x14ac:dyDescent="0.25">
      <c r="A303" t="str">
        <f>+Tabla3[[#This Row],[Site]]&amp;Tabla3[[#This Row],[Split]]</f>
        <v>(AS) Koons Chevrolet Buick GMC - Clarksville (NO TOURS)6</v>
      </c>
      <c r="B303">
        <v>6</v>
      </c>
      <c r="C303">
        <v>1</v>
      </c>
      <c r="D303" t="s">
        <v>379</v>
      </c>
      <c r="E303" t="str">
        <f>VLOOKUP(Tabla3[[#This Row],[Site]],Table35[],10,FALSE)</f>
        <v>9:00 P.M.</v>
      </c>
      <c r="F303" t="str">
        <f>VLOOKUP(Tabla3[[#This Row],[Site]],Table35[],11,FALSE)</f>
        <v>ET</v>
      </c>
      <c r="G303" t="str">
        <f>VLOOKUP(Tabla3[[#This Row],[Site]],Table35[],12,FALSE)</f>
        <v>5:00 A.M.</v>
      </c>
      <c r="H303" s="74" t="str">
        <f>HYPERLINK(VLOOKUP(Tabla3[[#This Row],[Site]],Table35[#All],9,FALSE))</f>
        <v>https://tools.sig.systems/site/details/306</v>
      </c>
      <c r="I303" t="str">
        <f>VLOOKUP(Tabla3[[#This Row],[Site]],Table35[],13,FALSE)</f>
        <v>https://www.google.com/maps/d/edit?hl=es&amp;mid=11XB1lTSP7EcDCDvzypdUPWP6bWCNAEI&amp;ll=39.21145022420528%2C-76.94003711910554&amp;z=17</v>
      </c>
      <c r="J303" t="str">
        <f>VLOOKUP(Tabla3[[#This Row],[Site]],Table35[],14,FALSE)</f>
        <v>10:00 A.M.</v>
      </c>
      <c r="L303" s="32" t="str">
        <f>VLOOKUP(Tabla3[[#This Row],[Site]],Table35[#All],2,FALSE)</f>
        <v>-</v>
      </c>
      <c r="M303" s="32" t="str">
        <f>VLOOKUP(Tabla3[[#This Row],[Site]],Table35[#All],3,FALSE)</f>
        <v>1, 22, 26, 28, 29</v>
      </c>
      <c r="N303" s="32" t="str">
        <f>VLOOKUP(Tabla3[[#This Row],[Site]],Table35[#All],4,FALSE)</f>
        <v>-</v>
      </c>
      <c r="O303" s="32" t="str">
        <f>VLOOKUP(Tabla3[[#This Row],[Site]],Table35[#All],5,FALSE)</f>
        <v>-</v>
      </c>
      <c r="P303" s="32" t="str">
        <f>VLOOKUP(Tabla3[[#This Row],[Site]],Table35[#All],6,FALSE)</f>
        <v>3, 11, 15, 23</v>
      </c>
      <c r="Q303" s="32" t="str">
        <f>VLOOKUP(Tabla3[[#This Row],[Site]],Table35[#All],8,FALSE)</f>
        <v>306</v>
      </c>
    </row>
    <row r="304" spans="1:17" hidden="1" x14ac:dyDescent="0.25">
      <c r="A304" t="str">
        <f>+Tabla3[[#This Row],[Site]]&amp;Tabla3[[#This Row],[Split]]</f>
        <v>(AS) Koons Annapolis Toyota (NO TOURS)6</v>
      </c>
      <c r="B304">
        <v>6</v>
      </c>
      <c r="C304">
        <v>1</v>
      </c>
      <c r="D304" t="s">
        <v>446</v>
      </c>
      <c r="E304" t="str">
        <f>VLOOKUP(Tabla3[[#This Row],[Site]],Table35[],10,FALSE)</f>
        <v>9:00 P.M.</v>
      </c>
      <c r="F304" t="str">
        <f>VLOOKUP(Tabla3[[#This Row],[Site]],Table35[],11,FALSE)</f>
        <v>ET</v>
      </c>
      <c r="G304" t="str">
        <f>VLOOKUP(Tabla3[[#This Row],[Site]],Table35[],12,FALSE)</f>
        <v>5:00 A.M.</v>
      </c>
      <c r="H304" s="74" t="str">
        <f>HYPERLINK(VLOOKUP(Tabla3[[#This Row],[Site]],Table35[#All],9,FALSE))</f>
        <v>https://tools.sig.systems/site/details/337</v>
      </c>
      <c r="I304">
        <f>VLOOKUP(Tabla3[[#This Row],[Site]],Table35[],13,FALSE)</f>
        <v>0</v>
      </c>
      <c r="J304" t="str">
        <f>VLOOKUP(Tabla3[[#This Row],[Site]],Table35[],14,FALSE)</f>
        <v>-</v>
      </c>
      <c r="L304" s="32">
        <f>VLOOKUP(Tabla3[[#This Row],[Site]],Table35[#All],2,FALSE)</f>
        <v>6</v>
      </c>
      <c r="M304" s="32" t="str">
        <f>VLOOKUP(Tabla3[[#This Row],[Site]],Table35[#All],3,FALSE)</f>
        <v>1, 6, 21</v>
      </c>
      <c r="N304" s="32" t="str">
        <f>VLOOKUP(Tabla3[[#This Row],[Site]],Table35[#All],4,FALSE)</f>
        <v>-</v>
      </c>
      <c r="O304" s="32" t="str">
        <f>VLOOKUP(Tabla3[[#This Row],[Site]],Table35[#All],5,FALSE)</f>
        <v>-</v>
      </c>
      <c r="P304" s="32" t="str">
        <f>VLOOKUP(Tabla3[[#This Row],[Site]],Table35[#All],6,FALSE)</f>
        <v>3, 5, 7, 19</v>
      </c>
      <c r="Q304" s="32" t="str">
        <f>VLOOKUP(Tabla3[[#This Row],[Site]],Table35[#All],8,FALSE)</f>
        <v>337</v>
      </c>
    </row>
    <row r="305" spans="1:17" hidden="1" x14ac:dyDescent="0.25">
      <c r="A305" t="str">
        <f>+Tabla3[[#This Row],[Site]]&amp;Tabla3[[#This Row],[Split]]</f>
        <v>(AS) Koons Sterling Ford - Main Dealership (NO TOURS)6</v>
      </c>
      <c r="B305">
        <v>6</v>
      </c>
      <c r="C305">
        <v>1</v>
      </c>
      <c r="D305" t="s">
        <v>411</v>
      </c>
      <c r="E305" t="str">
        <f>VLOOKUP(Tabla3[[#This Row],[Site]],Table35[],10,FALSE)</f>
        <v>9:00 P.M.</v>
      </c>
      <c r="F305" t="str">
        <f>VLOOKUP(Tabla3[[#This Row],[Site]],Table35[],11,FALSE)</f>
        <v>ET</v>
      </c>
      <c r="G305" t="str">
        <f>VLOOKUP(Tabla3[[#This Row],[Site]],Table35[],12,FALSE)</f>
        <v>5:00 A.M.</v>
      </c>
      <c r="H305" s="74" t="str">
        <f>HYPERLINK(VLOOKUP(Tabla3[[#This Row],[Site]],Table35[#All],9,FALSE))</f>
        <v>https://tools.sig.systems/site/details/348</v>
      </c>
      <c r="I305" t="str">
        <f>VLOOKUP(Tabla3[[#This Row],[Site]],Table35[],13,FALSE)</f>
        <v>-</v>
      </c>
      <c r="J305" t="str">
        <f>VLOOKUP(Tabla3[[#This Row],[Site]],Table35[],14,FALSE)</f>
        <v>10:00 A.M.</v>
      </c>
      <c r="L305" s="32">
        <f>VLOOKUP(Tabla3[[#This Row],[Site]],Table35[#All],2,FALSE)</f>
        <v>19</v>
      </c>
      <c r="M305" s="32">
        <f>VLOOKUP(Tabla3[[#This Row],[Site]],Table35[#All],3,FALSE)</f>
        <v>3</v>
      </c>
      <c r="N305" s="32" t="str">
        <f>VLOOKUP(Tabla3[[#This Row],[Site]],Table35[#All],4,FALSE)</f>
        <v>-</v>
      </c>
      <c r="O305" s="32" t="str">
        <f>VLOOKUP(Tabla3[[#This Row],[Site]],Table35[#All],5,FALSE)</f>
        <v>4, 21</v>
      </c>
      <c r="P305" s="32" t="str">
        <f>VLOOKUP(Tabla3[[#This Row],[Site]],Table35[#All],6,FALSE)</f>
        <v>7, 8</v>
      </c>
      <c r="Q305" s="32" t="str">
        <f>VLOOKUP(Tabla3[[#This Row],[Site]],Table35[#All],8,FALSE)</f>
        <v>348</v>
      </c>
    </row>
    <row r="306" spans="1:17" hidden="1" x14ac:dyDescent="0.25">
      <c r="A306" t="str">
        <f>+Tabla3[[#This Row],[Site]]&amp;Tabla3[[#This Row],[Split]]</f>
        <v>(AS) Koons Woodbridge Kia (NO TOURS)6</v>
      </c>
      <c r="B306">
        <v>6</v>
      </c>
      <c r="C306">
        <v>1</v>
      </c>
      <c r="D306" t="s">
        <v>407</v>
      </c>
      <c r="E306" t="str">
        <f>VLOOKUP(Tabla3[[#This Row],[Site]],Table35[],10,FALSE)</f>
        <v>9:00 P.M.</v>
      </c>
      <c r="F306" t="str">
        <f>VLOOKUP(Tabla3[[#This Row],[Site]],Table35[],11,FALSE)</f>
        <v>ET</v>
      </c>
      <c r="G306" t="str">
        <f>VLOOKUP(Tabla3[[#This Row],[Site]],Table35[],12,FALSE)</f>
        <v>5:00 A.M.</v>
      </c>
      <c r="H306" s="74" t="str">
        <f>HYPERLINK(VLOOKUP(Tabla3[[#This Row],[Site]],Table35[#All],9,FALSE))</f>
        <v>https://tools.sig.systems/site/details/346</v>
      </c>
      <c r="I306" t="str">
        <f>VLOOKUP(Tabla3[[#This Row],[Site]],Table35[],13,FALSE)</f>
        <v>-</v>
      </c>
      <c r="J306" t="str">
        <f>VLOOKUP(Tabla3[[#This Row],[Site]],Table35[],14,FALSE)</f>
        <v>10:00 A.M.</v>
      </c>
      <c r="L306" s="32" t="str">
        <f>VLOOKUP(Tabla3[[#This Row],[Site]],Table35[#All],2,FALSE)</f>
        <v>-</v>
      </c>
      <c r="M306" s="32">
        <f>VLOOKUP(Tabla3[[#This Row],[Site]],Table35[#All],3,FALSE)</f>
        <v>2</v>
      </c>
      <c r="N306" s="32" t="str">
        <f>VLOOKUP(Tabla3[[#This Row],[Site]],Table35[#All],4,FALSE)</f>
        <v>-</v>
      </c>
      <c r="O306" s="32" t="str">
        <f>VLOOKUP(Tabla3[[#This Row],[Site]],Table35[#All],5,FALSE)</f>
        <v>-</v>
      </c>
      <c r="P306" s="32">
        <f>VLOOKUP(Tabla3[[#This Row],[Site]],Table35[#All],6,FALSE)</f>
        <v>5</v>
      </c>
      <c r="Q306" s="32" t="str">
        <f>VLOOKUP(Tabla3[[#This Row],[Site]],Table35[#All],8,FALSE)</f>
        <v>346</v>
      </c>
    </row>
    <row r="307" spans="1:17" hidden="1" x14ac:dyDescent="0.25">
      <c r="A307" t="str">
        <f>+Tabla3[[#This Row],[Site]]&amp;Tabla3[[#This Row],[Split]]</f>
        <v>(BRL) Fort Pierce6</v>
      </c>
      <c r="B307">
        <v>6</v>
      </c>
      <c r="C307">
        <v>1</v>
      </c>
      <c r="D307" t="s">
        <v>347</v>
      </c>
      <c r="E307" t="str">
        <f>VLOOKUP(Tabla3[[#This Row],[Site]],Table35[],10,FALSE)</f>
        <v>24H</v>
      </c>
      <c r="F307" t="str">
        <f>VLOOKUP(Tabla3[[#This Row],[Site]],Table35[],11,FALSE)</f>
        <v>ET</v>
      </c>
      <c r="G307" t="str">
        <f>VLOOKUP(Tabla3[[#This Row],[Site]],Table35[],12,FALSE)</f>
        <v>-</v>
      </c>
      <c r="H307" s="74" t="str">
        <f>HYPERLINK(VLOOKUP(Tabla3[[#This Row],[Site]],Table35[#All],9,FALSE))</f>
        <v>https://tools.sig.systems/site/details/326</v>
      </c>
      <c r="I307" t="str">
        <f>VLOOKUP(Tabla3[[#This Row],[Site]],Table35[],13,FALSE)</f>
        <v>-</v>
      </c>
      <c r="J307" t="str">
        <f>VLOOKUP(Tabla3[[#This Row],[Site]],Table35[],14,FALSE)</f>
        <v>-</v>
      </c>
      <c r="L307" s="32" t="str">
        <f>VLOOKUP(Tabla3[[#This Row],[Site]],Table35[#All],2,FALSE)</f>
        <v>-</v>
      </c>
      <c r="M307" s="32">
        <f>VLOOKUP(Tabla3[[#This Row],[Site]],Table35[#All],3,FALSE)</f>
        <v>1</v>
      </c>
      <c r="N307" s="32" t="str">
        <f>VLOOKUP(Tabla3[[#This Row],[Site]],Table35[#All],4,FALSE)</f>
        <v>-</v>
      </c>
      <c r="O307" s="32">
        <f>VLOOKUP(Tabla3[[#This Row],[Site]],Table35[#All],5,FALSE)</f>
        <v>2</v>
      </c>
      <c r="P307" s="32" t="str">
        <f>VLOOKUP(Tabla3[[#This Row],[Site]],Table35[#All],6,FALSE)</f>
        <v>15, 18</v>
      </c>
      <c r="Q307" s="32" t="str">
        <f>VLOOKUP(Tabla3[[#This Row],[Site]],Table35[#All],8,FALSE)</f>
        <v>326</v>
      </c>
    </row>
    <row r="308" spans="1:17" hidden="1" x14ac:dyDescent="0.25">
      <c r="A308" t="str">
        <f>+Tabla3[[#This Row],[Site]]&amp;Tabla3[[#This Row],[Split]]</f>
        <v>(DT) Charlotte6</v>
      </c>
      <c r="B308">
        <v>6</v>
      </c>
      <c r="C308">
        <v>1</v>
      </c>
      <c r="D308" t="s">
        <v>150</v>
      </c>
      <c r="E308" t="str">
        <f>VLOOKUP(Tabla3[[#This Row],[Site]],Table35[],10,FALSE)</f>
        <v>9:00 P.M.</v>
      </c>
      <c r="F308" t="str">
        <f>VLOOKUP(Tabla3[[#This Row],[Site]],Table35[],11,FALSE)</f>
        <v>ET</v>
      </c>
      <c r="G308" t="str">
        <f>VLOOKUP(Tabla3[[#This Row],[Site]],Table35[],12,FALSE)</f>
        <v>5:00 A.M.</v>
      </c>
      <c r="H308" s="74" t="str">
        <f>HYPERLINK(VLOOKUP(Tabla3[[#This Row],[Site]],Table35[#All],9,FALSE))</f>
        <v>https://tools.sig.systems/site/details/299</v>
      </c>
      <c r="I308">
        <f>VLOOKUP(Tabla3[[#This Row],[Site]],Table35[],13,FALSE)</f>
        <v>0</v>
      </c>
      <c r="J308" t="str">
        <f>VLOOKUP(Tabla3[[#This Row],[Site]],Table35[],14,FALSE)</f>
        <v>-</v>
      </c>
      <c r="L308" s="32" t="str">
        <f>VLOOKUP(Tabla3[[#This Row],[Site]],Table35[#All],2,FALSE)</f>
        <v>4, 25, 41</v>
      </c>
      <c r="M308" s="32" t="str">
        <f>VLOOKUP(Tabla3[[#This Row],[Site]],Table35[#All],3,FALSE)</f>
        <v>-</v>
      </c>
      <c r="N308" s="32" t="str">
        <f>VLOOKUP(Tabla3[[#This Row],[Site]],Table35[#All],4,FALSE)</f>
        <v>-</v>
      </c>
      <c r="O308" s="32" t="str">
        <f>VLOOKUP(Tabla3[[#This Row],[Site]],Table35[#All],5,FALSE)</f>
        <v xml:space="preserve">11, 32, 35 </v>
      </c>
      <c r="P308" s="32" t="str">
        <f>VLOOKUP(Tabla3[[#This Row],[Site]],Table35[#All],6,FALSE)</f>
        <v>6, 11, 18, 29, 34,  38, 39</v>
      </c>
      <c r="Q308" s="32" t="str">
        <f>VLOOKUP(Tabla3[[#This Row],[Site]],Table35[#All],8,FALSE)</f>
        <v>299</v>
      </c>
    </row>
    <row r="309" spans="1:17" hidden="1" x14ac:dyDescent="0.25">
      <c r="A309" t="str">
        <f>+Tabla3[[#This Row],[Site]]&amp;Tabla3[[#This Row],[Split]]</f>
        <v>(LT) Luther Brookdale Toyota6</v>
      </c>
      <c r="B309">
        <v>6</v>
      </c>
      <c r="C309">
        <v>1</v>
      </c>
      <c r="D309" t="s">
        <v>125</v>
      </c>
      <c r="E309" t="str">
        <f>VLOOKUP(Tabla3[[#This Row],[Site]],Table35[],10,FALSE)</f>
        <v>10:00 P.M.</v>
      </c>
      <c r="F309" t="str">
        <f>VLOOKUP(Tabla3[[#This Row],[Site]],Table35[],11,FALSE)</f>
        <v>CT</v>
      </c>
      <c r="G309" t="str">
        <f>VLOOKUP(Tabla3[[#This Row],[Site]],Table35[],12,FALSE)</f>
        <v>5:00 A.M.</v>
      </c>
      <c r="H309" s="74" t="str">
        <f>HYPERLINK(VLOOKUP(Tabla3[[#This Row],[Site]],Table35[#All],9,FALSE))</f>
        <v>https://tools.sig.systems/site/details/281</v>
      </c>
      <c r="I309" t="str">
        <f>VLOOKUP(Tabla3[[#This Row],[Site]],Table35[],13,FALSE)</f>
        <v>https://www.google.com/maps/d/viewer?mid=1ot0ILX76JMuvd9yMuqkb4_e0yH1n7TA&amp;ll=45.07815812965141%2C-93.33506855000002&amp;z=17</v>
      </c>
      <c r="J309" t="str">
        <f>VLOOKUP(Tabla3[[#This Row],[Site]],Table35[],14,FALSE)</f>
        <v>-</v>
      </c>
      <c r="L309" s="32" t="str">
        <f>VLOOKUP(Tabla3[[#This Row],[Site]],Table35[#All],2,FALSE)</f>
        <v>-</v>
      </c>
      <c r="M309" s="32" t="str">
        <f>VLOOKUP(Tabla3[[#This Row],[Site]],Table35[#All],3,FALSE)</f>
        <v>5, 7</v>
      </c>
      <c r="N309" s="32">
        <f>VLOOKUP(Tabla3[[#This Row],[Site]],Table35[#All],4,FALSE)</f>
        <v>29</v>
      </c>
      <c r="O309" s="32">
        <f>VLOOKUP(Tabla3[[#This Row],[Site]],Table35[#All],5,FALSE)</f>
        <v>20</v>
      </c>
      <c r="P309" s="32" t="str">
        <f>VLOOKUP(Tabla3[[#This Row],[Site]],Table35[#All],6,FALSE)</f>
        <v xml:space="preserve">1, 2, 4, 10, 18, 24, 25 </v>
      </c>
      <c r="Q309" s="32" t="str">
        <f>VLOOKUP(Tabla3[[#This Row],[Site]],Table35[#All],8,FALSE)</f>
        <v>281</v>
      </c>
    </row>
    <row r="310" spans="1:17" hidden="1" x14ac:dyDescent="0.25">
      <c r="A310" t="str">
        <f>+Tabla3[[#This Row],[Site]]&amp;Tabla3[[#This Row],[Split]]</f>
        <v>(LT) Luther Burnsville Hyundai6</v>
      </c>
      <c r="B310">
        <v>6</v>
      </c>
      <c r="C310">
        <v>1</v>
      </c>
      <c r="D310" t="s">
        <v>280</v>
      </c>
      <c r="E310" t="str">
        <f>VLOOKUP(Tabla3[[#This Row],[Site]],Table35[],10,FALSE)</f>
        <v>10:00 P.M.</v>
      </c>
      <c r="F310" t="str">
        <f>VLOOKUP(Tabla3[[#This Row],[Site]],Table35[],11,FALSE)</f>
        <v>CT</v>
      </c>
      <c r="G310" t="str">
        <f>VLOOKUP(Tabla3[[#This Row],[Site]],Table35[],12,FALSE)</f>
        <v>6:00 A.M.</v>
      </c>
      <c r="H310" s="74" t="str">
        <f>HYPERLINK(VLOOKUP(Tabla3[[#This Row],[Site]],Table35[#All],9,FALSE))</f>
        <v>https://tools.sig.systems/site/details/307</v>
      </c>
      <c r="I310">
        <f>VLOOKUP(Tabla3[[#This Row],[Site]],Table35[],13,FALSE)</f>
        <v>0</v>
      </c>
      <c r="J310" t="str">
        <f>VLOOKUP(Tabla3[[#This Row],[Site]],Table35[],14,FALSE)</f>
        <v>-</v>
      </c>
      <c r="L310" s="32" t="str">
        <f>VLOOKUP(Tabla3[[#This Row],[Site]],Table35[#All],2,FALSE)</f>
        <v>-</v>
      </c>
      <c r="M310" s="32" t="str">
        <f>VLOOKUP(Tabla3[[#This Row],[Site]],Table35[#All],3,FALSE)</f>
        <v>6, 17</v>
      </c>
      <c r="N310" s="32" t="str">
        <f>VLOOKUP(Tabla3[[#This Row],[Site]],Table35[#All],4,FALSE)</f>
        <v>22, 21</v>
      </c>
      <c r="O310" s="32">
        <f>VLOOKUP(Tabla3[[#This Row],[Site]],Table35[#All],5,FALSE)</f>
        <v>7</v>
      </c>
      <c r="P310" s="32" t="str">
        <f>VLOOKUP(Tabla3[[#This Row],[Site]],Table35[#All],6,FALSE)</f>
        <v>2, 4, 16</v>
      </c>
      <c r="Q310" s="32" t="str">
        <f>VLOOKUP(Tabla3[[#This Row],[Site]],Table35[#All],8,FALSE)</f>
        <v>307</v>
      </c>
    </row>
    <row r="311" spans="1:17" hidden="1" x14ac:dyDescent="0.25">
      <c r="A311" t="str">
        <f>+Tabla3[[#This Row],[Site]]&amp;Tabla3[[#This Row],[Split]]</f>
        <v>(ML) Joe Machens Hyundai6</v>
      </c>
      <c r="B311">
        <v>6</v>
      </c>
      <c r="C311">
        <v>1</v>
      </c>
      <c r="D311" t="s">
        <v>124</v>
      </c>
      <c r="E311" t="str">
        <f>VLOOKUP(Tabla3[[#This Row],[Site]],Table35[],10,FALSE)</f>
        <v>10:00 P.M.</v>
      </c>
      <c r="F311" t="str">
        <f>VLOOKUP(Tabla3[[#This Row],[Site]],Table35[],11,FALSE)</f>
        <v>CT</v>
      </c>
      <c r="G311" t="str">
        <f>VLOOKUP(Tabla3[[#This Row],[Site]],Table35[],12,FALSE)</f>
        <v>6:00 A.M.</v>
      </c>
      <c r="H311" s="74" t="str">
        <f>HYPERLINK(VLOOKUP(Tabla3[[#This Row],[Site]],Table35[#All],9,FALSE))</f>
        <v>https://tools.sig.systems/site/details/286</v>
      </c>
      <c r="I311" t="str">
        <f>VLOOKUP(Tabla3[[#This Row],[Site]],Table35[],13,FALSE)</f>
        <v>https://www.google.com/maps/d/viewer?hl=es&amp;mid=1C1oZdjH3dNvCvqdpIv_Lk0Yn1OCVn-4&amp;ll=38.965368114274455%2C-92.3405954&amp;z=15</v>
      </c>
      <c r="J311" t="str">
        <f>VLOOKUP(Tabla3[[#This Row],[Site]],Table35[],14,FALSE)</f>
        <v>-</v>
      </c>
      <c r="L311" s="32" t="str">
        <f>VLOOKUP(Tabla3[[#This Row],[Site]],Table35[#All],2,FALSE)</f>
        <v>-</v>
      </c>
      <c r="M311" s="32" t="str">
        <f>VLOOKUP(Tabla3[[#This Row],[Site]],Table35[#All],3,FALSE)</f>
        <v>3, 4, 14, 25</v>
      </c>
      <c r="N311" s="32" t="str">
        <f>VLOOKUP(Tabla3[[#This Row],[Site]],Table35[#All],4,FALSE)</f>
        <v>-</v>
      </c>
      <c r="O311" s="32">
        <f>VLOOKUP(Tabla3[[#This Row],[Site]],Table35[#All],5,FALSE)</f>
        <v>17</v>
      </c>
      <c r="P311" s="32" t="str">
        <f>VLOOKUP(Tabla3[[#This Row],[Site]],Table35[#All],6,FALSE)</f>
        <v>1, 11, 12, 13, 15</v>
      </c>
      <c r="Q311" s="32" t="str">
        <f>VLOOKUP(Tabla3[[#This Row],[Site]],Table35[#All],8,FALSE)</f>
        <v>286</v>
      </c>
    </row>
    <row r="312" spans="1:17" hidden="1" x14ac:dyDescent="0.25">
      <c r="A312" t="str">
        <f>+Tabla3[[#This Row],[Site]]&amp;Tabla3[[#This Row],[Split]]</f>
        <v>(PE) BMW Service Center (NO TOURS)6</v>
      </c>
      <c r="B312">
        <v>6</v>
      </c>
      <c r="C312">
        <v>1</v>
      </c>
      <c r="D312" t="s">
        <v>38</v>
      </c>
      <c r="E312" t="str">
        <f>VLOOKUP(Tabla3[[#This Row],[Site]],Table35[],10,FALSE)</f>
        <v>8:00 P.M.</v>
      </c>
      <c r="F312" t="str">
        <f>VLOOKUP(Tabla3[[#This Row],[Site]],Table35[],11,FALSE)</f>
        <v>ET</v>
      </c>
      <c r="G312" t="str">
        <f>VLOOKUP(Tabla3[[#This Row],[Site]],Table35[],12,FALSE)</f>
        <v>5:00 A.M.</v>
      </c>
      <c r="H312" s="74" t="str">
        <f>HYPERLINK(VLOOKUP(Tabla3[[#This Row],[Site]],Table35[#All],9,FALSE))</f>
        <v>https://tools.sig.systems/site/details/184</v>
      </c>
      <c r="I312" t="str">
        <f>VLOOKUP(Tabla3[[#This Row],[Site]],Table35[],13,FALSE)</f>
        <v>https://www.google.com/maps/d/edit?hl=en&amp;mid=1UHmt7tH1ihTa85i0MfQIcTfVvIQg_vM&amp;ll=41.02423447529239%2C-73.63721502222738&amp;z=18</v>
      </c>
      <c r="J312" t="str">
        <f>VLOOKUP(Tabla3[[#This Row],[Site]],Table35[],14,FALSE)</f>
        <v>-</v>
      </c>
      <c r="L312" s="32">
        <f>VLOOKUP(Tabla3[[#This Row],[Site]],Table35[#All],2,FALSE)</f>
        <v>3</v>
      </c>
      <c r="M312" s="32" t="str">
        <f>VLOOKUP(Tabla3[[#This Row],[Site]],Table35[#All],3,FALSE)</f>
        <v>-</v>
      </c>
      <c r="N312" s="32" t="str">
        <f>VLOOKUP(Tabla3[[#This Row],[Site]],Table35[#All],4,FALSE)</f>
        <v>-</v>
      </c>
      <c r="O312" s="32" t="str">
        <f>VLOOKUP(Tabla3[[#This Row],[Site]],Table35[#All],5,FALSE)</f>
        <v>-</v>
      </c>
      <c r="P312" s="32" t="str">
        <f>VLOOKUP(Tabla3[[#This Row],[Site]],Table35[#All],6,FALSE)</f>
        <v xml:space="preserve">1, 2 </v>
      </c>
      <c r="Q312" s="32" t="str">
        <f>VLOOKUP(Tabla3[[#This Row],[Site]],Table35[#All],8,FALSE)</f>
        <v>184</v>
      </c>
    </row>
    <row r="313" spans="1:17" hidden="1" x14ac:dyDescent="0.25">
      <c r="A313" t="str">
        <f>+Tabla3[[#This Row],[Site]]&amp;Tabla3[[#This Row],[Split]]</f>
        <v>(AS) Coggin BMW Ft. Pierce (NO TOURS)6</v>
      </c>
      <c r="B313">
        <v>6</v>
      </c>
      <c r="C313">
        <v>2</v>
      </c>
      <c r="D313" t="s">
        <v>121</v>
      </c>
      <c r="E313" t="str">
        <f>VLOOKUP(Tabla3[[#This Row],[Site]],Table35[],10,FALSE)</f>
        <v>9:00 P.M.</v>
      </c>
      <c r="F313" t="str">
        <f>VLOOKUP(Tabla3[[#This Row],[Site]],Table35[],11,FALSE)</f>
        <v>ET</v>
      </c>
      <c r="G313" t="str">
        <f>VLOOKUP(Tabla3[[#This Row],[Site]],Table35[],12,FALSE)</f>
        <v>5:00 A.M.</v>
      </c>
      <c r="H313" s="74" t="str">
        <f>HYPERLINK(VLOOKUP(Tabla3[[#This Row],[Site]],Table35[#All],9,FALSE))</f>
        <v>https://tools.sig.systems/site/details/119</v>
      </c>
      <c r="I313" t="str">
        <f>VLOOKUP(Tabla3[[#This Row],[Site]],Table35[],13,FALSE)</f>
        <v>https://www.google.com/maps/d/viewer?mid=1AyViBuyeq7iwDua1SVudJ2A1BYi3IBA&amp;ll=27.38181516363982%2C-80.32568845000002&amp;z=18</v>
      </c>
      <c r="J313" t="str">
        <f>VLOOKUP(Tabla3[[#This Row],[Site]],Table35[],14,FALSE)</f>
        <v>-</v>
      </c>
      <c r="L313" s="32" t="str">
        <f>VLOOKUP(Tabla3[[#This Row],[Site]],Table35[#All],2,FALSE)</f>
        <v>3, 10, 13</v>
      </c>
      <c r="M313" s="32" t="str">
        <f>VLOOKUP(Tabla3[[#This Row],[Site]],Table35[#All],3,FALSE)</f>
        <v>-</v>
      </c>
      <c r="N313" s="32" t="str">
        <f>VLOOKUP(Tabla3[[#This Row],[Site]],Table35[#All],4,FALSE)</f>
        <v>-</v>
      </c>
      <c r="O313" s="32">
        <f>VLOOKUP(Tabla3[[#This Row],[Site]],Table35[#All],5,FALSE)</f>
        <v>2</v>
      </c>
      <c r="P313" s="32" t="str">
        <f>VLOOKUP(Tabla3[[#This Row],[Site]],Table35[#All],6,FALSE)</f>
        <v>1, 20, 27</v>
      </c>
      <c r="Q313" s="32" t="str">
        <f>VLOOKUP(Tabla3[[#This Row],[Site]],Table35[#All],8,FALSE)</f>
        <v>119</v>
      </c>
    </row>
    <row r="314" spans="1:17" hidden="1" x14ac:dyDescent="0.25">
      <c r="A314" t="str">
        <f>+Tabla3[[#This Row],[Site]]&amp;Tabla3[[#This Row],[Split]]</f>
        <v>(AS) Koons Chevrolet Buick GMC - Clarksville Remote Lot (NO TOURS)6</v>
      </c>
      <c r="B314">
        <v>6</v>
      </c>
      <c r="C314">
        <v>2</v>
      </c>
      <c r="D314" t="s">
        <v>415</v>
      </c>
      <c r="E314" t="str">
        <f>VLOOKUP(Tabla3[[#This Row],[Site]],Table35[],10,FALSE)</f>
        <v>9:00 P.M.</v>
      </c>
      <c r="F314" t="str">
        <f>VLOOKUP(Tabla3[[#This Row],[Site]],Table35[],11,FALSE)</f>
        <v>ET</v>
      </c>
      <c r="G314" t="str">
        <f>VLOOKUP(Tabla3[[#This Row],[Site]],Table35[],12,FALSE)</f>
        <v>5:00 A.M.</v>
      </c>
      <c r="H314" s="74" t="str">
        <f>HYPERLINK(VLOOKUP(Tabla3[[#This Row],[Site]],Table35[#All],9,FALSE))</f>
        <v>https://tools.sig.systems/site/details/308</v>
      </c>
      <c r="I314" t="str">
        <f>VLOOKUP(Tabla3[[#This Row],[Site]],Table35[],13,FALSE)</f>
        <v>https://www.google.com/maps/d/edit?hl=es&amp;mid=11XB1lTSP7EcDCDvzypdUPWP6bWCNAEI&amp;ll=39.21145022420528%2C-76.94003711910554&amp;z=21</v>
      </c>
      <c r="J314" t="str">
        <f>VLOOKUP(Tabla3[[#This Row],[Site]],Table35[],14,FALSE)</f>
        <v>10:00 A.M.</v>
      </c>
      <c r="L314" s="32" t="str">
        <f>VLOOKUP(Tabla3[[#This Row],[Site]],Table35[#All],2,FALSE)</f>
        <v>-</v>
      </c>
      <c r="M314" s="32" t="str">
        <f>VLOOKUP(Tabla3[[#This Row],[Site]],Table35[#All],3,FALSE)</f>
        <v>1, 5</v>
      </c>
      <c r="N314" s="32" t="str">
        <f>VLOOKUP(Tabla3[[#This Row],[Site]],Table35[#All],4,FALSE)</f>
        <v>-</v>
      </c>
      <c r="O314" s="32" t="str">
        <f>VLOOKUP(Tabla3[[#This Row],[Site]],Table35[#All],5,FALSE)</f>
        <v>-</v>
      </c>
      <c r="P314" s="32" t="str">
        <f>VLOOKUP(Tabla3[[#This Row],[Site]],Table35[#All],6,FALSE)</f>
        <v>14, 16</v>
      </c>
      <c r="Q314" s="32" t="str">
        <f>VLOOKUP(Tabla3[[#This Row],[Site]],Table35[#All],8,FALSE)</f>
        <v>308</v>
      </c>
    </row>
    <row r="315" spans="1:17" hidden="1" x14ac:dyDescent="0.25">
      <c r="A315" t="str">
        <f>+Tabla3[[#This Row],[Site]]&amp;Tabla3[[#This Row],[Split]]</f>
        <v>(AS) Koons Falls Church Ford (NO TOURS)6</v>
      </c>
      <c r="B315">
        <v>6</v>
      </c>
      <c r="C315">
        <v>2</v>
      </c>
      <c r="D315" t="s">
        <v>388</v>
      </c>
      <c r="E315" t="str">
        <f>VLOOKUP(Tabla3[[#This Row],[Site]],Table35[],10,FALSE)</f>
        <v>9:00 P.M.</v>
      </c>
      <c r="F315" t="str">
        <f>VLOOKUP(Tabla3[[#This Row],[Site]],Table35[],11,FALSE)</f>
        <v>ET</v>
      </c>
      <c r="G315" t="str">
        <f>VLOOKUP(Tabla3[[#This Row],[Site]],Table35[],12,FALSE)</f>
        <v>5:00 A.M.</v>
      </c>
      <c r="H315" s="74" t="str">
        <f>HYPERLINK(VLOOKUP(Tabla3[[#This Row],[Site]],Table35[#All],9,FALSE))</f>
        <v>https://tools.sig.systems/site/details/345</v>
      </c>
      <c r="I315" t="str">
        <f>VLOOKUP(Tabla3[[#This Row],[Site]],Table35[],13,FALSE)</f>
        <v>-</v>
      </c>
      <c r="J315" t="str">
        <f>VLOOKUP(Tabla3[[#This Row],[Site]],Table35[],14,FALSE)</f>
        <v>10:00 A.M.</v>
      </c>
      <c r="L315" s="32" t="str">
        <f>VLOOKUP(Tabla3[[#This Row],[Site]],Table35[#All],2,FALSE)</f>
        <v>-</v>
      </c>
      <c r="M315" s="32">
        <f>VLOOKUP(Tabla3[[#This Row],[Site]],Table35[#All],3,FALSE)</f>
        <v>1</v>
      </c>
      <c r="N315" s="32" t="str">
        <f>VLOOKUP(Tabla3[[#This Row],[Site]],Table35[#All],4,FALSE)</f>
        <v>-</v>
      </c>
      <c r="O315" s="32" t="str">
        <f>VLOOKUP(Tabla3[[#This Row],[Site]],Table35[#All],5,FALSE)</f>
        <v>-</v>
      </c>
      <c r="P315" s="32" t="str">
        <f>VLOOKUP(Tabla3[[#This Row],[Site]],Table35[#All],6,FALSE)</f>
        <v>-</v>
      </c>
      <c r="Q315" s="32" t="str">
        <f>VLOOKUP(Tabla3[[#This Row],[Site]],Table35[#All],8,FALSE)</f>
        <v>345</v>
      </c>
    </row>
    <row r="316" spans="1:17" hidden="1" x14ac:dyDescent="0.25">
      <c r="A316" t="str">
        <f>+Tabla3[[#This Row],[Site]]&amp;Tabla3[[#This Row],[Split]]</f>
        <v>(AS) Koons Owings Mills Kia (NO TOURS)6</v>
      </c>
      <c r="B316">
        <v>6</v>
      </c>
      <c r="C316">
        <v>2</v>
      </c>
      <c r="D316" t="s">
        <v>416</v>
      </c>
      <c r="E316" t="str">
        <f>VLOOKUP(Tabla3[[#This Row],[Site]],Table35[],10,FALSE)</f>
        <v>9:00 P.M.</v>
      </c>
      <c r="F316" t="str">
        <f>VLOOKUP(Tabla3[[#This Row],[Site]],Table35[],11,FALSE)</f>
        <v>ET</v>
      </c>
      <c r="G316" t="str">
        <f>VLOOKUP(Tabla3[[#This Row],[Site]],Table35[],12,FALSE)</f>
        <v>5:00 A.M.</v>
      </c>
      <c r="H316" s="74" t="str">
        <f>HYPERLINK(VLOOKUP(Tabla3[[#This Row],[Site]],Table35[#All],9,FALSE))</f>
        <v>https://tools.sig.systems/site/details/336</v>
      </c>
      <c r="I316" t="str">
        <f>VLOOKUP(Tabla3[[#This Row],[Site]],Table35[],13,FALSE)</f>
        <v>-</v>
      </c>
      <c r="J316" t="str">
        <f>VLOOKUP(Tabla3[[#This Row],[Site]],Table35[],14,FALSE)</f>
        <v>-</v>
      </c>
      <c r="L316" s="32">
        <f>VLOOKUP(Tabla3[[#This Row],[Site]],Table35[#All],2,FALSE)</f>
        <v>12</v>
      </c>
      <c r="M316" s="32" t="str">
        <f>VLOOKUP(Tabla3[[#This Row],[Site]],Table35[#All],3,FALSE)</f>
        <v>2, 18</v>
      </c>
      <c r="N316" s="32" t="str">
        <f>VLOOKUP(Tabla3[[#This Row],[Site]],Table35[#All],4,FALSE)</f>
        <v>-</v>
      </c>
      <c r="O316" s="32" t="str">
        <f>VLOOKUP(Tabla3[[#This Row],[Site]],Table35[#All],5,FALSE)</f>
        <v>-</v>
      </c>
      <c r="P316" s="32" t="str">
        <f>VLOOKUP(Tabla3[[#This Row],[Site]],Table35[#All],6,FALSE)</f>
        <v>7, 14</v>
      </c>
      <c r="Q316" s="32">
        <v>336</v>
      </c>
    </row>
    <row r="317" spans="1:17" hidden="1" x14ac:dyDescent="0.25">
      <c r="A317" t="str">
        <f>+Tabla3[[#This Row],[Site]]&amp;Tabla3[[#This Row],[Split]]</f>
        <v>(AS) Koons Westminster Toyota (NO TOURS)6</v>
      </c>
      <c r="B317">
        <v>6</v>
      </c>
      <c r="C317">
        <v>2</v>
      </c>
      <c r="D317" t="s">
        <v>422</v>
      </c>
      <c r="E317" t="str">
        <f>VLOOKUP(Tabla3[[#This Row],[Site]],Table35[],10,FALSE)</f>
        <v>9:00 P.M.</v>
      </c>
      <c r="F317" t="str">
        <f>VLOOKUP(Tabla3[[#This Row],[Site]],Table35[],11,FALSE)</f>
        <v>ET</v>
      </c>
      <c r="G317" t="str">
        <f>VLOOKUP(Tabla3[[#This Row],[Site]],Table35[],12,FALSE)</f>
        <v>5:00 A.M.</v>
      </c>
      <c r="H317" s="74" t="str">
        <f>HYPERLINK(VLOOKUP(Tabla3[[#This Row],[Site]],Table35[#All],9,FALSE))</f>
        <v>https://tools.sig.systems/site/details/341</v>
      </c>
      <c r="I317" t="str">
        <f>VLOOKUP(Tabla3[[#This Row],[Site]],Table35[],13,FALSE)</f>
        <v>-</v>
      </c>
      <c r="J317" t="str">
        <f>VLOOKUP(Tabla3[[#This Row],[Site]],Table35[],14,FALSE)</f>
        <v>-</v>
      </c>
      <c r="L317" s="32" t="str">
        <f>VLOOKUP(Tabla3[[#This Row],[Site]],Table35[#All],2,FALSE)</f>
        <v>-</v>
      </c>
      <c r="M317" s="32" t="str">
        <f>VLOOKUP(Tabla3[[#This Row],[Site]],Table35[#All],3,FALSE)</f>
        <v>1, 7, 9, 18, 25</v>
      </c>
      <c r="N317" s="32" t="str">
        <f>VLOOKUP(Tabla3[[#This Row],[Site]],Table35[#All],4,FALSE)</f>
        <v>-</v>
      </c>
      <c r="O317" s="32" t="str">
        <f>VLOOKUP(Tabla3[[#This Row],[Site]],Table35[#All],5,FALSE)</f>
        <v>-</v>
      </c>
      <c r="P317" s="32" t="str">
        <f>VLOOKUP(Tabla3[[#This Row],[Site]],Table35[#All],6,FALSE)</f>
        <v>8, 14, 16</v>
      </c>
      <c r="Q317" s="32">
        <v>341</v>
      </c>
    </row>
    <row r="318" spans="1:17" hidden="1" x14ac:dyDescent="0.25">
      <c r="A318" t="str">
        <f>+Tabla3[[#This Row],[Site]]&amp;Tabla3[[#This Row],[Split]]</f>
        <v>(AS) Koons Woodbridge GMC (NO TOURS)6</v>
      </c>
      <c r="B318">
        <v>6</v>
      </c>
      <c r="C318">
        <v>2</v>
      </c>
      <c r="D318" t="s">
        <v>383</v>
      </c>
      <c r="E318" t="str">
        <f>VLOOKUP(Tabla3[[#This Row],[Site]],Table35[],10,FALSE)</f>
        <v>9:00 P.M.</v>
      </c>
      <c r="F318" t="str">
        <f>VLOOKUP(Tabla3[[#This Row],[Site]],Table35[],11,FALSE)</f>
        <v>ET</v>
      </c>
      <c r="G318" t="str">
        <f>VLOOKUP(Tabla3[[#This Row],[Site]],Table35[],12,FALSE)</f>
        <v>5:00 A.M.</v>
      </c>
      <c r="H318" s="74" t="str">
        <f>HYPERLINK(VLOOKUP(Tabla3[[#This Row],[Site]],Table35[#All],9,FALSE))</f>
        <v>https://tools.sig.systems/site/details/343</v>
      </c>
      <c r="I318">
        <f>VLOOKUP(Tabla3[[#This Row],[Site]],Table35[],13,FALSE)</f>
        <v>0</v>
      </c>
      <c r="J318" t="str">
        <f>VLOOKUP(Tabla3[[#This Row],[Site]],Table35[],14,FALSE)</f>
        <v>10:00 A.M.</v>
      </c>
      <c r="L318" s="32" t="str">
        <f>VLOOKUP(Tabla3[[#This Row],[Site]],Table35[#All],2,FALSE)</f>
        <v>-</v>
      </c>
      <c r="M318" s="32">
        <f>VLOOKUP(Tabla3[[#This Row],[Site]],Table35[#All],3,FALSE)</f>
        <v>1</v>
      </c>
      <c r="N318" s="32" t="str">
        <f>VLOOKUP(Tabla3[[#This Row],[Site]],Table35[#All],4,FALSE)</f>
        <v>-</v>
      </c>
      <c r="O318" s="32">
        <f>VLOOKUP(Tabla3[[#This Row],[Site]],Table35[#All],5,FALSE)</f>
        <v>11</v>
      </c>
      <c r="P318" s="32" t="str">
        <f>VLOOKUP(Tabla3[[#This Row],[Site]],Table35[#All],6,FALSE)</f>
        <v>2, 7</v>
      </c>
      <c r="Q318" s="32" t="str">
        <f>VLOOKUP(Tabla3[[#This Row],[Site]],Table35[#All],8,FALSE)</f>
        <v>343</v>
      </c>
    </row>
    <row r="319" spans="1:17" hidden="1" x14ac:dyDescent="0.25">
      <c r="A319" t="str">
        <f>+Tabla3[[#This Row],[Site]]&amp;Tabla3[[#This Row],[Split]]</f>
        <v>(KG) Ken Garff Kia of Avondale6</v>
      </c>
      <c r="B319">
        <v>6</v>
      </c>
      <c r="C319">
        <v>2</v>
      </c>
      <c r="D319" t="s">
        <v>297</v>
      </c>
      <c r="E319" t="str">
        <f>VLOOKUP(Tabla3[[#This Row],[Site]],Table35[],10,FALSE)</f>
        <v>12:00 A.M.</v>
      </c>
      <c r="F319" t="str">
        <f>VLOOKUP(Tabla3[[#This Row],[Site]],Table35[],11,FALSE)</f>
        <v>MST</v>
      </c>
      <c r="G319" t="str">
        <f>VLOOKUP(Tabla3[[#This Row],[Site]],Table35[],12,FALSE)</f>
        <v>8:00 A.M.</v>
      </c>
      <c r="H319" s="74" t="str">
        <f>HYPERLINK(VLOOKUP(Tabla3[[#This Row],[Site]],Table35[#All],9,FALSE))</f>
        <v>https://tools.sig.systems/site/details/283</v>
      </c>
      <c r="I319" t="str">
        <f>VLOOKUP(Tabla3[[#This Row],[Site]],Table35[],13,FALSE)</f>
        <v>https://www.google.com/maps/d/viewer?mid=1bDs0QGFZwL3vEeGKxjVMk_j4azr0-lg&amp;ll=33.4593758581648%2C-112.28793780000001&amp;z=18</v>
      </c>
      <c r="J319" t="str">
        <f>VLOOKUP(Tabla3[[#This Row],[Site]],Table35[],14,FALSE)</f>
        <v>12:00 P.M.</v>
      </c>
      <c r="L319" s="32" t="str">
        <f>VLOOKUP(Tabla3[[#This Row],[Site]],Table35[#All],2,FALSE)</f>
        <v>5, 19</v>
      </c>
      <c r="M319" s="32" t="str">
        <f>VLOOKUP(Tabla3[[#This Row],[Site]],Table35[#All],3,FALSE)</f>
        <v>-</v>
      </c>
      <c r="N319" s="32" t="str">
        <f>VLOOKUP(Tabla3[[#This Row],[Site]],Table35[#All],4,FALSE)</f>
        <v>-</v>
      </c>
      <c r="O319" s="32" t="str">
        <f>VLOOKUP(Tabla3[[#This Row],[Site]],Table35[#All],5,FALSE)</f>
        <v>3, 5</v>
      </c>
      <c r="P319" s="32" t="str">
        <f>VLOOKUP(Tabla3[[#This Row],[Site]],Table35[#All],6,FALSE)</f>
        <v>1, 6, 7, 12, 15, 17, 21</v>
      </c>
      <c r="Q319" s="32" t="str">
        <f>VLOOKUP(Tabla3[[#This Row],[Site]],Table35[#All],8,FALSE)</f>
        <v>283</v>
      </c>
    </row>
    <row r="320" spans="1:17" hidden="1" x14ac:dyDescent="0.25">
      <c r="A320" t="str">
        <f>+Tabla3[[#This Row],[Site]]&amp;Tabla3[[#This Row],[Split]]</f>
        <v>(LT) Luther Brookdale Honda (NO TOURS)6</v>
      </c>
      <c r="B320">
        <v>6</v>
      </c>
      <c r="C320">
        <v>2</v>
      </c>
      <c r="D320" t="s">
        <v>271</v>
      </c>
      <c r="E320" t="str">
        <f>VLOOKUP(Tabla3[[#This Row],[Site]],Table35[],10,FALSE)</f>
        <v>10:00 P.M.</v>
      </c>
      <c r="F320" t="str">
        <f>VLOOKUP(Tabla3[[#This Row],[Site]],Table35[],11,FALSE)</f>
        <v>CT</v>
      </c>
      <c r="G320" t="str">
        <f>VLOOKUP(Tabla3[[#This Row],[Site]],Table35[],12,FALSE)</f>
        <v>6:00 A.M.</v>
      </c>
      <c r="H320" s="74" t="str">
        <f>HYPERLINK(VLOOKUP(Tabla3[[#This Row],[Site]],Table35[#All],9,FALSE))</f>
        <v>https://tools.sig.systems/site/details/280</v>
      </c>
      <c r="I320" t="str">
        <f>VLOOKUP(Tabla3[[#This Row],[Site]],Table35[],13,FALSE)</f>
        <v>https://www.google.com/maps/d/viewer?mid=1ot0ILX76JMuvd9yMuqkb4_e0yH1n7TA&amp;ll=45.07815812965141%2C-93.33506855000002&amp;z=17</v>
      </c>
      <c r="J320" t="str">
        <f>VLOOKUP(Tabla3[[#This Row],[Site]],Table35[],14,FALSE)</f>
        <v>-</v>
      </c>
      <c r="L320" s="32" t="str">
        <f>VLOOKUP(Tabla3[[#This Row],[Site]],Table35[#All],2,FALSE)</f>
        <v>-</v>
      </c>
      <c r="M320" s="32" t="str">
        <f>VLOOKUP(Tabla3[[#This Row],[Site]],Table35[#All],3,FALSE)</f>
        <v>1, 21</v>
      </c>
      <c r="N320" s="32" t="str">
        <f>VLOOKUP(Tabla3[[#This Row],[Site]],Table35[#All],4,FALSE)</f>
        <v>38, 39, 40</v>
      </c>
      <c r="O320" s="32" t="str">
        <f>VLOOKUP(Tabla3[[#This Row],[Site]],Table35[#All],5,FALSE)</f>
        <v>2, 10, 19</v>
      </c>
      <c r="P320" s="32" t="str">
        <f>VLOOKUP(Tabla3[[#This Row],[Site]],Table35[#All],6,FALSE)</f>
        <v>4, 5, 7, 11, 13, 20, 24, 36</v>
      </c>
      <c r="Q320" s="32" t="str">
        <f>VLOOKUP(Tabla3[[#This Row],[Site]],Table35[#All],8,FALSE)</f>
        <v>280</v>
      </c>
    </row>
    <row r="321" spans="1:17" hidden="1" x14ac:dyDescent="0.25">
      <c r="A321" t="str">
        <f>+Tabla3[[#This Row],[Site]]&amp;Tabla3[[#This Row],[Split]]</f>
        <v>(LT) Luther Genesis of Minneapolis6</v>
      </c>
      <c r="B321">
        <v>6</v>
      </c>
      <c r="C321">
        <v>2</v>
      </c>
      <c r="D321" t="s">
        <v>260</v>
      </c>
      <c r="E321" t="str">
        <f>VLOOKUP(Tabla3[[#This Row],[Site]],Table35[],10,FALSE)</f>
        <v>10:00 P.M.</v>
      </c>
      <c r="F321" t="str">
        <f>VLOOKUP(Tabla3[[#This Row],[Site]],Table35[],11,FALSE)</f>
        <v>CT</v>
      </c>
      <c r="G321" t="str">
        <f>VLOOKUP(Tabla3[[#This Row],[Site]],Table35[],12,FALSE)</f>
        <v>6:00 A.M.</v>
      </c>
      <c r="H321" s="74" t="str">
        <f>HYPERLINK(VLOOKUP(Tabla3[[#This Row],[Site]],Table35[#All],9,FALSE))</f>
        <v>https://tools.sig.systems/site/details/315</v>
      </c>
      <c r="I321">
        <f>VLOOKUP(Tabla3[[#This Row],[Site]],Table35[],13,FALSE)</f>
        <v>0</v>
      </c>
      <c r="J321" t="str">
        <f>VLOOKUP(Tabla3[[#This Row],[Site]],Table35[],14,FALSE)</f>
        <v>-</v>
      </c>
      <c r="L321" s="32" t="str">
        <f>VLOOKUP(Tabla3[[#This Row],[Site]],Table35[#All],2,FALSE)</f>
        <v>-</v>
      </c>
      <c r="M321" s="32" t="str">
        <f>VLOOKUP(Tabla3[[#This Row],[Site]],Table35[#All],3,FALSE)</f>
        <v>1,2,3,18</v>
      </c>
      <c r="N321" s="32" t="str">
        <f>VLOOKUP(Tabla3[[#This Row],[Site]],Table35[#All],4,FALSE)</f>
        <v>-</v>
      </c>
      <c r="O321" s="32" t="str">
        <f>VLOOKUP(Tabla3[[#This Row],[Site]],Table35[#All],5,FALSE)</f>
        <v>-</v>
      </c>
      <c r="P321" s="32" t="str">
        <f>VLOOKUP(Tabla3[[#This Row],[Site]],Table35[#All],6,FALSE)</f>
        <v>1,2,3,5,16,18</v>
      </c>
      <c r="Q321" s="32" t="str">
        <f>VLOOKUP(Tabla3[[#This Row],[Site]],Table35[#All],8,FALSE)</f>
        <v>315</v>
      </c>
    </row>
    <row r="322" spans="1:17" hidden="1" x14ac:dyDescent="0.25">
      <c r="A322" t="str">
        <f>+Tabla3[[#This Row],[Site]]&amp;Tabla3[[#This Row],[Split]]</f>
        <v>(PE) JLR Englewood (NO TOURS)6</v>
      </c>
      <c r="B322">
        <v>6</v>
      </c>
      <c r="C322">
        <v>2</v>
      </c>
      <c r="D322" t="s">
        <v>216</v>
      </c>
      <c r="E322" t="str">
        <f>VLOOKUP(Tabla3[[#This Row],[Site]],Table35[],10,FALSE)</f>
        <v>8:00 P.M.</v>
      </c>
      <c r="F322" t="str">
        <f>VLOOKUP(Tabla3[[#This Row],[Site]],Table35[],11,FALSE)</f>
        <v>ET</v>
      </c>
      <c r="G322" t="str">
        <f>VLOOKUP(Tabla3[[#This Row],[Site]],Table35[],12,FALSE)</f>
        <v>5:00 A.M.</v>
      </c>
      <c r="H322" s="74" t="str">
        <f>HYPERLINK(VLOOKUP(Tabla3[[#This Row],[Site]],Table35[#All],9,FALSE))</f>
        <v>https://tools.sig.systems/site/details/178</v>
      </c>
      <c r="I322" t="str">
        <f>VLOOKUP(Tabla3[[#This Row],[Site]],Table35[],13,FALSE)</f>
        <v>https://www.google.com/maps/d/viewer?mid=1ubI2iKs1JyYXssuT4oLPnVvFnyLPi_s&amp;ll=40.878808846788026%2C-73.98560655&amp;z=17</v>
      </c>
      <c r="J322" t="str">
        <f>VLOOKUP(Tabla3[[#This Row],[Site]],Table35[],14,FALSE)</f>
        <v>-</v>
      </c>
      <c r="L322" s="32" t="str">
        <f>VLOOKUP(Tabla3[[#This Row],[Site]],Table35[#All],2,FALSE)</f>
        <v>1, 2</v>
      </c>
      <c r="M322" s="32" t="str">
        <f>VLOOKUP(Tabla3[[#This Row],[Site]],Table35[#All],3,FALSE)</f>
        <v>-</v>
      </c>
      <c r="N322" s="32" t="str">
        <f>VLOOKUP(Tabla3[[#This Row],[Site]],Table35[#All],4,FALSE)</f>
        <v>-</v>
      </c>
      <c r="O322" s="32" t="str">
        <f>VLOOKUP(Tabla3[[#This Row],[Site]],Table35[#All],5,FALSE)</f>
        <v>-</v>
      </c>
      <c r="P322" s="32" t="str">
        <f>VLOOKUP(Tabla3[[#This Row],[Site]],Table35[#All],6,FALSE)</f>
        <v>-</v>
      </c>
      <c r="Q322" s="32" t="str">
        <f>VLOOKUP(Tabla3[[#This Row],[Site]],Table35[#All],8,FALSE)</f>
        <v>178</v>
      </c>
    </row>
    <row r="323" spans="1:17" hidden="1" x14ac:dyDescent="0.25">
      <c r="A323" t="str">
        <f>+Tabla3[[#This Row],[Site]]&amp;Tabla3[[#This Row],[Split]]</f>
        <v>(PE) JLR Paramus (NO TOURS)6</v>
      </c>
      <c r="B323">
        <v>6</v>
      </c>
      <c r="C323">
        <v>2</v>
      </c>
      <c r="D323" t="s">
        <v>210</v>
      </c>
      <c r="E323" t="str">
        <f>VLOOKUP(Tabla3[[#This Row],[Site]],Table35[],10,FALSE)</f>
        <v>8:00 P.M.</v>
      </c>
      <c r="F323" t="str">
        <f>VLOOKUP(Tabla3[[#This Row],[Site]],Table35[],11,FALSE)</f>
        <v>ET</v>
      </c>
      <c r="G323" t="str">
        <f>VLOOKUP(Tabla3[[#This Row],[Site]],Table35[],12,FALSE)</f>
        <v>5:00 A.M.</v>
      </c>
      <c r="H323" s="74" t="str">
        <f>HYPERLINK(VLOOKUP(Tabla3[[#This Row],[Site]],Table35[#All],9,FALSE))</f>
        <v>https://tools.sig.systems/site/details/177</v>
      </c>
      <c r="I323">
        <f>VLOOKUP(Tabla3[[#This Row],[Site]],Table35[],13,FALSE)</f>
        <v>0</v>
      </c>
      <c r="J323" t="str">
        <f>VLOOKUP(Tabla3[[#This Row],[Site]],Table35[],14,FALSE)</f>
        <v>-</v>
      </c>
      <c r="L323" s="32" t="str">
        <f>VLOOKUP(Tabla3[[#This Row],[Site]],Table35[#All],2,FALSE)</f>
        <v>1, 17</v>
      </c>
      <c r="M323" s="32" t="str">
        <f>VLOOKUP(Tabla3[[#This Row],[Site]],Table35[#All],3,FALSE)</f>
        <v>-</v>
      </c>
      <c r="N323" s="32" t="str">
        <f>VLOOKUP(Tabla3[[#This Row],[Site]],Table35[#All],4,FALSE)</f>
        <v>-</v>
      </c>
      <c r="O323" s="32" t="str">
        <f>VLOOKUP(Tabla3[[#This Row],[Site]],Table35[#All],5,FALSE)</f>
        <v>-</v>
      </c>
      <c r="P323" s="32" t="str">
        <f>VLOOKUP(Tabla3[[#This Row],[Site]],Table35[#All],6,FALSE)</f>
        <v>1, 17</v>
      </c>
      <c r="Q323" s="32" t="str">
        <f>VLOOKUP(Tabla3[[#This Row],[Site]],Table35[#All],8,FALSE)</f>
        <v>177</v>
      </c>
    </row>
    <row r="324" spans="1:17" hidden="1" x14ac:dyDescent="0.25">
      <c r="A324" t="str">
        <f>+Tabla3[[#This Row],[Site]]&amp;Tabla3[[#This Row],[Split]]</f>
        <v>(PE) Porsche Audi Fairfield (NO TOURS)6</v>
      </c>
      <c r="B324">
        <v>6</v>
      </c>
      <c r="C324">
        <v>2</v>
      </c>
      <c r="D324" t="s">
        <v>362</v>
      </c>
      <c r="E324" t="str">
        <f>VLOOKUP(Tabla3[[#This Row],[Site]],Table35[],10,FALSE)</f>
        <v>8:00 P.M.</v>
      </c>
      <c r="F324" t="str">
        <f>VLOOKUP(Tabla3[[#This Row],[Site]],Table35[],11,FALSE)</f>
        <v>ET</v>
      </c>
      <c r="G324" t="str">
        <f>VLOOKUP(Tabla3[[#This Row],[Site]],Table35[],12,FALSE)</f>
        <v>5:00 A.M.</v>
      </c>
      <c r="H324" s="74" t="str">
        <f>HYPERLINK(VLOOKUP(Tabla3[[#This Row],[Site]],Table35[#All],9,FALSE))</f>
        <v>https://tools.sig.systems/site/details/194</v>
      </c>
      <c r="I324">
        <f>VLOOKUP(Tabla3[[#This Row],[Site]],Table35[],13,FALSE)</f>
        <v>0</v>
      </c>
      <c r="J324" t="str">
        <f>VLOOKUP(Tabla3[[#This Row],[Site]],Table35[],14,FALSE)</f>
        <v>-</v>
      </c>
      <c r="L324" s="32" t="str">
        <f>VLOOKUP(Tabla3[[#This Row],[Site]],Table35[#All],2,FALSE)</f>
        <v>1, 18</v>
      </c>
      <c r="M324" s="32" t="str">
        <f>VLOOKUP(Tabla3[[#This Row],[Site]],Table35[#All],3,FALSE)</f>
        <v>-</v>
      </c>
      <c r="N324" s="32" t="str">
        <f>VLOOKUP(Tabla3[[#This Row],[Site]],Table35[#All],4,FALSE)</f>
        <v>-</v>
      </c>
      <c r="O324" s="32">
        <f>VLOOKUP(Tabla3[[#This Row],[Site]],Table35[#All],5,FALSE)</f>
        <v>20</v>
      </c>
      <c r="P324" s="32">
        <f>VLOOKUP(Tabla3[[#This Row],[Site]],Table35[#All],6,FALSE)</f>
        <v>15</v>
      </c>
      <c r="Q324" s="32" t="str">
        <f>VLOOKUP(Tabla3[[#This Row],[Site]],Table35[#All],8,FALSE)</f>
        <v>194</v>
      </c>
    </row>
    <row r="325" spans="1:17" hidden="1" x14ac:dyDescent="0.25">
      <c r="A325" t="str">
        <f>+Tabla3[[#This Row],[Site]]&amp;Tabla3[[#This Row],[Split]]</f>
        <v>(AS) Koons Chevrolet Buick GMC - Tysons (NO TOURS)6</v>
      </c>
      <c r="B325">
        <v>6</v>
      </c>
      <c r="C325">
        <v>3</v>
      </c>
      <c r="D325" t="s">
        <v>386</v>
      </c>
      <c r="E325" t="str">
        <f>VLOOKUP(Tabla3[[#This Row],[Site]],Table35[],10,FALSE)</f>
        <v>9:00 P.M.</v>
      </c>
      <c r="F325" t="str">
        <f>VLOOKUP(Tabla3[[#This Row],[Site]],Table35[],11,FALSE)</f>
        <v>ET</v>
      </c>
      <c r="G325" t="str">
        <f>VLOOKUP(Tabla3[[#This Row],[Site]],Table35[],12,FALSE)</f>
        <v>5:00 A.M.</v>
      </c>
      <c r="H325" s="74" t="str">
        <f>HYPERLINK(VLOOKUP(Tabla3[[#This Row],[Site]],Table35[#All],9,FALSE))</f>
        <v>https://tools.sig.systems/site/details/352</v>
      </c>
      <c r="I325" t="str">
        <f>VLOOKUP(Tabla3[[#This Row],[Site]],Table35[],13,FALSE)</f>
        <v>-</v>
      </c>
      <c r="J325" t="str">
        <f>VLOOKUP(Tabla3[[#This Row],[Site]],Table35[],14,FALSE)</f>
        <v>10:00 A.M.</v>
      </c>
      <c r="L325" s="32" t="str">
        <f>VLOOKUP(Tabla3[[#This Row],[Site]],Table35[#All],2,FALSE)</f>
        <v>4, 6</v>
      </c>
      <c r="M325" s="32" t="str">
        <f>VLOOKUP(Tabla3[[#This Row],[Site]],Table35[#All],3,FALSE)</f>
        <v>-</v>
      </c>
      <c r="N325" s="32" t="str">
        <f>VLOOKUP(Tabla3[[#This Row],[Site]],Table35[#All],4,FALSE)</f>
        <v>-</v>
      </c>
      <c r="O325" s="32">
        <f>VLOOKUP(Tabla3[[#This Row],[Site]],Table35[#All],5,FALSE)</f>
        <v>4</v>
      </c>
      <c r="P325" s="32" t="str">
        <f>VLOOKUP(Tabla3[[#This Row],[Site]],Table35[#All],6,FALSE)</f>
        <v>6, 12, 15</v>
      </c>
      <c r="Q325" s="32" t="str">
        <f>VLOOKUP(Tabla3[[#This Row],[Site]],Table35[#All],8,FALSE)</f>
        <v>352</v>
      </c>
    </row>
    <row r="326" spans="1:17" hidden="1" x14ac:dyDescent="0.25">
      <c r="A326" t="str">
        <f>+Tabla3[[#This Row],[Site]]&amp;Tabla3[[#This Row],[Split]]</f>
        <v>(AS) Koons Tysons Toyota - Main Dealership (NO TOURS)6</v>
      </c>
      <c r="B326">
        <v>6</v>
      </c>
      <c r="C326">
        <v>3</v>
      </c>
      <c r="D326" t="s">
        <v>432</v>
      </c>
      <c r="E326" t="str">
        <f>VLOOKUP(Tabla3[[#This Row],[Site]],Table35[],10,FALSE)</f>
        <v>9:00 P.M.</v>
      </c>
      <c r="F326" t="str">
        <f>VLOOKUP(Tabla3[[#This Row],[Site]],Table35[],11,FALSE)</f>
        <v>ET</v>
      </c>
      <c r="G326" t="str">
        <f>VLOOKUP(Tabla3[[#This Row],[Site]],Table35[],12,FALSE)</f>
        <v>5:00 A.M.</v>
      </c>
      <c r="H326" s="74" t="str">
        <f>HYPERLINK(VLOOKUP(Tabla3[[#This Row],[Site]],Table35[#All],9,FALSE))</f>
        <v>https://tools.sig.systems/site/details/344</v>
      </c>
      <c r="I326" t="str">
        <f>VLOOKUP(Tabla3[[#This Row],[Site]],Table35[],13,FALSE)</f>
        <v>-</v>
      </c>
      <c r="J326" t="str">
        <f>VLOOKUP(Tabla3[[#This Row],[Site]],Table35[],14,FALSE)</f>
        <v>-</v>
      </c>
      <c r="L326" s="32" t="str">
        <f>VLOOKUP(Tabla3[[#This Row],[Site]],Table35[#All],2,FALSE)</f>
        <v>-</v>
      </c>
      <c r="M326" s="32" t="str">
        <f>VLOOKUP(Tabla3[[#This Row],[Site]],Table35[#All],3,FALSE)</f>
        <v>1, 25</v>
      </c>
      <c r="N326" s="32" t="str">
        <f>VLOOKUP(Tabla3[[#This Row],[Site]],Table35[#All],4,FALSE)</f>
        <v>-</v>
      </c>
      <c r="O326" s="32" t="str">
        <f>VLOOKUP(Tabla3[[#This Row],[Site]],Table35[#All],5,FALSE)</f>
        <v>-</v>
      </c>
      <c r="P326" s="32" t="str">
        <f>VLOOKUP(Tabla3[[#This Row],[Site]],Table35[#All],6,FALSE)</f>
        <v>13, 22, 27</v>
      </c>
      <c r="Q326" s="32" t="str">
        <f>VLOOKUP(Tabla3[[#This Row],[Site]],Table35[#All],8,FALSE)</f>
        <v>344</v>
      </c>
    </row>
    <row r="327" spans="1:17" hidden="1" x14ac:dyDescent="0.25">
      <c r="A327" t="str">
        <f>+Tabla3[[#This Row],[Site]]&amp;Tabla3[[#This Row],[Split]]</f>
        <v>(AS) Koons White Marsh Chevrolet (NO TOURS)6</v>
      </c>
      <c r="B327">
        <v>6</v>
      </c>
      <c r="C327">
        <v>3</v>
      </c>
      <c r="D327" t="s">
        <v>393</v>
      </c>
      <c r="E327" t="str">
        <f>VLOOKUP(Tabla3[[#This Row],[Site]],Table35[],10,FALSE)</f>
        <v>9:00 P.M.</v>
      </c>
      <c r="F327" t="str">
        <f>VLOOKUP(Tabla3[[#This Row],[Site]],Table35[],11,FALSE)</f>
        <v>ET</v>
      </c>
      <c r="G327" t="str">
        <f>VLOOKUP(Tabla3[[#This Row],[Site]],Table35[],12,FALSE)</f>
        <v>5:00 A.M.</v>
      </c>
      <c r="H327" s="74" t="str">
        <f>HYPERLINK(VLOOKUP(Tabla3[[#This Row],[Site]],Table35[#All],9,FALSE))</f>
        <v>https://tools.sig.systems/site/details/339</v>
      </c>
      <c r="I327" t="str">
        <f>VLOOKUP(Tabla3[[#This Row],[Site]],Table35[],13,FALSE)</f>
        <v>-</v>
      </c>
      <c r="J327" t="str">
        <f>VLOOKUP(Tabla3[[#This Row],[Site]],Table35[],14,FALSE)</f>
        <v>-</v>
      </c>
      <c r="L327" s="32">
        <f>VLOOKUP(Tabla3[[#This Row],[Site]],Table35[#All],2,FALSE)</f>
        <v>25</v>
      </c>
      <c r="M327" s="32">
        <f>VLOOKUP(Tabla3[[#This Row],[Site]],Table35[#All],3,FALSE)</f>
        <v>10</v>
      </c>
      <c r="N327" s="32" t="str">
        <f>VLOOKUP(Tabla3[[#This Row],[Site]],Table35[#All],4,FALSE)</f>
        <v>-</v>
      </c>
      <c r="O327" s="32" t="str">
        <f>VLOOKUP(Tabla3[[#This Row],[Site]],Table35[#All],5,FALSE)</f>
        <v>-</v>
      </c>
      <c r="P327" s="32">
        <f>VLOOKUP(Tabla3[[#This Row],[Site]],Table35[#All],6,FALSE)</f>
        <v>12</v>
      </c>
      <c r="Q327" s="32" t="str">
        <f>VLOOKUP(Tabla3[[#This Row],[Site]],Table35[#All],8,FALSE)</f>
        <v>339</v>
      </c>
    </row>
    <row r="328" spans="1:17" hidden="1" x14ac:dyDescent="0.25">
      <c r="A328" t="str">
        <f>+Tabla3[[#This Row],[Site]]&amp;Tabla3[[#This Row],[Split]]</f>
        <v>(AS) Koons Woodbridge Ford (NO TOURS)6</v>
      </c>
      <c r="B328">
        <v>6</v>
      </c>
      <c r="C328">
        <v>3</v>
      </c>
      <c r="D328" t="s">
        <v>384</v>
      </c>
      <c r="E328" t="str">
        <f>VLOOKUP(Tabla3[[#This Row],[Site]],Table35[],10,FALSE)</f>
        <v>9:00 P.M.</v>
      </c>
      <c r="F328" t="str">
        <f>VLOOKUP(Tabla3[[#This Row],[Site]],Table35[],11,FALSE)</f>
        <v>ET</v>
      </c>
      <c r="G328" t="str">
        <f>VLOOKUP(Tabla3[[#This Row],[Site]],Table35[],12,FALSE)</f>
        <v>5:00 A.M.</v>
      </c>
      <c r="H328" s="74" t="str">
        <f>HYPERLINK(VLOOKUP(Tabla3[[#This Row],[Site]],Table35[#All],9,FALSE))</f>
        <v>https://tools.sig.systems/site/details/342</v>
      </c>
      <c r="I328">
        <f>VLOOKUP(Tabla3[[#This Row],[Site]],Table35[],13,FALSE)</f>
        <v>0</v>
      </c>
      <c r="J328" t="str">
        <f>VLOOKUP(Tabla3[[#This Row],[Site]],Table35[],14,FALSE)</f>
        <v>9:00 A.M.</v>
      </c>
      <c r="L328" s="32" t="str">
        <f>VLOOKUP(Tabla3[[#This Row],[Site]],Table35[#All],2,FALSE)</f>
        <v>-</v>
      </c>
      <c r="M328" s="32" t="str">
        <f>VLOOKUP(Tabla3[[#This Row],[Site]],Table35[#All],3,FALSE)</f>
        <v>3, 24, 26, 27, 31, 36</v>
      </c>
      <c r="N328" s="32" t="str">
        <f>VLOOKUP(Tabla3[[#This Row],[Site]],Table35[#All],4,FALSE)</f>
        <v>-</v>
      </c>
      <c r="O328" s="32" t="str">
        <f>VLOOKUP(Tabla3[[#This Row],[Site]],Table35[#All],5,FALSE)</f>
        <v>-</v>
      </c>
      <c r="P328" s="32" t="str">
        <f>VLOOKUP(Tabla3[[#This Row],[Site]],Table35[#All],6,FALSE)</f>
        <v>13, 26, 29</v>
      </c>
      <c r="Q328" s="32" t="str">
        <f>VLOOKUP(Tabla3[[#This Row],[Site]],Table35[#All],8,FALSE)</f>
        <v>342</v>
      </c>
    </row>
    <row r="329" spans="1:17" hidden="1" x14ac:dyDescent="0.25">
      <c r="A329" t="str">
        <f>+Tabla3[[#This Row],[Site]]&amp;Tabla3[[#This Row],[Split]]</f>
        <v>(AS) Larry H Miller CDJR Fiat (NO TOURS)6</v>
      </c>
      <c r="B329">
        <v>6</v>
      </c>
      <c r="C329">
        <v>3</v>
      </c>
      <c r="D329" t="s">
        <v>215</v>
      </c>
      <c r="E329" t="str">
        <f>VLOOKUP(Tabla3[[#This Row],[Site]],Table35[],10,FALSE)</f>
        <v>11:00 P.M.</v>
      </c>
      <c r="F329" t="str">
        <f>VLOOKUP(Tabla3[[#This Row],[Site]],Table35[],11,FALSE)</f>
        <v>MT</v>
      </c>
      <c r="G329" t="str">
        <f>VLOOKUP(Tabla3[[#This Row],[Site]],Table35[],12,FALSE)</f>
        <v>7:00 A.M.</v>
      </c>
      <c r="H329" s="74" t="str">
        <f>HYPERLINK(VLOOKUP(Tabla3[[#This Row],[Site]],Table35[#All],9,FALSE))</f>
        <v>https://tools.sig.systems/site/details/298</v>
      </c>
      <c r="I329">
        <f>VLOOKUP(Tabla3[[#This Row],[Site]],Table35[],13,FALSE)</f>
        <v>0</v>
      </c>
      <c r="J329" t="str">
        <f>VLOOKUP(Tabla3[[#This Row],[Site]],Table35[],14,FALSE)</f>
        <v>-</v>
      </c>
      <c r="L329" s="32" t="str">
        <f>VLOOKUP(Tabla3[[#This Row],[Site]],Table35[#All],2,FALSE)</f>
        <v>7, 11</v>
      </c>
      <c r="M329" s="32" t="str">
        <f>VLOOKUP(Tabla3[[#This Row],[Site]],Table35[#All],3,FALSE)</f>
        <v>2, 3</v>
      </c>
      <c r="N329" s="32" t="str">
        <f>VLOOKUP(Tabla3[[#This Row],[Site]],Table35[#All],4,FALSE)</f>
        <v>-</v>
      </c>
      <c r="O329" s="32" t="str">
        <f>VLOOKUP(Tabla3[[#This Row],[Site]],Table35[#All],5,FALSE)</f>
        <v>-</v>
      </c>
      <c r="P329" s="32" t="str">
        <f>VLOOKUP(Tabla3[[#This Row],[Site]],Table35[#All],6,FALSE)</f>
        <v xml:space="preserve">2, 6, 10, 15, 18 </v>
      </c>
      <c r="Q329" s="32" t="str">
        <f>VLOOKUP(Tabla3[[#This Row],[Site]],Table35[#All],8,FALSE)</f>
        <v>298</v>
      </c>
    </row>
    <row r="330" spans="1:17" hidden="1" x14ac:dyDescent="0.25">
      <c r="A330" t="str">
        <f>+Tabla3[[#This Row],[Site]]&amp;Tabla3[[#This Row],[Split]]</f>
        <v>(AS) Plaza Collision ST Louis (NO TOURS)6</v>
      </c>
      <c r="B330">
        <v>6</v>
      </c>
      <c r="C330">
        <v>3</v>
      </c>
      <c r="D330" t="s">
        <v>437</v>
      </c>
      <c r="E330" t="str">
        <f>VLOOKUP(Tabla3[[#This Row],[Site]],Table35[],10,FALSE)</f>
        <v>10:00 P.M.</v>
      </c>
      <c r="F330" t="str">
        <f>VLOOKUP(Tabla3[[#This Row],[Site]],Table35[],11,FALSE)</f>
        <v>CT</v>
      </c>
      <c r="G330" t="str">
        <f>VLOOKUP(Tabla3[[#This Row],[Site]],Table35[],12,FALSE)</f>
        <v>6:00 A.M.</v>
      </c>
      <c r="H330" s="74" t="str">
        <f>HYPERLINK(VLOOKUP(Tabla3[[#This Row],[Site]],Table35[#All],9,FALSE))</f>
        <v>https://tools.sig.systems/site/details/350</v>
      </c>
      <c r="I330" t="str">
        <f>VLOOKUP(Tabla3[[#This Row],[Site]],Table35[],13,FALSE)</f>
        <v>-</v>
      </c>
      <c r="J330" t="str">
        <f>VLOOKUP(Tabla3[[#This Row],[Site]],Table35[],14,FALSE)</f>
        <v>-</v>
      </c>
      <c r="L330" s="32" t="str">
        <f>VLOOKUP(Tabla3[[#This Row],[Site]],Table35[#All],2,FALSE)</f>
        <v>2, 6</v>
      </c>
      <c r="M330" s="32">
        <f>VLOOKUP(Tabla3[[#This Row],[Site]],Table35[#All],3,FALSE)</f>
        <v>1</v>
      </c>
      <c r="N330" s="32" t="str">
        <f>VLOOKUP(Tabla3[[#This Row],[Site]],Table35[#All],4,FALSE)</f>
        <v>-</v>
      </c>
      <c r="O330" s="32" t="str">
        <f>VLOOKUP(Tabla3[[#This Row],[Site]],Table35[#All],5,FALSE)</f>
        <v>-</v>
      </c>
      <c r="P330" s="32">
        <f>VLOOKUP(Tabla3[[#This Row],[Site]],Table35[#All],6,FALSE)</f>
        <v>3</v>
      </c>
      <c r="Q330" s="32" t="str">
        <f>VLOOKUP(Tabla3[[#This Row],[Site]],Table35[#All],8,FALSE)</f>
        <v>350</v>
      </c>
    </row>
    <row r="331" spans="1:17" hidden="1" x14ac:dyDescent="0.25">
      <c r="A331" t="str">
        <f>+Tabla3[[#This Row],[Site]]&amp;Tabla3[[#This Row],[Split]]</f>
        <v>(KG) Ken Garff Volkswagen of Gilbert6</v>
      </c>
      <c r="B331">
        <v>6</v>
      </c>
      <c r="C331">
        <v>3</v>
      </c>
      <c r="D331" t="s">
        <v>129</v>
      </c>
      <c r="E331" t="str">
        <f>VLOOKUP(Tabla3[[#This Row],[Site]],Table35[],10,FALSE)</f>
        <v>12:00 A.M.</v>
      </c>
      <c r="F331" t="str">
        <f>VLOOKUP(Tabla3[[#This Row],[Site]],Table35[],11,FALSE)</f>
        <v>MST</v>
      </c>
      <c r="G331" t="str">
        <f>VLOOKUP(Tabla3[[#This Row],[Site]],Table35[],12,FALSE)</f>
        <v>8:00 A.M.</v>
      </c>
      <c r="H331" s="74" t="str">
        <f>HYPERLINK(VLOOKUP(Tabla3[[#This Row],[Site]],Table35[#All],9,FALSE))</f>
        <v>https://tools.sig.systems/site/details/284</v>
      </c>
      <c r="I331" t="str">
        <f>VLOOKUP(Tabla3[[#This Row],[Site]],Table35[],13,FALSE)</f>
        <v>https://www.google.com/maps/d/viewer?hl=es&amp;mid=19SU7XE9Cg8jhVFpEI21Vi9Zfgdih9Ds&amp;ll=33.29158262977276%2C-111.75783630000002&amp;z=17</v>
      </c>
      <c r="J331" t="str">
        <f>VLOOKUP(Tabla3[[#This Row],[Site]],Table35[],14,FALSE)</f>
        <v>12:00 P.M.</v>
      </c>
      <c r="L331" s="32" t="str">
        <f>VLOOKUP(Tabla3[[#This Row],[Site]],Table35[#All],2,FALSE)</f>
        <v>4, 6</v>
      </c>
      <c r="M331" s="32" t="str">
        <f>VLOOKUP(Tabla3[[#This Row],[Site]],Table35[#All],3,FALSE)</f>
        <v>-</v>
      </c>
      <c r="N331" s="32" t="str">
        <f>VLOOKUP(Tabla3[[#This Row],[Site]],Table35[#All],4,FALSE)</f>
        <v>-</v>
      </c>
      <c r="O331" s="32" t="str">
        <f>VLOOKUP(Tabla3[[#This Row],[Site]],Table35[#All],5,FALSE)</f>
        <v>2, 14</v>
      </c>
      <c r="P331" s="32" t="str">
        <f>VLOOKUP(Tabla3[[#This Row],[Site]],Table35[#All],6,FALSE)</f>
        <v>1, 5, 8, 9, 17, 19, 21</v>
      </c>
      <c r="Q331" s="32" t="str">
        <f>VLOOKUP(Tabla3[[#This Row],[Site]],Table35[#All],8,FALSE)</f>
        <v>284</v>
      </c>
    </row>
    <row r="332" spans="1:17" hidden="1" x14ac:dyDescent="0.25">
      <c r="A332" t="str">
        <f>+Tabla3[[#This Row],[Site]]&amp;Tabla3[[#This Row],[Split]]</f>
        <v>(LT) Luther Hopkins Honda (NO TOURS)6</v>
      </c>
      <c r="B332">
        <v>6</v>
      </c>
      <c r="C332">
        <v>3</v>
      </c>
      <c r="D332" t="s">
        <v>303</v>
      </c>
      <c r="E332" t="str">
        <f>VLOOKUP(Tabla3[[#This Row],[Site]],Table35[],10,FALSE)</f>
        <v>10:00 P.M.</v>
      </c>
      <c r="F332" t="str">
        <f>VLOOKUP(Tabla3[[#This Row],[Site]],Table35[],11,FALSE)</f>
        <v>CT</v>
      </c>
      <c r="G332" t="str">
        <f>VLOOKUP(Tabla3[[#This Row],[Site]],Table35[],12,FALSE)</f>
        <v>6:00 A.M.</v>
      </c>
      <c r="H332" s="74" t="str">
        <f>HYPERLINK(VLOOKUP(Tabla3[[#This Row],[Site]],Table35[#All],9,FALSE))</f>
        <v>https://tools.sig.systems/site/details/288</v>
      </c>
      <c r="I332">
        <f>VLOOKUP(Tabla3[[#This Row],[Site]],Table35[],13,FALSE)</f>
        <v>0</v>
      </c>
      <c r="J332" t="str">
        <f>VLOOKUP(Tabla3[[#This Row],[Site]],Table35[],14,FALSE)</f>
        <v>-</v>
      </c>
      <c r="L332" s="32" t="str">
        <f>VLOOKUP(Tabla3[[#This Row],[Site]],Table35[#All],2,FALSE)</f>
        <v>-</v>
      </c>
      <c r="M332" s="32" t="str">
        <f>VLOOKUP(Tabla3[[#This Row],[Site]],Table35[#All],3,FALSE)</f>
        <v>9, 36</v>
      </c>
      <c r="N332" s="32" t="str">
        <f>VLOOKUP(Tabla3[[#This Row],[Site]],Table35[#All],4,FALSE)</f>
        <v>38, 39</v>
      </c>
      <c r="O332" s="32" t="str">
        <f>VLOOKUP(Tabla3[[#This Row],[Site]],Table35[#All],5,FALSE)</f>
        <v>3, 26</v>
      </c>
      <c r="P332" s="32" t="str">
        <f>VLOOKUP(Tabla3[[#This Row],[Site]],Table35[#All],6,FALSE)</f>
        <v>1, 4, 11, 18, 23, 25, 31</v>
      </c>
      <c r="Q332" s="32" t="str">
        <f>VLOOKUP(Tabla3[[#This Row],[Site]],Table35[#All],8,FALSE)</f>
        <v>288</v>
      </c>
    </row>
    <row r="333" spans="1:17" hidden="1" x14ac:dyDescent="0.25">
      <c r="A333" t="str">
        <f>+Tabla3[[#This Row],[Site]]&amp;Tabla3[[#This Row],[Split]]</f>
        <v>(PE) MB of Greenwich6</v>
      </c>
      <c r="B333">
        <v>6</v>
      </c>
      <c r="C333">
        <v>3</v>
      </c>
      <c r="D333" t="s">
        <v>120</v>
      </c>
      <c r="E333" t="str">
        <f>VLOOKUP(Tabla3[[#This Row],[Site]],Table35[],10,FALSE)</f>
        <v>8:00 P.M.</v>
      </c>
      <c r="F333" t="str">
        <f>VLOOKUP(Tabla3[[#This Row],[Site]],Table35[],11,FALSE)</f>
        <v>ET</v>
      </c>
      <c r="G333" t="str">
        <f>VLOOKUP(Tabla3[[#This Row],[Site]],Table35[],12,FALSE)</f>
        <v>5:00 A.M.</v>
      </c>
      <c r="H333" s="74" t="str">
        <f>HYPERLINK(VLOOKUP(Tabla3[[#This Row],[Site]],Table35[#All],9,FALSE))</f>
        <v>https://tools.sig.systems/site/details/188</v>
      </c>
      <c r="I333" t="str">
        <f>VLOOKUP(Tabla3[[#This Row],[Site]],Table35[],13,FALSE)</f>
        <v>https://www.google.com/maps/d/edit?hl=en&amp;mid=1UHmt7tH1ihTa85i0MfQIcTfVvIQg_vM&amp;ll=41.02423447529239%2C-73.63721502222738&amp;z=18</v>
      </c>
      <c r="J333" t="str">
        <f>VLOOKUP(Tabla3[[#This Row],[Site]],Table35[],14,FALSE)</f>
        <v>-</v>
      </c>
      <c r="L333" s="32" t="str">
        <f>VLOOKUP(Tabla3[[#This Row],[Site]],Table35[#All],2,FALSE)</f>
        <v>1, 2, 8</v>
      </c>
      <c r="M333" s="32" t="str">
        <f>VLOOKUP(Tabla3[[#This Row],[Site]],Table35[#All],3,FALSE)</f>
        <v>13, 14, 20, 26, 40</v>
      </c>
      <c r="N333" s="32" t="str">
        <f>VLOOKUP(Tabla3[[#This Row],[Site]],Table35[#All],4,FALSE)</f>
        <v>-</v>
      </c>
      <c r="O333" s="32" t="str">
        <f>VLOOKUP(Tabla3[[#This Row],[Site]],Table35[#All],5,FALSE)</f>
        <v>-</v>
      </c>
      <c r="P333" s="32">
        <f>VLOOKUP(Tabla3[[#This Row],[Site]],Table35[#All],6,FALSE)</f>
        <v>29</v>
      </c>
      <c r="Q333" s="32" t="str">
        <f>VLOOKUP(Tabla3[[#This Row],[Site]],Table35[#All],8,FALSE)</f>
        <v>188</v>
      </c>
    </row>
    <row r="334" spans="1:17" hidden="1" x14ac:dyDescent="0.25">
      <c r="A334" t="str">
        <f>+Tabla3[[#This Row],[Site]]&amp;Tabla3[[#This Row],[Split]]</f>
        <v>Mario Residence6</v>
      </c>
      <c r="B334">
        <v>6</v>
      </c>
      <c r="C334">
        <v>3</v>
      </c>
      <c r="D334" t="s">
        <v>100</v>
      </c>
      <c r="E334" t="str">
        <f>VLOOKUP(Tabla3[[#This Row],[Site]],Table35[],10,FALSE)</f>
        <v>24H</v>
      </c>
      <c r="F334" t="str">
        <f>VLOOKUP(Tabla3[[#This Row],[Site]],Table35[],11,FALSE)</f>
        <v>ET</v>
      </c>
      <c r="G334" t="str">
        <f>VLOOKUP(Tabla3[[#This Row],[Site]],Table35[],12,FALSE)</f>
        <v>-</v>
      </c>
      <c r="H334" s="74" t="str">
        <f>HYPERLINK(VLOOKUP(Tabla3[[#This Row],[Site]],Table35[#All],9,FALSE))</f>
        <v>https://tools.sig.systems/site/details/148</v>
      </c>
      <c r="I334" t="str">
        <f>VLOOKUP(Tabla3[[#This Row],[Site]],Table35[],13,FALSE)</f>
        <v>https://www.google.com/maps/d/edit?hl=es&amp;mid=13OmECPqyeB7fXgZmEoM9cnG34HU_v5g&amp;ll=26.046837034777553%2C-80.38753458591658&amp;z=19</v>
      </c>
      <c r="J334" t="str">
        <f>VLOOKUP(Tabla3[[#This Row],[Site]],Table35[],14,FALSE)</f>
        <v>-</v>
      </c>
      <c r="L334" s="32" t="str">
        <f>VLOOKUP(Tabla3[[#This Row],[Site]],Table35[#All],2,FALSE)</f>
        <v>7, 8</v>
      </c>
      <c r="M334" s="32" t="str">
        <f>VLOOKUP(Tabla3[[#This Row],[Site]],Table35[#All],3,FALSE)</f>
        <v>7, 8</v>
      </c>
      <c r="N334" s="32" t="str">
        <f>VLOOKUP(Tabla3[[#This Row],[Site]],Table35[#All],4,FALSE)</f>
        <v>-</v>
      </c>
      <c r="O334" s="32" t="str">
        <f>VLOOKUP(Tabla3[[#This Row],[Site]],Table35[#All],5,FALSE)</f>
        <v>-</v>
      </c>
      <c r="P334" s="32" t="str">
        <f>VLOOKUP(Tabla3[[#This Row],[Site]],Table35[#All],6,FALSE)</f>
        <v>4,12,13</v>
      </c>
      <c r="Q334" s="32">
        <v>199</v>
      </c>
    </row>
    <row r="335" spans="1:17" hidden="1" x14ac:dyDescent="0.25">
      <c r="A335" t="str">
        <f>+Tabla3[[#This Row],[Site]]&amp;Tabla3[[#This Row],[Split]]</f>
        <v>(AS) Coggin Honda of Orlando (NO TOURS)6</v>
      </c>
      <c r="B335">
        <v>6</v>
      </c>
      <c r="C335">
        <v>4</v>
      </c>
      <c r="D335" t="s">
        <v>375</v>
      </c>
      <c r="E335" t="str">
        <f>VLOOKUP(Tabla3[[#This Row],[Site]],Table35[],10,FALSE)</f>
        <v>9:00 P.M.</v>
      </c>
      <c r="F335" t="str">
        <f>VLOOKUP(Tabla3[[#This Row],[Site]],Table35[],11,FALSE)</f>
        <v>ET</v>
      </c>
      <c r="G335" t="str">
        <f>VLOOKUP(Tabla3[[#This Row],[Site]],Table35[],12,FALSE)</f>
        <v>5:00 A.M.</v>
      </c>
      <c r="H335" s="74" t="str">
        <f>HYPERLINK(VLOOKUP(Tabla3[[#This Row],[Site]],Table35[#All],9,FALSE))</f>
        <v>https://tools.sig.systems/site/details/324</v>
      </c>
      <c r="I335">
        <f>VLOOKUP(Tabla3[[#This Row],[Site]],Table35[],13,FALSE)</f>
        <v>0</v>
      </c>
      <c r="J335" t="str">
        <f>VLOOKUP(Tabla3[[#This Row],[Site]],Table35[],14,FALSE)</f>
        <v>11:00 A.M.</v>
      </c>
      <c r="L335" s="32" t="str">
        <f>VLOOKUP(Tabla3[[#This Row],[Site]],Table35[#All],2,FALSE)</f>
        <v>2, 10, 12B, 14, 38</v>
      </c>
      <c r="M335" s="32" t="str">
        <f>VLOOKUP(Tabla3[[#This Row],[Site]],Table35[#All],3,FALSE)</f>
        <v>-</v>
      </c>
      <c r="N335" s="32" t="str">
        <f>VLOOKUP(Tabla3[[#This Row],[Site]],Table35[#All],4,FALSE)</f>
        <v>-</v>
      </c>
      <c r="O335" s="32" t="str">
        <f>VLOOKUP(Tabla3[[#This Row],[Site]],Table35[#All],5,FALSE)</f>
        <v>12, 31</v>
      </c>
      <c r="P335" s="32" t="str">
        <f>VLOOKUP(Tabla3[[#This Row],[Site]],Table35[#All],6,FALSE)</f>
        <v>12B, 26, 37, 19</v>
      </c>
      <c r="Q335" s="32" t="str">
        <f>VLOOKUP(Tabla3[[#This Row],[Site]],Table35[#All],8,FALSE)</f>
        <v>324</v>
      </c>
    </row>
    <row r="336" spans="1:17" hidden="1" x14ac:dyDescent="0.25">
      <c r="A336" t="str">
        <f>+Tabla3[[#This Row],[Site]]&amp;Tabla3[[#This Row],[Split]]</f>
        <v>(AS) Kahlo CDJR (NO TOURS)6</v>
      </c>
      <c r="B336">
        <v>6</v>
      </c>
      <c r="C336">
        <v>4</v>
      </c>
      <c r="D336" t="s">
        <v>378</v>
      </c>
      <c r="E336" t="str">
        <f>VLOOKUP(Tabla3[[#This Row],[Site]],Table35[],10,FALSE)</f>
        <v>9:00 P.M.</v>
      </c>
      <c r="F336" t="str">
        <f>VLOOKUP(Tabla3[[#This Row],[Site]],Table35[],11,FALSE)</f>
        <v>ET</v>
      </c>
      <c r="G336" t="str">
        <f>VLOOKUP(Tabla3[[#This Row],[Site]],Table35[],12,FALSE)</f>
        <v>5:00 A.M.</v>
      </c>
      <c r="H336" s="74" t="str">
        <f>HYPERLINK(VLOOKUP(Tabla3[[#This Row],[Site]],Table35[#All],9,FALSE))</f>
        <v>https://tools.sig.systems/site/details/282</v>
      </c>
      <c r="I336" t="str">
        <f>VLOOKUP(Tabla3[[#This Row],[Site]],Table35[],13,FALSE)</f>
        <v>https://www.google.com/maps/d/edit?mid=1hsX5GGrNcCQgAuzDCDz1OWgEkhsAc78&amp;usp=sharing</v>
      </c>
      <c r="J336" t="str">
        <f>VLOOKUP(Tabla3[[#This Row],[Site]],Table35[],14,FALSE)</f>
        <v>-</v>
      </c>
      <c r="L336" s="32" t="str">
        <f>VLOOKUP(Tabla3[[#This Row],[Site]],Table35[#All],2,FALSE)</f>
        <v>-</v>
      </c>
      <c r="M336" s="32" t="str">
        <f>VLOOKUP(Tabla3[[#This Row],[Site]],Table35[#All],3,FALSE)</f>
        <v>12, 25</v>
      </c>
      <c r="N336" s="32" t="str">
        <f>VLOOKUP(Tabla3[[#This Row],[Site]],Table35[#All],4,FALSE)</f>
        <v>15, 16</v>
      </c>
      <c r="O336" s="32">
        <f>VLOOKUP(Tabla3[[#This Row],[Site]],Table35[#All],5,FALSE)</f>
        <v>20</v>
      </c>
      <c r="P336" s="32" t="str">
        <f>VLOOKUP(Tabla3[[#This Row],[Site]],Table35[#All],6,FALSE)</f>
        <v>1, 2, 9, 22, 31, 57</v>
      </c>
      <c r="Q336" s="32" t="str">
        <f>VLOOKUP(Tabla3[[#This Row],[Site]],Table35[#All],8,FALSE)</f>
        <v>282</v>
      </c>
    </row>
    <row r="337" spans="1:17" hidden="1" x14ac:dyDescent="0.25">
      <c r="A337" t="str">
        <f>+Tabla3[[#This Row],[Site]]&amp;Tabla3[[#This Row],[Split]]</f>
        <v>(AS) Koons Baltimore Ford - Main Dealership (NO TOURS)6</v>
      </c>
      <c r="B337">
        <v>6</v>
      </c>
      <c r="C337">
        <v>4</v>
      </c>
      <c r="D337" t="s">
        <v>351</v>
      </c>
      <c r="E337" t="str">
        <f>VLOOKUP(Tabla3[[#This Row],[Site]],Table35[],10,FALSE)</f>
        <v>9:00 P.M.</v>
      </c>
      <c r="F337" t="str">
        <f>VLOOKUP(Tabla3[[#This Row],[Site]],Table35[],11,FALSE)</f>
        <v>ET</v>
      </c>
      <c r="G337" t="str">
        <f>VLOOKUP(Tabla3[[#This Row],[Site]],Table35[],12,FALSE)</f>
        <v>5:00 A.M.</v>
      </c>
      <c r="H337" s="74" t="str">
        <f>HYPERLINK(VLOOKUP(Tabla3[[#This Row],[Site]],Table35[#All],9,FALSE))</f>
        <v>https://tools.sig.systems/site/details/335</v>
      </c>
      <c r="I337" t="str">
        <f>VLOOKUP(Tabla3[[#This Row],[Site]],Table35[],13,FALSE)</f>
        <v>-</v>
      </c>
      <c r="J337" t="str">
        <f>VLOOKUP(Tabla3[[#This Row],[Site]],Table35[],14,FALSE)</f>
        <v>-</v>
      </c>
      <c r="L337" s="32" t="str">
        <f>VLOOKUP(Tabla3[[#This Row],[Site]],Table35[#All],2,FALSE)</f>
        <v>21, 22, 24, 32, 45</v>
      </c>
      <c r="M337" s="32">
        <f>VLOOKUP(Tabla3[[#This Row],[Site]],Table35[#All],3,FALSE)</f>
        <v>1</v>
      </c>
      <c r="N337" s="32" t="str">
        <f>VLOOKUP(Tabla3[[#This Row],[Site]],Table35[#All],4,FALSE)</f>
        <v>-</v>
      </c>
      <c r="O337" s="32" t="str">
        <f>VLOOKUP(Tabla3[[#This Row],[Site]],Table35[#All],5,FALSE)</f>
        <v>1, 8</v>
      </c>
      <c r="P337" s="32" t="str">
        <f>VLOOKUP(Tabla3[[#This Row],[Site]],Table35[#All],6,FALSE)</f>
        <v>5, 28, 38</v>
      </c>
      <c r="Q337" s="32">
        <v>335</v>
      </c>
    </row>
    <row r="338" spans="1:17" hidden="1" x14ac:dyDescent="0.25">
      <c r="A338" t="str">
        <f>+Tabla3[[#This Row],[Site]]&amp;Tabla3[[#This Row],[Split]]</f>
        <v>(AS) Koons Easton Toyota - Main Dealership (NO TOURS)6</v>
      </c>
      <c r="B338">
        <v>6</v>
      </c>
      <c r="C338">
        <v>4</v>
      </c>
      <c r="D338" t="s">
        <v>426</v>
      </c>
      <c r="E338" t="str">
        <f>VLOOKUP(Tabla3[[#This Row],[Site]],Table35[],10,FALSE)</f>
        <v>9:00 P.M.</v>
      </c>
      <c r="F338" t="str">
        <f>VLOOKUP(Tabla3[[#This Row],[Site]],Table35[],11,FALSE)</f>
        <v>ET</v>
      </c>
      <c r="G338" t="str">
        <f>VLOOKUP(Tabla3[[#This Row],[Site]],Table35[],12,FALSE)</f>
        <v>5:00 A.M.</v>
      </c>
      <c r="H338" s="74" t="str">
        <f>HYPERLINK(VLOOKUP(Tabla3[[#This Row],[Site]],Table35[#All],9,FALSE))</f>
        <v>https://tools.sig.systems/site/details/340</v>
      </c>
      <c r="I338" t="str">
        <f>VLOOKUP(Tabla3[[#This Row],[Site]],Table35[],13,FALSE)</f>
        <v>-</v>
      </c>
      <c r="J338" t="str">
        <f>VLOOKUP(Tabla3[[#This Row],[Site]],Table35[],14,FALSE)</f>
        <v>-</v>
      </c>
      <c r="L338" s="32" t="str">
        <f>VLOOKUP(Tabla3[[#This Row],[Site]],Table35[#All],2,FALSE)</f>
        <v>-</v>
      </c>
      <c r="M338" s="32" t="str">
        <f>VLOOKUP(Tabla3[[#This Row],[Site]],Table35[#All],3,FALSE)</f>
        <v>4, 5</v>
      </c>
      <c r="N338" s="32" t="str">
        <f>VLOOKUP(Tabla3[[#This Row],[Site]],Table35[#All],4,FALSE)</f>
        <v>-</v>
      </c>
      <c r="O338" s="32" t="str">
        <f>VLOOKUP(Tabla3[[#This Row],[Site]],Table35[#All],5,FALSE)</f>
        <v>-</v>
      </c>
      <c r="P338" s="32" t="str">
        <f>VLOOKUP(Tabla3[[#This Row],[Site]],Table35[#All],6,FALSE)</f>
        <v>8, 15</v>
      </c>
      <c r="Q338" s="32" t="str">
        <f>VLOOKUP(Tabla3[[#This Row],[Site]],Table35[#All],8,FALSE)</f>
        <v>340</v>
      </c>
    </row>
    <row r="339" spans="1:17" hidden="1" x14ac:dyDescent="0.25">
      <c r="A339" t="str">
        <f>+Tabla3[[#This Row],[Site]]&amp;Tabla3[[#This Row],[Split]]</f>
        <v>(AS) Plaza Mercedes Benz West (NO TOURS)6</v>
      </c>
      <c r="B339">
        <v>6</v>
      </c>
      <c r="C339">
        <v>4</v>
      </c>
      <c r="D339" t="s">
        <v>394</v>
      </c>
      <c r="E339" t="str">
        <f>VLOOKUP(Tabla3[[#This Row],[Site]],Table35[],10,FALSE)</f>
        <v>10:00 P.M.</v>
      </c>
      <c r="F339" t="str">
        <f>VLOOKUP(Tabla3[[#This Row],[Site]],Table35[],11,FALSE)</f>
        <v>CT</v>
      </c>
      <c r="G339" t="str">
        <f>VLOOKUP(Tabla3[[#This Row],[Site]],Table35[],12,FALSE)</f>
        <v>6:00 A.M.</v>
      </c>
      <c r="H339" s="74" t="str">
        <f>HYPERLINK(VLOOKUP(Tabla3[[#This Row],[Site]],Table35[#All],9,FALSE))</f>
        <v>https://tools.sig.systems/site/details/349</v>
      </c>
      <c r="I339">
        <f>VLOOKUP(Tabla3[[#This Row],[Site]],Table35[],13,FALSE)</f>
        <v>0</v>
      </c>
      <c r="J339" t="str">
        <f>VLOOKUP(Tabla3[[#This Row],[Site]],Table35[],14,FALSE)</f>
        <v>-</v>
      </c>
      <c r="L339" s="32" t="str">
        <f>VLOOKUP(Tabla3[[#This Row],[Site]],Table35[#All],2,FALSE)</f>
        <v>-</v>
      </c>
      <c r="M339" s="32" t="str">
        <f>VLOOKUP(Tabla3[[#This Row],[Site]],Table35[#All],3,FALSE)</f>
        <v>1, 7</v>
      </c>
      <c r="N339" s="32" t="str">
        <f>VLOOKUP(Tabla3[[#This Row],[Site]],Table35[#All],4,FALSE)</f>
        <v>-</v>
      </c>
      <c r="O339" s="32">
        <f>VLOOKUP(Tabla3[[#This Row],[Site]],Table35[#All],5,FALSE)</f>
        <v>17</v>
      </c>
      <c r="P339" s="32" t="str">
        <f>VLOOKUP(Tabla3[[#This Row],[Site]],Table35[#All],6,FALSE)</f>
        <v>6, 21</v>
      </c>
      <c r="Q339" s="32" t="str">
        <f>VLOOKUP(Tabla3[[#This Row],[Site]],Table35[#All],8,FALSE)</f>
        <v>349</v>
      </c>
    </row>
    <row r="340" spans="1:17" hidden="1" x14ac:dyDescent="0.25">
      <c r="A340" t="str">
        <f>+Tabla3[[#This Row],[Site]]&amp;Tabla3[[#This Row],[Split]]</f>
        <v>(LT) Landers Kia of Little Rock6</v>
      </c>
      <c r="B340">
        <v>6</v>
      </c>
      <c r="C340">
        <v>4</v>
      </c>
      <c r="D340" t="s">
        <v>247</v>
      </c>
      <c r="E340" t="str">
        <f>VLOOKUP(Tabla3[[#This Row],[Site]],Table35[],10,FALSE)</f>
        <v>10:00 P.M.</v>
      </c>
      <c r="F340" t="str">
        <f>VLOOKUP(Tabla3[[#This Row],[Site]],Table35[],11,FALSE)</f>
        <v>CT</v>
      </c>
      <c r="G340" t="str">
        <f>VLOOKUP(Tabla3[[#This Row],[Site]],Table35[],12,FALSE)</f>
        <v>6:00 A.M.</v>
      </c>
      <c r="H340" s="74" t="str">
        <f>HYPERLINK(VLOOKUP(Tabla3[[#This Row],[Site]],Table35[#All],9,FALSE))</f>
        <v>https://tools.sig.systems/site/details/322</v>
      </c>
      <c r="I340" t="str">
        <f>VLOOKUP(Tabla3[[#This Row],[Site]],Table35[],13,FALSE)</f>
        <v>https://www.google.com/maps/d/u/1/edit?mid=1-zEzsc6U6nZom08edp0XAd3_HYFvAyk&amp;usp=sharing</v>
      </c>
      <c r="J340" t="str">
        <f>VLOOKUP(Tabla3[[#This Row],[Site]],Table35[],14,FALSE)</f>
        <v>-</v>
      </c>
      <c r="L340" s="32" t="str">
        <f>VLOOKUP(Tabla3[[#This Row],[Site]],Table35[#All],2,FALSE)</f>
        <v>5, 9, 33, 19</v>
      </c>
      <c r="M340" s="32" t="str">
        <f>VLOOKUP(Tabla3[[#This Row],[Site]],Table35[#All],3,FALSE)</f>
        <v>-</v>
      </c>
      <c r="N340" s="32" t="str">
        <f>VLOOKUP(Tabla3[[#This Row],[Site]],Table35[#All],4,FALSE)</f>
        <v>4, 10</v>
      </c>
      <c r="O340" s="32" t="str">
        <f>VLOOKUP(Tabla3[[#This Row],[Site]],Table35[#All],5,FALSE)</f>
        <v>1, 35</v>
      </c>
      <c r="P340" s="32" t="str">
        <f>VLOOKUP(Tabla3[[#This Row],[Site]],Table35[#All],6,FALSE)</f>
        <v>5, 9, 12, 14, 18, 26, 29</v>
      </c>
      <c r="Q340" s="32" t="str">
        <f>VLOOKUP(Tabla3[[#This Row],[Site]],Table35[#All],8,FALSE)</f>
        <v>322</v>
      </c>
    </row>
    <row r="341" spans="1:17" hidden="1" x14ac:dyDescent="0.25">
      <c r="A341" t="str">
        <f>+Tabla3[[#This Row],[Site]]&amp;Tabla3[[#This Row],[Split]]</f>
        <v>(LT) Luther North Country Ford6</v>
      </c>
      <c r="B341">
        <v>6</v>
      </c>
      <c r="C341">
        <v>4</v>
      </c>
      <c r="D341" t="s">
        <v>126</v>
      </c>
      <c r="E341" t="str">
        <f>VLOOKUP(Tabla3[[#This Row],[Site]],Table35[],10,FALSE)</f>
        <v>10:00 P.M.</v>
      </c>
      <c r="F341" t="str">
        <f>VLOOKUP(Tabla3[[#This Row],[Site]],Table35[],11,FALSE)</f>
        <v>CT</v>
      </c>
      <c r="G341" t="str">
        <f>VLOOKUP(Tabla3[[#This Row],[Site]],Table35[],12,FALSE)</f>
        <v>6:00 A.M.</v>
      </c>
      <c r="H341" s="74" t="str">
        <f>HYPERLINK(VLOOKUP(Tabla3[[#This Row],[Site]],Table35[#All],9,FALSE))</f>
        <v>https://tools.sig.systems/site/details/292</v>
      </c>
      <c r="I341">
        <f>VLOOKUP(Tabla3[[#This Row],[Site]],Table35[],13,FALSE)</f>
        <v>0</v>
      </c>
      <c r="J341" t="str">
        <f>VLOOKUP(Tabla3[[#This Row],[Site]],Table35[],14,FALSE)</f>
        <v>-</v>
      </c>
      <c r="L341" s="32" t="str">
        <f>VLOOKUP(Tabla3[[#This Row],[Site]],Table35[#All],2,FALSE)</f>
        <v>-</v>
      </c>
      <c r="M341" s="32" t="str">
        <f>VLOOKUP(Tabla3[[#This Row],[Site]],Table35[#All],3,FALSE)</f>
        <v>7, 14, 19</v>
      </c>
      <c r="N341" s="32" t="str">
        <f>VLOOKUP(Tabla3[[#This Row],[Site]],Table35[#All],4,FALSE)</f>
        <v>30, 31, 32</v>
      </c>
      <c r="O341" s="32" t="str">
        <f>VLOOKUP(Tabla3[[#This Row],[Site]],Table35[#All],5,FALSE)</f>
        <v>-</v>
      </c>
      <c r="P341" s="32" t="str">
        <f>VLOOKUP(Tabla3[[#This Row],[Site]],Table35[#All],6,FALSE)</f>
        <v>1, 4, 9, 13, 15, 16B, 25</v>
      </c>
      <c r="Q341" s="32" t="str">
        <f>VLOOKUP(Tabla3[[#This Row],[Site]],Table35[#All],8,FALSE)</f>
        <v>292</v>
      </c>
    </row>
    <row r="342" spans="1:17" hidden="1" x14ac:dyDescent="0.25">
      <c r="A342" t="str">
        <f>+Tabla3[[#This Row],[Site]]&amp;Tabla3[[#This Row],[Split]]</f>
        <v>(PE) JLR Darien (NO TOURS)6</v>
      </c>
      <c r="B342">
        <v>6</v>
      </c>
      <c r="C342">
        <v>4</v>
      </c>
      <c r="D342" t="s">
        <v>370</v>
      </c>
      <c r="E342" t="str">
        <f>VLOOKUP(Tabla3[[#This Row],[Site]],Table35[],10,FALSE)</f>
        <v>8:00 P.M.</v>
      </c>
      <c r="F342" t="str">
        <f>VLOOKUP(Tabla3[[#This Row],[Site]],Table35[],11,FALSE)</f>
        <v>ET</v>
      </c>
      <c r="G342" t="str">
        <f>VLOOKUP(Tabla3[[#This Row],[Site]],Table35[],12,FALSE)</f>
        <v>5:00 A.M.</v>
      </c>
      <c r="H342" s="74" t="str">
        <f>HYPERLINK(VLOOKUP(Tabla3[[#This Row],[Site]],Table35[#All],9,FALSE))</f>
        <v>https://tools.sig.systems/site/details/189</v>
      </c>
      <c r="I342" t="str">
        <f>VLOOKUP(Tabla3[[#This Row],[Site]],Table35[],13,FALSE)</f>
        <v>-</v>
      </c>
      <c r="J342" t="str">
        <f>VLOOKUP(Tabla3[[#This Row],[Site]],Table35[],14,FALSE)</f>
        <v>-</v>
      </c>
      <c r="L342" s="32" t="str">
        <f>VLOOKUP(Tabla3[[#This Row],[Site]],Table35[#All],2,FALSE)</f>
        <v>1, 13</v>
      </c>
      <c r="M342" s="32" t="str">
        <f>VLOOKUP(Tabla3[[#This Row],[Site]],Table35[#All],3,FALSE)</f>
        <v>-</v>
      </c>
      <c r="N342" s="32" t="str">
        <f>VLOOKUP(Tabla3[[#This Row],[Site]],Table35[#All],4,FALSE)</f>
        <v>-</v>
      </c>
      <c r="O342" s="32" t="str">
        <f>VLOOKUP(Tabla3[[#This Row],[Site]],Table35[#All],5,FALSE)</f>
        <v>-</v>
      </c>
      <c r="P342" s="32" t="str">
        <f>VLOOKUP(Tabla3[[#This Row],[Site]],Table35[#All],6,FALSE)</f>
        <v>-</v>
      </c>
      <c r="Q342" s="32" t="str">
        <f>VLOOKUP(Tabla3[[#This Row],[Site]],Table35[#All],8,FALSE)</f>
        <v>189</v>
      </c>
    </row>
    <row r="343" spans="1:17" hidden="1" x14ac:dyDescent="0.25">
      <c r="A343" t="str">
        <f>+Tabla3[[#This Row],[Site]]&amp;Tabla3[[#This Row],[Split]]</f>
        <v>(AS) Hare Chevrolet (NO TOURS)6</v>
      </c>
      <c r="B343">
        <v>6</v>
      </c>
      <c r="C343">
        <v>5</v>
      </c>
      <c r="D343" t="s">
        <v>376</v>
      </c>
      <c r="E343" t="str">
        <f>VLOOKUP(Tabla3[[#This Row],[Site]],Table35[],10,FALSE)</f>
        <v>9:00 P.M.</v>
      </c>
      <c r="F343" t="str">
        <f>VLOOKUP(Tabla3[[#This Row],[Site]],Table35[],11,FALSE)</f>
        <v>ET</v>
      </c>
      <c r="G343" t="str">
        <f>VLOOKUP(Tabla3[[#This Row],[Site]],Table35[],12,FALSE)</f>
        <v>5:00 A.M.</v>
      </c>
      <c r="H343" s="74" t="str">
        <f>HYPERLINK(VLOOKUP(Tabla3[[#This Row],[Site]],Table35[#All],9,FALSE))</f>
        <v>https://tools.sig.systems/site/details/301</v>
      </c>
      <c r="I343" t="str">
        <f>VLOOKUP(Tabla3[[#This Row],[Site]],Table35[],13,FALSE)</f>
        <v>https://www.google.com/maps/d/edit?mid=1hsX5GGrNcCQgAuzDCDz1OWgEkhsAc78&amp;usp=sharing</v>
      </c>
      <c r="J343" t="str">
        <f>VLOOKUP(Tabla3[[#This Row],[Site]],Table35[],14,FALSE)</f>
        <v>-</v>
      </c>
      <c r="L343" s="32" t="str">
        <f>VLOOKUP(Tabla3[[#This Row],[Site]],Table35[#All],2,FALSE)</f>
        <v>18, 24</v>
      </c>
      <c r="M343" s="32" t="str">
        <f>VLOOKUP(Tabla3[[#This Row],[Site]],Table35[#All],3,FALSE)</f>
        <v>2, 3</v>
      </c>
      <c r="N343" s="32" t="str">
        <f>VLOOKUP(Tabla3[[#This Row],[Site]],Table35[#All],4,FALSE)</f>
        <v>-</v>
      </c>
      <c r="O343" s="32">
        <f>VLOOKUP(Tabla3[[#This Row],[Site]],Table35[#All],5,FALSE)</f>
        <v>5</v>
      </c>
      <c r="P343" s="32" t="str">
        <f>VLOOKUP(Tabla3[[#This Row],[Site]],Table35[#All],6,FALSE)</f>
        <v>1, 5, 7, 8, 21, 29</v>
      </c>
      <c r="Q343" s="32" t="str">
        <f>VLOOKUP(Tabla3[[#This Row],[Site]],Table35[#All],8,FALSE)</f>
        <v>301</v>
      </c>
    </row>
    <row r="344" spans="1:17" hidden="1" x14ac:dyDescent="0.25">
      <c r="A344" t="str">
        <f>+Tabla3[[#This Row],[Site]]&amp;Tabla3[[#This Row],[Split]]</f>
        <v>(AS) Koons Woodbridge Hyundai (NO TOURS)6</v>
      </c>
      <c r="B344">
        <v>6</v>
      </c>
      <c r="C344">
        <v>5</v>
      </c>
      <c r="D344" t="s">
        <v>406</v>
      </c>
      <c r="E344" t="str">
        <f>VLOOKUP(Tabla3[[#This Row],[Site]],Table35[],10,FALSE)</f>
        <v>9:00 P.M.</v>
      </c>
      <c r="F344" t="str">
        <f>VLOOKUP(Tabla3[[#This Row],[Site]],Table35[],11,FALSE)</f>
        <v>ET</v>
      </c>
      <c r="G344" t="str">
        <f>VLOOKUP(Tabla3[[#This Row],[Site]],Table35[],12,FALSE)</f>
        <v>5:00 A.M.</v>
      </c>
      <c r="H344" s="74" t="str">
        <f>HYPERLINK(VLOOKUP(Tabla3[[#This Row],[Site]],Table35[#All],9,FALSE))</f>
        <v>https://tools.sig.systems/site/details/347</v>
      </c>
      <c r="I344" t="str">
        <f>VLOOKUP(Tabla3[[#This Row],[Site]],Table35[],13,FALSE)</f>
        <v>-</v>
      </c>
      <c r="J344" t="str">
        <f>VLOOKUP(Tabla3[[#This Row],[Site]],Table35[],14,FALSE)</f>
        <v>8:00 A.M.</v>
      </c>
      <c r="L344" s="32" t="str">
        <f>VLOOKUP(Tabla3[[#This Row],[Site]],Table35[#All],2,FALSE)</f>
        <v>-</v>
      </c>
      <c r="M344" s="32" t="str">
        <f>VLOOKUP(Tabla3[[#This Row],[Site]],Table35[#All],3,FALSE)</f>
        <v>1, 17</v>
      </c>
      <c r="N344" s="32" t="str">
        <f>VLOOKUP(Tabla3[[#This Row],[Site]],Table35[#All],4,FALSE)</f>
        <v>-</v>
      </c>
      <c r="O344" s="32" t="str">
        <f>VLOOKUP(Tabla3[[#This Row],[Site]],Table35[#All],5,FALSE)</f>
        <v>-</v>
      </c>
      <c r="P344" s="32" t="str">
        <f>VLOOKUP(Tabla3[[#This Row],[Site]],Table35[#All],6,FALSE)</f>
        <v>4, 14, 22</v>
      </c>
      <c r="Q344" s="32" t="str">
        <f>VLOOKUP(Tabla3[[#This Row],[Site]],Table35[#All],8,FALSE)</f>
        <v>347</v>
      </c>
    </row>
    <row r="345" spans="1:17" hidden="1" x14ac:dyDescent="0.25">
      <c r="A345" t="str">
        <f>+Tabla3[[#This Row],[Site]]&amp;Tabla3[[#This Row],[Split]]</f>
        <v>(BRL) Shoemakersville6</v>
      </c>
      <c r="B345">
        <v>6</v>
      </c>
      <c r="C345">
        <v>5</v>
      </c>
      <c r="D345" t="s">
        <v>119</v>
      </c>
      <c r="E345" t="str">
        <f>VLOOKUP(Tabla3[[#This Row],[Site]],Table35[],10,FALSE)</f>
        <v>24H</v>
      </c>
      <c r="F345" t="str">
        <f>VLOOKUP(Tabla3[[#This Row],[Site]],Table35[],11,FALSE)</f>
        <v>ET</v>
      </c>
      <c r="G345" t="str">
        <f>VLOOKUP(Tabla3[[#This Row],[Site]],Table35[],12,FALSE)</f>
        <v>-</v>
      </c>
      <c r="H345" s="74" t="str">
        <f>HYPERLINK(VLOOKUP(Tabla3[[#This Row],[Site]],Table35[#All],9,FALSE))</f>
        <v>https://tools.sig.systems/site/details/302</v>
      </c>
      <c r="I345">
        <f>VLOOKUP(Tabla3[[#This Row],[Site]],Table35[],13,FALSE)</f>
        <v>0</v>
      </c>
      <c r="J345" t="str">
        <f>VLOOKUP(Tabla3[[#This Row],[Site]],Table35[],14,FALSE)</f>
        <v>-</v>
      </c>
      <c r="L345" s="32" t="str">
        <f>VLOOKUP(Tabla3[[#This Row],[Site]],Table35[#All],2,FALSE)</f>
        <v>-</v>
      </c>
      <c r="M345" s="32" t="str">
        <f>VLOOKUP(Tabla3[[#This Row],[Site]],Table35[#All],3,FALSE)</f>
        <v>8, 11</v>
      </c>
      <c r="N345" s="32" t="str">
        <f>VLOOKUP(Tabla3[[#This Row],[Site]],Table35[#All],4,FALSE)</f>
        <v>-</v>
      </c>
      <c r="O345" s="32" t="str">
        <f>VLOOKUP(Tabla3[[#This Row],[Site]],Table35[#All],5,FALSE)</f>
        <v>1, 6, 13A, 15, 18A</v>
      </c>
      <c r="P345" s="32" t="str">
        <f>VLOOKUP(Tabla3[[#This Row],[Site]],Table35[#All],6,FALSE)</f>
        <v>13B, 23</v>
      </c>
      <c r="Q345" s="32" t="str">
        <f>VLOOKUP(Tabla3[[#This Row],[Site]],Table35[#All],8,FALSE)</f>
        <v>302</v>
      </c>
    </row>
    <row r="346" spans="1:17" hidden="1" x14ac:dyDescent="0.25">
      <c r="A346" t="str">
        <f>+Tabla3[[#This Row],[Site]]&amp;Tabla3[[#This Row],[Split]]</f>
        <v>(DT) Arlington6</v>
      </c>
      <c r="B346">
        <v>6</v>
      </c>
      <c r="C346">
        <v>5</v>
      </c>
      <c r="D346" t="s">
        <v>18</v>
      </c>
      <c r="E346" t="str">
        <f>VLOOKUP(Tabla3[[#This Row],[Site]],Table35[],10,FALSE)</f>
        <v>10:00 P.M.</v>
      </c>
      <c r="F346" t="str">
        <f>VLOOKUP(Tabla3[[#This Row],[Site]],Table35[],11,FALSE)</f>
        <v>CT</v>
      </c>
      <c r="G346" t="str">
        <f>VLOOKUP(Tabla3[[#This Row],[Site]],Table35[],12,FALSE)</f>
        <v>6:00 A.M.</v>
      </c>
      <c r="H346" s="74" t="str">
        <f>HYPERLINK(VLOOKUP(Tabla3[[#This Row],[Site]],Table35[#All],9,FALSE))</f>
        <v>https://tools.sig.systems/site/details/199</v>
      </c>
      <c r="I346">
        <f>VLOOKUP(Tabla3[[#This Row],[Site]],Table35[],13,FALSE)</f>
        <v>0</v>
      </c>
      <c r="J346" t="str">
        <f>VLOOKUP(Tabla3[[#This Row],[Site]],Table35[],14,FALSE)</f>
        <v>-</v>
      </c>
      <c r="L346" s="32">
        <f>VLOOKUP(Tabla3[[#This Row],[Site]],Table35[#All],2,FALSE)</f>
        <v>8</v>
      </c>
      <c r="M346" s="32">
        <f>VLOOKUP(Tabla3[[#This Row],[Site]],Table35[#All],3,FALSE)</f>
        <v>3</v>
      </c>
      <c r="N346" s="32" t="str">
        <f>VLOOKUP(Tabla3[[#This Row],[Site]],Table35[#All],4,FALSE)</f>
        <v>-</v>
      </c>
      <c r="O346" s="32" t="str">
        <f>VLOOKUP(Tabla3[[#This Row],[Site]],Table35[#All],5,FALSE)</f>
        <v>-</v>
      </c>
      <c r="P346" s="32" t="str">
        <f>VLOOKUP(Tabla3[[#This Row],[Site]],Table35[#All],6,FALSE)</f>
        <v>3, 8, 9</v>
      </c>
      <c r="Q346" s="32">
        <v>334</v>
      </c>
    </row>
    <row r="347" spans="1:17" hidden="1" x14ac:dyDescent="0.25">
      <c r="A347" t="str">
        <f>+Tabla3[[#This Row],[Site]]&amp;Tabla3[[#This Row],[Split]]</f>
        <v>(KG) Big Star Cadillac6</v>
      </c>
      <c r="B347">
        <v>6</v>
      </c>
      <c r="C347">
        <v>5</v>
      </c>
      <c r="D347" t="s">
        <v>237</v>
      </c>
      <c r="E347" t="str">
        <f>VLOOKUP(Tabla3[[#This Row],[Site]],Table35[],10,FALSE)</f>
        <v>10:00 P.M.</v>
      </c>
      <c r="F347" t="str">
        <f>VLOOKUP(Tabla3[[#This Row],[Site]],Table35[],11,FALSE)</f>
        <v>CT</v>
      </c>
      <c r="G347" t="str">
        <f>VLOOKUP(Tabla3[[#This Row],[Site]],Table35[],12,FALSE)</f>
        <v>6:00 A.M.</v>
      </c>
      <c r="H347" s="74" t="str">
        <f>HYPERLINK(VLOOKUP(Tabla3[[#This Row],[Site]],Table35[#All],9,FALSE))</f>
        <v>https://tools.sig.systems/site/details/316</v>
      </c>
      <c r="I347" t="str">
        <f>VLOOKUP(Tabla3[[#This Row],[Site]],Table35[],13,FALSE)</f>
        <v>https://www.google.com/maps/d/edit?mid=1jIRkMUnWNPuTgDjQgDP-f33LClT85NU&amp;usp=sharing</v>
      </c>
      <c r="J347" t="str">
        <f>VLOOKUP(Tabla3[[#This Row],[Site]],Table35[],14,FALSE)</f>
        <v>-</v>
      </c>
      <c r="L347" s="32" t="str">
        <f>VLOOKUP(Tabla3[[#This Row],[Site]],Table35[#All],2,FALSE)</f>
        <v>1, 4, 16</v>
      </c>
      <c r="M347" s="32" t="str">
        <f>VLOOKUP(Tabla3[[#This Row],[Site]],Table35[#All],3,FALSE)</f>
        <v>-</v>
      </c>
      <c r="N347" s="32" t="str">
        <f>VLOOKUP(Tabla3[[#This Row],[Site]],Table35[#All],4,FALSE)</f>
        <v>-</v>
      </c>
      <c r="O347" s="32" t="str">
        <f>VLOOKUP(Tabla3[[#This Row],[Site]],Table35[#All],5,FALSE)</f>
        <v>-</v>
      </c>
      <c r="P347" s="32" t="str">
        <f>VLOOKUP(Tabla3[[#This Row],[Site]],Table35[#All],6,FALSE)</f>
        <v>15, 16, 19, 20</v>
      </c>
      <c r="Q347" s="32" t="str">
        <f>VLOOKUP(Tabla3[[#This Row],[Site]],Table35[#All],8,FALSE)</f>
        <v>316</v>
      </c>
    </row>
    <row r="348" spans="1:17" x14ac:dyDescent="0.25">
      <c r="A348" t="str">
        <f>+Tabla3[[#This Row],[Site]]&amp;Tabla3[[#This Row],[Split]]</f>
        <v>(LT) Luther Bloomington Hyundai (NO TOURS)6</v>
      </c>
      <c r="B348">
        <v>6</v>
      </c>
      <c r="C348">
        <v>5</v>
      </c>
      <c r="D348" t="s">
        <v>455</v>
      </c>
      <c r="E348" t="str">
        <f>VLOOKUP(Tabla3[[#This Row],[Site]],Table35[],10,FALSE)</f>
        <v>10:00 P.M.</v>
      </c>
      <c r="F348" t="str">
        <f>VLOOKUP(Tabla3[[#This Row],[Site]],Table35[],11,FALSE)</f>
        <v>CT</v>
      </c>
      <c r="G348" t="str">
        <f>VLOOKUP(Tabla3[[#This Row],[Site]],Table35[],12,FALSE)</f>
        <v>6:00 A.M.</v>
      </c>
      <c r="H348" s="74" t="str">
        <f>HYPERLINK(VLOOKUP(Tabla3[[#This Row],[Site]],Table35[#All],9,FALSE))</f>
        <v>https://tools.sig.systems/site/details/318</v>
      </c>
      <c r="I348">
        <f>VLOOKUP(Tabla3[[#This Row],[Site]],Table35[],13,FALSE)</f>
        <v>0</v>
      </c>
      <c r="J348" t="str">
        <f>VLOOKUP(Tabla3[[#This Row],[Site]],Table35[],14,FALSE)</f>
        <v>-</v>
      </c>
      <c r="L348" s="32" t="str">
        <f>VLOOKUP(Tabla3[[#This Row],[Site]],Table35[#All],2,FALSE)</f>
        <v>-</v>
      </c>
      <c r="M348" s="32" t="str">
        <f>VLOOKUP(Tabla3[[#This Row],[Site]],Table35[#All],3,FALSE)</f>
        <v>6, 9, 13</v>
      </c>
      <c r="N348" s="32" t="str">
        <f>VLOOKUP(Tabla3[[#This Row],[Site]],Table35[#All],4,FALSE)</f>
        <v>58, 59</v>
      </c>
      <c r="O348" s="32">
        <f>VLOOKUP(Tabla3[[#This Row],[Site]],Table35[#All],5,FALSE)</f>
        <v>10</v>
      </c>
      <c r="P348" s="32" t="str">
        <f>VLOOKUP(Tabla3[[#This Row],[Site]],Table35[#All],6,FALSE)</f>
        <v>11, 18</v>
      </c>
      <c r="Q348" s="32" t="str">
        <f>VLOOKUP(Tabla3[[#This Row],[Site]],Table35[#All],8,FALSE)</f>
        <v>318</v>
      </c>
    </row>
    <row r="349" spans="1:17" hidden="1" x14ac:dyDescent="0.25">
      <c r="A349" t="str">
        <f>+Tabla3[[#This Row],[Site]]&amp;Tabla3[[#This Row],[Split]]</f>
        <v>(LT) Luther Landers Recon Center6</v>
      </c>
      <c r="B349">
        <v>6</v>
      </c>
      <c r="C349">
        <v>5</v>
      </c>
      <c r="D349" t="s">
        <v>253</v>
      </c>
      <c r="E349" t="str">
        <f>VLOOKUP(Tabla3[[#This Row],[Site]],Table35[],10,FALSE)</f>
        <v>10:00 P.M.</v>
      </c>
      <c r="F349" t="str">
        <f>VLOOKUP(Tabla3[[#This Row],[Site]],Table35[],11,FALSE)</f>
        <v>CT</v>
      </c>
      <c r="G349" t="str">
        <f>VLOOKUP(Tabla3[[#This Row],[Site]],Table35[],12,FALSE)</f>
        <v>6:00 A.M.</v>
      </c>
      <c r="H349" s="74" t="str">
        <f>HYPERLINK(VLOOKUP(Tabla3[[#This Row],[Site]],Table35[#All],9,FALSE))</f>
        <v>https://tools.sig.systems/site/details/323</v>
      </c>
      <c r="I349" t="str">
        <f>VLOOKUP(Tabla3[[#This Row],[Site]],Table35[],13,FALSE)</f>
        <v>https://www.google.com/maps/d/u/1/edit?mid=1-zEzsc6U6nZom08edp0XAd3_HYFvAyk&amp;usp=sharing</v>
      </c>
      <c r="J349" t="str">
        <f>VLOOKUP(Tabla3[[#This Row],[Site]],Table35[],14,FALSE)</f>
        <v>-</v>
      </c>
      <c r="L349" s="32" t="str">
        <f>VLOOKUP(Tabla3[[#This Row],[Site]],Table35[#All],2,FALSE)</f>
        <v>2, 4</v>
      </c>
      <c r="M349" s="32" t="str">
        <f>VLOOKUP(Tabla3[[#This Row],[Site]],Table35[#All],3,FALSE)</f>
        <v>-</v>
      </c>
      <c r="N349" s="32" t="str">
        <f>VLOOKUP(Tabla3[[#This Row],[Site]],Table35[#All],4,FALSE)</f>
        <v>-</v>
      </c>
      <c r="O349" s="32" t="str">
        <f>VLOOKUP(Tabla3[[#This Row],[Site]],Table35[#All],5,FALSE)</f>
        <v>-</v>
      </c>
      <c r="P349" s="32" t="str">
        <f>VLOOKUP(Tabla3[[#This Row],[Site]],Table35[#All],6,FALSE)</f>
        <v>3, 9, 11</v>
      </c>
      <c r="Q349" s="32" t="str">
        <f>VLOOKUP(Tabla3[[#This Row],[Site]],Table35[#All],8,FALSE)</f>
        <v>323</v>
      </c>
    </row>
    <row r="350" spans="1:17" hidden="1" x14ac:dyDescent="0.25">
      <c r="A350" t="str">
        <f>+Tabla3[[#This Row],[Site]]&amp;Tabla3[[#This Row],[Split]]</f>
        <v>(SCH) Schumacher of Delray I &amp; III6</v>
      </c>
      <c r="B350">
        <v>6</v>
      </c>
      <c r="C350">
        <v>5</v>
      </c>
      <c r="D350" t="s">
        <v>387</v>
      </c>
      <c r="E350" t="str">
        <f>VLOOKUP(Tabla3[[#This Row],[Site]],Table35[],10,FALSE)</f>
        <v>9:00 P.M.</v>
      </c>
      <c r="F350" t="str">
        <f>VLOOKUP(Tabla3[[#This Row],[Site]],Table35[],11,FALSE)</f>
        <v>ET</v>
      </c>
      <c r="G350" t="str">
        <f>VLOOKUP(Tabla3[[#This Row],[Site]],Table35[],12,FALSE)</f>
        <v>5:00 A.M.</v>
      </c>
      <c r="H350" s="74" t="str">
        <f>HYPERLINK(VLOOKUP(Tabla3[[#This Row],[Site]],Table35[#All],9,FALSE))</f>
        <v>https://tools.sig.systems/site/details/159</v>
      </c>
      <c r="I350" t="str">
        <f>VLOOKUP(Tabla3[[#This Row],[Site]],Table35[],13,FALSE)</f>
        <v>https://www.google.com/maps/d/viewer?mid=1ZLGV-cDM9aCfovhmXHIAXgVOKts0dEI&amp;ll=26.438859950088858%2C-80.07968125000001&amp;z=16</v>
      </c>
      <c r="J350" t="str">
        <f>VLOOKUP(Tabla3[[#This Row],[Site]],Table35[],14,FALSE)</f>
        <v>11:00 A.M.</v>
      </c>
      <c r="L350" s="32" t="str">
        <f>VLOOKUP(Tabla3[[#This Row],[Site]],Table35[#All],2,FALSE)</f>
        <v>11, 21, 22, 57, 69</v>
      </c>
      <c r="M350" s="32" t="str">
        <f>VLOOKUP(Tabla3[[#This Row],[Site]],Table35[#All],3,FALSE)</f>
        <v>2, 16, 46</v>
      </c>
      <c r="N350" s="32" t="str">
        <f>VLOOKUP(Tabla3[[#This Row],[Site]],Table35[#All],4,FALSE)</f>
        <v>-</v>
      </c>
      <c r="O350" s="32" t="str">
        <f>VLOOKUP(Tabla3[[#This Row],[Site]],Table35[#All],5,FALSE)</f>
        <v>-</v>
      </c>
      <c r="P350" s="32" t="str">
        <f>VLOOKUP(Tabla3[[#This Row],[Site]],Table35[#All],6,FALSE)</f>
        <v>24, 39</v>
      </c>
      <c r="Q350" s="32" t="str">
        <f>VLOOKUP(Tabla3[[#This Row],[Site]],Table35[#All],8,FALSE)</f>
        <v>159</v>
      </c>
    </row>
    <row r="351" spans="1:17" hidden="1" x14ac:dyDescent="0.25">
      <c r="A351" t="str">
        <f>+Tabla3[[#This Row],[Site]]&amp;Tabla3[[#This Row],[Split]]</f>
        <v>(AS) Coggin Collision Center of Kissimmee (NO TOURS)6</v>
      </c>
      <c r="B351">
        <v>6</v>
      </c>
      <c r="C351">
        <v>6</v>
      </c>
      <c r="D351" t="s">
        <v>285</v>
      </c>
      <c r="E351" t="str">
        <f>VLOOKUP(Tabla3[[#This Row],[Site]],Table35[],10,FALSE)</f>
        <v>9:00 P.M.</v>
      </c>
      <c r="F351" t="str">
        <f>VLOOKUP(Tabla3[[#This Row],[Site]],Table35[],11,FALSE)</f>
        <v>ET</v>
      </c>
      <c r="G351" t="str">
        <f>VLOOKUP(Tabla3[[#This Row],[Site]],Table35[],12,FALSE)</f>
        <v>5:00 A.M.</v>
      </c>
      <c r="H351" s="74" t="str">
        <f>HYPERLINK(VLOOKUP(Tabla3[[#This Row],[Site]],Table35[#All],9,FALSE))</f>
        <v>https://tools.sig.systems/site/details/331</v>
      </c>
      <c r="I351">
        <f>VLOOKUP(Tabla3[[#This Row],[Site]],Table35[],13,FALSE)</f>
        <v>0</v>
      </c>
      <c r="J351" t="str">
        <f>VLOOKUP(Tabla3[[#This Row],[Site]],Table35[],14,FALSE)</f>
        <v>-</v>
      </c>
      <c r="L351" s="32" t="str">
        <f>VLOOKUP(Tabla3[[#This Row],[Site]],Table35[#All],2,FALSE)</f>
        <v>1, 12</v>
      </c>
      <c r="M351" s="32" t="str">
        <f>VLOOKUP(Tabla3[[#This Row],[Site]],Table35[#All],3,FALSE)</f>
        <v>-</v>
      </c>
      <c r="N351" s="32" t="str">
        <f>VLOOKUP(Tabla3[[#This Row],[Site]],Table35[#All],4,FALSE)</f>
        <v>-</v>
      </c>
      <c r="O351" s="32" t="str">
        <f>VLOOKUP(Tabla3[[#This Row],[Site]],Table35[#All],5,FALSE)</f>
        <v>-</v>
      </c>
      <c r="P351" s="32" t="str">
        <f>VLOOKUP(Tabla3[[#This Row],[Site]],Table35[#All],6,FALSE)</f>
        <v>2, 7, 9</v>
      </c>
      <c r="Q351" s="32" t="str">
        <f>VLOOKUP(Tabla3[[#This Row],[Site]],Table35[#All],8,FALSE)</f>
        <v>331</v>
      </c>
    </row>
    <row r="352" spans="1:17" hidden="1" x14ac:dyDescent="0.25">
      <c r="A352" t="str">
        <f>+Tabla3[[#This Row],[Site]]&amp;Tabla3[[#This Row],[Split]]</f>
        <v>(AS) Hare Truck Center (NO TOURS)6</v>
      </c>
      <c r="B352">
        <v>6</v>
      </c>
      <c r="C352">
        <v>6</v>
      </c>
      <c r="D352" t="s">
        <v>377</v>
      </c>
      <c r="E352" t="str">
        <f>VLOOKUP(Tabla3[[#This Row],[Site]],Table35[],10,FALSE)</f>
        <v>9:00 P.M.</v>
      </c>
      <c r="F352" t="str">
        <f>VLOOKUP(Tabla3[[#This Row],[Site]],Table35[],11,FALSE)</f>
        <v>ET</v>
      </c>
      <c r="G352" t="str">
        <f>VLOOKUP(Tabla3[[#This Row],[Site]],Table35[],12,FALSE)</f>
        <v>5:00 A.M.</v>
      </c>
      <c r="H352" s="74" t="str">
        <f>HYPERLINK(VLOOKUP(Tabla3[[#This Row],[Site]],Table35[#All],9,FALSE))</f>
        <v>https://tools.sig.systems/site/details/300</v>
      </c>
      <c r="I352" t="str">
        <f>VLOOKUP(Tabla3[[#This Row],[Site]],Table35[],13,FALSE)</f>
        <v>https://www.google.com/maps/d/edit?mid=1hsX5GGrNcCQgAuzDCDz1OWgEkhsAc78&amp;usp=sharing</v>
      </c>
      <c r="J352" t="str">
        <f>VLOOKUP(Tabla3[[#This Row],[Site]],Table35[],14,FALSE)</f>
        <v>-</v>
      </c>
      <c r="L352" s="32" t="str">
        <f>VLOOKUP(Tabla3[[#This Row],[Site]],Table35[#All],2,FALSE)</f>
        <v>-</v>
      </c>
      <c r="M352" s="32" t="str">
        <f>VLOOKUP(Tabla3[[#This Row],[Site]],Table35[#All],3,FALSE)</f>
        <v>1, 5</v>
      </c>
      <c r="N352" s="32" t="str">
        <f>VLOOKUP(Tabla3[[#This Row],[Site]],Table35[#All],4,FALSE)</f>
        <v>-</v>
      </c>
      <c r="O352" s="32" t="str">
        <f>VLOOKUP(Tabla3[[#This Row],[Site]],Table35[#All],5,FALSE)</f>
        <v>-</v>
      </c>
      <c r="P352" s="32" t="str">
        <f>VLOOKUP(Tabla3[[#This Row],[Site]],Table35[#All],6,FALSE)</f>
        <v xml:space="preserve">2, 6, 10, 12, 17 </v>
      </c>
      <c r="Q352" s="32" t="str">
        <f>VLOOKUP(Tabla3[[#This Row],[Site]],Table35[#All],8,FALSE)</f>
        <v>300</v>
      </c>
    </row>
    <row r="353" spans="1:17" hidden="1" x14ac:dyDescent="0.25">
      <c r="A353" t="str">
        <f>+Tabla3[[#This Row],[Site]]&amp;Tabla3[[#This Row],[Split]]</f>
        <v>(AS) Koons Arlington Toyota - New Car (NO TOURS)6</v>
      </c>
      <c r="B353">
        <v>6</v>
      </c>
      <c r="C353">
        <v>6</v>
      </c>
      <c r="D353" t="s">
        <v>380</v>
      </c>
      <c r="E353" t="str">
        <f>VLOOKUP(Tabla3[[#This Row],[Site]],Table35[],10,FALSE)</f>
        <v>9:00 P.M.</v>
      </c>
      <c r="F353" t="str">
        <f>VLOOKUP(Tabla3[[#This Row],[Site]],Table35[],11,FALSE)</f>
        <v>ET</v>
      </c>
      <c r="G353" t="str">
        <f>VLOOKUP(Tabla3[[#This Row],[Site]],Table35[],12,FALSE)</f>
        <v>5:00 A.M.</v>
      </c>
      <c r="H353" s="74" t="str">
        <f>HYPERLINK(VLOOKUP(Tabla3[[#This Row],[Site]],Table35[#All],9,FALSE))</f>
        <v>https://tools.sig.systems/site/details/334</v>
      </c>
      <c r="I353">
        <f>VLOOKUP(Tabla3[[#This Row],[Site]],Table35[],13,FALSE)</f>
        <v>0</v>
      </c>
      <c r="J353" t="str">
        <f>VLOOKUP(Tabla3[[#This Row],[Site]],Table35[],14,FALSE)</f>
        <v>10:00 A.M.</v>
      </c>
      <c r="L353" s="32" t="str">
        <f>VLOOKUP(Tabla3[[#This Row],[Site]],Table35[#All],2,FALSE)</f>
        <v>-</v>
      </c>
      <c r="M353" s="32" t="str">
        <f>VLOOKUP(Tabla3[[#This Row],[Site]],Table35[#All],3,FALSE)</f>
        <v>1, 3, 12, 15, 17</v>
      </c>
      <c r="N353" s="32" t="str">
        <f>VLOOKUP(Tabla3[[#This Row],[Site]],Table35[#All],4,FALSE)</f>
        <v>-</v>
      </c>
      <c r="O353" s="32" t="str">
        <f>VLOOKUP(Tabla3[[#This Row],[Site]],Table35[#All],5,FALSE)</f>
        <v>-</v>
      </c>
      <c r="P353" s="32" t="str">
        <f>VLOOKUP(Tabla3[[#This Row],[Site]],Table35[#All],6,FALSE)</f>
        <v>2, 6, 18, 20</v>
      </c>
      <c r="Q353" s="32" t="str">
        <f>VLOOKUP(Tabla3[[#This Row],[Site]],Table35[#All],8,FALSE)</f>
        <v>334</v>
      </c>
    </row>
    <row r="354" spans="1:17" hidden="1" x14ac:dyDescent="0.25">
      <c r="A354" t="str">
        <f>+Tabla3[[#This Row],[Site]]&amp;Tabla3[[#This Row],[Split]]</f>
        <v>(AS) Koons Chevrolet Buick GMC - Tysons Remote Lot (NO TOURS)6</v>
      </c>
      <c r="B354">
        <v>6</v>
      </c>
      <c r="C354">
        <v>6</v>
      </c>
      <c r="D354" t="s">
        <v>385</v>
      </c>
      <c r="E354" t="str">
        <f>VLOOKUP(Tabla3[[#This Row],[Site]],Table35[],10,FALSE)</f>
        <v>9:00 P.M.</v>
      </c>
      <c r="F354" t="str">
        <f>VLOOKUP(Tabla3[[#This Row],[Site]],Table35[],11,FALSE)</f>
        <v>ET</v>
      </c>
      <c r="G354" t="str">
        <f>VLOOKUP(Tabla3[[#This Row],[Site]],Table35[],12,FALSE)</f>
        <v>5:00 A.M.</v>
      </c>
      <c r="H354" s="74" t="str">
        <f>HYPERLINK(VLOOKUP(Tabla3[[#This Row],[Site]],Table35[#All],9,FALSE))</f>
        <v>https://tools.sig.systems/site/details/333</v>
      </c>
      <c r="I354" t="str">
        <f>VLOOKUP(Tabla3[[#This Row],[Site]],Table35[],13,FALSE)</f>
        <v>-</v>
      </c>
      <c r="J354" t="str">
        <f>VLOOKUP(Tabla3[[#This Row],[Site]],Table35[],14,FALSE)</f>
        <v>-</v>
      </c>
      <c r="L354" s="32" t="str">
        <f>VLOOKUP(Tabla3[[#This Row],[Site]],Table35[#All],2,FALSE)</f>
        <v>-</v>
      </c>
      <c r="M354" s="32">
        <f>VLOOKUP(Tabla3[[#This Row],[Site]],Table35[#All],3,FALSE)</f>
        <v>6</v>
      </c>
      <c r="N354" s="32" t="str">
        <f>VLOOKUP(Tabla3[[#This Row],[Site]],Table35[#All],4,FALSE)</f>
        <v>1, 2, 3</v>
      </c>
      <c r="O354" s="32" t="str">
        <f>VLOOKUP(Tabla3[[#This Row],[Site]],Table35[#All],5,FALSE)</f>
        <v>7, 10, 16, 29</v>
      </c>
      <c r="P354" s="32" t="str">
        <f>VLOOKUP(Tabla3[[#This Row],[Site]],Table35[#All],6,FALSE)</f>
        <v>14, 17, 30</v>
      </c>
      <c r="Q354" s="32" t="str">
        <f>VLOOKUP(Tabla3[[#This Row],[Site]],Table35[#All],8,FALSE)</f>
        <v>333</v>
      </c>
    </row>
    <row r="355" spans="1:17" hidden="1" x14ac:dyDescent="0.25">
      <c r="A355" t="str">
        <f>+Tabla3[[#This Row],[Site]]&amp;Tabla3[[#This Row],[Split]]</f>
        <v>(AS) Koons MB of Catonsville (NO TOURS)6</v>
      </c>
      <c r="B355">
        <v>6</v>
      </c>
      <c r="C355">
        <v>6</v>
      </c>
      <c r="D355" t="s">
        <v>233</v>
      </c>
      <c r="E355" t="str">
        <f>VLOOKUP(Tabla3[[#This Row],[Site]],Table35[],10,FALSE)</f>
        <v>9:00 P.M.</v>
      </c>
      <c r="F355" t="str">
        <f>VLOOKUP(Tabla3[[#This Row],[Site]],Table35[],11,FALSE)</f>
        <v>ET</v>
      </c>
      <c r="G355" t="str">
        <f>VLOOKUP(Tabla3[[#This Row],[Site]],Table35[],12,FALSE)</f>
        <v>5:00 A.M.</v>
      </c>
      <c r="H355" s="74" t="str">
        <f>HYPERLINK(VLOOKUP(Tabla3[[#This Row],[Site]],Table35[#All],9,FALSE))</f>
        <v>https://tools.sig.systems/site/details/303</v>
      </c>
      <c r="I355">
        <f>VLOOKUP(Tabla3[[#This Row],[Site]],Table35[],13,FALSE)</f>
        <v>0</v>
      </c>
      <c r="J355" t="str">
        <f>VLOOKUP(Tabla3[[#This Row],[Site]],Table35[],14,FALSE)</f>
        <v>-</v>
      </c>
      <c r="L355" s="32" t="str">
        <f>VLOOKUP(Tabla3[[#This Row],[Site]],Table35[#All],2,FALSE)</f>
        <v>-</v>
      </c>
      <c r="M355" s="32" t="str">
        <f>VLOOKUP(Tabla3[[#This Row],[Site]],Table35[#All],3,FALSE)</f>
        <v>15, 16, 17, 29</v>
      </c>
      <c r="N355" s="32">
        <f>VLOOKUP(Tabla3[[#This Row],[Site]],Table35[#All],4,FALSE)</f>
        <v>29</v>
      </c>
      <c r="O355" s="32">
        <f>VLOOKUP(Tabla3[[#This Row],[Site]],Table35[#All],5,FALSE)</f>
        <v>5</v>
      </c>
      <c r="P355" s="32" t="str">
        <f>VLOOKUP(Tabla3[[#This Row],[Site]],Table35[#All],6,FALSE)</f>
        <v>1, 7, 8, 12, 19, 32</v>
      </c>
      <c r="Q355" s="32" t="str">
        <f>VLOOKUP(Tabla3[[#This Row],[Site]],Table35[#All],8,FALSE)</f>
        <v>303</v>
      </c>
    </row>
    <row r="356" spans="1:17" hidden="1" x14ac:dyDescent="0.25">
      <c r="A356" t="str">
        <f>+Tabla3[[#This Row],[Site]]&amp;Tabla3[[#This Row],[Split]]</f>
        <v>(AS) Koons Volvo Cars White Marsh (NO TOURS)6</v>
      </c>
      <c r="B356">
        <v>6</v>
      </c>
      <c r="C356">
        <v>6</v>
      </c>
      <c r="D356" t="s">
        <v>382</v>
      </c>
      <c r="E356" t="str">
        <f>VLOOKUP(Tabla3[[#This Row],[Site]],Table35[],10,FALSE)</f>
        <v>9:00 P.M.</v>
      </c>
      <c r="F356" t="str">
        <f>VLOOKUP(Tabla3[[#This Row],[Site]],Table35[],11,FALSE)</f>
        <v>ET</v>
      </c>
      <c r="G356" t="str">
        <f>VLOOKUP(Tabla3[[#This Row],[Site]],Table35[],12,FALSE)</f>
        <v>5:00 A.M.</v>
      </c>
      <c r="H356" s="74" t="str">
        <f>HYPERLINK(VLOOKUP(Tabla3[[#This Row],[Site]],Table35[#All],9,FALSE))</f>
        <v>https://tools.sig.systems/site/details/338</v>
      </c>
      <c r="I356">
        <f>VLOOKUP(Tabla3[[#This Row],[Site]],Table35[],13,FALSE)</f>
        <v>0</v>
      </c>
      <c r="J356" t="str">
        <f>VLOOKUP(Tabla3[[#This Row],[Site]],Table35[],14,FALSE)</f>
        <v>-</v>
      </c>
      <c r="L356" s="32" t="str">
        <f>VLOOKUP(Tabla3[[#This Row],[Site]],Table35[#All],2,FALSE)</f>
        <v>-</v>
      </c>
      <c r="M356" s="32" t="str">
        <f>VLOOKUP(Tabla3[[#This Row],[Site]],Table35[#All],3,FALSE)</f>
        <v>5, 7, 9</v>
      </c>
      <c r="N356" s="32" t="str">
        <f>VLOOKUP(Tabla3[[#This Row],[Site]],Table35[#All],4,FALSE)</f>
        <v>-</v>
      </c>
      <c r="O356" s="32" t="str">
        <f>VLOOKUP(Tabla3[[#This Row],[Site]],Table35[#All],5,FALSE)</f>
        <v>-</v>
      </c>
      <c r="P356" s="32" t="str">
        <f>VLOOKUP(Tabla3[[#This Row],[Site]],Table35[#All],6,FALSE)</f>
        <v>6, 10, 1</v>
      </c>
      <c r="Q356" s="32" t="str">
        <f>VLOOKUP(Tabla3[[#This Row],[Site]],Table35[#All],8,FALSE)</f>
        <v>338</v>
      </c>
    </row>
    <row r="357" spans="1:17" hidden="1" x14ac:dyDescent="0.25">
      <c r="A357" t="str">
        <f>+Tabla3[[#This Row],[Site]]&amp;Tabla3[[#This Row],[Split]]</f>
        <v>(DT) Modesto6</v>
      </c>
      <c r="B357">
        <v>6</v>
      </c>
      <c r="C357">
        <v>6</v>
      </c>
      <c r="D357" t="s">
        <v>14</v>
      </c>
      <c r="E357" t="str">
        <f>VLOOKUP(Tabla3[[#This Row],[Site]],Table35[],10,FALSE)</f>
        <v>12:00 A.M.</v>
      </c>
      <c r="F357" t="str">
        <f>VLOOKUP(Tabla3[[#This Row],[Site]],Table35[],11,FALSE)</f>
        <v>PT</v>
      </c>
      <c r="G357" t="str">
        <f>VLOOKUP(Tabla3[[#This Row],[Site]],Table35[],12,FALSE)</f>
        <v>8:00 A.M.</v>
      </c>
      <c r="H357" s="74" t="str">
        <f>HYPERLINK(VLOOKUP(Tabla3[[#This Row],[Site]],Table35[#All],9,FALSE))</f>
        <v>https://tools.sig.systems/site/details/267</v>
      </c>
      <c r="I357">
        <f>VLOOKUP(Tabla3[[#This Row],[Site]],Table35[],13,FALSE)</f>
        <v>0</v>
      </c>
      <c r="J357" t="str">
        <f>VLOOKUP(Tabla3[[#This Row],[Site]],Table35[],14,FALSE)</f>
        <v>-</v>
      </c>
      <c r="L357" s="32">
        <f>VLOOKUP(Tabla3[[#This Row],[Site]],Table35[#All],2,FALSE)</f>
        <v>10</v>
      </c>
      <c r="M357" s="32" t="str">
        <f>VLOOKUP(Tabla3[[#This Row],[Site]],Table35[#All],3,FALSE)</f>
        <v>5, 6</v>
      </c>
      <c r="N357" s="32" t="str">
        <f>VLOOKUP(Tabla3[[#This Row],[Site]],Table35[#All],4,FALSE)</f>
        <v>-</v>
      </c>
      <c r="O357" s="32" t="str">
        <f>VLOOKUP(Tabla3[[#This Row],[Site]],Table35[#All],5,FALSE)</f>
        <v>-</v>
      </c>
      <c r="P357" s="32" t="str">
        <f>VLOOKUP(Tabla3[[#This Row],[Site]],Table35[#All],6,FALSE)</f>
        <v>2, 3, 5, 10</v>
      </c>
      <c r="Q357" s="32" t="str">
        <f>VLOOKUP(Tabla3[[#This Row],[Site]],Table35[#All],8,FALSE)</f>
        <v>267</v>
      </c>
    </row>
    <row r="358" spans="1:17" hidden="1" x14ac:dyDescent="0.25">
      <c r="A358" t="str">
        <f>+Tabla3[[#This Row],[Site]]&amp;Tabla3[[#This Row],[Split]]</f>
        <v>(KG) Big Star Hyundai Houston6</v>
      </c>
      <c r="B358">
        <v>6</v>
      </c>
      <c r="C358">
        <v>6</v>
      </c>
      <c r="D358" t="s">
        <v>128</v>
      </c>
      <c r="E358" t="str">
        <f>VLOOKUP(Tabla3[[#This Row],[Site]],Table35[],10,FALSE)</f>
        <v>10:00 P.M.</v>
      </c>
      <c r="F358" t="str">
        <f>VLOOKUP(Tabla3[[#This Row],[Site]],Table35[],11,FALSE)</f>
        <v>CT</v>
      </c>
      <c r="G358" t="str">
        <f>VLOOKUP(Tabla3[[#This Row],[Site]],Table35[],12,FALSE)</f>
        <v>6:00 A.M.</v>
      </c>
      <c r="H358" s="74" t="str">
        <f>HYPERLINK(VLOOKUP(Tabla3[[#This Row],[Site]],Table35[#All],9,FALSE))</f>
        <v>https://tools.sig.systems/site/details/287</v>
      </c>
      <c r="I358" t="str">
        <f>VLOOKUP(Tabla3[[#This Row],[Site]],Table35[],13,FALSE)</f>
        <v>https://www.google.com/maps/d/edit?hl=en&amp;mid=1jIRkMUnWNPuTgDjQgDP-f33LClT85NU&amp;ll=29.55731827236326%2C-95.1601644&amp;z=17</v>
      </c>
      <c r="J358" t="str">
        <f>VLOOKUP(Tabla3[[#This Row],[Site]],Table35[],14,FALSE)</f>
        <v>-</v>
      </c>
      <c r="L358" s="32" t="s">
        <v>198</v>
      </c>
      <c r="M358" s="32" t="s">
        <v>199</v>
      </c>
      <c r="N358" s="32" t="s">
        <v>96</v>
      </c>
      <c r="O358" s="32" t="s">
        <v>200</v>
      </c>
      <c r="P358" s="32" t="s">
        <v>201</v>
      </c>
      <c r="Q358" s="32" t="s">
        <v>296</v>
      </c>
    </row>
    <row r="359" spans="1:17" hidden="1" x14ac:dyDescent="0.25">
      <c r="A359" t="str">
        <f>+Tabla3[[#This Row],[Site]]&amp;Tabla3[[#This Row],[Split]]</f>
        <v>(LT) Luther Bloomington Subaru - Acura6</v>
      </c>
      <c r="B359">
        <v>6</v>
      </c>
      <c r="C359">
        <v>6</v>
      </c>
      <c r="D359" t="s">
        <v>123</v>
      </c>
      <c r="E359" t="str">
        <f>VLOOKUP(Tabla3[[#This Row],[Site]],Table35[],10,FALSE)</f>
        <v>9:30 P.M.</v>
      </c>
      <c r="F359" t="str">
        <f>VLOOKUP(Tabla3[[#This Row],[Site]],Table35[],11,FALSE)</f>
        <v>CT</v>
      </c>
      <c r="G359" t="str">
        <f>VLOOKUP(Tabla3[[#This Row],[Site]],Table35[],12,FALSE)</f>
        <v>4:00 A.M.</v>
      </c>
      <c r="H359" s="74" t="str">
        <f>HYPERLINK(VLOOKUP(Tabla3[[#This Row],[Site]],Table35[#All],9,FALSE))</f>
        <v>https://tools.sig.systems/site/details/289</v>
      </c>
      <c r="I359">
        <f>VLOOKUP(Tabla3[[#This Row],[Site]],Table35[],13,FALSE)</f>
        <v>0</v>
      </c>
      <c r="J359" t="str">
        <f>VLOOKUP(Tabla3[[#This Row],[Site]],Table35[],14,FALSE)</f>
        <v>-</v>
      </c>
      <c r="L359" s="32">
        <f>VLOOKUP(Tabla3[[#This Row],[Site]],Table35[#All],2,FALSE)</f>
        <v>29</v>
      </c>
      <c r="M359" s="32" t="str">
        <f>VLOOKUP(Tabla3[[#This Row],[Site]],Table35[#All],3,FALSE)</f>
        <v>5, 8, 33</v>
      </c>
      <c r="N359" s="32" t="str">
        <f>VLOOKUP(Tabla3[[#This Row],[Site]],Table35[#All],4,FALSE)</f>
        <v>4, 7, 35</v>
      </c>
      <c r="O359" s="32" t="str">
        <f>VLOOKUP(Tabla3[[#This Row],[Site]],Table35[#All],5,FALSE)</f>
        <v>-</v>
      </c>
      <c r="P359" s="32" t="str">
        <f>VLOOKUP(Tabla3[[#This Row],[Site]],Table35[#All],6,FALSE)</f>
        <v xml:space="preserve">1, 2, 14, 24, 34  </v>
      </c>
      <c r="Q359" s="32" t="str">
        <f>VLOOKUP(Tabla3[[#This Row],[Site]],Table35[#All],8,FALSE)</f>
        <v>289</v>
      </c>
    </row>
    <row r="360" spans="1:17" hidden="1" x14ac:dyDescent="0.25">
      <c r="A360" t="str">
        <f>+Tabla3[[#This Row],[Site]]&amp;Tabla3[[#This Row],[Split]]</f>
        <v>(LT) Luther St. Cloud Subaru6</v>
      </c>
      <c r="B360">
        <v>6</v>
      </c>
      <c r="C360">
        <v>6</v>
      </c>
      <c r="D360" t="s">
        <v>127</v>
      </c>
      <c r="E360" t="str">
        <f>VLOOKUP(Tabla3[[#This Row],[Site]],Table35[],10,FALSE)</f>
        <v>10:00 P.M.</v>
      </c>
      <c r="F360" t="str">
        <f>VLOOKUP(Tabla3[[#This Row],[Site]],Table35[],11,FALSE)</f>
        <v>CT</v>
      </c>
      <c r="G360" t="str">
        <f>VLOOKUP(Tabla3[[#This Row],[Site]],Table35[],12,FALSE)</f>
        <v>5:30 A.M.</v>
      </c>
      <c r="H360" s="74" t="str">
        <f>HYPERLINK(VLOOKUP(Tabla3[[#This Row],[Site]],Table35[#All],9,FALSE))</f>
        <v>https://tools.sig.systems/site/details/295</v>
      </c>
      <c r="I360">
        <f>VLOOKUP(Tabla3[[#This Row],[Site]],Table35[],13,FALSE)</f>
        <v>0</v>
      </c>
      <c r="J360" t="str">
        <f>VLOOKUP(Tabla3[[#This Row],[Site]],Table35[],14,FALSE)</f>
        <v>-</v>
      </c>
      <c r="L360" s="32" t="str">
        <f>VLOOKUP(Tabla3[[#This Row],[Site]],Table35[#All],2,FALSE)</f>
        <v>25, 31</v>
      </c>
      <c r="M360" s="32" t="str">
        <f>VLOOKUP(Tabla3[[#This Row],[Site]],Table35[#All],3,FALSE)</f>
        <v>9, 13, 20</v>
      </c>
      <c r="N360" s="32" t="str">
        <f>VLOOKUP(Tabla3[[#This Row],[Site]],Table35[#All],4,FALSE)</f>
        <v>38, 39, 40, 41</v>
      </c>
      <c r="O360" s="32">
        <f>VLOOKUP(Tabla3[[#This Row],[Site]],Table35[#All],5,FALSE)</f>
        <v>27</v>
      </c>
      <c r="P360" s="32" t="str">
        <f>VLOOKUP(Tabla3[[#This Row],[Site]],Table35[#All],6,FALSE)</f>
        <v>2, 6, 8, 11, 14, 19, 23, 26</v>
      </c>
      <c r="Q360" s="32" t="str">
        <f>VLOOKUP(Tabla3[[#This Row],[Site]],Table35[#All],8,FALSE)</f>
        <v>295</v>
      </c>
    </row>
    <row r="361" spans="1:17" hidden="1" x14ac:dyDescent="0.25">
      <c r="A361" t="str">
        <f>+Tabla3[[#This Row],[Site]]&amp;Tabla3[[#This Row],[Split]]</f>
        <v>(TC) Lamborghini South Dade6</v>
      </c>
      <c r="B361">
        <v>6</v>
      </c>
      <c r="C361">
        <v>6</v>
      </c>
      <c r="D361" t="s">
        <v>234</v>
      </c>
      <c r="E361" t="str">
        <f>VLOOKUP(Tabla3[[#This Row],[Site]],Table35[],10,FALSE)</f>
        <v>9:00 P.M.</v>
      </c>
      <c r="F361" t="str">
        <f>VLOOKUP(Tabla3[[#This Row],[Site]],Table35[],11,FALSE)</f>
        <v>ET</v>
      </c>
      <c r="G361" t="str">
        <f>VLOOKUP(Tabla3[[#This Row],[Site]],Table35[],12,FALSE)</f>
        <v>5:00 A.M.</v>
      </c>
      <c r="H361" s="74" t="str">
        <f>HYPERLINK(VLOOKUP(Tabla3[[#This Row],[Site]],Table35[#All],9,FALSE))</f>
        <v>https://tools.sig.systems/site/details/313</v>
      </c>
      <c r="I361">
        <f>VLOOKUP(Tabla3[[#This Row],[Site]],Table35[],13,FALSE)</f>
        <v>0</v>
      </c>
      <c r="J361" t="str">
        <f>VLOOKUP(Tabla3[[#This Row],[Site]],Table35[],14,FALSE)</f>
        <v>-</v>
      </c>
      <c r="L361" s="32" t="str">
        <f>VLOOKUP(Tabla3[[#This Row],[Site]],Table35[#All],2,FALSE)</f>
        <v>-</v>
      </c>
      <c r="M361" s="32" t="str">
        <f>VLOOKUP(Tabla3[[#This Row],[Site]],Table35[#All],3,FALSE)</f>
        <v>9, 11</v>
      </c>
      <c r="N361" s="32" t="str">
        <f>VLOOKUP(Tabla3[[#This Row],[Site]],Table35[#All],4,FALSE)</f>
        <v>-</v>
      </c>
      <c r="O361" s="32" t="str">
        <f>VLOOKUP(Tabla3[[#This Row],[Site]],Table35[#All],5,FALSE)</f>
        <v>-</v>
      </c>
      <c r="P361" s="32" t="str">
        <f>VLOOKUP(Tabla3[[#This Row],[Site]],Table35[#All],6,FALSE)</f>
        <v>-</v>
      </c>
      <c r="Q361" s="32" t="str">
        <f>VLOOKUP(Tabla3[[#This Row],[Site]],Table35[#All],8,FALSE)</f>
        <v>313</v>
      </c>
    </row>
    <row r="362" spans="1:17" hidden="1" x14ac:dyDescent="0.25">
      <c r="A362" t="str">
        <f>+Tabla3[[#This Row],[Site]]&amp;Tabla3[[#This Row],[Split]]</f>
        <v>(AS) 3281 Storage Lot (NO TOURS)7</v>
      </c>
      <c r="B362">
        <v>7</v>
      </c>
      <c r="C362">
        <v>1</v>
      </c>
      <c r="D362" t="s">
        <v>374</v>
      </c>
      <c r="E362" t="str">
        <f>VLOOKUP(Tabla3[[#This Row],[Site]],Table35[],10,FALSE)</f>
        <v>10:00 P.M.</v>
      </c>
      <c r="F362" t="str">
        <f>VLOOKUP(Tabla3[[#This Row],[Site]],Table35[],11,FALSE)</f>
        <v>CT</v>
      </c>
      <c r="G362" t="str">
        <f>VLOOKUP(Tabla3[[#This Row],[Site]],Table35[],12,FALSE)</f>
        <v>6:00 A.M.</v>
      </c>
      <c r="H362" s="74" t="str">
        <f>HYPERLINK(VLOOKUP(Tabla3[[#This Row],[Site]],Table35[#All],9,FALSE))</f>
        <v>https://tools.sig.systems/site/details/305</v>
      </c>
      <c r="I362" t="str">
        <f>VLOOKUP(Tabla3[[#This Row],[Site]],Table35[],13,FALSE)</f>
        <v>https://www.google.com/maps/d/edit?hl=es&amp;mid=1uPmsRMsXnp74hPFW2t-sp2totVWF_xY&amp;ll=32.83050137713022%2C-96.83197783061323&amp;z=17</v>
      </c>
      <c r="J362" t="str">
        <f>VLOOKUP(Tabla3[[#This Row],[Site]],Table35[],14,FALSE)</f>
        <v>-</v>
      </c>
      <c r="L362" s="32" t="str">
        <f>VLOOKUP(Tabla3[[#This Row],[Site]],Table35[#All],2,FALSE)</f>
        <v>-</v>
      </c>
      <c r="M362" s="32" t="str">
        <f>VLOOKUP(Tabla3[[#This Row],[Site]],Table35[#All],3,FALSE)</f>
        <v>2, 14</v>
      </c>
      <c r="N362" s="32" t="str">
        <f>VLOOKUP(Tabla3[[#This Row],[Site]],Table35[#All],4,FALSE)</f>
        <v>-</v>
      </c>
      <c r="O362" s="32" t="str">
        <f>VLOOKUP(Tabla3[[#This Row],[Site]],Table35[#All],5,FALSE)</f>
        <v>-</v>
      </c>
      <c r="P362" s="32" t="str">
        <f>VLOOKUP(Tabla3[[#This Row],[Site]],Table35[#All],6,FALSE)</f>
        <v>1, 3, 9, 10, 14</v>
      </c>
      <c r="Q362" s="32">
        <f>VLOOKUP(Tabla3[[#This Row],[Site]],Table35[#All],8,FALSE)</f>
        <v>305</v>
      </c>
    </row>
    <row r="363" spans="1:17" hidden="1" x14ac:dyDescent="0.25">
      <c r="A363" t="str">
        <f>+Tabla3[[#This Row],[Site]]&amp;Tabla3[[#This Row],[Split]]</f>
        <v>(AS) Koons Chevrolet Buick GMC - Clarksville (NO TOURS)7</v>
      </c>
      <c r="B363">
        <v>7</v>
      </c>
      <c r="C363">
        <v>1</v>
      </c>
      <c r="D363" t="s">
        <v>379</v>
      </c>
      <c r="E363" t="str">
        <f>VLOOKUP(Tabla3[[#This Row],[Site]],Table35[],10,FALSE)</f>
        <v>9:00 P.M.</v>
      </c>
      <c r="F363" t="str">
        <f>VLOOKUP(Tabla3[[#This Row],[Site]],Table35[],11,FALSE)</f>
        <v>ET</v>
      </c>
      <c r="G363" t="str">
        <f>VLOOKUP(Tabla3[[#This Row],[Site]],Table35[],12,FALSE)</f>
        <v>5:00 A.M.</v>
      </c>
      <c r="H363" s="74" t="str">
        <f>HYPERLINK(VLOOKUP(Tabla3[[#This Row],[Site]],Table35[#All],9,FALSE))</f>
        <v>https://tools.sig.systems/site/details/306</v>
      </c>
      <c r="I363" t="str">
        <f>VLOOKUP(Tabla3[[#This Row],[Site]],Table35[],13,FALSE)</f>
        <v>https://www.google.com/maps/d/edit?hl=es&amp;mid=11XB1lTSP7EcDCDvzypdUPWP6bWCNAEI&amp;ll=39.21145022420528%2C-76.94003711910554&amp;z=17</v>
      </c>
      <c r="J363" t="str">
        <f>VLOOKUP(Tabla3[[#This Row],[Site]],Table35[],14,FALSE)</f>
        <v>10:00 A.M.</v>
      </c>
      <c r="L363" s="32" t="str">
        <f>VLOOKUP(Tabla3[[#This Row],[Site]],Table35[#All],2,FALSE)</f>
        <v>-</v>
      </c>
      <c r="M363" s="32" t="str">
        <f>VLOOKUP(Tabla3[[#This Row],[Site]],Table35[#All],3,FALSE)</f>
        <v>1, 22, 26, 28, 29</v>
      </c>
      <c r="N363" s="32" t="str">
        <f>VLOOKUP(Tabla3[[#This Row],[Site]],Table35[#All],4,FALSE)</f>
        <v>-</v>
      </c>
      <c r="O363" s="32" t="str">
        <f>VLOOKUP(Tabla3[[#This Row],[Site]],Table35[#All],5,FALSE)</f>
        <v>-</v>
      </c>
      <c r="P363" s="32" t="str">
        <f>VLOOKUP(Tabla3[[#This Row],[Site]],Table35[#All],6,FALSE)</f>
        <v>3, 11, 15, 23</v>
      </c>
      <c r="Q363" s="32" t="str">
        <f>VLOOKUP(Tabla3[[#This Row],[Site]],Table35[#All],8,FALSE)</f>
        <v>306</v>
      </c>
    </row>
    <row r="364" spans="1:17" hidden="1" x14ac:dyDescent="0.25">
      <c r="A364" t="str">
        <f>+Tabla3[[#This Row],[Site]]&amp;Tabla3[[#This Row],[Split]]</f>
        <v>(AS) Koons Annapolis Toyota (NO TOURS)7</v>
      </c>
      <c r="B364">
        <v>7</v>
      </c>
      <c r="C364">
        <v>1</v>
      </c>
      <c r="D364" t="s">
        <v>446</v>
      </c>
      <c r="E364" t="str">
        <f>VLOOKUP(Tabla3[[#This Row],[Site]],Table35[],10,FALSE)</f>
        <v>9:00 P.M.</v>
      </c>
      <c r="F364" t="str">
        <f>VLOOKUP(Tabla3[[#This Row],[Site]],Table35[],11,FALSE)</f>
        <v>ET</v>
      </c>
      <c r="G364" t="str">
        <f>VLOOKUP(Tabla3[[#This Row],[Site]],Table35[],12,FALSE)</f>
        <v>5:00 A.M.</v>
      </c>
      <c r="H364" s="74" t="str">
        <f>HYPERLINK(VLOOKUP(Tabla3[[#This Row],[Site]],Table35[#All],9,FALSE))</f>
        <v>https://tools.sig.systems/site/details/337</v>
      </c>
      <c r="I364">
        <f>VLOOKUP(Tabla3[[#This Row],[Site]],Table35[],13,FALSE)</f>
        <v>0</v>
      </c>
      <c r="J364" t="str">
        <f>VLOOKUP(Tabla3[[#This Row],[Site]],Table35[],14,FALSE)</f>
        <v>-</v>
      </c>
      <c r="L364" s="32">
        <f>VLOOKUP(Tabla3[[#This Row],[Site]],Table35[#All],2,FALSE)</f>
        <v>6</v>
      </c>
      <c r="M364" s="32" t="str">
        <f>VLOOKUP(Tabla3[[#This Row],[Site]],Table35[#All],3,FALSE)</f>
        <v>1, 6, 21</v>
      </c>
      <c r="N364" s="32" t="str">
        <f>VLOOKUP(Tabla3[[#This Row],[Site]],Table35[#All],4,FALSE)</f>
        <v>-</v>
      </c>
      <c r="O364" s="32" t="str">
        <f>VLOOKUP(Tabla3[[#This Row],[Site]],Table35[#All],5,FALSE)</f>
        <v>-</v>
      </c>
      <c r="P364" s="32" t="str">
        <f>VLOOKUP(Tabla3[[#This Row],[Site]],Table35[#All],6,FALSE)</f>
        <v>3, 5, 7, 19</v>
      </c>
      <c r="Q364" s="32" t="str">
        <f>VLOOKUP(Tabla3[[#This Row],[Site]],Table35[#All],8,FALSE)</f>
        <v>337</v>
      </c>
    </row>
    <row r="365" spans="1:17" hidden="1" x14ac:dyDescent="0.25">
      <c r="A365" t="str">
        <f>+Tabla3[[#This Row],[Site]]&amp;Tabla3[[#This Row],[Split]]</f>
        <v>(AS) Koons Woodbridge Kia (NO TOURS)7</v>
      </c>
      <c r="B365">
        <v>7</v>
      </c>
      <c r="C365">
        <v>1</v>
      </c>
      <c r="D365" t="s">
        <v>407</v>
      </c>
      <c r="E365" t="str">
        <f>VLOOKUP(Tabla3[[#This Row],[Site]],Table35[],10,FALSE)</f>
        <v>9:00 P.M.</v>
      </c>
      <c r="F365" t="str">
        <f>VLOOKUP(Tabla3[[#This Row],[Site]],Table35[],11,FALSE)</f>
        <v>ET</v>
      </c>
      <c r="G365" t="str">
        <f>VLOOKUP(Tabla3[[#This Row],[Site]],Table35[],12,FALSE)</f>
        <v>5:00 A.M.</v>
      </c>
      <c r="H365" s="74" t="str">
        <f>HYPERLINK(VLOOKUP(Tabla3[[#This Row],[Site]],Table35[#All],9,FALSE))</f>
        <v>https://tools.sig.systems/site/details/346</v>
      </c>
      <c r="I365" t="str">
        <f>VLOOKUP(Tabla3[[#This Row],[Site]],Table35[],13,FALSE)</f>
        <v>-</v>
      </c>
      <c r="J365" t="str">
        <f>VLOOKUP(Tabla3[[#This Row],[Site]],Table35[],14,FALSE)</f>
        <v>10:00 A.M.</v>
      </c>
      <c r="L365" s="32" t="str">
        <f>VLOOKUP(Tabla3[[#This Row],[Site]],Table35[#All],2,FALSE)</f>
        <v>-</v>
      </c>
      <c r="M365" s="32">
        <f>VLOOKUP(Tabla3[[#This Row],[Site]],Table35[#All],3,FALSE)</f>
        <v>2</v>
      </c>
      <c r="N365" s="32" t="str">
        <f>VLOOKUP(Tabla3[[#This Row],[Site]],Table35[#All],4,FALSE)</f>
        <v>-</v>
      </c>
      <c r="O365" s="32" t="str">
        <f>VLOOKUP(Tabla3[[#This Row],[Site]],Table35[#All],5,FALSE)</f>
        <v>-</v>
      </c>
      <c r="P365" s="32">
        <f>VLOOKUP(Tabla3[[#This Row],[Site]],Table35[#All],6,FALSE)</f>
        <v>5</v>
      </c>
      <c r="Q365" s="32" t="str">
        <f>VLOOKUP(Tabla3[[#This Row],[Site]],Table35[#All],8,FALSE)</f>
        <v>346</v>
      </c>
    </row>
    <row r="366" spans="1:17" hidden="1" x14ac:dyDescent="0.25">
      <c r="A366" t="str">
        <f>+Tabla3[[#This Row],[Site]]&amp;Tabla3[[#This Row],[Split]]</f>
        <v>(BRL) Fort Pierce7</v>
      </c>
      <c r="B366">
        <v>7</v>
      </c>
      <c r="C366">
        <v>1</v>
      </c>
      <c r="D366" t="s">
        <v>347</v>
      </c>
      <c r="E366" t="str">
        <f>VLOOKUP(Tabla3[[#This Row],[Site]],Table35[],10,FALSE)</f>
        <v>24H</v>
      </c>
      <c r="F366" t="str">
        <f>VLOOKUP(Tabla3[[#This Row],[Site]],Table35[],11,FALSE)</f>
        <v>ET</v>
      </c>
      <c r="G366" t="str">
        <f>VLOOKUP(Tabla3[[#This Row],[Site]],Table35[],12,FALSE)</f>
        <v>-</v>
      </c>
      <c r="H366" s="74" t="str">
        <f>HYPERLINK(VLOOKUP(Tabla3[[#This Row],[Site]],Table35[#All],9,FALSE))</f>
        <v>https://tools.sig.systems/site/details/326</v>
      </c>
      <c r="I366" t="str">
        <f>VLOOKUP(Tabla3[[#This Row],[Site]],Table35[],13,FALSE)</f>
        <v>-</v>
      </c>
      <c r="J366" t="str">
        <f>VLOOKUP(Tabla3[[#This Row],[Site]],Table35[],14,FALSE)</f>
        <v>-</v>
      </c>
      <c r="L366" s="32" t="str">
        <f>VLOOKUP(Tabla3[[#This Row],[Site]],Table35[#All],2,FALSE)</f>
        <v>-</v>
      </c>
      <c r="M366" s="32">
        <f>VLOOKUP(Tabla3[[#This Row],[Site]],Table35[#All],3,FALSE)</f>
        <v>1</v>
      </c>
      <c r="N366" s="32" t="str">
        <f>VLOOKUP(Tabla3[[#This Row],[Site]],Table35[#All],4,FALSE)</f>
        <v>-</v>
      </c>
      <c r="O366" s="32">
        <f>VLOOKUP(Tabla3[[#This Row],[Site]],Table35[#All],5,FALSE)</f>
        <v>2</v>
      </c>
      <c r="P366" s="32" t="str">
        <f>VLOOKUP(Tabla3[[#This Row],[Site]],Table35[#All],6,FALSE)</f>
        <v>15, 18</v>
      </c>
      <c r="Q366" s="32" t="str">
        <f>VLOOKUP(Tabla3[[#This Row],[Site]],Table35[#All],8,FALSE)</f>
        <v>326</v>
      </c>
    </row>
    <row r="367" spans="1:17" hidden="1" x14ac:dyDescent="0.25">
      <c r="A367" t="str">
        <f>+Tabla3[[#This Row],[Site]]&amp;Tabla3[[#This Row],[Split]]</f>
        <v>(DT) Charlotte7</v>
      </c>
      <c r="B367">
        <v>7</v>
      </c>
      <c r="C367">
        <v>1</v>
      </c>
      <c r="D367" t="s">
        <v>150</v>
      </c>
      <c r="E367" t="str">
        <f>VLOOKUP(Tabla3[[#This Row],[Site]],Table35[],10,FALSE)</f>
        <v>9:00 P.M.</v>
      </c>
      <c r="F367" t="str">
        <f>VLOOKUP(Tabla3[[#This Row],[Site]],Table35[],11,FALSE)</f>
        <v>ET</v>
      </c>
      <c r="G367" t="str">
        <f>VLOOKUP(Tabla3[[#This Row],[Site]],Table35[],12,FALSE)</f>
        <v>5:00 A.M.</v>
      </c>
      <c r="H367" s="74" t="str">
        <f>HYPERLINK(VLOOKUP(Tabla3[[#This Row],[Site]],Table35[#All],9,FALSE))</f>
        <v>https://tools.sig.systems/site/details/299</v>
      </c>
      <c r="I367">
        <f>VLOOKUP(Tabla3[[#This Row],[Site]],Table35[],13,FALSE)</f>
        <v>0</v>
      </c>
      <c r="J367" t="str">
        <f>VLOOKUP(Tabla3[[#This Row],[Site]],Table35[],14,FALSE)</f>
        <v>-</v>
      </c>
      <c r="L367" s="32" t="str">
        <f>VLOOKUP(Tabla3[[#This Row],[Site]],Table35[#All],2,FALSE)</f>
        <v>4, 25, 41</v>
      </c>
      <c r="M367" s="32" t="str">
        <f>VLOOKUP(Tabla3[[#This Row],[Site]],Table35[#All],3,FALSE)</f>
        <v>-</v>
      </c>
      <c r="N367" s="32" t="str">
        <f>VLOOKUP(Tabla3[[#This Row],[Site]],Table35[#All],4,FALSE)</f>
        <v>-</v>
      </c>
      <c r="O367" s="32" t="str">
        <f>VLOOKUP(Tabla3[[#This Row],[Site]],Table35[#All],5,FALSE)</f>
        <v xml:space="preserve">11, 32, 35 </v>
      </c>
      <c r="P367" s="32" t="str">
        <f>VLOOKUP(Tabla3[[#This Row],[Site]],Table35[#All],6,FALSE)</f>
        <v>6, 11, 18, 29, 34,  38, 39</v>
      </c>
      <c r="Q367" s="32" t="str">
        <f>VLOOKUP(Tabla3[[#This Row],[Site]],Table35[#All],8,FALSE)</f>
        <v>299</v>
      </c>
    </row>
    <row r="368" spans="1:17" hidden="1" x14ac:dyDescent="0.25">
      <c r="A368" t="str">
        <f>+Tabla3[[#This Row],[Site]]&amp;Tabla3[[#This Row],[Split]]</f>
        <v>(LT) Luther Brookdale Toyota7</v>
      </c>
      <c r="B368">
        <v>7</v>
      </c>
      <c r="C368">
        <v>1</v>
      </c>
      <c r="D368" t="s">
        <v>125</v>
      </c>
      <c r="E368" t="str">
        <f>VLOOKUP(Tabla3[[#This Row],[Site]],Table35[],10,FALSE)</f>
        <v>10:00 P.M.</v>
      </c>
      <c r="F368" t="str">
        <f>VLOOKUP(Tabla3[[#This Row],[Site]],Table35[],11,FALSE)</f>
        <v>CT</v>
      </c>
      <c r="G368" t="str">
        <f>VLOOKUP(Tabla3[[#This Row],[Site]],Table35[],12,FALSE)</f>
        <v>5:00 A.M.</v>
      </c>
      <c r="H368" s="74" t="str">
        <f>HYPERLINK(VLOOKUP(Tabla3[[#This Row],[Site]],Table35[#All],9,FALSE))</f>
        <v>https://tools.sig.systems/site/details/281</v>
      </c>
      <c r="I368" t="str">
        <f>VLOOKUP(Tabla3[[#This Row],[Site]],Table35[],13,FALSE)</f>
        <v>https://www.google.com/maps/d/viewer?mid=1ot0ILX76JMuvd9yMuqkb4_e0yH1n7TA&amp;ll=45.07815812965141%2C-93.33506855000002&amp;z=17</v>
      </c>
      <c r="J368" t="str">
        <f>VLOOKUP(Tabla3[[#This Row],[Site]],Table35[],14,FALSE)</f>
        <v>-</v>
      </c>
      <c r="L368" s="32" t="str">
        <f>VLOOKUP(Tabla3[[#This Row],[Site]],Table35[#All],2,FALSE)</f>
        <v>-</v>
      </c>
      <c r="M368" s="32" t="str">
        <f>VLOOKUP(Tabla3[[#This Row],[Site]],Table35[#All],3,FALSE)</f>
        <v>5, 7</v>
      </c>
      <c r="N368" s="32">
        <f>VLOOKUP(Tabla3[[#This Row],[Site]],Table35[#All],4,FALSE)</f>
        <v>29</v>
      </c>
      <c r="O368" s="32">
        <f>VLOOKUP(Tabla3[[#This Row],[Site]],Table35[#All],5,FALSE)</f>
        <v>20</v>
      </c>
      <c r="P368" s="32" t="str">
        <f>VLOOKUP(Tabla3[[#This Row],[Site]],Table35[#All],6,FALSE)</f>
        <v xml:space="preserve">1, 2, 4, 10, 18, 24, 25 </v>
      </c>
      <c r="Q368" s="32" t="str">
        <f>VLOOKUP(Tabla3[[#This Row],[Site]],Table35[#All],8,FALSE)</f>
        <v>281</v>
      </c>
    </row>
    <row r="369" spans="1:17" hidden="1" x14ac:dyDescent="0.25">
      <c r="A369" t="str">
        <f>+Tabla3[[#This Row],[Site]]&amp;Tabla3[[#This Row],[Split]]</f>
        <v>(LT) Luther Burnsville Hyundai7</v>
      </c>
      <c r="B369">
        <v>7</v>
      </c>
      <c r="C369">
        <v>1</v>
      </c>
      <c r="D369" t="s">
        <v>280</v>
      </c>
      <c r="E369" t="str">
        <f>VLOOKUP(Tabla3[[#This Row],[Site]],Table35[],10,FALSE)</f>
        <v>10:00 P.M.</v>
      </c>
      <c r="F369" t="str">
        <f>VLOOKUP(Tabla3[[#This Row],[Site]],Table35[],11,FALSE)</f>
        <v>CT</v>
      </c>
      <c r="G369" t="str">
        <f>VLOOKUP(Tabla3[[#This Row],[Site]],Table35[],12,FALSE)</f>
        <v>6:00 A.M.</v>
      </c>
      <c r="H369" s="74" t="str">
        <f>HYPERLINK(VLOOKUP(Tabla3[[#This Row],[Site]],Table35[#All],9,FALSE))</f>
        <v>https://tools.sig.systems/site/details/307</v>
      </c>
      <c r="I369">
        <f>VLOOKUP(Tabla3[[#This Row],[Site]],Table35[],13,FALSE)</f>
        <v>0</v>
      </c>
      <c r="J369" t="str">
        <f>VLOOKUP(Tabla3[[#This Row],[Site]],Table35[],14,FALSE)</f>
        <v>-</v>
      </c>
      <c r="L369" s="32" t="str">
        <f>VLOOKUP(Tabla3[[#This Row],[Site]],Table35[#All],2,FALSE)</f>
        <v>-</v>
      </c>
      <c r="M369" s="32" t="str">
        <f>VLOOKUP(Tabla3[[#This Row],[Site]],Table35[#All],3,FALSE)</f>
        <v>6, 17</v>
      </c>
      <c r="N369" s="32" t="str">
        <f>VLOOKUP(Tabla3[[#This Row],[Site]],Table35[#All],4,FALSE)</f>
        <v>22, 21</v>
      </c>
      <c r="O369" s="32">
        <f>VLOOKUP(Tabla3[[#This Row],[Site]],Table35[#All],5,FALSE)</f>
        <v>7</v>
      </c>
      <c r="P369" s="32" t="str">
        <f>VLOOKUP(Tabla3[[#This Row],[Site]],Table35[#All],6,FALSE)</f>
        <v>2, 4, 16</v>
      </c>
      <c r="Q369" s="32" t="str">
        <f>VLOOKUP(Tabla3[[#This Row],[Site]],Table35[#All],8,FALSE)</f>
        <v>307</v>
      </c>
    </row>
    <row r="370" spans="1:17" hidden="1" x14ac:dyDescent="0.25">
      <c r="A370" t="str">
        <f>+Tabla3[[#This Row],[Site]]&amp;Tabla3[[#This Row],[Split]]</f>
        <v>(PE) BMW Service Center (NO TOURS)7</v>
      </c>
      <c r="B370">
        <v>7</v>
      </c>
      <c r="C370">
        <v>1</v>
      </c>
      <c r="D370" t="s">
        <v>38</v>
      </c>
      <c r="E370" t="str">
        <f>VLOOKUP(Tabla3[[#This Row],[Site]],Table35[],10,FALSE)</f>
        <v>8:00 P.M.</v>
      </c>
      <c r="F370" t="str">
        <f>VLOOKUP(Tabla3[[#This Row],[Site]],Table35[],11,FALSE)</f>
        <v>ET</v>
      </c>
      <c r="G370" t="str">
        <f>VLOOKUP(Tabla3[[#This Row],[Site]],Table35[],12,FALSE)</f>
        <v>5:00 A.M.</v>
      </c>
      <c r="H370" s="74" t="str">
        <f>HYPERLINK(VLOOKUP(Tabla3[[#This Row],[Site]],Table35[#All],9,FALSE))</f>
        <v>https://tools.sig.systems/site/details/184</v>
      </c>
      <c r="I370" t="str">
        <f>VLOOKUP(Tabla3[[#This Row],[Site]],Table35[],13,FALSE)</f>
        <v>https://www.google.com/maps/d/edit?hl=en&amp;mid=1UHmt7tH1ihTa85i0MfQIcTfVvIQg_vM&amp;ll=41.02423447529239%2C-73.63721502222738&amp;z=18</v>
      </c>
      <c r="J370" t="str">
        <f>VLOOKUP(Tabla3[[#This Row],[Site]],Table35[],14,FALSE)</f>
        <v>-</v>
      </c>
      <c r="L370" s="32">
        <f>VLOOKUP(Tabla3[[#This Row],[Site]],Table35[#All],2,FALSE)</f>
        <v>3</v>
      </c>
      <c r="M370" s="32" t="str">
        <f>VLOOKUP(Tabla3[[#This Row],[Site]],Table35[#All],3,FALSE)</f>
        <v>-</v>
      </c>
      <c r="N370" s="32" t="str">
        <f>VLOOKUP(Tabla3[[#This Row],[Site]],Table35[#All],4,FALSE)</f>
        <v>-</v>
      </c>
      <c r="O370" s="32" t="str">
        <f>VLOOKUP(Tabla3[[#This Row],[Site]],Table35[#All],5,FALSE)</f>
        <v>-</v>
      </c>
      <c r="P370" s="32" t="str">
        <f>VLOOKUP(Tabla3[[#This Row],[Site]],Table35[#All],6,FALSE)</f>
        <v xml:space="preserve">1, 2 </v>
      </c>
      <c r="Q370" s="32" t="str">
        <f>VLOOKUP(Tabla3[[#This Row],[Site]],Table35[#All],8,FALSE)</f>
        <v>184</v>
      </c>
    </row>
    <row r="371" spans="1:17" hidden="1" x14ac:dyDescent="0.25">
      <c r="A371" t="str">
        <f>+Tabla3[[#This Row],[Site]]&amp;Tabla3[[#This Row],[Split]]</f>
        <v>(PE) Porsche Audi Fairfield (NO TOURS)7</v>
      </c>
      <c r="B371">
        <v>7</v>
      </c>
      <c r="C371">
        <v>1</v>
      </c>
      <c r="D371" t="s">
        <v>362</v>
      </c>
      <c r="E371" t="str">
        <f>VLOOKUP(Tabla3[[#This Row],[Site]],Table35[],10,FALSE)</f>
        <v>8:00 P.M.</v>
      </c>
      <c r="F371" t="str">
        <f>VLOOKUP(Tabla3[[#This Row],[Site]],Table35[],11,FALSE)</f>
        <v>ET</v>
      </c>
      <c r="G371" t="str">
        <f>VLOOKUP(Tabla3[[#This Row],[Site]],Table35[],12,FALSE)</f>
        <v>5:00 A.M.</v>
      </c>
      <c r="H371" s="74" t="str">
        <f>HYPERLINK(VLOOKUP(Tabla3[[#This Row],[Site]],Table35[#All],9,FALSE))</f>
        <v>https://tools.sig.systems/site/details/194</v>
      </c>
      <c r="I371">
        <f>VLOOKUP(Tabla3[[#This Row],[Site]],Table35[],13,FALSE)</f>
        <v>0</v>
      </c>
      <c r="J371" t="str">
        <f>VLOOKUP(Tabla3[[#This Row],[Site]],Table35[],14,FALSE)</f>
        <v>-</v>
      </c>
      <c r="L371" s="32" t="str">
        <f>VLOOKUP(Tabla3[[#This Row],[Site]],Table35[#All],2,FALSE)</f>
        <v>1, 18</v>
      </c>
      <c r="M371" s="32" t="str">
        <f>VLOOKUP(Tabla3[[#This Row],[Site]],Table35[#All],3,FALSE)</f>
        <v>-</v>
      </c>
      <c r="N371" s="32" t="str">
        <f>VLOOKUP(Tabla3[[#This Row],[Site]],Table35[#All],4,FALSE)</f>
        <v>-</v>
      </c>
      <c r="O371" s="32">
        <f>VLOOKUP(Tabla3[[#This Row],[Site]],Table35[#All],5,FALSE)</f>
        <v>20</v>
      </c>
      <c r="P371" s="32">
        <f>VLOOKUP(Tabla3[[#This Row],[Site]],Table35[#All],6,FALSE)</f>
        <v>15</v>
      </c>
      <c r="Q371" s="32" t="str">
        <f>VLOOKUP(Tabla3[[#This Row],[Site]],Table35[#All],8,FALSE)</f>
        <v>194</v>
      </c>
    </row>
    <row r="372" spans="1:17" hidden="1" x14ac:dyDescent="0.25">
      <c r="A372" t="str">
        <f>+Tabla3[[#This Row],[Site]]&amp;Tabla3[[#This Row],[Split]]</f>
        <v>(AS) Coggin BMW Ft. Pierce (NO TOURS)7</v>
      </c>
      <c r="B372">
        <v>7</v>
      </c>
      <c r="C372">
        <v>2</v>
      </c>
      <c r="D372" t="s">
        <v>121</v>
      </c>
      <c r="E372" t="str">
        <f>VLOOKUP(Tabla3[[#This Row],[Site]],Table35[],10,FALSE)</f>
        <v>9:00 P.M.</v>
      </c>
      <c r="F372" t="str">
        <f>VLOOKUP(Tabla3[[#This Row],[Site]],Table35[],11,FALSE)</f>
        <v>ET</v>
      </c>
      <c r="G372" t="str">
        <f>VLOOKUP(Tabla3[[#This Row],[Site]],Table35[],12,FALSE)</f>
        <v>5:00 A.M.</v>
      </c>
      <c r="H372" s="74" t="str">
        <f>HYPERLINK(VLOOKUP(Tabla3[[#This Row],[Site]],Table35[#All],9,FALSE))</f>
        <v>https://tools.sig.systems/site/details/119</v>
      </c>
      <c r="I372" t="str">
        <f>VLOOKUP(Tabla3[[#This Row],[Site]],Table35[],13,FALSE)</f>
        <v>https://www.google.com/maps/d/viewer?mid=1AyViBuyeq7iwDua1SVudJ2A1BYi3IBA&amp;ll=27.38181516363982%2C-80.32568845000002&amp;z=18</v>
      </c>
      <c r="J372" t="str">
        <f>VLOOKUP(Tabla3[[#This Row],[Site]],Table35[],14,FALSE)</f>
        <v>-</v>
      </c>
      <c r="L372" s="32" t="str">
        <f>VLOOKUP(Tabla3[[#This Row],[Site]],Table35[#All],2,FALSE)</f>
        <v>3, 10, 13</v>
      </c>
      <c r="M372" s="32" t="str">
        <f>VLOOKUP(Tabla3[[#This Row],[Site]],Table35[#All],3,FALSE)</f>
        <v>-</v>
      </c>
      <c r="N372" s="32" t="str">
        <f>VLOOKUP(Tabla3[[#This Row],[Site]],Table35[#All],4,FALSE)</f>
        <v>-</v>
      </c>
      <c r="O372" s="32">
        <f>VLOOKUP(Tabla3[[#This Row],[Site]],Table35[#All],5,FALSE)</f>
        <v>2</v>
      </c>
      <c r="P372" s="32" t="str">
        <f>VLOOKUP(Tabla3[[#This Row],[Site]],Table35[#All],6,FALSE)</f>
        <v>1, 20, 27</v>
      </c>
      <c r="Q372" s="32" t="str">
        <f>VLOOKUP(Tabla3[[#This Row],[Site]],Table35[#All],8,FALSE)</f>
        <v>119</v>
      </c>
    </row>
    <row r="373" spans="1:17" hidden="1" x14ac:dyDescent="0.25">
      <c r="A373" t="str">
        <f>+Tabla3[[#This Row],[Site]]&amp;Tabla3[[#This Row],[Split]]</f>
        <v>(AS) Koons Chevrolet Buick GMC - Clarksville Remote Lot (NO TOURS)7</v>
      </c>
      <c r="B373">
        <v>7</v>
      </c>
      <c r="C373">
        <v>2</v>
      </c>
      <c r="D373" t="s">
        <v>415</v>
      </c>
      <c r="E373" t="str">
        <f>VLOOKUP(Tabla3[[#This Row],[Site]],Table35[],10,FALSE)</f>
        <v>9:00 P.M.</v>
      </c>
      <c r="F373" t="str">
        <f>VLOOKUP(Tabla3[[#This Row],[Site]],Table35[],11,FALSE)</f>
        <v>ET</v>
      </c>
      <c r="G373" t="str">
        <f>VLOOKUP(Tabla3[[#This Row],[Site]],Table35[],12,FALSE)</f>
        <v>5:00 A.M.</v>
      </c>
      <c r="H373" s="74" t="str">
        <f>HYPERLINK(VLOOKUP(Tabla3[[#This Row],[Site]],Table35[#All],9,FALSE))</f>
        <v>https://tools.sig.systems/site/details/308</v>
      </c>
      <c r="I373" t="str">
        <f>VLOOKUP(Tabla3[[#This Row],[Site]],Table35[],13,FALSE)</f>
        <v>https://www.google.com/maps/d/edit?hl=es&amp;mid=11XB1lTSP7EcDCDvzypdUPWP6bWCNAEI&amp;ll=39.21145022420528%2C-76.94003711910554&amp;z=21</v>
      </c>
      <c r="J373" t="str">
        <f>VLOOKUP(Tabla3[[#This Row],[Site]],Table35[],14,FALSE)</f>
        <v>10:00 A.M.</v>
      </c>
      <c r="L373" s="32" t="str">
        <f>VLOOKUP(Tabla3[[#This Row],[Site]],Table35[#All],2,FALSE)</f>
        <v>-</v>
      </c>
      <c r="M373" s="32" t="str">
        <f>VLOOKUP(Tabla3[[#This Row],[Site]],Table35[#All],3,FALSE)</f>
        <v>1, 5</v>
      </c>
      <c r="N373" s="32" t="str">
        <f>VLOOKUP(Tabla3[[#This Row],[Site]],Table35[#All],4,FALSE)</f>
        <v>-</v>
      </c>
      <c r="O373" s="32" t="str">
        <f>VLOOKUP(Tabla3[[#This Row],[Site]],Table35[#All],5,FALSE)</f>
        <v>-</v>
      </c>
      <c r="P373" s="32" t="str">
        <f>VLOOKUP(Tabla3[[#This Row],[Site]],Table35[#All],6,FALSE)</f>
        <v>14, 16</v>
      </c>
      <c r="Q373" s="32" t="str">
        <f>VLOOKUP(Tabla3[[#This Row],[Site]],Table35[#All],8,FALSE)</f>
        <v>308</v>
      </c>
    </row>
    <row r="374" spans="1:17" hidden="1" x14ac:dyDescent="0.25">
      <c r="A374" t="str">
        <f>+Tabla3[[#This Row],[Site]]&amp;Tabla3[[#This Row],[Split]]</f>
        <v>(AS) Koons Owings Mills Kia (NO TOURS)7</v>
      </c>
      <c r="B374">
        <v>7</v>
      </c>
      <c r="C374">
        <v>2</v>
      </c>
      <c r="D374" t="s">
        <v>416</v>
      </c>
      <c r="E374" t="str">
        <f>VLOOKUP(Tabla3[[#This Row],[Site]],Table35[],10,FALSE)</f>
        <v>9:00 P.M.</v>
      </c>
      <c r="F374" t="str">
        <f>VLOOKUP(Tabla3[[#This Row],[Site]],Table35[],11,FALSE)</f>
        <v>ET</v>
      </c>
      <c r="G374" t="str">
        <f>VLOOKUP(Tabla3[[#This Row],[Site]],Table35[],12,FALSE)</f>
        <v>5:00 A.M.</v>
      </c>
      <c r="H374" s="74" t="str">
        <f>HYPERLINK(VLOOKUP(Tabla3[[#This Row],[Site]],Table35[#All],9,FALSE))</f>
        <v>https://tools.sig.systems/site/details/336</v>
      </c>
      <c r="I374" t="str">
        <f>VLOOKUP(Tabla3[[#This Row],[Site]],Table35[],13,FALSE)</f>
        <v>-</v>
      </c>
      <c r="J374" t="str">
        <f>VLOOKUP(Tabla3[[#This Row],[Site]],Table35[],14,FALSE)</f>
        <v>-</v>
      </c>
      <c r="L374" s="32">
        <f>VLOOKUP(Tabla3[[#This Row],[Site]],Table35[#All],2,FALSE)</f>
        <v>12</v>
      </c>
      <c r="M374" s="32" t="str">
        <f>VLOOKUP(Tabla3[[#This Row],[Site]],Table35[#All],3,FALSE)</f>
        <v>2, 18</v>
      </c>
      <c r="N374" s="32" t="str">
        <f>VLOOKUP(Tabla3[[#This Row],[Site]],Table35[#All],4,FALSE)</f>
        <v>-</v>
      </c>
      <c r="O374" s="32" t="str">
        <f>VLOOKUP(Tabla3[[#This Row],[Site]],Table35[#All],5,FALSE)</f>
        <v>-</v>
      </c>
      <c r="P374" s="32" t="str">
        <f>VLOOKUP(Tabla3[[#This Row],[Site]],Table35[#All],6,FALSE)</f>
        <v>7, 14</v>
      </c>
      <c r="Q374" s="32">
        <v>336</v>
      </c>
    </row>
    <row r="375" spans="1:17" hidden="1" x14ac:dyDescent="0.25">
      <c r="A375" t="str">
        <f>+Tabla3[[#This Row],[Site]]&amp;Tabla3[[#This Row],[Split]]</f>
        <v>(AS) Koons Westminster Toyota (NO TOURS)7</v>
      </c>
      <c r="B375">
        <v>7</v>
      </c>
      <c r="C375">
        <v>2</v>
      </c>
      <c r="D375" t="s">
        <v>422</v>
      </c>
      <c r="E375" t="str">
        <f>VLOOKUP(Tabla3[[#This Row],[Site]],Table35[],10,FALSE)</f>
        <v>9:00 P.M.</v>
      </c>
      <c r="F375" t="str">
        <f>VLOOKUP(Tabla3[[#This Row],[Site]],Table35[],11,FALSE)</f>
        <v>ET</v>
      </c>
      <c r="G375" t="str">
        <f>VLOOKUP(Tabla3[[#This Row],[Site]],Table35[],12,FALSE)</f>
        <v>5:00 A.M.</v>
      </c>
      <c r="H375" s="74" t="str">
        <f>HYPERLINK(VLOOKUP(Tabla3[[#This Row],[Site]],Table35[#All],9,FALSE))</f>
        <v>https://tools.sig.systems/site/details/341</v>
      </c>
      <c r="I375" t="str">
        <f>VLOOKUP(Tabla3[[#This Row],[Site]],Table35[],13,FALSE)</f>
        <v>-</v>
      </c>
      <c r="J375" t="str">
        <f>VLOOKUP(Tabla3[[#This Row],[Site]],Table35[],14,FALSE)</f>
        <v>-</v>
      </c>
      <c r="L375" s="32" t="str">
        <f>VLOOKUP(Tabla3[[#This Row],[Site]],Table35[#All],2,FALSE)</f>
        <v>-</v>
      </c>
      <c r="M375" s="32" t="str">
        <f>VLOOKUP(Tabla3[[#This Row],[Site]],Table35[#All],3,FALSE)</f>
        <v>1, 7, 9, 18, 25</v>
      </c>
      <c r="N375" s="32" t="str">
        <f>VLOOKUP(Tabla3[[#This Row],[Site]],Table35[#All],4,FALSE)</f>
        <v>-</v>
      </c>
      <c r="O375" s="32" t="str">
        <f>VLOOKUP(Tabla3[[#This Row],[Site]],Table35[#All],5,FALSE)</f>
        <v>-</v>
      </c>
      <c r="P375" s="32" t="str">
        <f>VLOOKUP(Tabla3[[#This Row],[Site]],Table35[#All],6,FALSE)</f>
        <v>8, 14, 16</v>
      </c>
      <c r="Q375" s="32">
        <v>341</v>
      </c>
    </row>
    <row r="376" spans="1:17" hidden="1" x14ac:dyDescent="0.25">
      <c r="A376" t="str">
        <f>+Tabla3[[#This Row],[Site]]&amp;Tabla3[[#This Row],[Split]]</f>
        <v>(AS) Koons Woodbridge GMC (NO TOURS)7</v>
      </c>
      <c r="B376">
        <v>7</v>
      </c>
      <c r="C376">
        <v>2</v>
      </c>
      <c r="D376" t="s">
        <v>383</v>
      </c>
      <c r="E376" t="str">
        <f>VLOOKUP(Tabla3[[#This Row],[Site]],Table35[],10,FALSE)</f>
        <v>9:00 P.M.</v>
      </c>
      <c r="F376" t="str">
        <f>VLOOKUP(Tabla3[[#This Row],[Site]],Table35[],11,FALSE)</f>
        <v>ET</v>
      </c>
      <c r="G376" t="str">
        <f>VLOOKUP(Tabla3[[#This Row],[Site]],Table35[],12,FALSE)</f>
        <v>5:00 A.M.</v>
      </c>
      <c r="H376" s="74" t="str">
        <f>HYPERLINK(VLOOKUP(Tabla3[[#This Row],[Site]],Table35[#All],9,FALSE))</f>
        <v>https://tools.sig.systems/site/details/343</v>
      </c>
      <c r="I376">
        <f>VLOOKUP(Tabla3[[#This Row],[Site]],Table35[],13,FALSE)</f>
        <v>0</v>
      </c>
      <c r="J376" t="str">
        <f>VLOOKUP(Tabla3[[#This Row],[Site]],Table35[],14,FALSE)</f>
        <v>10:00 A.M.</v>
      </c>
      <c r="L376" s="32" t="str">
        <f>VLOOKUP(Tabla3[[#This Row],[Site]],Table35[#All],2,FALSE)</f>
        <v>-</v>
      </c>
      <c r="M376" s="32">
        <f>VLOOKUP(Tabla3[[#This Row],[Site]],Table35[#All],3,FALSE)</f>
        <v>1</v>
      </c>
      <c r="N376" s="32" t="str">
        <f>VLOOKUP(Tabla3[[#This Row],[Site]],Table35[#All],4,FALSE)</f>
        <v>-</v>
      </c>
      <c r="O376" s="32">
        <f>VLOOKUP(Tabla3[[#This Row],[Site]],Table35[#All],5,FALSE)</f>
        <v>11</v>
      </c>
      <c r="P376" s="32" t="str">
        <f>VLOOKUP(Tabla3[[#This Row],[Site]],Table35[#All],6,FALSE)</f>
        <v>2, 7</v>
      </c>
      <c r="Q376" s="32" t="str">
        <f>VLOOKUP(Tabla3[[#This Row],[Site]],Table35[#All],8,FALSE)</f>
        <v>343</v>
      </c>
    </row>
    <row r="377" spans="1:17" hidden="1" x14ac:dyDescent="0.25">
      <c r="A377" t="str">
        <f>+Tabla3[[#This Row],[Site]]&amp;Tabla3[[#This Row],[Split]]</f>
        <v>(AS) Plaza Mercedes Benz West (NO TOURS)7</v>
      </c>
      <c r="B377">
        <v>7</v>
      </c>
      <c r="C377">
        <v>2</v>
      </c>
      <c r="D377" t="s">
        <v>394</v>
      </c>
      <c r="E377" t="str">
        <f>VLOOKUP(Tabla3[[#This Row],[Site]],Table35[],10,FALSE)</f>
        <v>10:00 P.M.</v>
      </c>
      <c r="F377" t="str">
        <f>VLOOKUP(Tabla3[[#This Row],[Site]],Table35[],11,FALSE)</f>
        <v>CT</v>
      </c>
      <c r="G377" t="str">
        <f>VLOOKUP(Tabla3[[#This Row],[Site]],Table35[],12,FALSE)</f>
        <v>6:00 A.M.</v>
      </c>
      <c r="H377" s="74" t="str">
        <f>HYPERLINK(VLOOKUP(Tabla3[[#This Row],[Site]],Table35[#All],9,FALSE))</f>
        <v>https://tools.sig.systems/site/details/349</v>
      </c>
      <c r="I377">
        <f>VLOOKUP(Tabla3[[#This Row],[Site]],Table35[],13,FALSE)</f>
        <v>0</v>
      </c>
      <c r="J377" t="str">
        <f>VLOOKUP(Tabla3[[#This Row],[Site]],Table35[],14,FALSE)</f>
        <v>-</v>
      </c>
      <c r="L377" s="32" t="str">
        <f>VLOOKUP(Tabla3[[#This Row],[Site]],Table35[#All],2,FALSE)</f>
        <v>-</v>
      </c>
      <c r="M377" s="32" t="str">
        <f>VLOOKUP(Tabla3[[#This Row],[Site]],Table35[#All],3,FALSE)</f>
        <v>1, 7</v>
      </c>
      <c r="N377" s="32" t="str">
        <f>VLOOKUP(Tabla3[[#This Row],[Site]],Table35[#All],4,FALSE)</f>
        <v>-</v>
      </c>
      <c r="O377" s="32">
        <f>VLOOKUP(Tabla3[[#This Row],[Site]],Table35[#All],5,FALSE)</f>
        <v>17</v>
      </c>
      <c r="P377" s="32" t="str">
        <f>VLOOKUP(Tabla3[[#This Row],[Site]],Table35[#All],6,FALSE)</f>
        <v>6, 21</v>
      </c>
      <c r="Q377" s="32" t="str">
        <f>VLOOKUP(Tabla3[[#This Row],[Site]],Table35[#All],8,FALSE)</f>
        <v>349</v>
      </c>
    </row>
    <row r="378" spans="1:17" hidden="1" x14ac:dyDescent="0.25">
      <c r="A378" t="str">
        <f>+Tabla3[[#This Row],[Site]]&amp;Tabla3[[#This Row],[Split]]</f>
        <v>(KG) Ken Garff Kia of Avondale7</v>
      </c>
      <c r="B378">
        <v>7</v>
      </c>
      <c r="C378">
        <v>2</v>
      </c>
      <c r="D378" t="s">
        <v>297</v>
      </c>
      <c r="E378" t="str">
        <f>VLOOKUP(Tabla3[[#This Row],[Site]],Table35[],10,FALSE)</f>
        <v>12:00 A.M.</v>
      </c>
      <c r="F378" t="str">
        <f>VLOOKUP(Tabla3[[#This Row],[Site]],Table35[],11,FALSE)</f>
        <v>MST</v>
      </c>
      <c r="G378" t="str">
        <f>VLOOKUP(Tabla3[[#This Row],[Site]],Table35[],12,FALSE)</f>
        <v>8:00 A.M.</v>
      </c>
      <c r="H378" s="74" t="str">
        <f>HYPERLINK(VLOOKUP(Tabla3[[#This Row],[Site]],Table35[#All],9,FALSE))</f>
        <v>https://tools.sig.systems/site/details/283</v>
      </c>
      <c r="I378" t="str">
        <f>VLOOKUP(Tabla3[[#This Row],[Site]],Table35[],13,FALSE)</f>
        <v>https://www.google.com/maps/d/viewer?mid=1bDs0QGFZwL3vEeGKxjVMk_j4azr0-lg&amp;ll=33.4593758581648%2C-112.28793780000001&amp;z=18</v>
      </c>
      <c r="J378" t="str">
        <f>VLOOKUP(Tabla3[[#This Row],[Site]],Table35[],14,FALSE)</f>
        <v>12:00 P.M.</v>
      </c>
      <c r="L378" s="32" t="str">
        <f>VLOOKUP(Tabla3[[#This Row],[Site]],Table35[#All],2,FALSE)</f>
        <v>5, 19</v>
      </c>
      <c r="M378" s="32" t="str">
        <f>VLOOKUP(Tabla3[[#This Row],[Site]],Table35[#All],3,FALSE)</f>
        <v>-</v>
      </c>
      <c r="N378" s="32" t="str">
        <f>VLOOKUP(Tabla3[[#This Row],[Site]],Table35[#All],4,FALSE)</f>
        <v>-</v>
      </c>
      <c r="O378" s="32" t="str">
        <f>VLOOKUP(Tabla3[[#This Row],[Site]],Table35[#All],5,FALSE)</f>
        <v>3, 5</v>
      </c>
      <c r="P378" s="32" t="str">
        <f>VLOOKUP(Tabla3[[#This Row],[Site]],Table35[#All],6,FALSE)</f>
        <v>1, 6, 7, 12, 15, 17, 21</v>
      </c>
      <c r="Q378" s="32" t="str">
        <f>VLOOKUP(Tabla3[[#This Row],[Site]],Table35[#All],8,FALSE)</f>
        <v>283</v>
      </c>
    </row>
    <row r="379" spans="1:17" hidden="1" x14ac:dyDescent="0.25">
      <c r="A379" t="str">
        <f>+Tabla3[[#This Row],[Site]]&amp;Tabla3[[#This Row],[Split]]</f>
        <v>(LT) Luther Genesis of Minneapolis7</v>
      </c>
      <c r="B379">
        <v>7</v>
      </c>
      <c r="C379">
        <v>2</v>
      </c>
      <c r="D379" t="s">
        <v>260</v>
      </c>
      <c r="E379" t="str">
        <f>VLOOKUP(Tabla3[[#This Row],[Site]],Table35[],10,FALSE)</f>
        <v>10:00 P.M.</v>
      </c>
      <c r="F379" t="str">
        <f>VLOOKUP(Tabla3[[#This Row],[Site]],Table35[],11,FALSE)</f>
        <v>CT</v>
      </c>
      <c r="G379" t="str">
        <f>VLOOKUP(Tabla3[[#This Row],[Site]],Table35[],12,FALSE)</f>
        <v>6:00 A.M.</v>
      </c>
      <c r="H379" s="74" t="str">
        <f>HYPERLINK(VLOOKUP(Tabla3[[#This Row],[Site]],Table35[#All],9,FALSE))</f>
        <v>https://tools.sig.systems/site/details/315</v>
      </c>
      <c r="I379">
        <f>VLOOKUP(Tabla3[[#This Row],[Site]],Table35[],13,FALSE)</f>
        <v>0</v>
      </c>
      <c r="J379" t="str">
        <f>VLOOKUP(Tabla3[[#This Row],[Site]],Table35[],14,FALSE)</f>
        <v>-</v>
      </c>
      <c r="L379" s="32" t="str">
        <f>VLOOKUP(Tabla3[[#This Row],[Site]],Table35[#All],2,FALSE)</f>
        <v>-</v>
      </c>
      <c r="M379" s="32" t="str">
        <f>VLOOKUP(Tabla3[[#This Row],[Site]],Table35[#All],3,FALSE)</f>
        <v>1,2,3,18</v>
      </c>
      <c r="N379" s="32" t="str">
        <f>VLOOKUP(Tabla3[[#This Row],[Site]],Table35[#All],4,FALSE)</f>
        <v>-</v>
      </c>
      <c r="O379" s="32" t="str">
        <f>VLOOKUP(Tabla3[[#This Row],[Site]],Table35[#All],5,FALSE)</f>
        <v>-</v>
      </c>
      <c r="P379" s="32" t="str">
        <f>VLOOKUP(Tabla3[[#This Row],[Site]],Table35[#All],6,FALSE)</f>
        <v>1,2,3,5,16,18</v>
      </c>
      <c r="Q379" s="32" t="str">
        <f>VLOOKUP(Tabla3[[#This Row],[Site]],Table35[#All],8,FALSE)</f>
        <v>315</v>
      </c>
    </row>
    <row r="380" spans="1:17" hidden="1" x14ac:dyDescent="0.25">
      <c r="A380" t="str">
        <f>+Tabla3[[#This Row],[Site]]&amp;Tabla3[[#This Row],[Split]]</f>
        <v>(LT) Luther Hopkins Honda (NO TOURS)7</v>
      </c>
      <c r="B380">
        <v>7</v>
      </c>
      <c r="C380">
        <v>2</v>
      </c>
      <c r="D380" t="s">
        <v>303</v>
      </c>
      <c r="E380" t="str">
        <f>VLOOKUP(Tabla3[[#This Row],[Site]],Table35[],10,FALSE)</f>
        <v>10:00 P.M.</v>
      </c>
      <c r="F380" t="str">
        <f>VLOOKUP(Tabla3[[#This Row],[Site]],Table35[],11,FALSE)</f>
        <v>CT</v>
      </c>
      <c r="G380" t="str">
        <f>VLOOKUP(Tabla3[[#This Row],[Site]],Table35[],12,FALSE)</f>
        <v>6:00 A.M.</v>
      </c>
      <c r="H380" s="74" t="str">
        <f>HYPERLINK(VLOOKUP(Tabla3[[#This Row],[Site]],Table35[#All],9,FALSE))</f>
        <v>https://tools.sig.systems/site/details/288</v>
      </c>
      <c r="I380">
        <f>VLOOKUP(Tabla3[[#This Row],[Site]],Table35[],13,FALSE)</f>
        <v>0</v>
      </c>
      <c r="J380" t="str">
        <f>VLOOKUP(Tabla3[[#This Row],[Site]],Table35[],14,FALSE)</f>
        <v>-</v>
      </c>
      <c r="L380" s="32" t="str">
        <f>VLOOKUP(Tabla3[[#This Row],[Site]],Table35[#All],2,FALSE)</f>
        <v>-</v>
      </c>
      <c r="M380" s="32" t="str">
        <f>VLOOKUP(Tabla3[[#This Row],[Site]],Table35[#All],3,FALSE)</f>
        <v>9, 36</v>
      </c>
      <c r="N380" s="32" t="str">
        <f>VLOOKUP(Tabla3[[#This Row],[Site]],Table35[#All],4,FALSE)</f>
        <v>38, 39</v>
      </c>
      <c r="O380" s="32" t="str">
        <f>VLOOKUP(Tabla3[[#This Row],[Site]],Table35[#All],5,FALSE)</f>
        <v>3, 26</v>
      </c>
      <c r="P380" s="32" t="str">
        <f>VLOOKUP(Tabla3[[#This Row],[Site]],Table35[#All],6,FALSE)</f>
        <v>1, 4, 11, 18, 23, 25, 31</v>
      </c>
      <c r="Q380" s="32" t="str">
        <f>VLOOKUP(Tabla3[[#This Row],[Site]],Table35[#All],8,FALSE)</f>
        <v>288</v>
      </c>
    </row>
    <row r="381" spans="1:17" hidden="1" x14ac:dyDescent="0.25">
      <c r="A381" t="str">
        <f>+Tabla3[[#This Row],[Site]]&amp;Tabla3[[#This Row],[Split]]</f>
        <v>(PE) JLR Englewood (NO TOURS)7</v>
      </c>
      <c r="B381">
        <v>7</v>
      </c>
      <c r="C381">
        <v>2</v>
      </c>
      <c r="D381" t="s">
        <v>216</v>
      </c>
      <c r="E381" t="str">
        <f>VLOOKUP(Tabla3[[#This Row],[Site]],Table35[],10,FALSE)</f>
        <v>8:00 P.M.</v>
      </c>
      <c r="F381" t="str">
        <f>VLOOKUP(Tabla3[[#This Row],[Site]],Table35[],11,FALSE)</f>
        <v>ET</v>
      </c>
      <c r="G381" t="str">
        <f>VLOOKUP(Tabla3[[#This Row],[Site]],Table35[],12,FALSE)</f>
        <v>5:00 A.M.</v>
      </c>
      <c r="H381" s="74" t="str">
        <f>HYPERLINK(VLOOKUP(Tabla3[[#This Row],[Site]],Table35[#All],9,FALSE))</f>
        <v>https://tools.sig.systems/site/details/178</v>
      </c>
      <c r="I381" t="str">
        <f>VLOOKUP(Tabla3[[#This Row],[Site]],Table35[],13,FALSE)</f>
        <v>https://www.google.com/maps/d/viewer?mid=1ubI2iKs1JyYXssuT4oLPnVvFnyLPi_s&amp;ll=40.878808846788026%2C-73.98560655&amp;z=17</v>
      </c>
      <c r="J381" t="str">
        <f>VLOOKUP(Tabla3[[#This Row],[Site]],Table35[],14,FALSE)</f>
        <v>-</v>
      </c>
      <c r="L381" s="32" t="str">
        <f>VLOOKUP(Tabla3[[#This Row],[Site]],Table35[#All],2,FALSE)</f>
        <v>1, 2</v>
      </c>
      <c r="M381" s="32" t="str">
        <f>VLOOKUP(Tabla3[[#This Row],[Site]],Table35[#All],3,FALSE)</f>
        <v>-</v>
      </c>
      <c r="N381" s="32" t="str">
        <f>VLOOKUP(Tabla3[[#This Row],[Site]],Table35[#All],4,FALSE)</f>
        <v>-</v>
      </c>
      <c r="O381" s="32" t="str">
        <f>VLOOKUP(Tabla3[[#This Row],[Site]],Table35[#All],5,FALSE)</f>
        <v>-</v>
      </c>
      <c r="P381" s="32" t="str">
        <f>VLOOKUP(Tabla3[[#This Row],[Site]],Table35[#All],6,FALSE)</f>
        <v>-</v>
      </c>
      <c r="Q381" s="32" t="str">
        <f>VLOOKUP(Tabla3[[#This Row],[Site]],Table35[#All],8,FALSE)</f>
        <v>178</v>
      </c>
    </row>
    <row r="382" spans="1:17" hidden="1" x14ac:dyDescent="0.25">
      <c r="A382" t="str">
        <f>+Tabla3[[#This Row],[Site]]&amp;Tabla3[[#This Row],[Split]]</f>
        <v>(AS) Koons Chevrolet Buick GMC - Tysons (NO TOURS)7</v>
      </c>
      <c r="B382">
        <v>7</v>
      </c>
      <c r="C382">
        <v>3</v>
      </c>
      <c r="D382" t="s">
        <v>386</v>
      </c>
      <c r="E382" t="str">
        <f>VLOOKUP(Tabla3[[#This Row],[Site]],Table35[],10,FALSE)</f>
        <v>9:00 P.M.</v>
      </c>
      <c r="F382" t="str">
        <f>VLOOKUP(Tabla3[[#This Row],[Site]],Table35[],11,FALSE)</f>
        <v>ET</v>
      </c>
      <c r="G382" t="str">
        <f>VLOOKUP(Tabla3[[#This Row],[Site]],Table35[],12,FALSE)</f>
        <v>5:00 A.M.</v>
      </c>
      <c r="H382" s="74" t="str">
        <f>HYPERLINK(VLOOKUP(Tabla3[[#This Row],[Site]],Table35[#All],9,FALSE))</f>
        <v>https://tools.sig.systems/site/details/352</v>
      </c>
      <c r="I382" t="str">
        <f>VLOOKUP(Tabla3[[#This Row],[Site]],Table35[],13,FALSE)</f>
        <v>-</v>
      </c>
      <c r="J382" t="str">
        <f>VLOOKUP(Tabla3[[#This Row],[Site]],Table35[],14,FALSE)</f>
        <v>10:00 A.M.</v>
      </c>
      <c r="L382" s="32" t="str">
        <f>VLOOKUP(Tabla3[[#This Row],[Site]],Table35[#All],2,FALSE)</f>
        <v>4, 6</v>
      </c>
      <c r="M382" s="32" t="str">
        <f>VLOOKUP(Tabla3[[#This Row],[Site]],Table35[#All],3,FALSE)</f>
        <v>-</v>
      </c>
      <c r="N382" s="32" t="str">
        <f>VLOOKUP(Tabla3[[#This Row],[Site]],Table35[#All],4,FALSE)</f>
        <v>-</v>
      </c>
      <c r="O382" s="32">
        <f>VLOOKUP(Tabla3[[#This Row],[Site]],Table35[#All],5,FALSE)</f>
        <v>4</v>
      </c>
      <c r="P382" s="32" t="str">
        <f>VLOOKUP(Tabla3[[#This Row],[Site]],Table35[#All],6,FALSE)</f>
        <v>6, 12, 15</v>
      </c>
      <c r="Q382" s="32" t="str">
        <f>VLOOKUP(Tabla3[[#This Row],[Site]],Table35[#All],8,FALSE)</f>
        <v>352</v>
      </c>
    </row>
    <row r="383" spans="1:17" hidden="1" x14ac:dyDescent="0.25">
      <c r="A383" t="str">
        <f>+Tabla3[[#This Row],[Site]]&amp;Tabla3[[#This Row],[Split]]</f>
        <v>(AS) Koons MB of Catonsville (NO TOURS)7</v>
      </c>
      <c r="B383">
        <v>7</v>
      </c>
      <c r="C383">
        <v>3</v>
      </c>
      <c r="D383" t="s">
        <v>233</v>
      </c>
      <c r="E383" t="str">
        <f>VLOOKUP(Tabla3[[#This Row],[Site]],Table35[],10,FALSE)</f>
        <v>9:00 P.M.</v>
      </c>
      <c r="F383" t="str">
        <f>VLOOKUP(Tabla3[[#This Row],[Site]],Table35[],11,FALSE)</f>
        <v>ET</v>
      </c>
      <c r="G383" t="str">
        <f>VLOOKUP(Tabla3[[#This Row],[Site]],Table35[],12,FALSE)</f>
        <v>5:00 A.M.</v>
      </c>
      <c r="H383" s="74" t="str">
        <f>HYPERLINK(VLOOKUP(Tabla3[[#This Row],[Site]],Table35[#All],9,FALSE))</f>
        <v>https://tools.sig.systems/site/details/303</v>
      </c>
      <c r="I383">
        <f>VLOOKUP(Tabla3[[#This Row],[Site]],Table35[],13,FALSE)</f>
        <v>0</v>
      </c>
      <c r="J383" t="str">
        <f>VLOOKUP(Tabla3[[#This Row],[Site]],Table35[],14,FALSE)</f>
        <v>-</v>
      </c>
      <c r="L383" s="32" t="str">
        <f>VLOOKUP(Tabla3[[#This Row],[Site]],Table35[#All],2,FALSE)</f>
        <v>-</v>
      </c>
      <c r="M383" s="32" t="str">
        <f>VLOOKUP(Tabla3[[#This Row],[Site]],Table35[#All],3,FALSE)</f>
        <v>15, 16, 17, 29</v>
      </c>
      <c r="N383" s="32">
        <f>VLOOKUP(Tabla3[[#This Row],[Site]],Table35[#All],4,FALSE)</f>
        <v>29</v>
      </c>
      <c r="O383" s="32">
        <f>VLOOKUP(Tabla3[[#This Row],[Site]],Table35[#All],5,FALSE)</f>
        <v>5</v>
      </c>
      <c r="P383" s="32" t="str">
        <f>VLOOKUP(Tabla3[[#This Row],[Site]],Table35[#All],6,FALSE)</f>
        <v>1, 7, 8, 12, 19, 32</v>
      </c>
      <c r="Q383" s="32" t="str">
        <f>VLOOKUP(Tabla3[[#This Row],[Site]],Table35[#All],8,FALSE)</f>
        <v>303</v>
      </c>
    </row>
    <row r="384" spans="1:17" hidden="1" x14ac:dyDescent="0.25">
      <c r="A384" t="str">
        <f>+Tabla3[[#This Row],[Site]]&amp;Tabla3[[#This Row],[Split]]</f>
        <v>(AS) Koons Tysons Toyota - Main Dealership (NO TOURS)7</v>
      </c>
      <c r="B384">
        <v>7</v>
      </c>
      <c r="C384">
        <v>3</v>
      </c>
      <c r="D384" t="s">
        <v>432</v>
      </c>
      <c r="E384" t="str">
        <f>VLOOKUP(Tabla3[[#This Row],[Site]],Table35[],10,FALSE)</f>
        <v>9:00 P.M.</v>
      </c>
      <c r="F384" t="str">
        <f>VLOOKUP(Tabla3[[#This Row],[Site]],Table35[],11,FALSE)</f>
        <v>ET</v>
      </c>
      <c r="G384" t="str">
        <f>VLOOKUP(Tabla3[[#This Row],[Site]],Table35[],12,FALSE)</f>
        <v>5:00 A.M.</v>
      </c>
      <c r="H384" s="74" t="str">
        <f>HYPERLINK(VLOOKUP(Tabla3[[#This Row],[Site]],Table35[#All],9,FALSE))</f>
        <v>https://tools.sig.systems/site/details/344</v>
      </c>
      <c r="I384" t="str">
        <f>VLOOKUP(Tabla3[[#This Row],[Site]],Table35[],13,FALSE)</f>
        <v>-</v>
      </c>
      <c r="J384" t="str">
        <f>VLOOKUP(Tabla3[[#This Row],[Site]],Table35[],14,FALSE)</f>
        <v>-</v>
      </c>
      <c r="L384" s="32" t="str">
        <f>VLOOKUP(Tabla3[[#This Row],[Site]],Table35[#All],2,FALSE)</f>
        <v>-</v>
      </c>
      <c r="M384" s="32" t="str">
        <f>VLOOKUP(Tabla3[[#This Row],[Site]],Table35[#All],3,FALSE)</f>
        <v>1, 25</v>
      </c>
      <c r="N384" s="32" t="str">
        <f>VLOOKUP(Tabla3[[#This Row],[Site]],Table35[#All],4,FALSE)</f>
        <v>-</v>
      </c>
      <c r="O384" s="32" t="str">
        <f>VLOOKUP(Tabla3[[#This Row],[Site]],Table35[#All],5,FALSE)</f>
        <v>-</v>
      </c>
      <c r="P384" s="32" t="str">
        <f>VLOOKUP(Tabla3[[#This Row],[Site]],Table35[#All],6,FALSE)</f>
        <v>13, 22, 27</v>
      </c>
      <c r="Q384" s="32" t="str">
        <f>VLOOKUP(Tabla3[[#This Row],[Site]],Table35[#All],8,FALSE)</f>
        <v>344</v>
      </c>
    </row>
    <row r="385" spans="1:17" hidden="1" x14ac:dyDescent="0.25">
      <c r="A385" t="str">
        <f>+Tabla3[[#This Row],[Site]]&amp;Tabla3[[#This Row],[Split]]</f>
        <v>(AS) Koons White Marsh Chevrolet (NO TOURS)7</v>
      </c>
      <c r="B385">
        <v>7</v>
      </c>
      <c r="C385">
        <v>3</v>
      </c>
      <c r="D385" t="s">
        <v>393</v>
      </c>
      <c r="E385" t="str">
        <f>VLOOKUP(Tabla3[[#This Row],[Site]],Table35[],10,FALSE)</f>
        <v>9:00 P.M.</v>
      </c>
      <c r="F385" t="str">
        <f>VLOOKUP(Tabla3[[#This Row],[Site]],Table35[],11,FALSE)</f>
        <v>ET</v>
      </c>
      <c r="G385" t="str">
        <f>VLOOKUP(Tabla3[[#This Row],[Site]],Table35[],12,FALSE)</f>
        <v>5:00 A.M.</v>
      </c>
      <c r="H385" s="74" t="str">
        <f>HYPERLINK(VLOOKUP(Tabla3[[#This Row],[Site]],Table35[#All],9,FALSE))</f>
        <v>https://tools.sig.systems/site/details/339</v>
      </c>
      <c r="I385" t="str">
        <f>VLOOKUP(Tabla3[[#This Row],[Site]],Table35[],13,FALSE)</f>
        <v>-</v>
      </c>
      <c r="J385" t="str">
        <f>VLOOKUP(Tabla3[[#This Row],[Site]],Table35[],14,FALSE)</f>
        <v>-</v>
      </c>
      <c r="L385" s="32">
        <f>VLOOKUP(Tabla3[[#This Row],[Site]],Table35[#All],2,FALSE)</f>
        <v>25</v>
      </c>
      <c r="M385" s="32">
        <f>VLOOKUP(Tabla3[[#This Row],[Site]],Table35[#All],3,FALSE)</f>
        <v>10</v>
      </c>
      <c r="N385" s="32" t="str">
        <f>VLOOKUP(Tabla3[[#This Row],[Site]],Table35[#All],4,FALSE)</f>
        <v>-</v>
      </c>
      <c r="O385" s="32" t="str">
        <f>VLOOKUP(Tabla3[[#This Row],[Site]],Table35[#All],5,FALSE)</f>
        <v>-</v>
      </c>
      <c r="P385" s="32">
        <f>VLOOKUP(Tabla3[[#This Row],[Site]],Table35[#All],6,FALSE)</f>
        <v>12</v>
      </c>
      <c r="Q385" s="32" t="str">
        <f>VLOOKUP(Tabla3[[#This Row],[Site]],Table35[#All],8,FALSE)</f>
        <v>339</v>
      </c>
    </row>
    <row r="386" spans="1:17" hidden="1" x14ac:dyDescent="0.25">
      <c r="A386" t="str">
        <f>+Tabla3[[#This Row],[Site]]&amp;Tabla3[[#This Row],[Split]]</f>
        <v>(AS) Koons Woodbridge Ford (NO TOURS)7</v>
      </c>
      <c r="B386">
        <v>7</v>
      </c>
      <c r="C386">
        <v>3</v>
      </c>
      <c r="D386" t="s">
        <v>384</v>
      </c>
      <c r="E386" t="str">
        <f>VLOOKUP(Tabla3[[#This Row],[Site]],Table35[],10,FALSE)</f>
        <v>9:00 P.M.</v>
      </c>
      <c r="F386" t="str">
        <f>VLOOKUP(Tabla3[[#This Row],[Site]],Table35[],11,FALSE)</f>
        <v>ET</v>
      </c>
      <c r="G386" t="str">
        <f>VLOOKUP(Tabla3[[#This Row],[Site]],Table35[],12,FALSE)</f>
        <v>5:00 A.M.</v>
      </c>
      <c r="H386" s="74" t="str">
        <f>HYPERLINK(VLOOKUP(Tabla3[[#This Row],[Site]],Table35[#All],9,FALSE))</f>
        <v>https://tools.sig.systems/site/details/342</v>
      </c>
      <c r="I386">
        <f>VLOOKUP(Tabla3[[#This Row],[Site]],Table35[],13,FALSE)</f>
        <v>0</v>
      </c>
      <c r="J386" t="str">
        <f>VLOOKUP(Tabla3[[#This Row],[Site]],Table35[],14,FALSE)</f>
        <v>9:00 A.M.</v>
      </c>
      <c r="L386" s="32" t="str">
        <f>VLOOKUP(Tabla3[[#This Row],[Site]],Table35[#All],2,FALSE)</f>
        <v>-</v>
      </c>
      <c r="M386" s="32" t="str">
        <f>VLOOKUP(Tabla3[[#This Row],[Site]],Table35[#All],3,FALSE)</f>
        <v>3, 24, 26, 27, 31, 36</v>
      </c>
      <c r="N386" s="32" t="str">
        <f>VLOOKUP(Tabla3[[#This Row],[Site]],Table35[#All],4,FALSE)</f>
        <v>-</v>
      </c>
      <c r="O386" s="32" t="str">
        <f>VLOOKUP(Tabla3[[#This Row],[Site]],Table35[#All],5,FALSE)</f>
        <v>-</v>
      </c>
      <c r="P386" s="32" t="str">
        <f>VLOOKUP(Tabla3[[#This Row],[Site]],Table35[#All],6,FALSE)</f>
        <v>13, 26, 29</v>
      </c>
      <c r="Q386" s="32" t="str">
        <f>VLOOKUP(Tabla3[[#This Row],[Site]],Table35[#All],8,FALSE)</f>
        <v>342</v>
      </c>
    </row>
    <row r="387" spans="1:17" hidden="1" x14ac:dyDescent="0.25">
      <c r="A387" t="str">
        <f>+Tabla3[[#This Row],[Site]]&amp;Tabla3[[#This Row],[Split]]</f>
        <v>(AS) Larry H Miller CDJR Fiat (NO TOURS)7</v>
      </c>
      <c r="B387">
        <v>7</v>
      </c>
      <c r="C387">
        <v>3</v>
      </c>
      <c r="D387" t="s">
        <v>215</v>
      </c>
      <c r="E387" t="str">
        <f>VLOOKUP(Tabla3[[#This Row],[Site]],Table35[],10,FALSE)</f>
        <v>11:00 P.M.</v>
      </c>
      <c r="F387" t="str">
        <f>VLOOKUP(Tabla3[[#This Row],[Site]],Table35[],11,FALSE)</f>
        <v>MT</v>
      </c>
      <c r="G387" t="str">
        <f>VLOOKUP(Tabla3[[#This Row],[Site]],Table35[],12,FALSE)</f>
        <v>7:00 A.M.</v>
      </c>
      <c r="H387" s="74" t="str">
        <f>HYPERLINK(VLOOKUP(Tabla3[[#This Row],[Site]],Table35[#All],9,FALSE))</f>
        <v>https://tools.sig.systems/site/details/298</v>
      </c>
      <c r="I387">
        <f>VLOOKUP(Tabla3[[#This Row],[Site]],Table35[],13,FALSE)</f>
        <v>0</v>
      </c>
      <c r="J387" t="str">
        <f>VLOOKUP(Tabla3[[#This Row],[Site]],Table35[],14,FALSE)</f>
        <v>-</v>
      </c>
      <c r="L387" s="32" t="str">
        <f>VLOOKUP(Tabla3[[#This Row],[Site]],Table35[#All],2,FALSE)</f>
        <v>7, 11</v>
      </c>
      <c r="M387" s="32" t="str">
        <f>VLOOKUP(Tabla3[[#This Row],[Site]],Table35[#All],3,FALSE)</f>
        <v>2, 3</v>
      </c>
      <c r="N387" s="32" t="str">
        <f>VLOOKUP(Tabla3[[#This Row],[Site]],Table35[#All],4,FALSE)</f>
        <v>-</v>
      </c>
      <c r="O387" s="32" t="str">
        <f>VLOOKUP(Tabla3[[#This Row],[Site]],Table35[#All],5,FALSE)</f>
        <v>-</v>
      </c>
      <c r="P387" s="32" t="str">
        <f>VLOOKUP(Tabla3[[#This Row],[Site]],Table35[#All],6,FALSE)</f>
        <v xml:space="preserve">2, 6, 10, 15, 18 </v>
      </c>
      <c r="Q387" s="32" t="str">
        <f>VLOOKUP(Tabla3[[#This Row],[Site]],Table35[#All],8,FALSE)</f>
        <v>298</v>
      </c>
    </row>
    <row r="388" spans="1:17" hidden="1" x14ac:dyDescent="0.25">
      <c r="A388" t="str">
        <f>+Tabla3[[#This Row],[Site]]&amp;Tabla3[[#This Row],[Split]]</f>
        <v>(AS) Plaza Collision ST Louis (NO TOURS)7</v>
      </c>
      <c r="B388">
        <v>7</v>
      </c>
      <c r="C388">
        <v>3</v>
      </c>
      <c r="D388" t="s">
        <v>437</v>
      </c>
      <c r="E388" t="str">
        <f>VLOOKUP(Tabla3[[#This Row],[Site]],Table35[],10,FALSE)</f>
        <v>10:00 P.M.</v>
      </c>
      <c r="F388" t="str">
        <f>VLOOKUP(Tabla3[[#This Row],[Site]],Table35[],11,FALSE)</f>
        <v>CT</v>
      </c>
      <c r="G388" t="str">
        <f>VLOOKUP(Tabla3[[#This Row],[Site]],Table35[],12,FALSE)</f>
        <v>6:00 A.M.</v>
      </c>
      <c r="H388" s="74" t="str">
        <f>HYPERLINK(VLOOKUP(Tabla3[[#This Row],[Site]],Table35[#All],9,FALSE))</f>
        <v>https://tools.sig.systems/site/details/350</v>
      </c>
      <c r="I388" t="str">
        <f>VLOOKUP(Tabla3[[#This Row],[Site]],Table35[],13,FALSE)</f>
        <v>-</v>
      </c>
      <c r="J388" t="str">
        <f>VLOOKUP(Tabla3[[#This Row],[Site]],Table35[],14,FALSE)</f>
        <v>-</v>
      </c>
      <c r="L388" s="32" t="str">
        <f>VLOOKUP(Tabla3[[#This Row],[Site]],Table35[#All],2,FALSE)</f>
        <v>2, 6</v>
      </c>
      <c r="M388" s="32">
        <f>VLOOKUP(Tabla3[[#This Row],[Site]],Table35[#All],3,FALSE)</f>
        <v>1</v>
      </c>
      <c r="N388" s="32" t="str">
        <f>VLOOKUP(Tabla3[[#This Row],[Site]],Table35[#All],4,FALSE)</f>
        <v>-</v>
      </c>
      <c r="O388" s="32" t="str">
        <f>VLOOKUP(Tabla3[[#This Row],[Site]],Table35[#All],5,FALSE)</f>
        <v>-</v>
      </c>
      <c r="P388" s="32">
        <f>VLOOKUP(Tabla3[[#This Row],[Site]],Table35[#All],6,FALSE)</f>
        <v>3</v>
      </c>
      <c r="Q388" s="32" t="str">
        <f>VLOOKUP(Tabla3[[#This Row],[Site]],Table35[#All],8,FALSE)</f>
        <v>350</v>
      </c>
    </row>
    <row r="389" spans="1:17" hidden="1" x14ac:dyDescent="0.25">
      <c r="A389" t="str">
        <f>+Tabla3[[#This Row],[Site]]&amp;Tabla3[[#This Row],[Split]]</f>
        <v>(KG) Ken Garff Volkswagen of Gilbert7</v>
      </c>
      <c r="B389">
        <v>7</v>
      </c>
      <c r="C389">
        <v>3</v>
      </c>
      <c r="D389" t="s">
        <v>129</v>
      </c>
      <c r="E389" t="str">
        <f>VLOOKUP(Tabla3[[#This Row],[Site]],Table35[],10,FALSE)</f>
        <v>12:00 A.M.</v>
      </c>
      <c r="F389" t="str">
        <f>VLOOKUP(Tabla3[[#This Row],[Site]],Table35[],11,FALSE)</f>
        <v>MST</v>
      </c>
      <c r="G389" t="str">
        <f>VLOOKUP(Tabla3[[#This Row],[Site]],Table35[],12,FALSE)</f>
        <v>8:00 A.M.</v>
      </c>
      <c r="H389" s="74" t="str">
        <f>HYPERLINK(VLOOKUP(Tabla3[[#This Row],[Site]],Table35[#All],9,FALSE))</f>
        <v>https://tools.sig.systems/site/details/284</v>
      </c>
      <c r="I389" t="str">
        <f>VLOOKUP(Tabla3[[#This Row],[Site]],Table35[],13,FALSE)</f>
        <v>https://www.google.com/maps/d/viewer?hl=es&amp;mid=19SU7XE9Cg8jhVFpEI21Vi9Zfgdih9Ds&amp;ll=33.29158262977276%2C-111.75783630000002&amp;z=17</v>
      </c>
      <c r="J389" t="str">
        <f>VLOOKUP(Tabla3[[#This Row],[Site]],Table35[],14,FALSE)</f>
        <v>12:00 P.M.</v>
      </c>
      <c r="L389" s="32" t="str">
        <f>VLOOKUP(Tabla3[[#This Row],[Site]],Table35[#All],2,FALSE)</f>
        <v>4, 6</v>
      </c>
      <c r="M389" s="32" t="str">
        <f>VLOOKUP(Tabla3[[#This Row],[Site]],Table35[#All],3,FALSE)</f>
        <v>-</v>
      </c>
      <c r="N389" s="32" t="str">
        <f>VLOOKUP(Tabla3[[#This Row],[Site]],Table35[#All],4,FALSE)</f>
        <v>-</v>
      </c>
      <c r="O389" s="32" t="str">
        <f>VLOOKUP(Tabla3[[#This Row],[Site]],Table35[#All],5,FALSE)</f>
        <v>2, 14</v>
      </c>
      <c r="P389" s="32" t="str">
        <f>VLOOKUP(Tabla3[[#This Row],[Site]],Table35[#All],6,FALSE)</f>
        <v>1, 5, 8, 9, 17, 19, 21</v>
      </c>
      <c r="Q389" s="32" t="str">
        <f>VLOOKUP(Tabla3[[#This Row],[Site]],Table35[#All],8,FALSE)</f>
        <v>284</v>
      </c>
    </row>
    <row r="390" spans="1:17" hidden="1" x14ac:dyDescent="0.25">
      <c r="A390" t="str">
        <f>+Tabla3[[#This Row],[Site]]&amp;Tabla3[[#This Row],[Split]]</f>
        <v>(AS) Coggin Collision Center of Kissimmee (NO TOURS)7</v>
      </c>
      <c r="B390">
        <v>7</v>
      </c>
      <c r="C390">
        <v>4</v>
      </c>
      <c r="D390" t="s">
        <v>285</v>
      </c>
      <c r="E390" t="str">
        <f>VLOOKUP(Tabla3[[#This Row],[Site]],Table35[],10,FALSE)</f>
        <v>9:00 P.M.</v>
      </c>
      <c r="F390" t="str">
        <f>VLOOKUP(Tabla3[[#This Row],[Site]],Table35[],11,FALSE)</f>
        <v>ET</v>
      </c>
      <c r="G390" t="str">
        <f>VLOOKUP(Tabla3[[#This Row],[Site]],Table35[],12,FALSE)</f>
        <v>5:00 A.M.</v>
      </c>
      <c r="H390" s="74" t="str">
        <f>HYPERLINK(VLOOKUP(Tabla3[[#This Row],[Site]],Table35[#All],9,FALSE))</f>
        <v>https://tools.sig.systems/site/details/331</v>
      </c>
      <c r="I390">
        <f>VLOOKUP(Tabla3[[#This Row],[Site]],Table35[],13,FALSE)</f>
        <v>0</v>
      </c>
      <c r="J390" t="str">
        <f>VLOOKUP(Tabla3[[#This Row],[Site]],Table35[],14,FALSE)</f>
        <v>-</v>
      </c>
      <c r="L390" s="32" t="str">
        <f>VLOOKUP(Tabla3[[#This Row],[Site]],Table35[#All],2,FALSE)</f>
        <v>1, 12</v>
      </c>
      <c r="M390" s="32" t="str">
        <f>VLOOKUP(Tabla3[[#This Row],[Site]],Table35[#All],3,FALSE)</f>
        <v>-</v>
      </c>
      <c r="N390" s="32" t="str">
        <f>VLOOKUP(Tabla3[[#This Row],[Site]],Table35[#All],4,FALSE)</f>
        <v>-</v>
      </c>
      <c r="O390" s="32" t="str">
        <f>VLOOKUP(Tabla3[[#This Row],[Site]],Table35[#All],5,FALSE)</f>
        <v>-</v>
      </c>
      <c r="P390" s="32" t="str">
        <f>VLOOKUP(Tabla3[[#This Row],[Site]],Table35[#All],6,FALSE)</f>
        <v>2, 7, 9</v>
      </c>
      <c r="Q390" s="32" t="str">
        <f>VLOOKUP(Tabla3[[#This Row],[Site]],Table35[#All],8,FALSE)</f>
        <v>331</v>
      </c>
    </row>
    <row r="391" spans="1:17" hidden="1" x14ac:dyDescent="0.25">
      <c r="A391" t="str">
        <f>+Tabla3[[#This Row],[Site]]&amp;Tabla3[[#This Row],[Split]]</f>
        <v>(AS) Coggin Honda of Orlando (NO TOURS)7</v>
      </c>
      <c r="B391">
        <v>7</v>
      </c>
      <c r="C391">
        <v>4</v>
      </c>
      <c r="D391" t="s">
        <v>375</v>
      </c>
      <c r="E391" t="str">
        <f>VLOOKUP(Tabla3[[#This Row],[Site]],Table35[],10,FALSE)</f>
        <v>9:00 P.M.</v>
      </c>
      <c r="F391" t="str">
        <f>VLOOKUP(Tabla3[[#This Row],[Site]],Table35[],11,FALSE)</f>
        <v>ET</v>
      </c>
      <c r="G391" t="str">
        <f>VLOOKUP(Tabla3[[#This Row],[Site]],Table35[],12,FALSE)</f>
        <v>5:00 A.M.</v>
      </c>
      <c r="H391" s="74" t="str">
        <f>HYPERLINK(VLOOKUP(Tabla3[[#This Row],[Site]],Table35[#All],9,FALSE))</f>
        <v>https://tools.sig.systems/site/details/324</v>
      </c>
      <c r="I391">
        <f>VLOOKUP(Tabla3[[#This Row],[Site]],Table35[],13,FALSE)</f>
        <v>0</v>
      </c>
      <c r="J391" t="str">
        <f>VLOOKUP(Tabla3[[#This Row],[Site]],Table35[],14,FALSE)</f>
        <v>11:00 A.M.</v>
      </c>
      <c r="L391" s="32" t="str">
        <f>VLOOKUP(Tabla3[[#This Row],[Site]],Table35[#All],2,FALSE)</f>
        <v>2, 10, 12B, 14, 38</v>
      </c>
      <c r="M391" s="32" t="str">
        <f>VLOOKUP(Tabla3[[#This Row],[Site]],Table35[#All],3,FALSE)</f>
        <v>-</v>
      </c>
      <c r="N391" s="32" t="str">
        <f>VLOOKUP(Tabla3[[#This Row],[Site]],Table35[#All],4,FALSE)</f>
        <v>-</v>
      </c>
      <c r="O391" s="32" t="str">
        <f>VLOOKUP(Tabla3[[#This Row],[Site]],Table35[#All],5,FALSE)</f>
        <v>12, 31</v>
      </c>
      <c r="P391" s="32" t="str">
        <f>VLOOKUP(Tabla3[[#This Row],[Site]],Table35[#All],6,FALSE)</f>
        <v>12B, 26, 37, 19</v>
      </c>
      <c r="Q391" s="32" t="str">
        <f>VLOOKUP(Tabla3[[#This Row],[Site]],Table35[#All],8,FALSE)</f>
        <v>324</v>
      </c>
    </row>
    <row r="392" spans="1:17" hidden="1" x14ac:dyDescent="0.25">
      <c r="A392" t="str">
        <f>+Tabla3[[#This Row],[Site]]&amp;Tabla3[[#This Row],[Split]]</f>
        <v>(AS) Koons Baltimore Ford - Main Dealership (NO TOURS)7</v>
      </c>
      <c r="B392">
        <v>7</v>
      </c>
      <c r="C392">
        <v>4</v>
      </c>
      <c r="D392" t="s">
        <v>351</v>
      </c>
      <c r="E392" t="str">
        <f>VLOOKUP(Tabla3[[#This Row],[Site]],Table35[],10,FALSE)</f>
        <v>9:00 P.M.</v>
      </c>
      <c r="F392" t="str">
        <f>VLOOKUP(Tabla3[[#This Row],[Site]],Table35[],11,FALSE)</f>
        <v>ET</v>
      </c>
      <c r="G392" t="str">
        <f>VLOOKUP(Tabla3[[#This Row],[Site]],Table35[],12,FALSE)</f>
        <v>5:00 A.M.</v>
      </c>
      <c r="H392" s="74" t="str">
        <f>HYPERLINK(VLOOKUP(Tabla3[[#This Row],[Site]],Table35[#All],9,FALSE))</f>
        <v>https://tools.sig.systems/site/details/335</v>
      </c>
      <c r="I392" t="str">
        <f>VLOOKUP(Tabla3[[#This Row],[Site]],Table35[],13,FALSE)</f>
        <v>-</v>
      </c>
      <c r="J392" t="str">
        <f>VLOOKUP(Tabla3[[#This Row],[Site]],Table35[],14,FALSE)</f>
        <v>-</v>
      </c>
      <c r="L392" s="32" t="str">
        <f>VLOOKUP(Tabla3[[#This Row],[Site]],Table35[#All],2,FALSE)</f>
        <v>21, 22, 24, 32, 45</v>
      </c>
      <c r="M392" s="32">
        <f>VLOOKUP(Tabla3[[#This Row],[Site]],Table35[#All],3,FALSE)</f>
        <v>1</v>
      </c>
      <c r="N392" s="32" t="str">
        <f>VLOOKUP(Tabla3[[#This Row],[Site]],Table35[#All],4,FALSE)</f>
        <v>-</v>
      </c>
      <c r="O392" s="32" t="str">
        <f>VLOOKUP(Tabla3[[#This Row],[Site]],Table35[#All],5,FALSE)</f>
        <v>1, 8</v>
      </c>
      <c r="P392" s="32" t="str">
        <f>VLOOKUP(Tabla3[[#This Row],[Site]],Table35[#All],6,FALSE)</f>
        <v>5, 28, 38</v>
      </c>
      <c r="Q392" s="32">
        <v>335</v>
      </c>
    </row>
    <row r="393" spans="1:17" hidden="1" x14ac:dyDescent="0.25">
      <c r="A393" t="str">
        <f>+Tabla3[[#This Row],[Site]]&amp;Tabla3[[#This Row],[Split]]</f>
        <v>(AS) Koons Sterling Ford - Main Dealership (NO TOURS)7</v>
      </c>
      <c r="B393">
        <v>7</v>
      </c>
      <c r="C393">
        <v>4</v>
      </c>
      <c r="D393" t="s">
        <v>411</v>
      </c>
      <c r="E393" t="str">
        <f>VLOOKUP(Tabla3[[#This Row],[Site]],Table35[],10,FALSE)</f>
        <v>9:00 P.M.</v>
      </c>
      <c r="F393" t="str">
        <f>VLOOKUP(Tabla3[[#This Row],[Site]],Table35[],11,FALSE)</f>
        <v>ET</v>
      </c>
      <c r="G393" t="str">
        <f>VLOOKUP(Tabla3[[#This Row],[Site]],Table35[],12,FALSE)</f>
        <v>5:00 A.M.</v>
      </c>
      <c r="H393" s="74" t="str">
        <f>HYPERLINK(VLOOKUP(Tabla3[[#This Row],[Site]],Table35[#All],9,FALSE))</f>
        <v>https://tools.sig.systems/site/details/348</v>
      </c>
      <c r="I393" t="str">
        <f>VLOOKUP(Tabla3[[#This Row],[Site]],Table35[],13,FALSE)</f>
        <v>-</v>
      </c>
      <c r="J393" t="str">
        <f>VLOOKUP(Tabla3[[#This Row],[Site]],Table35[],14,FALSE)</f>
        <v>10:00 A.M.</v>
      </c>
      <c r="L393" s="32">
        <f>VLOOKUP(Tabla3[[#This Row],[Site]],Table35[#All],2,FALSE)</f>
        <v>19</v>
      </c>
      <c r="M393" s="32">
        <f>VLOOKUP(Tabla3[[#This Row],[Site]],Table35[#All],3,FALSE)</f>
        <v>3</v>
      </c>
      <c r="N393" s="32" t="str">
        <f>VLOOKUP(Tabla3[[#This Row],[Site]],Table35[#All],4,FALSE)</f>
        <v>-</v>
      </c>
      <c r="O393" s="32" t="str">
        <f>VLOOKUP(Tabla3[[#This Row],[Site]],Table35[#All],5,FALSE)</f>
        <v>4, 21</v>
      </c>
      <c r="P393" s="32" t="str">
        <f>VLOOKUP(Tabla3[[#This Row],[Site]],Table35[#All],6,FALSE)</f>
        <v>7, 8</v>
      </c>
      <c r="Q393" s="32" t="str">
        <f>VLOOKUP(Tabla3[[#This Row],[Site]],Table35[#All],8,FALSE)</f>
        <v>348</v>
      </c>
    </row>
    <row r="394" spans="1:17" hidden="1" x14ac:dyDescent="0.25">
      <c r="A394" t="str">
        <f>+Tabla3[[#This Row],[Site]]&amp;Tabla3[[#This Row],[Split]]</f>
        <v>(LT) Landers Kia of Little Rock7</v>
      </c>
      <c r="B394">
        <v>7</v>
      </c>
      <c r="C394">
        <v>4</v>
      </c>
      <c r="D394" t="s">
        <v>247</v>
      </c>
      <c r="E394" t="str">
        <f>VLOOKUP(Tabla3[[#This Row],[Site]],Table35[],10,FALSE)</f>
        <v>10:00 P.M.</v>
      </c>
      <c r="F394" t="str">
        <f>VLOOKUP(Tabla3[[#This Row],[Site]],Table35[],11,FALSE)</f>
        <v>CT</v>
      </c>
      <c r="G394" t="str">
        <f>VLOOKUP(Tabla3[[#This Row],[Site]],Table35[],12,FALSE)</f>
        <v>6:00 A.M.</v>
      </c>
      <c r="H394" s="74" t="str">
        <f>HYPERLINK(VLOOKUP(Tabla3[[#This Row],[Site]],Table35[#All],9,FALSE))</f>
        <v>https://tools.sig.systems/site/details/322</v>
      </c>
      <c r="I394" t="str">
        <f>VLOOKUP(Tabla3[[#This Row],[Site]],Table35[],13,FALSE)</f>
        <v>https://www.google.com/maps/d/u/1/edit?mid=1-zEzsc6U6nZom08edp0XAd3_HYFvAyk&amp;usp=sharing</v>
      </c>
      <c r="J394" t="str">
        <f>VLOOKUP(Tabla3[[#This Row],[Site]],Table35[],14,FALSE)</f>
        <v>-</v>
      </c>
      <c r="L394" s="32" t="str">
        <f>VLOOKUP(Tabla3[[#This Row],[Site]],Table35[#All],2,FALSE)</f>
        <v>5, 9, 33, 19</v>
      </c>
      <c r="M394" s="32" t="str">
        <f>VLOOKUP(Tabla3[[#This Row],[Site]],Table35[#All],3,FALSE)</f>
        <v>-</v>
      </c>
      <c r="N394" s="32" t="str">
        <f>VLOOKUP(Tabla3[[#This Row],[Site]],Table35[#All],4,FALSE)</f>
        <v>4, 10</v>
      </c>
      <c r="O394" s="32" t="str">
        <f>VLOOKUP(Tabla3[[#This Row],[Site]],Table35[#All],5,FALSE)</f>
        <v>1, 35</v>
      </c>
      <c r="P394" s="32" t="str">
        <f>VLOOKUP(Tabla3[[#This Row],[Site]],Table35[#All],6,FALSE)</f>
        <v>5, 9, 12, 14, 18, 26, 29</v>
      </c>
      <c r="Q394" s="32" t="str">
        <f>VLOOKUP(Tabla3[[#This Row],[Site]],Table35[#All],8,FALSE)</f>
        <v>322</v>
      </c>
    </row>
    <row r="395" spans="1:17" hidden="1" x14ac:dyDescent="0.25">
      <c r="A395" t="str">
        <f>+Tabla3[[#This Row],[Site]]&amp;Tabla3[[#This Row],[Split]]</f>
        <v>(LT) Luther North Country Ford7</v>
      </c>
      <c r="B395">
        <v>7</v>
      </c>
      <c r="C395">
        <v>4</v>
      </c>
      <c r="D395" t="s">
        <v>126</v>
      </c>
      <c r="E395" t="str">
        <f>VLOOKUP(Tabla3[[#This Row],[Site]],Table35[],10,FALSE)</f>
        <v>10:00 P.M.</v>
      </c>
      <c r="F395" t="str">
        <f>VLOOKUP(Tabla3[[#This Row],[Site]],Table35[],11,FALSE)</f>
        <v>CT</v>
      </c>
      <c r="G395" t="str">
        <f>VLOOKUP(Tabla3[[#This Row],[Site]],Table35[],12,FALSE)</f>
        <v>6:00 A.M.</v>
      </c>
      <c r="H395" s="74" t="str">
        <f>HYPERLINK(VLOOKUP(Tabla3[[#This Row],[Site]],Table35[#All],9,FALSE))</f>
        <v>https://tools.sig.systems/site/details/292</v>
      </c>
      <c r="I395">
        <f>VLOOKUP(Tabla3[[#This Row],[Site]],Table35[],13,FALSE)</f>
        <v>0</v>
      </c>
      <c r="J395" t="str">
        <f>VLOOKUP(Tabla3[[#This Row],[Site]],Table35[],14,FALSE)</f>
        <v>-</v>
      </c>
      <c r="L395" s="32" t="str">
        <f>VLOOKUP(Tabla3[[#This Row],[Site]],Table35[#All],2,FALSE)</f>
        <v>-</v>
      </c>
      <c r="M395" s="32" t="str">
        <f>VLOOKUP(Tabla3[[#This Row],[Site]],Table35[#All],3,FALSE)</f>
        <v>7, 14, 19</v>
      </c>
      <c r="N395" s="32" t="str">
        <f>VLOOKUP(Tabla3[[#This Row],[Site]],Table35[#All],4,FALSE)</f>
        <v>30, 31, 32</v>
      </c>
      <c r="O395" s="32" t="str">
        <f>VLOOKUP(Tabla3[[#This Row],[Site]],Table35[#All],5,FALSE)</f>
        <v>-</v>
      </c>
      <c r="P395" s="32" t="str">
        <f>VLOOKUP(Tabla3[[#This Row],[Site]],Table35[#All],6,FALSE)</f>
        <v>1, 4, 9, 13, 15, 16B, 25</v>
      </c>
      <c r="Q395" s="32" t="str">
        <f>VLOOKUP(Tabla3[[#This Row],[Site]],Table35[#All],8,FALSE)</f>
        <v>292</v>
      </c>
    </row>
    <row r="396" spans="1:17" hidden="1" x14ac:dyDescent="0.25">
      <c r="A396" t="str">
        <f>+Tabla3[[#This Row],[Site]]&amp;Tabla3[[#This Row],[Split]]</f>
        <v>(PE) JLR Paramus (NO TOURS)7</v>
      </c>
      <c r="B396">
        <v>7</v>
      </c>
      <c r="C396">
        <v>4</v>
      </c>
      <c r="D396" t="s">
        <v>210</v>
      </c>
      <c r="E396" t="str">
        <f>VLOOKUP(Tabla3[[#This Row],[Site]],Table35[],10,FALSE)</f>
        <v>8:00 P.M.</v>
      </c>
      <c r="F396" t="str">
        <f>VLOOKUP(Tabla3[[#This Row],[Site]],Table35[],11,FALSE)</f>
        <v>ET</v>
      </c>
      <c r="G396" t="str">
        <f>VLOOKUP(Tabla3[[#This Row],[Site]],Table35[],12,FALSE)</f>
        <v>5:00 A.M.</v>
      </c>
      <c r="H396" s="74" t="str">
        <f>HYPERLINK(VLOOKUP(Tabla3[[#This Row],[Site]],Table35[#All],9,FALSE))</f>
        <v>https://tools.sig.systems/site/details/177</v>
      </c>
      <c r="I396">
        <f>VLOOKUP(Tabla3[[#This Row],[Site]],Table35[],13,FALSE)</f>
        <v>0</v>
      </c>
      <c r="J396" t="str">
        <f>VLOOKUP(Tabla3[[#This Row],[Site]],Table35[],14,FALSE)</f>
        <v>-</v>
      </c>
      <c r="L396" s="32" t="str">
        <f>VLOOKUP(Tabla3[[#This Row],[Site]],Table35[#All],2,FALSE)</f>
        <v>1, 17</v>
      </c>
      <c r="M396" s="32" t="str">
        <f>VLOOKUP(Tabla3[[#This Row],[Site]],Table35[#All],3,FALSE)</f>
        <v>-</v>
      </c>
      <c r="N396" s="32" t="str">
        <f>VLOOKUP(Tabla3[[#This Row],[Site]],Table35[#All],4,FALSE)</f>
        <v>-</v>
      </c>
      <c r="O396" s="32" t="str">
        <f>VLOOKUP(Tabla3[[#This Row],[Site]],Table35[#All],5,FALSE)</f>
        <v>-</v>
      </c>
      <c r="P396" s="32" t="str">
        <f>VLOOKUP(Tabla3[[#This Row],[Site]],Table35[#All],6,FALSE)</f>
        <v>1, 17</v>
      </c>
      <c r="Q396" s="32" t="str">
        <f>VLOOKUP(Tabla3[[#This Row],[Site]],Table35[#All],8,FALSE)</f>
        <v>177</v>
      </c>
    </row>
    <row r="397" spans="1:17" hidden="1" x14ac:dyDescent="0.25">
      <c r="A397" t="str">
        <f>+Tabla3[[#This Row],[Site]]&amp;Tabla3[[#This Row],[Split]]</f>
        <v>(AS) Hare Chevrolet (NO TOURS)7</v>
      </c>
      <c r="B397">
        <v>7</v>
      </c>
      <c r="C397">
        <v>5</v>
      </c>
      <c r="D397" t="s">
        <v>376</v>
      </c>
      <c r="E397" t="str">
        <f>VLOOKUP(Tabla3[[#This Row],[Site]],Table35[],10,FALSE)</f>
        <v>9:00 P.M.</v>
      </c>
      <c r="F397" t="str">
        <f>VLOOKUP(Tabla3[[#This Row],[Site]],Table35[],11,FALSE)</f>
        <v>ET</v>
      </c>
      <c r="G397" t="str">
        <f>VLOOKUP(Tabla3[[#This Row],[Site]],Table35[],12,FALSE)</f>
        <v>5:00 A.M.</v>
      </c>
      <c r="H397" s="74" t="str">
        <f>HYPERLINK(VLOOKUP(Tabla3[[#This Row],[Site]],Table35[#All],9,FALSE))</f>
        <v>https://tools.sig.systems/site/details/301</v>
      </c>
      <c r="I397" t="str">
        <f>VLOOKUP(Tabla3[[#This Row],[Site]],Table35[],13,FALSE)</f>
        <v>https://www.google.com/maps/d/edit?mid=1hsX5GGrNcCQgAuzDCDz1OWgEkhsAc78&amp;usp=sharing</v>
      </c>
      <c r="J397" t="str">
        <f>VLOOKUP(Tabla3[[#This Row],[Site]],Table35[],14,FALSE)</f>
        <v>-</v>
      </c>
      <c r="L397" s="32" t="str">
        <f>VLOOKUP(Tabla3[[#This Row],[Site]],Table35[#All],2,FALSE)</f>
        <v>18, 24</v>
      </c>
      <c r="M397" s="32" t="str">
        <f>VLOOKUP(Tabla3[[#This Row],[Site]],Table35[#All],3,FALSE)</f>
        <v>2, 3</v>
      </c>
      <c r="N397" s="32" t="str">
        <f>VLOOKUP(Tabla3[[#This Row],[Site]],Table35[#All],4,FALSE)</f>
        <v>-</v>
      </c>
      <c r="O397" s="32">
        <f>VLOOKUP(Tabla3[[#This Row],[Site]],Table35[#All],5,FALSE)</f>
        <v>5</v>
      </c>
      <c r="P397" s="32" t="str">
        <f>VLOOKUP(Tabla3[[#This Row],[Site]],Table35[#All],6,FALSE)</f>
        <v>1, 5, 7, 8, 21, 29</v>
      </c>
      <c r="Q397" s="32" t="str">
        <f>VLOOKUP(Tabla3[[#This Row],[Site]],Table35[#All],8,FALSE)</f>
        <v>301</v>
      </c>
    </row>
    <row r="398" spans="1:17" hidden="1" x14ac:dyDescent="0.25">
      <c r="A398" t="str">
        <f>+Tabla3[[#This Row],[Site]]&amp;Tabla3[[#This Row],[Split]]</f>
        <v>(AS) Koons Chevrolet Buick GMC - Tysons Remote Lot (NO TOURS)7</v>
      </c>
      <c r="B398">
        <v>7</v>
      </c>
      <c r="C398">
        <v>5</v>
      </c>
      <c r="D398" t="s">
        <v>385</v>
      </c>
      <c r="E398" t="str">
        <f>VLOOKUP(Tabla3[[#This Row],[Site]],Table35[],10,FALSE)</f>
        <v>9:00 P.M.</v>
      </c>
      <c r="F398" t="str">
        <f>VLOOKUP(Tabla3[[#This Row],[Site]],Table35[],11,FALSE)</f>
        <v>ET</v>
      </c>
      <c r="G398" t="str">
        <f>VLOOKUP(Tabla3[[#This Row],[Site]],Table35[],12,FALSE)</f>
        <v>5:00 A.M.</v>
      </c>
      <c r="H398" s="74" t="str">
        <f>HYPERLINK(VLOOKUP(Tabla3[[#This Row],[Site]],Table35[#All],9,FALSE))</f>
        <v>https://tools.sig.systems/site/details/333</v>
      </c>
      <c r="I398" t="str">
        <f>VLOOKUP(Tabla3[[#This Row],[Site]],Table35[],13,FALSE)</f>
        <v>-</v>
      </c>
      <c r="J398" t="str">
        <f>VLOOKUP(Tabla3[[#This Row],[Site]],Table35[],14,FALSE)</f>
        <v>-</v>
      </c>
      <c r="L398" s="32" t="str">
        <f>VLOOKUP(Tabla3[[#This Row],[Site]],Table35[#All],2,FALSE)</f>
        <v>-</v>
      </c>
      <c r="M398" s="32">
        <f>VLOOKUP(Tabla3[[#This Row],[Site]],Table35[#All],3,FALSE)</f>
        <v>6</v>
      </c>
      <c r="N398" s="32" t="str">
        <f>VLOOKUP(Tabla3[[#This Row],[Site]],Table35[#All],4,FALSE)</f>
        <v>1, 2, 3</v>
      </c>
      <c r="O398" s="32" t="str">
        <f>VLOOKUP(Tabla3[[#This Row],[Site]],Table35[#All],5,FALSE)</f>
        <v>7, 10, 16, 29</v>
      </c>
      <c r="P398" s="32" t="str">
        <f>VLOOKUP(Tabla3[[#This Row],[Site]],Table35[#All],6,FALSE)</f>
        <v>14, 17, 30</v>
      </c>
      <c r="Q398" s="32" t="str">
        <f>VLOOKUP(Tabla3[[#This Row],[Site]],Table35[#All],8,FALSE)</f>
        <v>333</v>
      </c>
    </row>
    <row r="399" spans="1:17" hidden="1" x14ac:dyDescent="0.25">
      <c r="A399" t="str">
        <f>+Tabla3[[#This Row],[Site]]&amp;Tabla3[[#This Row],[Split]]</f>
        <v>(AS) Koons Easton Toyota - Main Dealership (NO TOURS)7</v>
      </c>
      <c r="B399">
        <v>7</v>
      </c>
      <c r="C399">
        <v>5</v>
      </c>
      <c r="D399" t="s">
        <v>426</v>
      </c>
      <c r="E399" t="str">
        <f>VLOOKUP(Tabla3[[#This Row],[Site]],Table35[],10,FALSE)</f>
        <v>9:00 P.M.</v>
      </c>
      <c r="F399" t="str">
        <f>VLOOKUP(Tabla3[[#This Row],[Site]],Table35[],11,FALSE)</f>
        <v>ET</v>
      </c>
      <c r="G399" t="str">
        <f>VLOOKUP(Tabla3[[#This Row],[Site]],Table35[],12,FALSE)</f>
        <v>5:00 A.M.</v>
      </c>
      <c r="H399" s="74" t="str">
        <f>HYPERLINK(VLOOKUP(Tabla3[[#This Row],[Site]],Table35[#All],9,FALSE))</f>
        <v>https://tools.sig.systems/site/details/340</v>
      </c>
      <c r="I399" t="str">
        <f>VLOOKUP(Tabla3[[#This Row],[Site]],Table35[],13,FALSE)</f>
        <v>-</v>
      </c>
      <c r="J399" t="str">
        <f>VLOOKUP(Tabla3[[#This Row],[Site]],Table35[],14,FALSE)</f>
        <v>-</v>
      </c>
      <c r="L399" s="32" t="str">
        <f>VLOOKUP(Tabla3[[#This Row],[Site]],Table35[#All],2,FALSE)</f>
        <v>-</v>
      </c>
      <c r="M399" s="32" t="str">
        <f>VLOOKUP(Tabla3[[#This Row],[Site]],Table35[#All],3,FALSE)</f>
        <v>4, 5</v>
      </c>
      <c r="N399" s="32" t="str">
        <f>VLOOKUP(Tabla3[[#This Row],[Site]],Table35[#All],4,FALSE)</f>
        <v>-</v>
      </c>
      <c r="O399" s="32" t="str">
        <f>VLOOKUP(Tabla3[[#This Row],[Site]],Table35[#All],5,FALSE)</f>
        <v>-</v>
      </c>
      <c r="P399" s="32" t="str">
        <f>VLOOKUP(Tabla3[[#This Row],[Site]],Table35[#All],6,FALSE)</f>
        <v>8, 15</v>
      </c>
      <c r="Q399" s="32" t="str">
        <f>VLOOKUP(Tabla3[[#This Row],[Site]],Table35[#All],8,FALSE)</f>
        <v>340</v>
      </c>
    </row>
    <row r="400" spans="1:17" hidden="1" x14ac:dyDescent="0.25">
      <c r="A400" t="str">
        <f>+Tabla3[[#This Row],[Site]]&amp;Tabla3[[#This Row],[Split]]</f>
        <v>(BRL) Shoemakersville7</v>
      </c>
      <c r="B400">
        <v>7</v>
      </c>
      <c r="C400">
        <v>5</v>
      </c>
      <c r="D400" t="s">
        <v>119</v>
      </c>
      <c r="E400" t="str">
        <f>VLOOKUP(Tabla3[[#This Row],[Site]],Table35[],10,FALSE)</f>
        <v>24H</v>
      </c>
      <c r="F400" t="str">
        <f>VLOOKUP(Tabla3[[#This Row],[Site]],Table35[],11,FALSE)</f>
        <v>ET</v>
      </c>
      <c r="G400" t="str">
        <f>VLOOKUP(Tabla3[[#This Row],[Site]],Table35[],12,FALSE)</f>
        <v>-</v>
      </c>
      <c r="H400" s="74" t="str">
        <f>HYPERLINK(VLOOKUP(Tabla3[[#This Row],[Site]],Table35[#All],9,FALSE))</f>
        <v>https://tools.sig.systems/site/details/302</v>
      </c>
      <c r="I400">
        <f>VLOOKUP(Tabla3[[#This Row],[Site]],Table35[],13,FALSE)</f>
        <v>0</v>
      </c>
      <c r="J400" t="str">
        <f>VLOOKUP(Tabla3[[#This Row],[Site]],Table35[],14,FALSE)</f>
        <v>-</v>
      </c>
      <c r="L400" s="32" t="str">
        <f>VLOOKUP(Tabla3[[#This Row],[Site]],Table35[#All],2,FALSE)</f>
        <v>-</v>
      </c>
      <c r="M400" s="32" t="str">
        <f>VLOOKUP(Tabla3[[#This Row],[Site]],Table35[#All],3,FALSE)</f>
        <v>8, 11</v>
      </c>
      <c r="N400" s="32" t="str">
        <f>VLOOKUP(Tabla3[[#This Row],[Site]],Table35[#All],4,FALSE)</f>
        <v>-</v>
      </c>
      <c r="O400" s="32" t="str">
        <f>VLOOKUP(Tabla3[[#This Row],[Site]],Table35[#All],5,FALSE)</f>
        <v>1, 6, 13A, 15, 18A</v>
      </c>
      <c r="P400" s="32" t="str">
        <f>VLOOKUP(Tabla3[[#This Row],[Site]],Table35[#All],6,FALSE)</f>
        <v>13B, 23</v>
      </c>
      <c r="Q400" s="32" t="str">
        <f>VLOOKUP(Tabla3[[#This Row],[Site]],Table35[#All],8,FALSE)</f>
        <v>302</v>
      </c>
    </row>
    <row r="401" spans="1:17" x14ac:dyDescent="0.25">
      <c r="A401" t="str">
        <f>+Tabla3[[#This Row],[Site]]&amp;Tabla3[[#This Row],[Split]]</f>
        <v>(LT) Luther Bloomington Hyundai (NO TOURS)7</v>
      </c>
      <c r="B401">
        <v>7</v>
      </c>
      <c r="C401">
        <v>5</v>
      </c>
      <c r="D401" t="s">
        <v>455</v>
      </c>
      <c r="E401" t="str">
        <f>VLOOKUP(Tabla3[[#This Row],[Site]],Table35[],10,FALSE)</f>
        <v>10:00 P.M.</v>
      </c>
      <c r="F401" t="str">
        <f>VLOOKUP(Tabla3[[#This Row],[Site]],Table35[],11,FALSE)</f>
        <v>CT</v>
      </c>
      <c r="G401" t="str">
        <f>VLOOKUP(Tabla3[[#This Row],[Site]],Table35[],12,FALSE)</f>
        <v>6:00 A.M.</v>
      </c>
      <c r="H401" s="74" t="str">
        <f>HYPERLINK(VLOOKUP(Tabla3[[#This Row],[Site]],Table35[#All],9,FALSE))</f>
        <v>https://tools.sig.systems/site/details/318</v>
      </c>
      <c r="I401">
        <f>VLOOKUP(Tabla3[[#This Row],[Site]],Table35[],13,FALSE)</f>
        <v>0</v>
      </c>
      <c r="J401" t="str">
        <f>VLOOKUP(Tabla3[[#This Row],[Site]],Table35[],14,FALSE)</f>
        <v>-</v>
      </c>
      <c r="L401" s="32" t="str">
        <f>VLOOKUP(Tabla3[[#This Row],[Site]],Table35[#All],2,FALSE)</f>
        <v>-</v>
      </c>
      <c r="M401" s="32" t="str">
        <f>VLOOKUP(Tabla3[[#This Row],[Site]],Table35[#All],3,FALSE)</f>
        <v>6, 9, 13</v>
      </c>
      <c r="N401" s="32" t="str">
        <f>VLOOKUP(Tabla3[[#This Row],[Site]],Table35[#All],4,FALSE)</f>
        <v>58, 59</v>
      </c>
      <c r="O401" s="32">
        <f>VLOOKUP(Tabla3[[#This Row],[Site]],Table35[#All],5,FALSE)</f>
        <v>10</v>
      </c>
      <c r="P401" s="32" t="str">
        <f>VLOOKUP(Tabla3[[#This Row],[Site]],Table35[#All],6,FALSE)</f>
        <v>11, 18</v>
      </c>
      <c r="Q401" s="32" t="str">
        <f>VLOOKUP(Tabla3[[#This Row],[Site]],Table35[#All],8,FALSE)</f>
        <v>318</v>
      </c>
    </row>
    <row r="402" spans="1:17" hidden="1" x14ac:dyDescent="0.25">
      <c r="A402" t="str">
        <f>+Tabla3[[#This Row],[Site]]&amp;Tabla3[[#This Row],[Split]]</f>
        <v>(LT) Luther Landers Recon Center7</v>
      </c>
      <c r="B402">
        <v>7</v>
      </c>
      <c r="C402">
        <v>5</v>
      </c>
      <c r="D402" t="s">
        <v>253</v>
      </c>
      <c r="E402" t="str">
        <f>VLOOKUP(Tabla3[[#This Row],[Site]],Table35[],10,FALSE)</f>
        <v>10:00 P.M.</v>
      </c>
      <c r="F402" t="str">
        <f>VLOOKUP(Tabla3[[#This Row],[Site]],Table35[],11,FALSE)</f>
        <v>CT</v>
      </c>
      <c r="G402" t="str">
        <f>VLOOKUP(Tabla3[[#This Row],[Site]],Table35[],12,FALSE)</f>
        <v>6:00 A.M.</v>
      </c>
      <c r="H402" s="74" t="str">
        <f>HYPERLINK(VLOOKUP(Tabla3[[#This Row],[Site]],Table35[#All],9,FALSE))</f>
        <v>https://tools.sig.systems/site/details/323</v>
      </c>
      <c r="I402" t="str">
        <f>VLOOKUP(Tabla3[[#This Row],[Site]],Table35[],13,FALSE)</f>
        <v>https://www.google.com/maps/d/u/1/edit?mid=1-zEzsc6U6nZom08edp0XAd3_HYFvAyk&amp;usp=sharing</v>
      </c>
      <c r="J402" t="str">
        <f>VLOOKUP(Tabla3[[#This Row],[Site]],Table35[],14,FALSE)</f>
        <v>-</v>
      </c>
      <c r="L402" s="32" t="str">
        <f>VLOOKUP(Tabla3[[#This Row],[Site]],Table35[#All],2,FALSE)</f>
        <v>2, 4</v>
      </c>
      <c r="M402" s="32" t="str">
        <f>VLOOKUP(Tabla3[[#This Row],[Site]],Table35[#All],3,FALSE)</f>
        <v>-</v>
      </c>
      <c r="N402" s="32" t="str">
        <f>VLOOKUP(Tabla3[[#This Row],[Site]],Table35[#All],4,FALSE)</f>
        <v>-</v>
      </c>
      <c r="O402" s="32" t="str">
        <f>VLOOKUP(Tabla3[[#This Row],[Site]],Table35[#All],5,FALSE)</f>
        <v>-</v>
      </c>
      <c r="P402" s="32" t="str">
        <f>VLOOKUP(Tabla3[[#This Row],[Site]],Table35[#All],6,FALSE)</f>
        <v>3, 9, 11</v>
      </c>
      <c r="Q402" s="32" t="str">
        <f>VLOOKUP(Tabla3[[#This Row],[Site]],Table35[#All],8,FALSE)</f>
        <v>323</v>
      </c>
    </row>
    <row r="403" spans="1:17" hidden="1" x14ac:dyDescent="0.25">
      <c r="A403" t="str">
        <f>+Tabla3[[#This Row],[Site]]&amp;Tabla3[[#This Row],[Split]]</f>
        <v>(SCH) Schumacher of Delray I &amp; III7</v>
      </c>
      <c r="B403">
        <v>7</v>
      </c>
      <c r="C403">
        <v>5</v>
      </c>
      <c r="D403" t="s">
        <v>387</v>
      </c>
      <c r="E403" t="str">
        <f>VLOOKUP(Tabla3[[#This Row],[Site]],Table35[],10,FALSE)</f>
        <v>9:00 P.M.</v>
      </c>
      <c r="F403" t="str">
        <f>VLOOKUP(Tabla3[[#This Row],[Site]],Table35[],11,FALSE)</f>
        <v>ET</v>
      </c>
      <c r="G403" t="str">
        <f>VLOOKUP(Tabla3[[#This Row],[Site]],Table35[],12,FALSE)</f>
        <v>5:00 A.M.</v>
      </c>
      <c r="H403" s="74" t="str">
        <f>HYPERLINK(VLOOKUP(Tabla3[[#This Row],[Site]],Table35[#All],9,FALSE))</f>
        <v>https://tools.sig.systems/site/details/159</v>
      </c>
      <c r="I403" t="str">
        <f>VLOOKUP(Tabla3[[#This Row],[Site]],Table35[],13,FALSE)</f>
        <v>https://www.google.com/maps/d/viewer?mid=1ZLGV-cDM9aCfovhmXHIAXgVOKts0dEI&amp;ll=26.438859950088858%2C-80.07968125000001&amp;z=16</v>
      </c>
      <c r="J403" t="str">
        <f>VLOOKUP(Tabla3[[#This Row],[Site]],Table35[],14,FALSE)</f>
        <v>11:00 A.M.</v>
      </c>
      <c r="L403" s="32" t="str">
        <f>VLOOKUP(Tabla3[[#This Row],[Site]],Table35[#All],2,FALSE)</f>
        <v>11, 21, 22, 57, 69</v>
      </c>
      <c r="M403" s="32" t="str">
        <f>VLOOKUP(Tabla3[[#This Row],[Site]],Table35[#All],3,FALSE)</f>
        <v>2, 16, 46</v>
      </c>
      <c r="N403" s="32" t="str">
        <f>VLOOKUP(Tabla3[[#This Row],[Site]],Table35[#All],4,FALSE)</f>
        <v>-</v>
      </c>
      <c r="O403" s="32" t="str">
        <f>VLOOKUP(Tabla3[[#This Row],[Site]],Table35[#All],5,FALSE)</f>
        <v>-</v>
      </c>
      <c r="P403" s="32" t="str">
        <f>VLOOKUP(Tabla3[[#This Row],[Site]],Table35[#All],6,FALSE)</f>
        <v>24, 39</v>
      </c>
      <c r="Q403" s="32" t="str">
        <f>VLOOKUP(Tabla3[[#This Row],[Site]],Table35[#All],8,FALSE)</f>
        <v>159</v>
      </c>
    </row>
    <row r="404" spans="1:17" hidden="1" x14ac:dyDescent="0.25">
      <c r="A404" t="str">
        <f>+Tabla3[[#This Row],[Site]]&amp;Tabla3[[#This Row],[Split]]</f>
        <v>(AS) Hare Truck Center (NO TOURS)7</v>
      </c>
      <c r="B404">
        <v>7</v>
      </c>
      <c r="C404">
        <v>6</v>
      </c>
      <c r="D404" t="s">
        <v>377</v>
      </c>
      <c r="E404" t="str">
        <f>VLOOKUP(Tabla3[[#This Row],[Site]],Table35[],10,FALSE)</f>
        <v>9:00 P.M.</v>
      </c>
      <c r="F404" t="str">
        <f>VLOOKUP(Tabla3[[#This Row],[Site]],Table35[],11,FALSE)</f>
        <v>ET</v>
      </c>
      <c r="G404" t="str">
        <f>VLOOKUP(Tabla3[[#This Row],[Site]],Table35[],12,FALSE)</f>
        <v>5:00 A.M.</v>
      </c>
      <c r="H404" s="74" t="str">
        <f>HYPERLINK(VLOOKUP(Tabla3[[#This Row],[Site]],Table35[#All],9,FALSE))</f>
        <v>https://tools.sig.systems/site/details/300</v>
      </c>
      <c r="I404" t="str">
        <f>VLOOKUP(Tabla3[[#This Row],[Site]],Table35[],13,FALSE)</f>
        <v>https://www.google.com/maps/d/edit?mid=1hsX5GGrNcCQgAuzDCDz1OWgEkhsAc78&amp;usp=sharing</v>
      </c>
      <c r="J404" t="str">
        <f>VLOOKUP(Tabla3[[#This Row],[Site]],Table35[],14,FALSE)</f>
        <v>-</v>
      </c>
      <c r="L404" s="32" t="str">
        <f>VLOOKUP(Tabla3[[#This Row],[Site]],Table35[#All],2,FALSE)</f>
        <v>-</v>
      </c>
      <c r="M404" s="32" t="str">
        <f>VLOOKUP(Tabla3[[#This Row],[Site]],Table35[#All],3,FALSE)</f>
        <v>1, 5</v>
      </c>
      <c r="N404" s="32" t="str">
        <f>VLOOKUP(Tabla3[[#This Row],[Site]],Table35[#All],4,FALSE)</f>
        <v>-</v>
      </c>
      <c r="O404" s="32" t="str">
        <f>VLOOKUP(Tabla3[[#This Row],[Site]],Table35[#All],5,FALSE)</f>
        <v>-</v>
      </c>
      <c r="P404" s="32" t="str">
        <f>VLOOKUP(Tabla3[[#This Row],[Site]],Table35[#All],6,FALSE)</f>
        <v xml:space="preserve">2, 6, 10, 12, 17 </v>
      </c>
      <c r="Q404" s="32" t="str">
        <f>VLOOKUP(Tabla3[[#This Row],[Site]],Table35[#All],8,FALSE)</f>
        <v>300</v>
      </c>
    </row>
    <row r="405" spans="1:17" hidden="1" x14ac:dyDescent="0.25">
      <c r="A405" t="str">
        <f>+Tabla3[[#This Row],[Site]]&amp;Tabla3[[#This Row],[Split]]</f>
        <v>(AS) Koons Falls Church Ford (NO TOURS)7</v>
      </c>
      <c r="B405">
        <v>7</v>
      </c>
      <c r="C405">
        <v>6</v>
      </c>
      <c r="D405" t="s">
        <v>388</v>
      </c>
      <c r="E405" t="str">
        <f>VLOOKUP(Tabla3[[#This Row],[Site]],Table35[],10,FALSE)</f>
        <v>9:00 P.M.</v>
      </c>
      <c r="F405" t="str">
        <f>VLOOKUP(Tabla3[[#This Row],[Site]],Table35[],11,FALSE)</f>
        <v>ET</v>
      </c>
      <c r="G405" t="str">
        <f>VLOOKUP(Tabla3[[#This Row],[Site]],Table35[],12,FALSE)</f>
        <v>5:00 A.M.</v>
      </c>
      <c r="H405" s="74" t="str">
        <f>HYPERLINK(VLOOKUP(Tabla3[[#This Row],[Site]],Table35[#All],9,FALSE))</f>
        <v>https://tools.sig.systems/site/details/345</v>
      </c>
      <c r="I405" t="str">
        <f>VLOOKUP(Tabla3[[#This Row],[Site]],Table35[],13,FALSE)</f>
        <v>-</v>
      </c>
      <c r="J405" t="str">
        <f>VLOOKUP(Tabla3[[#This Row],[Site]],Table35[],14,FALSE)</f>
        <v>10:00 A.M.</v>
      </c>
      <c r="L405" s="32" t="str">
        <f>VLOOKUP(Tabla3[[#This Row],[Site]],Table35[#All],2,FALSE)</f>
        <v>-</v>
      </c>
      <c r="M405" s="32">
        <f>VLOOKUP(Tabla3[[#This Row],[Site]],Table35[#All],3,FALSE)</f>
        <v>1</v>
      </c>
      <c r="N405" s="32" t="str">
        <f>VLOOKUP(Tabla3[[#This Row],[Site]],Table35[#All],4,FALSE)</f>
        <v>-</v>
      </c>
      <c r="O405" s="32" t="str">
        <f>VLOOKUP(Tabla3[[#This Row],[Site]],Table35[#All],5,FALSE)</f>
        <v>-</v>
      </c>
      <c r="P405" s="32" t="str">
        <f>VLOOKUP(Tabla3[[#This Row],[Site]],Table35[#All],6,FALSE)</f>
        <v>-</v>
      </c>
      <c r="Q405" s="32" t="str">
        <f>VLOOKUP(Tabla3[[#This Row],[Site]],Table35[#All],8,FALSE)</f>
        <v>345</v>
      </c>
    </row>
    <row r="406" spans="1:17" hidden="1" x14ac:dyDescent="0.25">
      <c r="A406" t="str">
        <f>+Tabla3[[#This Row],[Site]]&amp;Tabla3[[#This Row],[Split]]</f>
        <v>(AS) Koons Woodbridge Hyundai (NO TOURS)7</v>
      </c>
      <c r="B406">
        <v>7</v>
      </c>
      <c r="C406">
        <v>6</v>
      </c>
      <c r="D406" t="s">
        <v>406</v>
      </c>
      <c r="E406" t="str">
        <f>VLOOKUP(Tabla3[[#This Row],[Site]],Table35[],10,FALSE)</f>
        <v>9:00 P.M.</v>
      </c>
      <c r="F406" t="str">
        <f>VLOOKUP(Tabla3[[#This Row],[Site]],Table35[],11,FALSE)</f>
        <v>ET</v>
      </c>
      <c r="G406" t="str">
        <f>VLOOKUP(Tabla3[[#This Row],[Site]],Table35[],12,FALSE)</f>
        <v>5:00 A.M.</v>
      </c>
      <c r="H406" s="74" t="str">
        <f>HYPERLINK(VLOOKUP(Tabla3[[#This Row],[Site]],Table35[#All],9,FALSE))</f>
        <v>https://tools.sig.systems/site/details/347</v>
      </c>
      <c r="I406" t="str">
        <f>VLOOKUP(Tabla3[[#This Row],[Site]],Table35[],13,FALSE)</f>
        <v>-</v>
      </c>
      <c r="J406" t="str">
        <f>VLOOKUP(Tabla3[[#This Row],[Site]],Table35[],14,FALSE)</f>
        <v>8:00 A.M.</v>
      </c>
      <c r="L406" s="32" t="str">
        <f>VLOOKUP(Tabla3[[#This Row],[Site]],Table35[#All],2,FALSE)</f>
        <v>-</v>
      </c>
      <c r="M406" s="32" t="str">
        <f>VLOOKUP(Tabla3[[#This Row],[Site]],Table35[#All],3,FALSE)</f>
        <v>1, 17</v>
      </c>
      <c r="N406" s="32" t="str">
        <f>VLOOKUP(Tabla3[[#This Row],[Site]],Table35[#All],4,FALSE)</f>
        <v>-</v>
      </c>
      <c r="O406" s="32" t="str">
        <f>VLOOKUP(Tabla3[[#This Row],[Site]],Table35[#All],5,FALSE)</f>
        <v>-</v>
      </c>
      <c r="P406" s="32" t="str">
        <f>VLOOKUP(Tabla3[[#This Row],[Site]],Table35[#All],6,FALSE)</f>
        <v>4, 14, 22</v>
      </c>
      <c r="Q406" s="32" t="str">
        <f>VLOOKUP(Tabla3[[#This Row],[Site]],Table35[#All],8,FALSE)</f>
        <v>347</v>
      </c>
    </row>
    <row r="407" spans="1:17" hidden="1" x14ac:dyDescent="0.25">
      <c r="A407" t="str">
        <f>+Tabla3[[#This Row],[Site]]&amp;Tabla3[[#This Row],[Split]]</f>
        <v>(DT) Modesto7</v>
      </c>
      <c r="B407">
        <v>7</v>
      </c>
      <c r="C407">
        <v>6</v>
      </c>
      <c r="D407" t="s">
        <v>14</v>
      </c>
      <c r="E407" t="str">
        <f>VLOOKUP(Tabla3[[#This Row],[Site]],Table35[],10,FALSE)</f>
        <v>12:00 A.M.</v>
      </c>
      <c r="F407" t="str">
        <f>VLOOKUP(Tabla3[[#This Row],[Site]],Table35[],11,FALSE)</f>
        <v>PT</v>
      </c>
      <c r="G407" t="str">
        <f>VLOOKUP(Tabla3[[#This Row],[Site]],Table35[],12,FALSE)</f>
        <v>8:00 A.M.</v>
      </c>
      <c r="H407" s="74" t="str">
        <f>HYPERLINK(VLOOKUP(Tabla3[[#This Row],[Site]],Table35[#All],9,FALSE))</f>
        <v>https://tools.sig.systems/site/details/267</v>
      </c>
      <c r="I407">
        <f>VLOOKUP(Tabla3[[#This Row],[Site]],Table35[],13,FALSE)</f>
        <v>0</v>
      </c>
      <c r="J407" t="str">
        <f>VLOOKUP(Tabla3[[#This Row],[Site]],Table35[],14,FALSE)</f>
        <v>-</v>
      </c>
      <c r="L407" s="32">
        <f>VLOOKUP(Tabla3[[#This Row],[Site]],Table35[#All],2,FALSE)</f>
        <v>10</v>
      </c>
      <c r="M407" s="32" t="str">
        <f>VLOOKUP(Tabla3[[#This Row],[Site]],Table35[#All],3,FALSE)</f>
        <v>5, 6</v>
      </c>
      <c r="N407" s="32" t="str">
        <f>VLOOKUP(Tabla3[[#This Row],[Site]],Table35[#All],4,FALSE)</f>
        <v>-</v>
      </c>
      <c r="O407" s="32" t="str">
        <f>VLOOKUP(Tabla3[[#This Row],[Site]],Table35[#All],5,FALSE)</f>
        <v>-</v>
      </c>
      <c r="P407" s="32" t="str">
        <f>VLOOKUP(Tabla3[[#This Row],[Site]],Table35[#All],6,FALSE)</f>
        <v>2, 3, 5, 10</v>
      </c>
      <c r="Q407" s="32" t="str">
        <f>VLOOKUP(Tabla3[[#This Row],[Site]],Table35[#All],8,FALSE)</f>
        <v>267</v>
      </c>
    </row>
    <row r="408" spans="1:17" hidden="1" x14ac:dyDescent="0.25">
      <c r="A408" t="str">
        <f>+Tabla3[[#This Row],[Site]]&amp;Tabla3[[#This Row],[Split]]</f>
        <v>(KG) Big Star Hyundai Houston7</v>
      </c>
      <c r="B408">
        <v>7</v>
      </c>
      <c r="C408">
        <v>6</v>
      </c>
      <c r="D408" t="s">
        <v>128</v>
      </c>
      <c r="E408" t="str">
        <f>VLOOKUP(Tabla3[[#This Row],[Site]],Table35[],10,FALSE)</f>
        <v>10:00 P.M.</v>
      </c>
      <c r="F408" t="str">
        <f>VLOOKUP(Tabla3[[#This Row],[Site]],Table35[],11,FALSE)</f>
        <v>CT</v>
      </c>
      <c r="G408" t="str">
        <f>VLOOKUP(Tabla3[[#This Row],[Site]],Table35[],12,FALSE)</f>
        <v>6:00 A.M.</v>
      </c>
      <c r="H408" s="74" t="str">
        <f>HYPERLINK(VLOOKUP(Tabla3[[#This Row],[Site]],Table35[#All],9,FALSE))</f>
        <v>https://tools.sig.systems/site/details/287</v>
      </c>
      <c r="I408" t="str">
        <f>VLOOKUP(Tabla3[[#This Row],[Site]],Table35[],13,FALSE)</f>
        <v>https://www.google.com/maps/d/edit?hl=en&amp;mid=1jIRkMUnWNPuTgDjQgDP-f33LClT85NU&amp;ll=29.55731827236326%2C-95.1601644&amp;z=17</v>
      </c>
      <c r="J408" t="str">
        <f>VLOOKUP(Tabla3[[#This Row],[Site]],Table35[],14,FALSE)</f>
        <v>-</v>
      </c>
      <c r="L408" s="32" t="s">
        <v>198</v>
      </c>
      <c r="M408" s="32" t="s">
        <v>199</v>
      </c>
      <c r="N408" s="32" t="s">
        <v>96</v>
      </c>
      <c r="O408" s="32" t="s">
        <v>200</v>
      </c>
      <c r="P408" s="32" t="s">
        <v>201</v>
      </c>
      <c r="Q408" s="32" t="s">
        <v>296</v>
      </c>
    </row>
    <row r="409" spans="1:17" hidden="1" x14ac:dyDescent="0.25">
      <c r="A409" t="str">
        <f>+Tabla3[[#This Row],[Site]]&amp;Tabla3[[#This Row],[Split]]</f>
        <v>(LT) Luther Bloomington Subaru - Acura7</v>
      </c>
      <c r="B409">
        <v>7</v>
      </c>
      <c r="C409">
        <v>6</v>
      </c>
      <c r="D409" t="s">
        <v>123</v>
      </c>
      <c r="E409" t="str">
        <f>VLOOKUP(Tabla3[[#This Row],[Site]],Table35[],10,FALSE)</f>
        <v>9:30 P.M.</v>
      </c>
      <c r="F409" t="str">
        <f>VLOOKUP(Tabla3[[#This Row],[Site]],Table35[],11,FALSE)</f>
        <v>CT</v>
      </c>
      <c r="G409" t="str">
        <f>VLOOKUP(Tabla3[[#This Row],[Site]],Table35[],12,FALSE)</f>
        <v>4:00 A.M.</v>
      </c>
      <c r="H409" s="74" t="str">
        <f>HYPERLINK(VLOOKUP(Tabla3[[#This Row],[Site]],Table35[#All],9,FALSE))</f>
        <v>https://tools.sig.systems/site/details/289</v>
      </c>
      <c r="I409">
        <f>VLOOKUP(Tabla3[[#This Row],[Site]],Table35[],13,FALSE)</f>
        <v>0</v>
      </c>
      <c r="J409" t="str">
        <f>VLOOKUP(Tabla3[[#This Row],[Site]],Table35[],14,FALSE)</f>
        <v>-</v>
      </c>
      <c r="L409" s="32">
        <f>VLOOKUP(Tabla3[[#This Row],[Site]],Table35[#All],2,FALSE)</f>
        <v>29</v>
      </c>
      <c r="M409" s="32" t="str">
        <f>VLOOKUP(Tabla3[[#This Row],[Site]],Table35[#All],3,FALSE)</f>
        <v>5, 8, 33</v>
      </c>
      <c r="N409" s="32" t="str">
        <f>VLOOKUP(Tabla3[[#This Row],[Site]],Table35[#All],4,FALSE)</f>
        <v>4, 7, 35</v>
      </c>
      <c r="O409" s="32" t="str">
        <f>VLOOKUP(Tabla3[[#This Row],[Site]],Table35[#All],5,FALSE)</f>
        <v>-</v>
      </c>
      <c r="P409" s="32" t="str">
        <f>VLOOKUP(Tabla3[[#This Row],[Site]],Table35[#All],6,FALSE)</f>
        <v xml:space="preserve">1, 2, 14, 24, 34  </v>
      </c>
      <c r="Q409" s="32" t="str">
        <f>VLOOKUP(Tabla3[[#This Row],[Site]],Table35[#All],8,FALSE)</f>
        <v>289</v>
      </c>
    </row>
    <row r="410" spans="1:17" hidden="1" x14ac:dyDescent="0.25">
      <c r="A410" t="str">
        <f>+Tabla3[[#This Row],[Site]]&amp;Tabla3[[#This Row],[Split]]</f>
        <v>(LT) Luther St. Cloud Subaru7</v>
      </c>
      <c r="B410">
        <v>7</v>
      </c>
      <c r="C410">
        <v>6</v>
      </c>
      <c r="D410" t="s">
        <v>127</v>
      </c>
      <c r="E410" t="str">
        <f>VLOOKUP(Tabla3[[#This Row],[Site]],Table35[],10,FALSE)</f>
        <v>10:00 P.M.</v>
      </c>
      <c r="F410" t="str">
        <f>VLOOKUP(Tabla3[[#This Row],[Site]],Table35[],11,FALSE)</f>
        <v>CT</v>
      </c>
      <c r="G410" t="str">
        <f>VLOOKUP(Tabla3[[#This Row],[Site]],Table35[],12,FALSE)</f>
        <v>5:30 A.M.</v>
      </c>
      <c r="H410" s="74" t="str">
        <f>HYPERLINK(VLOOKUP(Tabla3[[#This Row],[Site]],Table35[#All],9,FALSE))</f>
        <v>https://tools.sig.systems/site/details/295</v>
      </c>
      <c r="I410">
        <f>VLOOKUP(Tabla3[[#This Row],[Site]],Table35[],13,FALSE)</f>
        <v>0</v>
      </c>
      <c r="J410" t="str">
        <f>VLOOKUP(Tabla3[[#This Row],[Site]],Table35[],14,FALSE)</f>
        <v>-</v>
      </c>
      <c r="L410" s="32" t="str">
        <f>VLOOKUP(Tabla3[[#This Row],[Site]],Table35[#All],2,FALSE)</f>
        <v>25, 31</v>
      </c>
      <c r="M410" s="32" t="str">
        <f>VLOOKUP(Tabla3[[#This Row],[Site]],Table35[#All],3,FALSE)</f>
        <v>9, 13, 20</v>
      </c>
      <c r="N410" s="32" t="str">
        <f>VLOOKUP(Tabla3[[#This Row],[Site]],Table35[#All],4,FALSE)</f>
        <v>38, 39, 40, 41</v>
      </c>
      <c r="O410" s="32">
        <f>VLOOKUP(Tabla3[[#This Row],[Site]],Table35[#All],5,FALSE)</f>
        <v>27</v>
      </c>
      <c r="P410" s="32" t="str">
        <f>VLOOKUP(Tabla3[[#This Row],[Site]],Table35[#All],6,FALSE)</f>
        <v>2, 6, 8, 11, 14, 19, 23, 26</v>
      </c>
      <c r="Q410" s="32" t="str">
        <f>VLOOKUP(Tabla3[[#This Row],[Site]],Table35[#All],8,FALSE)</f>
        <v>295</v>
      </c>
    </row>
    <row r="411" spans="1:17" hidden="1" x14ac:dyDescent="0.25">
      <c r="A411" t="str">
        <f>+Tabla3[[#This Row],[Site]]&amp;Tabla3[[#This Row],[Split]]</f>
        <v>(PE) JLR Darien (NO TOURS)7</v>
      </c>
      <c r="B411">
        <v>7</v>
      </c>
      <c r="C411">
        <v>6</v>
      </c>
      <c r="D411" t="s">
        <v>370</v>
      </c>
      <c r="E411" t="str">
        <f>VLOOKUP(Tabla3[[#This Row],[Site]],Table35[],10,FALSE)</f>
        <v>8:00 P.M.</v>
      </c>
      <c r="F411" t="str">
        <f>VLOOKUP(Tabla3[[#This Row],[Site]],Table35[],11,FALSE)</f>
        <v>ET</v>
      </c>
      <c r="G411" t="str">
        <f>VLOOKUP(Tabla3[[#This Row],[Site]],Table35[],12,FALSE)</f>
        <v>5:00 A.M.</v>
      </c>
      <c r="H411" s="74" t="str">
        <f>HYPERLINK(VLOOKUP(Tabla3[[#This Row],[Site]],Table35[#All],9,FALSE))</f>
        <v>https://tools.sig.systems/site/details/189</v>
      </c>
      <c r="I411" t="str">
        <f>VLOOKUP(Tabla3[[#This Row],[Site]],Table35[],13,FALSE)</f>
        <v>-</v>
      </c>
      <c r="J411" t="str">
        <f>VLOOKUP(Tabla3[[#This Row],[Site]],Table35[],14,FALSE)</f>
        <v>-</v>
      </c>
      <c r="L411" s="32" t="str">
        <f>VLOOKUP(Tabla3[[#This Row],[Site]],Table35[#All],2,FALSE)</f>
        <v>1, 13</v>
      </c>
      <c r="M411" s="32" t="str">
        <f>VLOOKUP(Tabla3[[#This Row],[Site]],Table35[#All],3,FALSE)</f>
        <v>-</v>
      </c>
      <c r="N411" s="32" t="str">
        <f>VLOOKUP(Tabla3[[#This Row],[Site]],Table35[#All],4,FALSE)</f>
        <v>-</v>
      </c>
      <c r="O411" s="32" t="str">
        <f>VLOOKUP(Tabla3[[#This Row],[Site]],Table35[#All],5,FALSE)</f>
        <v>-</v>
      </c>
      <c r="P411" s="32" t="str">
        <f>VLOOKUP(Tabla3[[#This Row],[Site]],Table35[#All],6,FALSE)</f>
        <v>-</v>
      </c>
      <c r="Q411" s="32" t="str">
        <f>VLOOKUP(Tabla3[[#This Row],[Site]],Table35[#All],8,FALSE)</f>
        <v>189</v>
      </c>
    </row>
    <row r="412" spans="1:17" hidden="1" x14ac:dyDescent="0.25">
      <c r="A412" t="str">
        <f>+Tabla3[[#This Row],[Site]]&amp;Tabla3[[#This Row],[Split]]</f>
        <v>(TC) Lamborghini South Dade7</v>
      </c>
      <c r="B412">
        <v>7</v>
      </c>
      <c r="C412">
        <v>6</v>
      </c>
      <c r="D412" t="s">
        <v>234</v>
      </c>
      <c r="E412" t="str">
        <f>VLOOKUP(Tabla3[[#This Row],[Site]],Table35[],10,FALSE)</f>
        <v>9:00 P.M.</v>
      </c>
      <c r="F412" t="str">
        <f>VLOOKUP(Tabla3[[#This Row],[Site]],Table35[],11,FALSE)</f>
        <v>ET</v>
      </c>
      <c r="G412" t="str">
        <f>VLOOKUP(Tabla3[[#This Row],[Site]],Table35[],12,FALSE)</f>
        <v>5:00 A.M.</v>
      </c>
      <c r="H412" s="74" t="str">
        <f>HYPERLINK(VLOOKUP(Tabla3[[#This Row],[Site]],Table35[#All],9,FALSE))</f>
        <v>https://tools.sig.systems/site/details/313</v>
      </c>
      <c r="I412">
        <f>VLOOKUP(Tabla3[[#This Row],[Site]],Table35[],13,FALSE)</f>
        <v>0</v>
      </c>
      <c r="J412" t="str">
        <f>VLOOKUP(Tabla3[[#This Row],[Site]],Table35[],14,FALSE)</f>
        <v>-</v>
      </c>
      <c r="L412" s="32" t="str">
        <f>VLOOKUP(Tabla3[[#This Row],[Site]],Table35[#All],2,FALSE)</f>
        <v>-</v>
      </c>
      <c r="M412" s="32" t="str">
        <f>VLOOKUP(Tabla3[[#This Row],[Site]],Table35[#All],3,FALSE)</f>
        <v>9, 11</v>
      </c>
      <c r="N412" s="32" t="str">
        <f>VLOOKUP(Tabla3[[#This Row],[Site]],Table35[#All],4,FALSE)</f>
        <v>-</v>
      </c>
      <c r="O412" s="32" t="str">
        <f>VLOOKUP(Tabla3[[#This Row],[Site]],Table35[#All],5,FALSE)</f>
        <v>-</v>
      </c>
      <c r="P412" s="32" t="str">
        <f>VLOOKUP(Tabla3[[#This Row],[Site]],Table35[#All],6,FALSE)</f>
        <v>-</v>
      </c>
      <c r="Q412" s="32" t="str">
        <f>VLOOKUP(Tabla3[[#This Row],[Site]],Table35[#All],8,FALSE)</f>
        <v>313</v>
      </c>
    </row>
    <row r="413" spans="1:17" hidden="1" x14ac:dyDescent="0.25">
      <c r="A413" t="str">
        <f>+Tabla3[[#This Row],[Site]]&amp;Tabla3[[#This Row],[Split]]</f>
        <v>(AS) Kahlo CDJR (NO TOURS)7</v>
      </c>
      <c r="B413">
        <v>7</v>
      </c>
      <c r="C413">
        <v>7</v>
      </c>
      <c r="D413" t="s">
        <v>378</v>
      </c>
      <c r="E413" t="str">
        <f>VLOOKUP(Tabla3[[#This Row],[Site]],Table35[],10,FALSE)</f>
        <v>9:00 P.M.</v>
      </c>
      <c r="F413" t="str">
        <f>VLOOKUP(Tabla3[[#This Row],[Site]],Table35[],11,FALSE)</f>
        <v>ET</v>
      </c>
      <c r="G413" t="str">
        <f>VLOOKUP(Tabla3[[#This Row],[Site]],Table35[],12,FALSE)</f>
        <v>5:00 A.M.</v>
      </c>
      <c r="H413" s="74" t="str">
        <f>HYPERLINK(VLOOKUP(Tabla3[[#This Row],[Site]],Table35[#All],9,FALSE))</f>
        <v>https://tools.sig.systems/site/details/282</v>
      </c>
      <c r="I413" t="str">
        <f>VLOOKUP(Tabla3[[#This Row],[Site]],Table35[],13,FALSE)</f>
        <v>https://www.google.com/maps/d/edit?mid=1hsX5GGrNcCQgAuzDCDz1OWgEkhsAc78&amp;usp=sharing</v>
      </c>
      <c r="J413" t="str">
        <f>VLOOKUP(Tabla3[[#This Row],[Site]],Table35[],14,FALSE)</f>
        <v>-</v>
      </c>
      <c r="L413" s="32" t="str">
        <f>VLOOKUP(Tabla3[[#This Row],[Site]],Table35[#All],2,FALSE)</f>
        <v>-</v>
      </c>
      <c r="M413" s="32" t="str">
        <f>VLOOKUP(Tabla3[[#This Row],[Site]],Table35[#All],3,FALSE)</f>
        <v>12, 25</v>
      </c>
      <c r="N413" s="32" t="str">
        <f>VLOOKUP(Tabla3[[#This Row],[Site]],Table35[#All],4,FALSE)</f>
        <v>15, 16</v>
      </c>
      <c r="O413" s="32">
        <f>VLOOKUP(Tabla3[[#This Row],[Site]],Table35[#All],5,FALSE)</f>
        <v>20</v>
      </c>
      <c r="P413" s="32" t="str">
        <f>VLOOKUP(Tabla3[[#This Row],[Site]],Table35[#All],6,FALSE)</f>
        <v>1, 2, 9, 22, 31, 57</v>
      </c>
      <c r="Q413" s="32" t="str">
        <f>VLOOKUP(Tabla3[[#This Row],[Site]],Table35[#All],8,FALSE)</f>
        <v>282</v>
      </c>
    </row>
    <row r="414" spans="1:17" hidden="1" x14ac:dyDescent="0.25">
      <c r="A414" t="str">
        <f>+Tabla3[[#This Row],[Site]]&amp;Tabla3[[#This Row],[Split]]</f>
        <v>(AS) Koons Arlington Toyota - New Car (NO TOURS)7</v>
      </c>
      <c r="B414">
        <v>7</v>
      </c>
      <c r="C414">
        <v>7</v>
      </c>
      <c r="D414" t="s">
        <v>380</v>
      </c>
      <c r="E414" t="str">
        <f>VLOOKUP(Tabla3[[#This Row],[Site]],Table35[],10,FALSE)</f>
        <v>9:00 P.M.</v>
      </c>
      <c r="F414" t="str">
        <f>VLOOKUP(Tabla3[[#This Row],[Site]],Table35[],11,FALSE)</f>
        <v>ET</v>
      </c>
      <c r="G414" t="str">
        <f>VLOOKUP(Tabla3[[#This Row],[Site]],Table35[],12,FALSE)</f>
        <v>5:00 A.M.</v>
      </c>
      <c r="H414" s="74" t="str">
        <f>HYPERLINK(VLOOKUP(Tabla3[[#This Row],[Site]],Table35[#All],9,FALSE))</f>
        <v>https://tools.sig.systems/site/details/334</v>
      </c>
      <c r="I414">
        <f>VLOOKUP(Tabla3[[#This Row],[Site]],Table35[],13,FALSE)</f>
        <v>0</v>
      </c>
      <c r="J414" t="str">
        <f>VLOOKUP(Tabla3[[#This Row],[Site]],Table35[],14,FALSE)</f>
        <v>10:00 A.M.</v>
      </c>
      <c r="L414" s="32" t="str">
        <f>VLOOKUP(Tabla3[[#This Row],[Site]],Table35[#All],2,FALSE)</f>
        <v>-</v>
      </c>
      <c r="M414" s="32" t="str">
        <f>VLOOKUP(Tabla3[[#This Row],[Site]],Table35[#All],3,FALSE)</f>
        <v>1, 3, 12, 15, 17</v>
      </c>
      <c r="N414" s="32" t="str">
        <f>VLOOKUP(Tabla3[[#This Row],[Site]],Table35[#All],4,FALSE)</f>
        <v>-</v>
      </c>
      <c r="O414" s="32" t="str">
        <f>VLOOKUP(Tabla3[[#This Row],[Site]],Table35[#All],5,FALSE)</f>
        <v>-</v>
      </c>
      <c r="P414" s="32" t="str">
        <f>VLOOKUP(Tabla3[[#This Row],[Site]],Table35[#All],6,FALSE)</f>
        <v>2, 6, 18, 20</v>
      </c>
      <c r="Q414" s="32" t="str">
        <f>VLOOKUP(Tabla3[[#This Row],[Site]],Table35[#All],8,FALSE)</f>
        <v>334</v>
      </c>
    </row>
    <row r="415" spans="1:17" hidden="1" x14ac:dyDescent="0.25">
      <c r="A415" t="str">
        <f>+Tabla3[[#This Row],[Site]]&amp;Tabla3[[#This Row],[Split]]</f>
        <v>(AS) Koons Volvo Cars White Marsh (NO TOURS)7</v>
      </c>
      <c r="B415">
        <v>7</v>
      </c>
      <c r="C415">
        <v>7</v>
      </c>
      <c r="D415" t="s">
        <v>382</v>
      </c>
      <c r="E415" t="str">
        <f>VLOOKUP(Tabla3[[#This Row],[Site]],Table35[],10,FALSE)</f>
        <v>9:00 P.M.</v>
      </c>
      <c r="F415" t="str">
        <f>VLOOKUP(Tabla3[[#This Row],[Site]],Table35[],11,FALSE)</f>
        <v>ET</v>
      </c>
      <c r="G415" t="str">
        <f>VLOOKUP(Tabla3[[#This Row],[Site]],Table35[],12,FALSE)</f>
        <v>5:00 A.M.</v>
      </c>
      <c r="H415" s="74" t="str">
        <f>HYPERLINK(VLOOKUP(Tabla3[[#This Row],[Site]],Table35[#All],9,FALSE))</f>
        <v>https://tools.sig.systems/site/details/338</v>
      </c>
      <c r="I415">
        <f>VLOOKUP(Tabla3[[#This Row],[Site]],Table35[],13,FALSE)</f>
        <v>0</v>
      </c>
      <c r="J415" t="str">
        <f>VLOOKUP(Tabla3[[#This Row],[Site]],Table35[],14,FALSE)</f>
        <v>-</v>
      </c>
      <c r="L415" s="32" t="str">
        <f>VLOOKUP(Tabla3[[#This Row],[Site]],Table35[#All],2,FALSE)</f>
        <v>-</v>
      </c>
      <c r="M415" s="32" t="str">
        <f>VLOOKUP(Tabla3[[#This Row],[Site]],Table35[#All],3,FALSE)</f>
        <v>5, 7, 9</v>
      </c>
      <c r="N415" s="32" t="str">
        <f>VLOOKUP(Tabla3[[#This Row],[Site]],Table35[#All],4,FALSE)</f>
        <v>-</v>
      </c>
      <c r="O415" s="32" t="str">
        <f>VLOOKUP(Tabla3[[#This Row],[Site]],Table35[#All],5,FALSE)</f>
        <v>-</v>
      </c>
      <c r="P415" s="32" t="str">
        <f>VLOOKUP(Tabla3[[#This Row],[Site]],Table35[#All],6,FALSE)</f>
        <v>6, 10, 1</v>
      </c>
      <c r="Q415" s="32" t="str">
        <f>VLOOKUP(Tabla3[[#This Row],[Site]],Table35[#All],8,FALSE)</f>
        <v>338</v>
      </c>
    </row>
    <row r="416" spans="1:17" hidden="1" x14ac:dyDescent="0.25">
      <c r="A416" t="str">
        <f>+Tabla3[[#This Row],[Site]]&amp;Tabla3[[#This Row],[Split]]</f>
        <v>(DT) Arlington7</v>
      </c>
      <c r="B416">
        <v>7</v>
      </c>
      <c r="C416">
        <v>7</v>
      </c>
      <c r="D416" t="s">
        <v>18</v>
      </c>
      <c r="E416" t="str">
        <f>VLOOKUP(Tabla3[[#This Row],[Site]],Table35[],10,FALSE)</f>
        <v>10:00 P.M.</v>
      </c>
      <c r="F416" t="str">
        <f>VLOOKUP(Tabla3[[#This Row],[Site]],Table35[],11,FALSE)</f>
        <v>CT</v>
      </c>
      <c r="G416" t="str">
        <f>VLOOKUP(Tabla3[[#This Row],[Site]],Table35[],12,FALSE)</f>
        <v>6:00 A.M.</v>
      </c>
      <c r="H416" s="74" t="str">
        <f>HYPERLINK(VLOOKUP(Tabla3[[#This Row],[Site]],Table35[#All],9,FALSE))</f>
        <v>https://tools.sig.systems/site/details/199</v>
      </c>
      <c r="I416">
        <f>VLOOKUP(Tabla3[[#This Row],[Site]],Table35[],13,FALSE)</f>
        <v>0</v>
      </c>
      <c r="J416" t="str">
        <f>VLOOKUP(Tabla3[[#This Row],[Site]],Table35[],14,FALSE)</f>
        <v>-</v>
      </c>
      <c r="L416" s="32">
        <f>VLOOKUP(Tabla3[[#This Row],[Site]],Table35[#All],2,FALSE)</f>
        <v>8</v>
      </c>
      <c r="M416" s="32">
        <f>VLOOKUP(Tabla3[[#This Row],[Site]],Table35[#All],3,FALSE)</f>
        <v>3</v>
      </c>
      <c r="N416" s="32" t="str">
        <f>VLOOKUP(Tabla3[[#This Row],[Site]],Table35[#All],4,FALSE)</f>
        <v>-</v>
      </c>
      <c r="O416" s="32" t="str">
        <f>VLOOKUP(Tabla3[[#This Row],[Site]],Table35[#All],5,FALSE)</f>
        <v>-</v>
      </c>
      <c r="P416" s="32" t="str">
        <f>VLOOKUP(Tabla3[[#This Row],[Site]],Table35[#All],6,FALSE)</f>
        <v>3, 8, 9</v>
      </c>
      <c r="Q416" s="32">
        <v>334</v>
      </c>
    </row>
    <row r="417" spans="1:17" hidden="1" x14ac:dyDescent="0.25">
      <c r="A417" t="str">
        <f>+Tabla3[[#This Row],[Site]]&amp;Tabla3[[#This Row],[Split]]</f>
        <v>(KG) Big Star Cadillac7</v>
      </c>
      <c r="B417">
        <v>7</v>
      </c>
      <c r="C417">
        <v>7</v>
      </c>
      <c r="D417" t="s">
        <v>237</v>
      </c>
      <c r="E417" t="str">
        <f>VLOOKUP(Tabla3[[#This Row],[Site]],Table35[],10,FALSE)</f>
        <v>10:00 P.M.</v>
      </c>
      <c r="F417" t="str">
        <f>VLOOKUP(Tabla3[[#This Row],[Site]],Table35[],11,FALSE)</f>
        <v>CT</v>
      </c>
      <c r="G417" t="str">
        <f>VLOOKUP(Tabla3[[#This Row],[Site]],Table35[],12,FALSE)</f>
        <v>6:00 A.M.</v>
      </c>
      <c r="H417" s="74" t="str">
        <f>HYPERLINK(VLOOKUP(Tabla3[[#This Row],[Site]],Table35[#All],9,FALSE))</f>
        <v>https://tools.sig.systems/site/details/316</v>
      </c>
      <c r="I417" t="str">
        <f>VLOOKUP(Tabla3[[#This Row],[Site]],Table35[],13,FALSE)</f>
        <v>https://www.google.com/maps/d/edit?mid=1jIRkMUnWNPuTgDjQgDP-f33LClT85NU&amp;usp=sharing</v>
      </c>
      <c r="J417" t="str">
        <f>VLOOKUP(Tabla3[[#This Row],[Site]],Table35[],14,FALSE)</f>
        <v>-</v>
      </c>
      <c r="L417" s="32" t="str">
        <f>VLOOKUP(Tabla3[[#This Row],[Site]],Table35[#All],2,FALSE)</f>
        <v>1, 4, 16</v>
      </c>
      <c r="M417" s="32" t="str">
        <f>VLOOKUP(Tabla3[[#This Row],[Site]],Table35[#All],3,FALSE)</f>
        <v>-</v>
      </c>
      <c r="N417" s="32" t="str">
        <f>VLOOKUP(Tabla3[[#This Row],[Site]],Table35[#All],4,FALSE)</f>
        <v>-</v>
      </c>
      <c r="O417" s="32" t="str">
        <f>VLOOKUP(Tabla3[[#This Row],[Site]],Table35[#All],5,FALSE)</f>
        <v>-</v>
      </c>
      <c r="P417" s="32" t="str">
        <f>VLOOKUP(Tabla3[[#This Row],[Site]],Table35[#All],6,FALSE)</f>
        <v>15, 16, 19, 20</v>
      </c>
      <c r="Q417" s="32" t="str">
        <f>VLOOKUP(Tabla3[[#This Row],[Site]],Table35[#All],8,FALSE)</f>
        <v>316</v>
      </c>
    </row>
    <row r="418" spans="1:17" hidden="1" x14ac:dyDescent="0.25">
      <c r="A418" t="str">
        <f>+Tabla3[[#This Row],[Site]]&amp;Tabla3[[#This Row],[Split]]</f>
        <v>(LT) Luther Brookdale Honda (NO TOURS)7</v>
      </c>
      <c r="B418">
        <v>7</v>
      </c>
      <c r="C418">
        <v>7</v>
      </c>
      <c r="D418" t="s">
        <v>271</v>
      </c>
      <c r="E418" t="str">
        <f>VLOOKUP(Tabla3[[#This Row],[Site]],Table35[],10,FALSE)</f>
        <v>10:00 P.M.</v>
      </c>
      <c r="F418" t="str">
        <f>VLOOKUP(Tabla3[[#This Row],[Site]],Table35[],11,FALSE)</f>
        <v>CT</v>
      </c>
      <c r="G418" t="str">
        <f>VLOOKUP(Tabla3[[#This Row],[Site]],Table35[],12,FALSE)</f>
        <v>6:00 A.M.</v>
      </c>
      <c r="H418" s="74" t="str">
        <f>HYPERLINK(VLOOKUP(Tabla3[[#This Row],[Site]],Table35[#All],9,FALSE))</f>
        <v>https://tools.sig.systems/site/details/280</v>
      </c>
      <c r="I418" t="str">
        <f>VLOOKUP(Tabla3[[#This Row],[Site]],Table35[],13,FALSE)</f>
        <v>https://www.google.com/maps/d/viewer?mid=1ot0ILX76JMuvd9yMuqkb4_e0yH1n7TA&amp;ll=45.07815812965141%2C-93.33506855000002&amp;z=17</v>
      </c>
      <c r="J418" t="str">
        <f>VLOOKUP(Tabla3[[#This Row],[Site]],Table35[],14,FALSE)</f>
        <v>-</v>
      </c>
      <c r="L418" s="32" t="str">
        <f>VLOOKUP(Tabla3[[#This Row],[Site]],Table35[#All],2,FALSE)</f>
        <v>-</v>
      </c>
      <c r="M418" s="32" t="str">
        <f>VLOOKUP(Tabla3[[#This Row],[Site]],Table35[#All],3,FALSE)</f>
        <v>1, 21</v>
      </c>
      <c r="N418" s="32" t="str">
        <f>VLOOKUP(Tabla3[[#This Row],[Site]],Table35[#All],4,FALSE)</f>
        <v>38, 39, 40</v>
      </c>
      <c r="O418" s="32" t="str">
        <f>VLOOKUP(Tabla3[[#This Row],[Site]],Table35[#All],5,FALSE)</f>
        <v>2, 10, 19</v>
      </c>
      <c r="P418" s="32" t="str">
        <f>VLOOKUP(Tabla3[[#This Row],[Site]],Table35[#All],6,FALSE)</f>
        <v>4, 5, 7, 11, 13, 20, 24, 36</v>
      </c>
      <c r="Q418" s="32" t="str">
        <f>VLOOKUP(Tabla3[[#This Row],[Site]],Table35[#All],8,FALSE)</f>
        <v>280</v>
      </c>
    </row>
    <row r="419" spans="1:17" hidden="1" x14ac:dyDescent="0.25">
      <c r="A419" t="str">
        <f>+Tabla3[[#This Row],[Site]]&amp;Tabla3[[#This Row],[Split]]</f>
        <v>(ML) Joe Machens Hyundai7</v>
      </c>
      <c r="B419">
        <v>7</v>
      </c>
      <c r="C419">
        <v>7</v>
      </c>
      <c r="D419" t="s">
        <v>124</v>
      </c>
      <c r="E419" t="str">
        <f>VLOOKUP(Tabla3[[#This Row],[Site]],Table35[],10,FALSE)</f>
        <v>10:00 P.M.</v>
      </c>
      <c r="F419" t="str">
        <f>VLOOKUP(Tabla3[[#This Row],[Site]],Table35[],11,FALSE)</f>
        <v>CT</v>
      </c>
      <c r="G419" t="str">
        <f>VLOOKUP(Tabla3[[#This Row],[Site]],Table35[],12,FALSE)</f>
        <v>6:00 A.M.</v>
      </c>
      <c r="H419" s="74" t="str">
        <f>HYPERLINK(VLOOKUP(Tabla3[[#This Row],[Site]],Table35[#All],9,FALSE))</f>
        <v>https://tools.sig.systems/site/details/286</v>
      </c>
      <c r="I419" t="str">
        <f>VLOOKUP(Tabla3[[#This Row],[Site]],Table35[],13,FALSE)</f>
        <v>https://www.google.com/maps/d/viewer?hl=es&amp;mid=1C1oZdjH3dNvCvqdpIv_Lk0Yn1OCVn-4&amp;ll=38.965368114274455%2C-92.3405954&amp;z=15</v>
      </c>
      <c r="J419" t="str">
        <f>VLOOKUP(Tabla3[[#This Row],[Site]],Table35[],14,FALSE)</f>
        <v>-</v>
      </c>
      <c r="L419" s="32" t="str">
        <f>VLOOKUP(Tabla3[[#This Row],[Site]],Table35[#All],2,FALSE)</f>
        <v>-</v>
      </c>
      <c r="M419" s="32" t="str">
        <f>VLOOKUP(Tabla3[[#This Row],[Site]],Table35[#All],3,FALSE)</f>
        <v>3, 4, 14, 25</v>
      </c>
      <c r="N419" s="32" t="str">
        <f>VLOOKUP(Tabla3[[#This Row],[Site]],Table35[#All],4,FALSE)</f>
        <v>-</v>
      </c>
      <c r="O419" s="32">
        <f>VLOOKUP(Tabla3[[#This Row],[Site]],Table35[#All],5,FALSE)</f>
        <v>17</v>
      </c>
      <c r="P419" s="32" t="str">
        <f>VLOOKUP(Tabla3[[#This Row],[Site]],Table35[#All],6,FALSE)</f>
        <v>1, 11, 12, 13, 15</v>
      </c>
      <c r="Q419" s="32" t="str">
        <f>VLOOKUP(Tabla3[[#This Row],[Site]],Table35[#All],8,FALSE)</f>
        <v>286</v>
      </c>
    </row>
    <row r="420" spans="1:17" hidden="1" x14ac:dyDescent="0.25">
      <c r="A420" t="str">
        <f>+Tabla3[[#This Row],[Site]]&amp;Tabla3[[#This Row],[Split]]</f>
        <v>(PE) MB of Greenwich7</v>
      </c>
      <c r="B420">
        <v>7</v>
      </c>
      <c r="C420">
        <v>7</v>
      </c>
      <c r="D420" t="s">
        <v>120</v>
      </c>
      <c r="E420" t="str">
        <f>VLOOKUP(Tabla3[[#This Row],[Site]],Table35[],10,FALSE)</f>
        <v>8:00 P.M.</v>
      </c>
      <c r="F420" t="str">
        <f>VLOOKUP(Tabla3[[#This Row],[Site]],Table35[],11,FALSE)</f>
        <v>ET</v>
      </c>
      <c r="G420" t="str">
        <f>VLOOKUP(Tabla3[[#This Row],[Site]],Table35[],12,FALSE)</f>
        <v>5:00 A.M.</v>
      </c>
      <c r="H420" s="74" t="str">
        <f>HYPERLINK(VLOOKUP(Tabla3[[#This Row],[Site]],Table35[#All],9,FALSE))</f>
        <v>https://tools.sig.systems/site/details/188</v>
      </c>
      <c r="I420" t="str">
        <f>VLOOKUP(Tabla3[[#This Row],[Site]],Table35[],13,FALSE)</f>
        <v>https://www.google.com/maps/d/edit?hl=en&amp;mid=1UHmt7tH1ihTa85i0MfQIcTfVvIQg_vM&amp;ll=41.02423447529239%2C-73.63721502222738&amp;z=18</v>
      </c>
      <c r="J420" t="str">
        <f>VLOOKUP(Tabla3[[#This Row],[Site]],Table35[],14,FALSE)</f>
        <v>-</v>
      </c>
      <c r="L420" s="32" t="str">
        <f>VLOOKUP(Tabla3[[#This Row],[Site]],Table35[#All],2,FALSE)</f>
        <v>1, 2, 8</v>
      </c>
      <c r="M420" s="32" t="str">
        <f>VLOOKUP(Tabla3[[#This Row],[Site]],Table35[#All],3,FALSE)</f>
        <v>13, 14, 20, 26, 40</v>
      </c>
      <c r="N420" s="32" t="str">
        <f>VLOOKUP(Tabla3[[#This Row],[Site]],Table35[#All],4,FALSE)</f>
        <v>-</v>
      </c>
      <c r="O420" s="32" t="str">
        <f>VLOOKUP(Tabla3[[#This Row],[Site]],Table35[#All],5,FALSE)</f>
        <v>-</v>
      </c>
      <c r="P420" s="32">
        <f>VLOOKUP(Tabla3[[#This Row],[Site]],Table35[#All],6,FALSE)</f>
        <v>29</v>
      </c>
      <c r="Q420" s="32" t="str">
        <f>VLOOKUP(Tabla3[[#This Row],[Site]],Table35[#All],8,FALSE)</f>
        <v>188</v>
      </c>
    </row>
    <row r="421" spans="1:17" hidden="1" x14ac:dyDescent="0.25">
      <c r="A421" t="str">
        <f>+Tabla3[[#This Row],[Site]]&amp;Tabla3[[#This Row],[Split]]</f>
        <v>Mario Residence7</v>
      </c>
      <c r="B421">
        <v>7</v>
      </c>
      <c r="C421">
        <v>7</v>
      </c>
      <c r="D421" t="s">
        <v>100</v>
      </c>
      <c r="E421" t="str">
        <f>VLOOKUP(Tabla3[[#This Row],[Site]],Table35[],10,FALSE)</f>
        <v>24H</v>
      </c>
      <c r="F421" t="str">
        <f>VLOOKUP(Tabla3[[#This Row],[Site]],Table35[],11,FALSE)</f>
        <v>ET</v>
      </c>
      <c r="G421" t="str">
        <f>VLOOKUP(Tabla3[[#This Row],[Site]],Table35[],12,FALSE)</f>
        <v>-</v>
      </c>
      <c r="H421" s="74" t="str">
        <f>HYPERLINK(VLOOKUP(Tabla3[[#This Row],[Site]],Table35[#All],9,FALSE))</f>
        <v>https://tools.sig.systems/site/details/148</v>
      </c>
      <c r="I421" t="str">
        <f>VLOOKUP(Tabla3[[#This Row],[Site]],Table35[],13,FALSE)</f>
        <v>https://www.google.com/maps/d/edit?hl=es&amp;mid=13OmECPqyeB7fXgZmEoM9cnG34HU_v5g&amp;ll=26.046837034777553%2C-80.38753458591658&amp;z=19</v>
      </c>
      <c r="J421" t="str">
        <f>VLOOKUP(Tabla3[[#This Row],[Site]],Table35[],14,FALSE)</f>
        <v>-</v>
      </c>
      <c r="L421" s="32" t="str">
        <f>VLOOKUP(Tabla3[[#This Row],[Site]],Table35[#All],2,FALSE)</f>
        <v>7, 8</v>
      </c>
      <c r="M421" s="32" t="str">
        <f>VLOOKUP(Tabla3[[#This Row],[Site]],Table35[#All],3,FALSE)</f>
        <v>7, 8</v>
      </c>
      <c r="N421" s="32" t="str">
        <f>VLOOKUP(Tabla3[[#This Row],[Site]],Table35[#All],4,FALSE)</f>
        <v>-</v>
      </c>
      <c r="O421" s="32" t="str">
        <f>VLOOKUP(Tabla3[[#This Row],[Site]],Table35[#All],5,FALSE)</f>
        <v>-</v>
      </c>
      <c r="P421" s="32" t="str">
        <f>VLOOKUP(Tabla3[[#This Row],[Site]],Table35[#All],6,FALSE)</f>
        <v>4,12,13</v>
      </c>
      <c r="Q421" s="32">
        <v>199</v>
      </c>
    </row>
    <row r="422" spans="1:17" hidden="1" x14ac:dyDescent="0.25">
      <c r="A422" t="str">
        <f>+Tabla3[[#This Row],[Site]]&amp;Tabla3[[#This Row],[Split]]</f>
        <v>(AS) 3281 Storage Lot (NO TOURS)8</v>
      </c>
      <c r="B422">
        <v>8</v>
      </c>
      <c r="C422">
        <v>1</v>
      </c>
      <c r="D422" t="s">
        <v>374</v>
      </c>
      <c r="E422" t="str">
        <f>VLOOKUP(Tabla3[[#This Row],[Site]],Table35[],10,FALSE)</f>
        <v>10:00 P.M.</v>
      </c>
      <c r="F422" t="str">
        <f>VLOOKUP(Tabla3[[#This Row],[Site]],Table35[],11,FALSE)</f>
        <v>CT</v>
      </c>
      <c r="G422" t="str">
        <f>VLOOKUP(Tabla3[[#This Row],[Site]],Table35[],12,FALSE)</f>
        <v>6:00 A.M.</v>
      </c>
      <c r="H422" s="74" t="str">
        <f>HYPERLINK(VLOOKUP(Tabla3[[#This Row],[Site]],Table35[#All],9,FALSE))</f>
        <v>https://tools.sig.systems/site/details/305</v>
      </c>
      <c r="I422" t="str">
        <f>VLOOKUP(Tabla3[[#This Row],[Site]],Table35[],13,FALSE)</f>
        <v>https://www.google.com/maps/d/edit?hl=es&amp;mid=1uPmsRMsXnp74hPFW2t-sp2totVWF_xY&amp;ll=32.83050137713022%2C-96.83197783061323&amp;z=17</v>
      </c>
      <c r="J422" t="str">
        <f>VLOOKUP(Tabla3[[#This Row],[Site]],Table35[],14,FALSE)</f>
        <v>-</v>
      </c>
      <c r="L422" s="32" t="str">
        <f>VLOOKUP(Tabla3[[#This Row],[Site]],Table35[#All],2,FALSE)</f>
        <v>-</v>
      </c>
      <c r="M422" s="32" t="str">
        <f>VLOOKUP(Tabla3[[#This Row],[Site]],Table35[#All],3,FALSE)</f>
        <v>2, 14</v>
      </c>
      <c r="N422" s="32" t="str">
        <f>VLOOKUP(Tabla3[[#This Row],[Site]],Table35[#All],4,FALSE)</f>
        <v>-</v>
      </c>
      <c r="O422" s="32" t="str">
        <f>VLOOKUP(Tabla3[[#This Row],[Site]],Table35[#All],5,FALSE)</f>
        <v>-</v>
      </c>
      <c r="P422" s="32" t="str">
        <f>VLOOKUP(Tabla3[[#This Row],[Site]],Table35[#All],6,FALSE)</f>
        <v>1, 3, 9, 10, 14</v>
      </c>
      <c r="Q422" s="32">
        <f>VLOOKUP(Tabla3[[#This Row],[Site]],Table35[#All],8,FALSE)</f>
        <v>305</v>
      </c>
    </row>
    <row r="423" spans="1:17" hidden="1" x14ac:dyDescent="0.25">
      <c r="A423" t="str">
        <f>+Tabla3[[#This Row],[Site]]&amp;Tabla3[[#This Row],[Split]]</f>
        <v>(AS) Koons Chevrolet Buick GMC - Clarksville (NO TOURS)8</v>
      </c>
      <c r="B423">
        <v>8</v>
      </c>
      <c r="C423">
        <v>1</v>
      </c>
      <c r="D423" t="s">
        <v>379</v>
      </c>
      <c r="E423" t="str">
        <f>VLOOKUP(Tabla3[[#This Row],[Site]],Table35[],10,FALSE)</f>
        <v>9:00 P.M.</v>
      </c>
      <c r="F423" t="str">
        <f>VLOOKUP(Tabla3[[#This Row],[Site]],Table35[],11,FALSE)</f>
        <v>ET</v>
      </c>
      <c r="G423" t="str">
        <f>VLOOKUP(Tabla3[[#This Row],[Site]],Table35[],12,FALSE)</f>
        <v>5:00 A.M.</v>
      </c>
      <c r="H423" s="74" t="str">
        <f>HYPERLINK(VLOOKUP(Tabla3[[#This Row],[Site]],Table35[#All],9,FALSE))</f>
        <v>https://tools.sig.systems/site/details/306</v>
      </c>
      <c r="I423" t="str">
        <f>VLOOKUP(Tabla3[[#This Row],[Site]],Table35[],13,FALSE)</f>
        <v>https://www.google.com/maps/d/edit?hl=es&amp;mid=11XB1lTSP7EcDCDvzypdUPWP6bWCNAEI&amp;ll=39.21145022420528%2C-76.94003711910554&amp;z=17</v>
      </c>
      <c r="J423" t="str">
        <f>VLOOKUP(Tabla3[[#This Row],[Site]],Table35[],14,FALSE)</f>
        <v>10:00 A.M.</v>
      </c>
      <c r="L423" s="32" t="str">
        <f>VLOOKUP(Tabla3[[#This Row],[Site]],Table35[#All],2,FALSE)</f>
        <v>-</v>
      </c>
      <c r="M423" s="32" t="str">
        <f>VLOOKUP(Tabla3[[#This Row],[Site]],Table35[#All],3,FALSE)</f>
        <v>1, 22, 26, 28, 29</v>
      </c>
      <c r="N423" s="32" t="str">
        <f>VLOOKUP(Tabla3[[#This Row],[Site]],Table35[#All],4,FALSE)</f>
        <v>-</v>
      </c>
      <c r="O423" s="32" t="str">
        <f>VLOOKUP(Tabla3[[#This Row],[Site]],Table35[#All],5,FALSE)</f>
        <v>-</v>
      </c>
      <c r="P423" s="32" t="str">
        <f>VLOOKUP(Tabla3[[#This Row],[Site]],Table35[#All],6,FALSE)</f>
        <v>3, 11, 15, 23</v>
      </c>
      <c r="Q423" s="32" t="str">
        <f>VLOOKUP(Tabla3[[#This Row],[Site]],Table35[#All],8,FALSE)</f>
        <v>306</v>
      </c>
    </row>
    <row r="424" spans="1:17" hidden="1" x14ac:dyDescent="0.25">
      <c r="A424" t="str">
        <f>+Tabla3[[#This Row],[Site]]&amp;Tabla3[[#This Row],[Split]]</f>
        <v>(AS) Koons Annapolis Toyota (NO TOURS)8</v>
      </c>
      <c r="B424">
        <v>8</v>
      </c>
      <c r="C424">
        <v>8</v>
      </c>
      <c r="D424" t="s">
        <v>446</v>
      </c>
      <c r="E424" t="str">
        <f>VLOOKUP(Tabla3[[#This Row],[Site]],Table35[],10,FALSE)</f>
        <v>9:00 P.M.</v>
      </c>
      <c r="F424" t="str">
        <f>VLOOKUP(Tabla3[[#This Row],[Site]],Table35[],11,FALSE)</f>
        <v>ET</v>
      </c>
      <c r="G424" t="str">
        <f>VLOOKUP(Tabla3[[#This Row],[Site]],Table35[],12,FALSE)</f>
        <v>5:00 A.M.</v>
      </c>
      <c r="H424" s="74" t="str">
        <f>HYPERLINK(VLOOKUP(Tabla3[[#This Row],[Site]],Table35[#All],9,FALSE))</f>
        <v>https://tools.sig.systems/site/details/337</v>
      </c>
      <c r="I424">
        <f>VLOOKUP(Tabla3[[#This Row],[Site]],Table35[],13,FALSE)</f>
        <v>0</v>
      </c>
      <c r="J424" t="str">
        <f>VLOOKUP(Tabla3[[#This Row],[Site]],Table35[],14,FALSE)</f>
        <v>-</v>
      </c>
      <c r="L424" s="32">
        <f>VLOOKUP(Tabla3[[#This Row],[Site]],Table35[#All],2,FALSE)</f>
        <v>6</v>
      </c>
      <c r="M424" s="32" t="str">
        <f>VLOOKUP(Tabla3[[#This Row],[Site]],Table35[#All],3,FALSE)</f>
        <v>1, 6, 21</v>
      </c>
      <c r="N424" s="32" t="str">
        <f>VLOOKUP(Tabla3[[#This Row],[Site]],Table35[#All],4,FALSE)</f>
        <v>-</v>
      </c>
      <c r="O424" s="32" t="str">
        <f>VLOOKUP(Tabla3[[#This Row],[Site]],Table35[#All],5,FALSE)</f>
        <v>-</v>
      </c>
      <c r="P424" s="32" t="str">
        <f>VLOOKUP(Tabla3[[#This Row],[Site]],Table35[#All],6,FALSE)</f>
        <v>3, 5, 7, 19</v>
      </c>
      <c r="Q424" s="32" t="str">
        <f>VLOOKUP(Tabla3[[#This Row],[Site]],Table35[#All],8,FALSE)</f>
        <v>337</v>
      </c>
    </row>
    <row r="425" spans="1:17" hidden="1" x14ac:dyDescent="0.25">
      <c r="A425" t="str">
        <f>+Tabla3[[#This Row],[Site]]&amp;Tabla3[[#This Row],[Split]]</f>
        <v>(AS) Koons Easton Toyota - Main Dealership (NO TOURS)8</v>
      </c>
      <c r="B425">
        <v>8</v>
      </c>
      <c r="C425">
        <v>1</v>
      </c>
      <c r="D425" t="s">
        <v>426</v>
      </c>
      <c r="E425" t="str">
        <f>VLOOKUP(Tabla3[[#This Row],[Site]],Table35[],10,FALSE)</f>
        <v>9:00 P.M.</v>
      </c>
      <c r="F425" t="str">
        <f>VLOOKUP(Tabla3[[#This Row],[Site]],Table35[],11,FALSE)</f>
        <v>ET</v>
      </c>
      <c r="G425" t="str">
        <f>VLOOKUP(Tabla3[[#This Row],[Site]],Table35[],12,FALSE)</f>
        <v>5:00 A.M.</v>
      </c>
      <c r="H425" s="74" t="str">
        <f>HYPERLINK(VLOOKUP(Tabla3[[#This Row],[Site]],Table35[#All],9,FALSE))</f>
        <v>https://tools.sig.systems/site/details/340</v>
      </c>
      <c r="I425" t="str">
        <f>VLOOKUP(Tabla3[[#This Row],[Site]],Table35[],13,FALSE)</f>
        <v>-</v>
      </c>
      <c r="J425" t="str">
        <f>VLOOKUP(Tabla3[[#This Row],[Site]],Table35[],14,FALSE)</f>
        <v>-</v>
      </c>
      <c r="L425" s="32" t="str">
        <f>VLOOKUP(Tabla3[[#This Row],[Site]],Table35[#All],2,FALSE)</f>
        <v>-</v>
      </c>
      <c r="M425" s="32" t="str">
        <f>VLOOKUP(Tabla3[[#This Row],[Site]],Table35[#All],3,FALSE)</f>
        <v>4, 5</v>
      </c>
      <c r="N425" s="32" t="str">
        <f>VLOOKUP(Tabla3[[#This Row],[Site]],Table35[#All],4,FALSE)</f>
        <v>-</v>
      </c>
      <c r="O425" s="32" t="str">
        <f>VLOOKUP(Tabla3[[#This Row],[Site]],Table35[#All],5,FALSE)</f>
        <v>-</v>
      </c>
      <c r="P425" s="32" t="str">
        <f>VLOOKUP(Tabla3[[#This Row],[Site]],Table35[#All],6,FALSE)</f>
        <v>8, 15</v>
      </c>
      <c r="Q425" s="32" t="str">
        <f>VLOOKUP(Tabla3[[#This Row],[Site]],Table35[#All],8,FALSE)</f>
        <v>340</v>
      </c>
    </row>
    <row r="426" spans="1:17" hidden="1" x14ac:dyDescent="0.25">
      <c r="A426" t="str">
        <f>+Tabla3[[#This Row],[Site]]&amp;Tabla3[[#This Row],[Split]]</f>
        <v>(AS) Plaza Mercedes Benz West (NO TOURS)8</v>
      </c>
      <c r="B426">
        <v>8</v>
      </c>
      <c r="C426">
        <v>1</v>
      </c>
      <c r="D426" t="s">
        <v>394</v>
      </c>
      <c r="E426" t="str">
        <f>VLOOKUP(Tabla3[[#This Row],[Site]],Table35[],10,FALSE)</f>
        <v>10:00 P.M.</v>
      </c>
      <c r="F426" t="str">
        <f>VLOOKUP(Tabla3[[#This Row],[Site]],Table35[],11,FALSE)</f>
        <v>CT</v>
      </c>
      <c r="G426" t="str">
        <f>VLOOKUP(Tabla3[[#This Row],[Site]],Table35[],12,FALSE)</f>
        <v>6:00 A.M.</v>
      </c>
      <c r="H426" s="74" t="str">
        <f>HYPERLINK(VLOOKUP(Tabla3[[#This Row],[Site]],Table35[#All],9,FALSE))</f>
        <v>https://tools.sig.systems/site/details/349</v>
      </c>
      <c r="I426">
        <f>VLOOKUP(Tabla3[[#This Row],[Site]],Table35[],13,FALSE)</f>
        <v>0</v>
      </c>
      <c r="J426" t="str">
        <f>VLOOKUP(Tabla3[[#This Row],[Site]],Table35[],14,FALSE)</f>
        <v>-</v>
      </c>
      <c r="L426" s="32" t="str">
        <f>VLOOKUP(Tabla3[[#This Row],[Site]],Table35[#All],2,FALSE)</f>
        <v>-</v>
      </c>
      <c r="M426" s="32" t="str">
        <f>VLOOKUP(Tabla3[[#This Row],[Site]],Table35[#All],3,FALSE)</f>
        <v>1, 7</v>
      </c>
      <c r="N426" s="32" t="str">
        <f>VLOOKUP(Tabla3[[#This Row],[Site]],Table35[#All],4,FALSE)</f>
        <v>-</v>
      </c>
      <c r="O426" s="32">
        <f>VLOOKUP(Tabla3[[#This Row],[Site]],Table35[#All],5,FALSE)</f>
        <v>17</v>
      </c>
      <c r="P426" s="32" t="str">
        <f>VLOOKUP(Tabla3[[#This Row],[Site]],Table35[#All],6,FALSE)</f>
        <v>6, 21</v>
      </c>
      <c r="Q426" s="32" t="str">
        <f>VLOOKUP(Tabla3[[#This Row],[Site]],Table35[#All],8,FALSE)</f>
        <v>349</v>
      </c>
    </row>
    <row r="427" spans="1:17" hidden="1" x14ac:dyDescent="0.25">
      <c r="A427" t="str">
        <f>+Tabla3[[#This Row],[Site]]&amp;Tabla3[[#This Row],[Split]]</f>
        <v>(DT) Charlotte8</v>
      </c>
      <c r="B427">
        <v>8</v>
      </c>
      <c r="C427">
        <v>1</v>
      </c>
      <c r="D427" t="s">
        <v>150</v>
      </c>
      <c r="E427" t="str">
        <f>VLOOKUP(Tabla3[[#This Row],[Site]],Table35[],10,FALSE)</f>
        <v>9:00 P.M.</v>
      </c>
      <c r="F427" t="str">
        <f>VLOOKUP(Tabla3[[#This Row],[Site]],Table35[],11,FALSE)</f>
        <v>ET</v>
      </c>
      <c r="G427" t="str">
        <f>VLOOKUP(Tabla3[[#This Row],[Site]],Table35[],12,FALSE)</f>
        <v>5:00 A.M.</v>
      </c>
      <c r="H427" s="74" t="str">
        <f>HYPERLINK(VLOOKUP(Tabla3[[#This Row],[Site]],Table35[#All],9,FALSE))</f>
        <v>https://tools.sig.systems/site/details/299</v>
      </c>
      <c r="I427">
        <f>VLOOKUP(Tabla3[[#This Row],[Site]],Table35[],13,FALSE)</f>
        <v>0</v>
      </c>
      <c r="J427" t="str">
        <f>VLOOKUP(Tabla3[[#This Row],[Site]],Table35[],14,FALSE)</f>
        <v>-</v>
      </c>
      <c r="L427" s="32" t="str">
        <f>VLOOKUP(Tabla3[[#This Row],[Site]],Table35[#All],2,FALSE)</f>
        <v>4, 25, 41</v>
      </c>
      <c r="M427" s="32" t="str">
        <f>VLOOKUP(Tabla3[[#This Row],[Site]],Table35[#All],3,FALSE)</f>
        <v>-</v>
      </c>
      <c r="N427" s="32" t="str">
        <f>VLOOKUP(Tabla3[[#This Row],[Site]],Table35[#All],4,FALSE)</f>
        <v>-</v>
      </c>
      <c r="O427" s="32" t="str">
        <f>VLOOKUP(Tabla3[[#This Row],[Site]],Table35[#All],5,FALSE)</f>
        <v xml:space="preserve">11, 32, 35 </v>
      </c>
      <c r="P427" s="32" t="str">
        <f>VLOOKUP(Tabla3[[#This Row],[Site]],Table35[#All],6,FALSE)</f>
        <v>6, 11, 18, 29, 34,  38, 39</v>
      </c>
      <c r="Q427" s="32" t="str">
        <f>VLOOKUP(Tabla3[[#This Row],[Site]],Table35[#All],8,FALSE)</f>
        <v>299</v>
      </c>
    </row>
    <row r="428" spans="1:17" hidden="1" x14ac:dyDescent="0.25">
      <c r="A428" t="str">
        <f>+Tabla3[[#This Row],[Site]]&amp;Tabla3[[#This Row],[Split]]</f>
        <v>(LT) Luther Brookdale Toyota8</v>
      </c>
      <c r="B428">
        <v>8</v>
      </c>
      <c r="C428">
        <v>1</v>
      </c>
      <c r="D428" t="s">
        <v>125</v>
      </c>
      <c r="E428" t="str">
        <f>VLOOKUP(Tabla3[[#This Row],[Site]],Table35[],10,FALSE)</f>
        <v>10:00 P.M.</v>
      </c>
      <c r="F428" t="str">
        <f>VLOOKUP(Tabla3[[#This Row],[Site]],Table35[],11,FALSE)</f>
        <v>CT</v>
      </c>
      <c r="G428" t="str">
        <f>VLOOKUP(Tabla3[[#This Row],[Site]],Table35[],12,FALSE)</f>
        <v>5:00 A.M.</v>
      </c>
      <c r="H428" s="74" t="str">
        <f>HYPERLINK(VLOOKUP(Tabla3[[#This Row],[Site]],Table35[#All],9,FALSE))</f>
        <v>https://tools.sig.systems/site/details/281</v>
      </c>
      <c r="I428" t="str">
        <f>VLOOKUP(Tabla3[[#This Row],[Site]],Table35[],13,FALSE)</f>
        <v>https://www.google.com/maps/d/viewer?mid=1ot0ILX76JMuvd9yMuqkb4_e0yH1n7TA&amp;ll=45.07815812965141%2C-93.33506855000002&amp;z=17</v>
      </c>
      <c r="J428" t="str">
        <f>VLOOKUP(Tabla3[[#This Row],[Site]],Table35[],14,FALSE)</f>
        <v>-</v>
      </c>
      <c r="L428" s="32" t="str">
        <f>VLOOKUP(Tabla3[[#This Row],[Site]],Table35[#All],2,FALSE)</f>
        <v>-</v>
      </c>
      <c r="M428" s="32" t="str">
        <f>VLOOKUP(Tabla3[[#This Row],[Site]],Table35[#All],3,FALSE)</f>
        <v>5, 7</v>
      </c>
      <c r="N428" s="32">
        <f>VLOOKUP(Tabla3[[#This Row],[Site]],Table35[#All],4,FALSE)</f>
        <v>29</v>
      </c>
      <c r="O428" s="32">
        <f>VLOOKUP(Tabla3[[#This Row],[Site]],Table35[#All],5,FALSE)</f>
        <v>20</v>
      </c>
      <c r="P428" s="32" t="str">
        <f>VLOOKUP(Tabla3[[#This Row],[Site]],Table35[#All],6,FALSE)</f>
        <v xml:space="preserve">1, 2, 4, 10, 18, 24, 25 </v>
      </c>
      <c r="Q428" s="32" t="str">
        <f>VLOOKUP(Tabla3[[#This Row],[Site]],Table35[#All],8,FALSE)</f>
        <v>281</v>
      </c>
    </row>
    <row r="429" spans="1:17" hidden="1" x14ac:dyDescent="0.25">
      <c r="A429" t="str">
        <f>+Tabla3[[#This Row],[Site]]&amp;Tabla3[[#This Row],[Split]]</f>
        <v>(LT) Luther Burnsville Hyundai8</v>
      </c>
      <c r="B429">
        <v>8</v>
      </c>
      <c r="C429">
        <v>1</v>
      </c>
      <c r="D429" t="s">
        <v>280</v>
      </c>
      <c r="E429" t="str">
        <f>VLOOKUP(Tabla3[[#This Row],[Site]],Table35[],10,FALSE)</f>
        <v>10:00 P.M.</v>
      </c>
      <c r="F429" t="str">
        <f>VLOOKUP(Tabla3[[#This Row],[Site]],Table35[],11,FALSE)</f>
        <v>CT</v>
      </c>
      <c r="G429" t="str">
        <f>VLOOKUP(Tabla3[[#This Row],[Site]],Table35[],12,FALSE)</f>
        <v>6:00 A.M.</v>
      </c>
      <c r="H429" s="74" t="str">
        <f>HYPERLINK(VLOOKUP(Tabla3[[#This Row],[Site]],Table35[#All],9,FALSE))</f>
        <v>https://tools.sig.systems/site/details/307</v>
      </c>
      <c r="I429">
        <f>VLOOKUP(Tabla3[[#This Row],[Site]],Table35[],13,FALSE)</f>
        <v>0</v>
      </c>
      <c r="J429" t="str">
        <f>VLOOKUP(Tabla3[[#This Row],[Site]],Table35[],14,FALSE)</f>
        <v>-</v>
      </c>
      <c r="L429" s="32" t="str">
        <f>VLOOKUP(Tabla3[[#This Row],[Site]],Table35[#All],2,FALSE)</f>
        <v>-</v>
      </c>
      <c r="M429" s="32" t="str">
        <f>VLOOKUP(Tabla3[[#This Row],[Site]],Table35[#All],3,FALSE)</f>
        <v>6, 17</v>
      </c>
      <c r="N429" s="32" t="str">
        <f>VLOOKUP(Tabla3[[#This Row],[Site]],Table35[#All],4,FALSE)</f>
        <v>22, 21</v>
      </c>
      <c r="O429" s="32">
        <f>VLOOKUP(Tabla3[[#This Row],[Site]],Table35[#All],5,FALSE)</f>
        <v>7</v>
      </c>
      <c r="P429" s="32" t="str">
        <f>VLOOKUP(Tabla3[[#This Row],[Site]],Table35[#All],6,FALSE)</f>
        <v>2, 4, 16</v>
      </c>
      <c r="Q429" s="32" t="str">
        <f>VLOOKUP(Tabla3[[#This Row],[Site]],Table35[#All],8,FALSE)</f>
        <v>307</v>
      </c>
    </row>
    <row r="430" spans="1:17" hidden="1" x14ac:dyDescent="0.25">
      <c r="A430" t="str">
        <f>+Tabla3[[#This Row],[Site]]&amp;Tabla3[[#This Row],[Split]]</f>
        <v>(PE) BMW Service Center (NO TOURS)8</v>
      </c>
      <c r="B430">
        <v>8</v>
      </c>
      <c r="C430">
        <v>1</v>
      </c>
      <c r="D430" t="s">
        <v>38</v>
      </c>
      <c r="E430" t="str">
        <f>VLOOKUP(Tabla3[[#This Row],[Site]],Table35[],10,FALSE)</f>
        <v>8:00 P.M.</v>
      </c>
      <c r="F430" t="str">
        <f>VLOOKUP(Tabla3[[#This Row],[Site]],Table35[],11,FALSE)</f>
        <v>ET</v>
      </c>
      <c r="G430" t="str">
        <f>VLOOKUP(Tabla3[[#This Row],[Site]],Table35[],12,FALSE)</f>
        <v>5:00 A.M.</v>
      </c>
      <c r="H430" s="74" t="str">
        <f>HYPERLINK(VLOOKUP(Tabla3[[#This Row],[Site]],Table35[#All],9,FALSE))</f>
        <v>https://tools.sig.systems/site/details/184</v>
      </c>
      <c r="I430" t="str">
        <f>VLOOKUP(Tabla3[[#This Row],[Site]],Table35[],13,FALSE)</f>
        <v>https://www.google.com/maps/d/edit?hl=en&amp;mid=1UHmt7tH1ihTa85i0MfQIcTfVvIQg_vM&amp;ll=41.02423447529239%2C-73.63721502222738&amp;z=18</v>
      </c>
      <c r="J430" t="str">
        <f>VLOOKUP(Tabla3[[#This Row],[Site]],Table35[],14,FALSE)</f>
        <v>-</v>
      </c>
      <c r="L430" s="32">
        <f>VLOOKUP(Tabla3[[#This Row],[Site]],Table35[#All],2,FALSE)</f>
        <v>3</v>
      </c>
      <c r="M430" s="32" t="str">
        <f>VLOOKUP(Tabla3[[#This Row],[Site]],Table35[#All],3,FALSE)</f>
        <v>-</v>
      </c>
      <c r="N430" s="32" t="str">
        <f>VLOOKUP(Tabla3[[#This Row],[Site]],Table35[#All],4,FALSE)</f>
        <v>-</v>
      </c>
      <c r="O430" s="32" t="str">
        <f>VLOOKUP(Tabla3[[#This Row],[Site]],Table35[#All],5,FALSE)</f>
        <v>-</v>
      </c>
      <c r="P430" s="32" t="str">
        <f>VLOOKUP(Tabla3[[#This Row],[Site]],Table35[#All],6,FALSE)</f>
        <v xml:space="preserve">1, 2 </v>
      </c>
      <c r="Q430" s="32" t="str">
        <f>VLOOKUP(Tabla3[[#This Row],[Site]],Table35[#All],8,FALSE)</f>
        <v>184</v>
      </c>
    </row>
    <row r="431" spans="1:17" hidden="1" x14ac:dyDescent="0.25">
      <c r="A431" t="str">
        <f>+Tabla3[[#This Row],[Site]]&amp;Tabla3[[#This Row],[Split]]</f>
        <v>(AS) Coggin BMW Ft. Pierce (NO TOURS)8</v>
      </c>
      <c r="B431">
        <v>8</v>
      </c>
      <c r="C431">
        <v>2</v>
      </c>
      <c r="D431" t="s">
        <v>121</v>
      </c>
      <c r="E431" t="str">
        <f>VLOOKUP(Tabla3[[#This Row],[Site]],Table35[],10,FALSE)</f>
        <v>9:00 P.M.</v>
      </c>
      <c r="F431" t="str">
        <f>VLOOKUP(Tabla3[[#This Row],[Site]],Table35[],11,FALSE)</f>
        <v>ET</v>
      </c>
      <c r="G431" t="str">
        <f>VLOOKUP(Tabla3[[#This Row],[Site]],Table35[],12,FALSE)</f>
        <v>5:00 A.M.</v>
      </c>
      <c r="H431" s="74" t="str">
        <f>HYPERLINK(VLOOKUP(Tabla3[[#This Row],[Site]],Table35[#All],9,FALSE))</f>
        <v>https://tools.sig.systems/site/details/119</v>
      </c>
      <c r="I431" t="str">
        <f>VLOOKUP(Tabla3[[#This Row],[Site]],Table35[],13,FALSE)</f>
        <v>https://www.google.com/maps/d/viewer?mid=1AyViBuyeq7iwDua1SVudJ2A1BYi3IBA&amp;ll=27.38181516363982%2C-80.32568845000002&amp;z=18</v>
      </c>
      <c r="J431" t="str">
        <f>VLOOKUP(Tabla3[[#This Row],[Site]],Table35[],14,FALSE)</f>
        <v>-</v>
      </c>
      <c r="L431" s="32" t="str">
        <f>VLOOKUP(Tabla3[[#This Row],[Site]],Table35[#All],2,FALSE)</f>
        <v>3, 10, 13</v>
      </c>
      <c r="M431" s="32" t="str">
        <f>VLOOKUP(Tabla3[[#This Row],[Site]],Table35[#All],3,FALSE)</f>
        <v>-</v>
      </c>
      <c r="N431" s="32" t="str">
        <f>VLOOKUP(Tabla3[[#This Row],[Site]],Table35[#All],4,FALSE)</f>
        <v>-</v>
      </c>
      <c r="O431" s="32">
        <f>VLOOKUP(Tabla3[[#This Row],[Site]],Table35[#All],5,FALSE)</f>
        <v>2</v>
      </c>
      <c r="P431" s="32" t="str">
        <f>VLOOKUP(Tabla3[[#This Row],[Site]],Table35[#All],6,FALSE)</f>
        <v>1, 20, 27</v>
      </c>
      <c r="Q431" s="32" t="str">
        <f>VLOOKUP(Tabla3[[#This Row],[Site]],Table35[#All],8,FALSE)</f>
        <v>119</v>
      </c>
    </row>
    <row r="432" spans="1:17" hidden="1" x14ac:dyDescent="0.25">
      <c r="A432" t="str">
        <f>+Tabla3[[#This Row],[Site]]&amp;Tabla3[[#This Row],[Split]]</f>
        <v>(AS) Koons Chevrolet Buick GMC - Clarksville Remote Lot (NO TOURS)8</v>
      </c>
      <c r="B432">
        <v>8</v>
      </c>
      <c r="C432">
        <v>2</v>
      </c>
      <c r="D432" t="s">
        <v>415</v>
      </c>
      <c r="E432" t="str">
        <f>VLOOKUP(Tabla3[[#This Row],[Site]],Table35[],10,FALSE)</f>
        <v>9:00 P.M.</v>
      </c>
      <c r="F432" t="str">
        <f>VLOOKUP(Tabla3[[#This Row],[Site]],Table35[],11,FALSE)</f>
        <v>ET</v>
      </c>
      <c r="G432" t="str">
        <f>VLOOKUP(Tabla3[[#This Row],[Site]],Table35[],12,FALSE)</f>
        <v>5:00 A.M.</v>
      </c>
      <c r="H432" s="74" t="str">
        <f>HYPERLINK(VLOOKUP(Tabla3[[#This Row],[Site]],Table35[#All],9,FALSE))</f>
        <v>https://tools.sig.systems/site/details/308</v>
      </c>
      <c r="I432" t="str">
        <f>VLOOKUP(Tabla3[[#This Row],[Site]],Table35[],13,FALSE)</f>
        <v>https://www.google.com/maps/d/edit?hl=es&amp;mid=11XB1lTSP7EcDCDvzypdUPWP6bWCNAEI&amp;ll=39.21145022420528%2C-76.94003711910554&amp;z=21</v>
      </c>
      <c r="J432" t="str">
        <f>VLOOKUP(Tabla3[[#This Row],[Site]],Table35[],14,FALSE)</f>
        <v>10:00 A.M.</v>
      </c>
      <c r="L432" s="32" t="str">
        <f>VLOOKUP(Tabla3[[#This Row],[Site]],Table35[#All],2,FALSE)</f>
        <v>-</v>
      </c>
      <c r="M432" s="32" t="str">
        <f>VLOOKUP(Tabla3[[#This Row],[Site]],Table35[#All],3,FALSE)</f>
        <v>1, 5</v>
      </c>
      <c r="N432" s="32" t="str">
        <f>VLOOKUP(Tabla3[[#This Row],[Site]],Table35[#All],4,FALSE)</f>
        <v>-</v>
      </c>
      <c r="O432" s="32" t="str">
        <f>VLOOKUP(Tabla3[[#This Row],[Site]],Table35[#All],5,FALSE)</f>
        <v>-</v>
      </c>
      <c r="P432" s="32" t="str">
        <f>VLOOKUP(Tabla3[[#This Row],[Site]],Table35[#All],6,FALSE)</f>
        <v>14, 16</v>
      </c>
      <c r="Q432" s="32" t="str">
        <f>VLOOKUP(Tabla3[[#This Row],[Site]],Table35[#All],8,FALSE)</f>
        <v>308</v>
      </c>
    </row>
    <row r="433" spans="1:17" hidden="1" x14ac:dyDescent="0.25">
      <c r="A433" t="str">
        <f>+Tabla3[[#This Row],[Site]]&amp;Tabla3[[#This Row],[Split]]</f>
        <v>(AS) Koons Owings Mills Kia (NO TOURS)8</v>
      </c>
      <c r="B433">
        <v>8</v>
      </c>
      <c r="C433">
        <v>2</v>
      </c>
      <c r="D433" t="s">
        <v>416</v>
      </c>
      <c r="E433" t="str">
        <f>VLOOKUP(Tabla3[[#This Row],[Site]],Table35[],10,FALSE)</f>
        <v>9:00 P.M.</v>
      </c>
      <c r="F433" t="str">
        <f>VLOOKUP(Tabla3[[#This Row],[Site]],Table35[],11,FALSE)</f>
        <v>ET</v>
      </c>
      <c r="G433" t="str">
        <f>VLOOKUP(Tabla3[[#This Row],[Site]],Table35[],12,FALSE)</f>
        <v>5:00 A.M.</v>
      </c>
      <c r="H433" s="74" t="str">
        <f>HYPERLINK(VLOOKUP(Tabla3[[#This Row],[Site]],Table35[#All],9,FALSE))</f>
        <v>https://tools.sig.systems/site/details/336</v>
      </c>
      <c r="I433" t="str">
        <f>VLOOKUP(Tabla3[[#This Row],[Site]],Table35[],13,FALSE)</f>
        <v>-</v>
      </c>
      <c r="J433" t="str">
        <f>VLOOKUP(Tabla3[[#This Row],[Site]],Table35[],14,FALSE)</f>
        <v>-</v>
      </c>
      <c r="L433" s="32">
        <f>VLOOKUP(Tabla3[[#This Row],[Site]],Table35[#All],2,FALSE)</f>
        <v>12</v>
      </c>
      <c r="M433" s="32" t="str">
        <f>VLOOKUP(Tabla3[[#This Row],[Site]],Table35[#All],3,FALSE)</f>
        <v>2, 18</v>
      </c>
      <c r="N433" s="32" t="str">
        <f>VLOOKUP(Tabla3[[#This Row],[Site]],Table35[#All],4,FALSE)</f>
        <v>-</v>
      </c>
      <c r="O433" s="32" t="str">
        <f>VLOOKUP(Tabla3[[#This Row],[Site]],Table35[#All],5,FALSE)</f>
        <v>-</v>
      </c>
      <c r="P433" s="32" t="str">
        <f>VLOOKUP(Tabla3[[#This Row],[Site]],Table35[#All],6,FALSE)</f>
        <v>7, 14</v>
      </c>
      <c r="Q433" s="32">
        <v>336</v>
      </c>
    </row>
    <row r="434" spans="1:17" hidden="1" x14ac:dyDescent="0.25">
      <c r="A434" t="str">
        <f>+Tabla3[[#This Row],[Site]]&amp;Tabla3[[#This Row],[Split]]</f>
        <v>(AS) Koons Westminster Toyota (NO TOURS)8</v>
      </c>
      <c r="B434">
        <v>8</v>
      </c>
      <c r="C434">
        <v>2</v>
      </c>
      <c r="D434" t="s">
        <v>422</v>
      </c>
      <c r="E434" t="str">
        <f>VLOOKUP(Tabla3[[#This Row],[Site]],Table35[],10,FALSE)</f>
        <v>9:00 P.M.</v>
      </c>
      <c r="F434" t="str">
        <f>VLOOKUP(Tabla3[[#This Row],[Site]],Table35[],11,FALSE)</f>
        <v>ET</v>
      </c>
      <c r="G434" t="str">
        <f>VLOOKUP(Tabla3[[#This Row],[Site]],Table35[],12,FALSE)</f>
        <v>5:00 A.M.</v>
      </c>
      <c r="H434" s="74" t="str">
        <f>HYPERLINK(VLOOKUP(Tabla3[[#This Row],[Site]],Table35[#All],9,FALSE))</f>
        <v>https://tools.sig.systems/site/details/341</v>
      </c>
      <c r="I434" t="str">
        <f>VLOOKUP(Tabla3[[#This Row],[Site]],Table35[],13,FALSE)</f>
        <v>-</v>
      </c>
      <c r="J434" t="str">
        <f>VLOOKUP(Tabla3[[#This Row],[Site]],Table35[],14,FALSE)</f>
        <v>-</v>
      </c>
      <c r="L434" s="32" t="str">
        <f>VLOOKUP(Tabla3[[#This Row],[Site]],Table35[#All],2,FALSE)</f>
        <v>-</v>
      </c>
      <c r="M434" s="32" t="str">
        <f>VLOOKUP(Tabla3[[#This Row],[Site]],Table35[#All],3,FALSE)</f>
        <v>1, 7, 9, 18, 25</v>
      </c>
      <c r="N434" s="32" t="str">
        <f>VLOOKUP(Tabla3[[#This Row],[Site]],Table35[#All],4,FALSE)</f>
        <v>-</v>
      </c>
      <c r="O434" s="32" t="str">
        <f>VLOOKUP(Tabla3[[#This Row],[Site]],Table35[#All],5,FALSE)</f>
        <v>-</v>
      </c>
      <c r="P434" s="32" t="str">
        <f>VLOOKUP(Tabla3[[#This Row],[Site]],Table35[#All],6,FALSE)</f>
        <v>8, 14, 16</v>
      </c>
      <c r="Q434" s="32">
        <v>341</v>
      </c>
    </row>
    <row r="435" spans="1:17" hidden="1" x14ac:dyDescent="0.25">
      <c r="A435" t="str">
        <f>+Tabla3[[#This Row],[Site]]&amp;Tabla3[[#This Row],[Split]]</f>
        <v>(AS) Koons Woodbridge GMC (NO TOURS)8</v>
      </c>
      <c r="B435">
        <v>8</v>
      </c>
      <c r="C435">
        <v>2</v>
      </c>
      <c r="D435" t="s">
        <v>383</v>
      </c>
      <c r="E435" t="str">
        <f>VLOOKUP(Tabla3[[#This Row],[Site]],Table35[],10,FALSE)</f>
        <v>9:00 P.M.</v>
      </c>
      <c r="F435" t="str">
        <f>VLOOKUP(Tabla3[[#This Row],[Site]],Table35[],11,FALSE)</f>
        <v>ET</v>
      </c>
      <c r="G435" t="str">
        <f>VLOOKUP(Tabla3[[#This Row],[Site]],Table35[],12,FALSE)</f>
        <v>5:00 A.M.</v>
      </c>
      <c r="H435" s="74" t="str">
        <f>HYPERLINK(VLOOKUP(Tabla3[[#This Row],[Site]],Table35[#All],9,FALSE))</f>
        <v>https://tools.sig.systems/site/details/343</v>
      </c>
      <c r="I435">
        <f>VLOOKUP(Tabla3[[#This Row],[Site]],Table35[],13,FALSE)</f>
        <v>0</v>
      </c>
      <c r="J435" t="str">
        <f>VLOOKUP(Tabla3[[#This Row],[Site]],Table35[],14,FALSE)</f>
        <v>10:00 A.M.</v>
      </c>
      <c r="L435" s="32" t="str">
        <f>VLOOKUP(Tabla3[[#This Row],[Site]],Table35[#All],2,FALSE)</f>
        <v>-</v>
      </c>
      <c r="M435" s="32">
        <f>VLOOKUP(Tabla3[[#This Row],[Site]],Table35[#All],3,FALSE)</f>
        <v>1</v>
      </c>
      <c r="N435" s="32" t="str">
        <f>VLOOKUP(Tabla3[[#This Row],[Site]],Table35[#All],4,FALSE)</f>
        <v>-</v>
      </c>
      <c r="O435" s="32">
        <f>VLOOKUP(Tabla3[[#This Row],[Site]],Table35[#All],5,FALSE)</f>
        <v>11</v>
      </c>
      <c r="P435" s="32" t="str">
        <f>VLOOKUP(Tabla3[[#This Row],[Site]],Table35[#All],6,FALSE)</f>
        <v>2, 7</v>
      </c>
      <c r="Q435" s="32" t="str">
        <f>VLOOKUP(Tabla3[[#This Row],[Site]],Table35[#All],8,FALSE)</f>
        <v>343</v>
      </c>
    </row>
    <row r="436" spans="1:17" hidden="1" x14ac:dyDescent="0.25">
      <c r="A436" t="str">
        <f>+Tabla3[[#This Row],[Site]]&amp;Tabla3[[#This Row],[Split]]</f>
        <v>(DT) Modesto8</v>
      </c>
      <c r="B436">
        <v>8</v>
      </c>
      <c r="C436">
        <v>2</v>
      </c>
      <c r="D436" t="s">
        <v>14</v>
      </c>
      <c r="E436" t="str">
        <f>VLOOKUP(Tabla3[[#This Row],[Site]],Table35[],10,FALSE)</f>
        <v>12:00 A.M.</v>
      </c>
      <c r="F436" t="str">
        <f>VLOOKUP(Tabla3[[#This Row],[Site]],Table35[],11,FALSE)</f>
        <v>PT</v>
      </c>
      <c r="G436" t="str">
        <f>VLOOKUP(Tabla3[[#This Row],[Site]],Table35[],12,FALSE)</f>
        <v>8:00 A.M.</v>
      </c>
      <c r="H436" s="74" t="str">
        <f>HYPERLINK(VLOOKUP(Tabla3[[#This Row],[Site]],Table35[#All],9,FALSE))</f>
        <v>https://tools.sig.systems/site/details/267</v>
      </c>
      <c r="I436">
        <f>VLOOKUP(Tabla3[[#This Row],[Site]],Table35[],13,FALSE)</f>
        <v>0</v>
      </c>
      <c r="J436" t="str">
        <f>VLOOKUP(Tabla3[[#This Row],[Site]],Table35[],14,FALSE)</f>
        <v>-</v>
      </c>
      <c r="L436" s="32">
        <f>VLOOKUP(Tabla3[[#This Row],[Site]],Table35[#All],2,FALSE)</f>
        <v>10</v>
      </c>
      <c r="M436" s="32" t="str">
        <f>VLOOKUP(Tabla3[[#This Row],[Site]],Table35[#All],3,FALSE)</f>
        <v>5, 6</v>
      </c>
      <c r="N436" s="32" t="str">
        <f>VLOOKUP(Tabla3[[#This Row],[Site]],Table35[#All],4,FALSE)</f>
        <v>-</v>
      </c>
      <c r="O436" s="32" t="str">
        <f>VLOOKUP(Tabla3[[#This Row],[Site]],Table35[#All],5,FALSE)</f>
        <v>-</v>
      </c>
      <c r="P436" s="32" t="str">
        <f>VLOOKUP(Tabla3[[#This Row],[Site]],Table35[#All],6,FALSE)</f>
        <v>2, 3, 5, 10</v>
      </c>
      <c r="Q436" s="32" t="str">
        <f>VLOOKUP(Tabla3[[#This Row],[Site]],Table35[#All],8,FALSE)</f>
        <v>267</v>
      </c>
    </row>
    <row r="437" spans="1:17" hidden="1" x14ac:dyDescent="0.25">
      <c r="A437" t="str">
        <f>+Tabla3[[#This Row],[Site]]&amp;Tabla3[[#This Row],[Split]]</f>
        <v>(KG) Ken Garff Kia of Avondale8</v>
      </c>
      <c r="B437">
        <v>8</v>
      </c>
      <c r="C437">
        <v>2</v>
      </c>
      <c r="D437" t="s">
        <v>297</v>
      </c>
      <c r="E437" t="str">
        <f>VLOOKUP(Tabla3[[#This Row],[Site]],Table35[],10,FALSE)</f>
        <v>12:00 A.M.</v>
      </c>
      <c r="F437" t="str">
        <f>VLOOKUP(Tabla3[[#This Row],[Site]],Table35[],11,FALSE)</f>
        <v>MST</v>
      </c>
      <c r="G437" t="str">
        <f>VLOOKUP(Tabla3[[#This Row],[Site]],Table35[],12,FALSE)</f>
        <v>8:00 A.M.</v>
      </c>
      <c r="H437" s="74" t="str">
        <f>HYPERLINK(VLOOKUP(Tabla3[[#This Row],[Site]],Table35[#All],9,FALSE))</f>
        <v>https://tools.sig.systems/site/details/283</v>
      </c>
      <c r="I437" t="str">
        <f>VLOOKUP(Tabla3[[#This Row],[Site]],Table35[],13,FALSE)</f>
        <v>https://www.google.com/maps/d/viewer?mid=1bDs0QGFZwL3vEeGKxjVMk_j4azr0-lg&amp;ll=33.4593758581648%2C-112.28793780000001&amp;z=18</v>
      </c>
      <c r="J437" t="str">
        <f>VLOOKUP(Tabla3[[#This Row],[Site]],Table35[],14,FALSE)</f>
        <v>12:00 P.M.</v>
      </c>
      <c r="L437" s="32" t="str">
        <f>VLOOKUP(Tabla3[[#This Row],[Site]],Table35[#All],2,FALSE)</f>
        <v>5, 19</v>
      </c>
      <c r="M437" s="32" t="str">
        <f>VLOOKUP(Tabla3[[#This Row],[Site]],Table35[#All],3,FALSE)</f>
        <v>-</v>
      </c>
      <c r="N437" s="32" t="str">
        <f>VLOOKUP(Tabla3[[#This Row],[Site]],Table35[#All],4,FALSE)</f>
        <v>-</v>
      </c>
      <c r="O437" s="32" t="str">
        <f>VLOOKUP(Tabla3[[#This Row],[Site]],Table35[#All],5,FALSE)</f>
        <v>3, 5</v>
      </c>
      <c r="P437" s="32" t="str">
        <f>VLOOKUP(Tabla3[[#This Row],[Site]],Table35[#All],6,FALSE)</f>
        <v>1, 6, 7, 12, 15, 17, 21</v>
      </c>
      <c r="Q437" s="32" t="str">
        <f>VLOOKUP(Tabla3[[#This Row],[Site]],Table35[#All],8,FALSE)</f>
        <v>283</v>
      </c>
    </row>
    <row r="438" spans="1:17" hidden="1" x14ac:dyDescent="0.25">
      <c r="A438" t="str">
        <f>+Tabla3[[#This Row],[Site]]&amp;Tabla3[[#This Row],[Split]]</f>
        <v>(LT) Landers Kia of Little Rock8</v>
      </c>
      <c r="B438">
        <v>8</v>
      </c>
      <c r="C438">
        <v>2</v>
      </c>
      <c r="D438" t="s">
        <v>247</v>
      </c>
      <c r="E438" t="str">
        <f>VLOOKUP(Tabla3[[#This Row],[Site]],Table35[],10,FALSE)</f>
        <v>10:00 P.M.</v>
      </c>
      <c r="F438" t="str">
        <f>VLOOKUP(Tabla3[[#This Row],[Site]],Table35[],11,FALSE)</f>
        <v>CT</v>
      </c>
      <c r="G438" t="str">
        <f>VLOOKUP(Tabla3[[#This Row],[Site]],Table35[],12,FALSE)</f>
        <v>6:00 A.M.</v>
      </c>
      <c r="H438" s="74" t="str">
        <f>HYPERLINK(VLOOKUP(Tabla3[[#This Row],[Site]],Table35[#All],9,FALSE))</f>
        <v>https://tools.sig.systems/site/details/322</v>
      </c>
      <c r="I438" t="str">
        <f>VLOOKUP(Tabla3[[#This Row],[Site]],Table35[],13,FALSE)</f>
        <v>https://www.google.com/maps/d/u/1/edit?mid=1-zEzsc6U6nZom08edp0XAd3_HYFvAyk&amp;usp=sharing</v>
      </c>
      <c r="J438" t="str">
        <f>VLOOKUP(Tabla3[[#This Row],[Site]],Table35[],14,FALSE)</f>
        <v>-</v>
      </c>
      <c r="L438" s="32" t="str">
        <f>VLOOKUP(Tabla3[[#This Row],[Site]],Table35[#All],2,FALSE)</f>
        <v>5, 9, 33, 19</v>
      </c>
      <c r="M438" s="32" t="str">
        <f>VLOOKUP(Tabla3[[#This Row],[Site]],Table35[#All],3,FALSE)</f>
        <v>-</v>
      </c>
      <c r="N438" s="32" t="str">
        <f>VLOOKUP(Tabla3[[#This Row],[Site]],Table35[#All],4,FALSE)</f>
        <v>4, 10</v>
      </c>
      <c r="O438" s="32" t="str">
        <f>VLOOKUP(Tabla3[[#This Row],[Site]],Table35[#All],5,FALSE)</f>
        <v>1, 35</v>
      </c>
      <c r="P438" s="32" t="str">
        <f>VLOOKUP(Tabla3[[#This Row],[Site]],Table35[#All],6,FALSE)</f>
        <v>5, 9, 12, 14, 18, 26, 29</v>
      </c>
      <c r="Q438" s="32" t="str">
        <f>VLOOKUP(Tabla3[[#This Row],[Site]],Table35[#All],8,FALSE)</f>
        <v>322</v>
      </c>
    </row>
    <row r="439" spans="1:17" hidden="1" x14ac:dyDescent="0.25">
      <c r="A439" t="str">
        <f>+Tabla3[[#This Row],[Site]]&amp;Tabla3[[#This Row],[Split]]</f>
        <v>(LT) Luther Genesis of Minneapolis8</v>
      </c>
      <c r="B439">
        <v>8</v>
      </c>
      <c r="C439">
        <v>2</v>
      </c>
      <c r="D439" t="s">
        <v>260</v>
      </c>
      <c r="E439" t="str">
        <f>VLOOKUP(Tabla3[[#This Row],[Site]],Table35[],10,FALSE)</f>
        <v>10:00 P.M.</v>
      </c>
      <c r="F439" t="str">
        <f>VLOOKUP(Tabla3[[#This Row],[Site]],Table35[],11,FALSE)</f>
        <v>CT</v>
      </c>
      <c r="G439" t="str">
        <f>VLOOKUP(Tabla3[[#This Row],[Site]],Table35[],12,FALSE)</f>
        <v>6:00 A.M.</v>
      </c>
      <c r="H439" s="74" t="str">
        <f>HYPERLINK(VLOOKUP(Tabla3[[#This Row],[Site]],Table35[#All],9,FALSE))</f>
        <v>https://tools.sig.systems/site/details/315</v>
      </c>
      <c r="I439">
        <f>VLOOKUP(Tabla3[[#This Row],[Site]],Table35[],13,FALSE)</f>
        <v>0</v>
      </c>
      <c r="J439" t="str">
        <f>VLOOKUP(Tabla3[[#This Row],[Site]],Table35[],14,FALSE)</f>
        <v>-</v>
      </c>
      <c r="L439" s="32" t="str">
        <f>VLOOKUP(Tabla3[[#This Row],[Site]],Table35[#All],2,FALSE)</f>
        <v>-</v>
      </c>
      <c r="M439" s="32" t="str">
        <f>VLOOKUP(Tabla3[[#This Row],[Site]],Table35[#All],3,FALSE)</f>
        <v>1,2,3,18</v>
      </c>
      <c r="N439" s="32" t="str">
        <f>VLOOKUP(Tabla3[[#This Row],[Site]],Table35[#All],4,FALSE)</f>
        <v>-</v>
      </c>
      <c r="O439" s="32" t="str">
        <f>VLOOKUP(Tabla3[[#This Row],[Site]],Table35[#All],5,FALSE)</f>
        <v>-</v>
      </c>
      <c r="P439" s="32" t="str">
        <f>VLOOKUP(Tabla3[[#This Row],[Site]],Table35[#All],6,FALSE)</f>
        <v>1,2,3,5,16,18</v>
      </c>
      <c r="Q439" s="32" t="str">
        <f>VLOOKUP(Tabla3[[#This Row],[Site]],Table35[#All],8,FALSE)</f>
        <v>315</v>
      </c>
    </row>
    <row r="440" spans="1:17" hidden="1" x14ac:dyDescent="0.25">
      <c r="A440" t="str">
        <f>+Tabla3[[#This Row],[Site]]&amp;Tabla3[[#This Row],[Split]]</f>
        <v>(PE) JLR Englewood (NO TOURS)8</v>
      </c>
      <c r="B440">
        <v>8</v>
      </c>
      <c r="C440">
        <v>2</v>
      </c>
      <c r="D440" t="s">
        <v>216</v>
      </c>
      <c r="E440" t="str">
        <f>VLOOKUP(Tabla3[[#This Row],[Site]],Table35[],10,FALSE)</f>
        <v>8:00 P.M.</v>
      </c>
      <c r="F440" t="str">
        <f>VLOOKUP(Tabla3[[#This Row],[Site]],Table35[],11,FALSE)</f>
        <v>ET</v>
      </c>
      <c r="G440" t="str">
        <f>VLOOKUP(Tabla3[[#This Row],[Site]],Table35[],12,FALSE)</f>
        <v>5:00 A.M.</v>
      </c>
      <c r="H440" s="74" t="str">
        <f>HYPERLINK(VLOOKUP(Tabla3[[#This Row],[Site]],Table35[#All],9,FALSE))</f>
        <v>https://tools.sig.systems/site/details/178</v>
      </c>
      <c r="I440" t="str">
        <f>VLOOKUP(Tabla3[[#This Row],[Site]],Table35[],13,FALSE)</f>
        <v>https://www.google.com/maps/d/viewer?mid=1ubI2iKs1JyYXssuT4oLPnVvFnyLPi_s&amp;ll=40.878808846788026%2C-73.98560655&amp;z=17</v>
      </c>
      <c r="J440" t="str">
        <f>VLOOKUP(Tabla3[[#This Row],[Site]],Table35[],14,FALSE)</f>
        <v>-</v>
      </c>
      <c r="L440" s="32" t="str">
        <f>VLOOKUP(Tabla3[[#This Row],[Site]],Table35[#All],2,FALSE)</f>
        <v>1, 2</v>
      </c>
      <c r="M440" s="32" t="str">
        <f>VLOOKUP(Tabla3[[#This Row],[Site]],Table35[#All],3,FALSE)</f>
        <v>-</v>
      </c>
      <c r="N440" s="32" t="str">
        <f>VLOOKUP(Tabla3[[#This Row],[Site]],Table35[#All],4,FALSE)</f>
        <v>-</v>
      </c>
      <c r="O440" s="32" t="str">
        <f>VLOOKUP(Tabla3[[#This Row],[Site]],Table35[#All],5,FALSE)</f>
        <v>-</v>
      </c>
      <c r="P440" s="32" t="str">
        <f>VLOOKUP(Tabla3[[#This Row],[Site]],Table35[#All],6,FALSE)</f>
        <v>-</v>
      </c>
      <c r="Q440" s="32" t="str">
        <f>VLOOKUP(Tabla3[[#This Row],[Site]],Table35[#All],8,FALSE)</f>
        <v>178</v>
      </c>
    </row>
    <row r="441" spans="1:17" hidden="1" x14ac:dyDescent="0.25">
      <c r="A441" t="str">
        <f>+Tabla3[[#This Row],[Site]]&amp;Tabla3[[#This Row],[Split]]</f>
        <v>(AS) Koons MB of Catonsville (NO TOURS)8</v>
      </c>
      <c r="B441">
        <v>8</v>
      </c>
      <c r="C441">
        <v>3</v>
      </c>
      <c r="D441" t="s">
        <v>233</v>
      </c>
      <c r="E441" t="str">
        <f>VLOOKUP(Tabla3[[#This Row],[Site]],Table35[],10,FALSE)</f>
        <v>9:00 P.M.</v>
      </c>
      <c r="F441" t="str">
        <f>VLOOKUP(Tabla3[[#This Row],[Site]],Table35[],11,FALSE)</f>
        <v>ET</v>
      </c>
      <c r="G441" t="str">
        <f>VLOOKUP(Tabla3[[#This Row],[Site]],Table35[],12,FALSE)</f>
        <v>5:00 A.M.</v>
      </c>
      <c r="H441" s="74" t="str">
        <f>HYPERLINK(VLOOKUP(Tabla3[[#This Row],[Site]],Table35[#All],9,FALSE))</f>
        <v>https://tools.sig.systems/site/details/303</v>
      </c>
      <c r="I441">
        <f>VLOOKUP(Tabla3[[#This Row],[Site]],Table35[],13,FALSE)</f>
        <v>0</v>
      </c>
      <c r="J441" t="str">
        <f>VLOOKUP(Tabla3[[#This Row],[Site]],Table35[],14,FALSE)</f>
        <v>-</v>
      </c>
      <c r="L441" s="32" t="str">
        <f>VLOOKUP(Tabla3[[#This Row],[Site]],Table35[#All],2,FALSE)</f>
        <v>-</v>
      </c>
      <c r="M441" s="32" t="str">
        <f>VLOOKUP(Tabla3[[#This Row],[Site]],Table35[#All],3,FALSE)</f>
        <v>15, 16, 17, 29</v>
      </c>
      <c r="N441" s="32">
        <f>VLOOKUP(Tabla3[[#This Row],[Site]],Table35[#All],4,FALSE)</f>
        <v>29</v>
      </c>
      <c r="O441" s="32">
        <f>VLOOKUP(Tabla3[[#This Row],[Site]],Table35[#All],5,FALSE)</f>
        <v>5</v>
      </c>
      <c r="P441" s="32" t="str">
        <f>VLOOKUP(Tabla3[[#This Row],[Site]],Table35[#All],6,FALSE)</f>
        <v>1, 7, 8, 12, 19, 32</v>
      </c>
      <c r="Q441" s="32" t="str">
        <f>VLOOKUP(Tabla3[[#This Row],[Site]],Table35[#All],8,FALSE)</f>
        <v>303</v>
      </c>
    </row>
    <row r="442" spans="1:17" hidden="1" x14ac:dyDescent="0.25">
      <c r="A442" t="str">
        <f>+Tabla3[[#This Row],[Site]]&amp;Tabla3[[#This Row],[Split]]</f>
        <v>(AS) Koons White Marsh Chevrolet (NO TOURS)8</v>
      </c>
      <c r="B442">
        <v>8</v>
      </c>
      <c r="C442">
        <v>3</v>
      </c>
      <c r="D442" t="s">
        <v>393</v>
      </c>
      <c r="E442" t="str">
        <f>VLOOKUP(Tabla3[[#This Row],[Site]],Table35[],10,FALSE)</f>
        <v>9:00 P.M.</v>
      </c>
      <c r="F442" t="str">
        <f>VLOOKUP(Tabla3[[#This Row],[Site]],Table35[],11,FALSE)</f>
        <v>ET</v>
      </c>
      <c r="G442" t="str">
        <f>VLOOKUP(Tabla3[[#This Row],[Site]],Table35[],12,FALSE)</f>
        <v>5:00 A.M.</v>
      </c>
      <c r="H442" s="74" t="str">
        <f>HYPERLINK(VLOOKUP(Tabla3[[#This Row],[Site]],Table35[#All],9,FALSE))</f>
        <v>https://tools.sig.systems/site/details/339</v>
      </c>
      <c r="I442" t="str">
        <f>VLOOKUP(Tabla3[[#This Row],[Site]],Table35[],13,FALSE)</f>
        <v>-</v>
      </c>
      <c r="J442" t="str">
        <f>VLOOKUP(Tabla3[[#This Row],[Site]],Table35[],14,FALSE)</f>
        <v>-</v>
      </c>
      <c r="L442" s="32">
        <f>VLOOKUP(Tabla3[[#This Row],[Site]],Table35[#All],2,FALSE)</f>
        <v>25</v>
      </c>
      <c r="M442" s="32">
        <f>VLOOKUP(Tabla3[[#This Row],[Site]],Table35[#All],3,FALSE)</f>
        <v>10</v>
      </c>
      <c r="N442" s="32" t="str">
        <f>VLOOKUP(Tabla3[[#This Row],[Site]],Table35[#All],4,FALSE)</f>
        <v>-</v>
      </c>
      <c r="O442" s="32" t="str">
        <f>VLOOKUP(Tabla3[[#This Row],[Site]],Table35[#All],5,FALSE)</f>
        <v>-</v>
      </c>
      <c r="P442" s="32">
        <f>VLOOKUP(Tabla3[[#This Row],[Site]],Table35[#All],6,FALSE)</f>
        <v>12</v>
      </c>
      <c r="Q442" s="32" t="str">
        <f>VLOOKUP(Tabla3[[#This Row],[Site]],Table35[#All],8,FALSE)</f>
        <v>339</v>
      </c>
    </row>
    <row r="443" spans="1:17" hidden="1" x14ac:dyDescent="0.25">
      <c r="A443" t="str">
        <f>+Tabla3[[#This Row],[Site]]&amp;Tabla3[[#This Row],[Split]]</f>
        <v>(AS) Koons Woodbridge Ford (NO TOURS)8</v>
      </c>
      <c r="B443">
        <v>8</v>
      </c>
      <c r="C443">
        <v>3</v>
      </c>
      <c r="D443" t="s">
        <v>384</v>
      </c>
      <c r="E443" t="str">
        <f>VLOOKUP(Tabla3[[#This Row],[Site]],Table35[],10,FALSE)</f>
        <v>9:00 P.M.</v>
      </c>
      <c r="F443" t="str">
        <f>VLOOKUP(Tabla3[[#This Row],[Site]],Table35[],11,FALSE)</f>
        <v>ET</v>
      </c>
      <c r="G443" t="str">
        <f>VLOOKUP(Tabla3[[#This Row],[Site]],Table35[],12,FALSE)</f>
        <v>5:00 A.M.</v>
      </c>
      <c r="H443" s="74" t="str">
        <f>HYPERLINK(VLOOKUP(Tabla3[[#This Row],[Site]],Table35[#All],9,FALSE))</f>
        <v>https://tools.sig.systems/site/details/342</v>
      </c>
      <c r="I443">
        <f>VLOOKUP(Tabla3[[#This Row],[Site]],Table35[],13,FALSE)</f>
        <v>0</v>
      </c>
      <c r="J443" t="str">
        <f>VLOOKUP(Tabla3[[#This Row],[Site]],Table35[],14,FALSE)</f>
        <v>9:00 A.M.</v>
      </c>
      <c r="L443" s="32" t="str">
        <f>VLOOKUP(Tabla3[[#This Row],[Site]],Table35[#All],2,FALSE)</f>
        <v>-</v>
      </c>
      <c r="M443" s="32" t="str">
        <f>VLOOKUP(Tabla3[[#This Row],[Site]],Table35[#All],3,FALSE)</f>
        <v>3, 24, 26, 27, 31, 36</v>
      </c>
      <c r="N443" s="32" t="str">
        <f>VLOOKUP(Tabla3[[#This Row],[Site]],Table35[#All],4,FALSE)</f>
        <v>-</v>
      </c>
      <c r="O443" s="32" t="str">
        <f>VLOOKUP(Tabla3[[#This Row],[Site]],Table35[#All],5,FALSE)</f>
        <v>-</v>
      </c>
      <c r="P443" s="32" t="str">
        <f>VLOOKUP(Tabla3[[#This Row],[Site]],Table35[#All],6,FALSE)</f>
        <v>13, 26, 29</v>
      </c>
      <c r="Q443" s="32" t="str">
        <f>VLOOKUP(Tabla3[[#This Row],[Site]],Table35[#All],8,FALSE)</f>
        <v>342</v>
      </c>
    </row>
    <row r="444" spans="1:17" hidden="1" x14ac:dyDescent="0.25">
      <c r="A444" t="str">
        <f>+Tabla3[[#This Row],[Site]]&amp;Tabla3[[#This Row],[Split]]</f>
        <v>(AS) Plaza Collision ST Louis (NO TOURS)8</v>
      </c>
      <c r="B444">
        <v>8</v>
      </c>
      <c r="C444">
        <v>3</v>
      </c>
      <c r="D444" t="s">
        <v>437</v>
      </c>
      <c r="E444" t="str">
        <f>VLOOKUP(Tabla3[[#This Row],[Site]],Table35[],10,FALSE)</f>
        <v>10:00 P.M.</v>
      </c>
      <c r="F444" t="str">
        <f>VLOOKUP(Tabla3[[#This Row],[Site]],Table35[],11,FALSE)</f>
        <v>CT</v>
      </c>
      <c r="G444" t="str">
        <f>VLOOKUP(Tabla3[[#This Row],[Site]],Table35[],12,FALSE)</f>
        <v>6:00 A.M.</v>
      </c>
      <c r="H444" s="74" t="str">
        <f>HYPERLINK(VLOOKUP(Tabla3[[#This Row],[Site]],Table35[#All],9,FALSE))</f>
        <v>https://tools.sig.systems/site/details/350</v>
      </c>
      <c r="I444" t="str">
        <f>VLOOKUP(Tabla3[[#This Row],[Site]],Table35[],13,FALSE)</f>
        <v>-</v>
      </c>
      <c r="J444" t="str">
        <f>VLOOKUP(Tabla3[[#This Row],[Site]],Table35[],14,FALSE)</f>
        <v>-</v>
      </c>
      <c r="L444" s="32" t="str">
        <f>VLOOKUP(Tabla3[[#This Row],[Site]],Table35[#All],2,FALSE)</f>
        <v>2, 6</v>
      </c>
      <c r="M444" s="32">
        <f>VLOOKUP(Tabla3[[#This Row],[Site]],Table35[#All],3,FALSE)</f>
        <v>1</v>
      </c>
      <c r="N444" s="32" t="str">
        <f>VLOOKUP(Tabla3[[#This Row],[Site]],Table35[#All],4,FALSE)</f>
        <v>-</v>
      </c>
      <c r="O444" s="32" t="str">
        <f>VLOOKUP(Tabla3[[#This Row],[Site]],Table35[#All],5,FALSE)</f>
        <v>-</v>
      </c>
      <c r="P444" s="32">
        <f>VLOOKUP(Tabla3[[#This Row],[Site]],Table35[#All],6,FALSE)</f>
        <v>3</v>
      </c>
      <c r="Q444" s="32" t="str">
        <f>VLOOKUP(Tabla3[[#This Row],[Site]],Table35[#All],8,FALSE)</f>
        <v>350</v>
      </c>
    </row>
    <row r="445" spans="1:17" hidden="1" x14ac:dyDescent="0.25">
      <c r="A445" t="str">
        <f>+Tabla3[[#This Row],[Site]]&amp;Tabla3[[#This Row],[Split]]</f>
        <v>(LT) Luther Hopkins Honda (NO TOURS)8</v>
      </c>
      <c r="B445">
        <v>8</v>
      </c>
      <c r="C445">
        <v>3</v>
      </c>
      <c r="D445" t="s">
        <v>303</v>
      </c>
      <c r="E445" t="str">
        <f>VLOOKUP(Tabla3[[#This Row],[Site]],Table35[],10,FALSE)</f>
        <v>10:00 P.M.</v>
      </c>
      <c r="F445" t="str">
        <f>VLOOKUP(Tabla3[[#This Row],[Site]],Table35[],11,FALSE)</f>
        <v>CT</v>
      </c>
      <c r="G445" t="str">
        <f>VLOOKUP(Tabla3[[#This Row],[Site]],Table35[],12,FALSE)</f>
        <v>6:00 A.M.</v>
      </c>
      <c r="H445" s="74" t="str">
        <f>HYPERLINK(VLOOKUP(Tabla3[[#This Row],[Site]],Table35[#All],9,FALSE))</f>
        <v>https://tools.sig.systems/site/details/288</v>
      </c>
      <c r="I445">
        <f>VLOOKUP(Tabla3[[#This Row],[Site]],Table35[],13,FALSE)</f>
        <v>0</v>
      </c>
      <c r="J445" t="str">
        <f>VLOOKUP(Tabla3[[#This Row],[Site]],Table35[],14,FALSE)</f>
        <v>-</v>
      </c>
      <c r="L445" s="32" t="str">
        <f>VLOOKUP(Tabla3[[#This Row],[Site]],Table35[#All],2,FALSE)</f>
        <v>-</v>
      </c>
      <c r="M445" s="32" t="str">
        <f>VLOOKUP(Tabla3[[#This Row],[Site]],Table35[#All],3,FALSE)</f>
        <v>9, 36</v>
      </c>
      <c r="N445" s="32" t="str">
        <f>VLOOKUP(Tabla3[[#This Row],[Site]],Table35[#All],4,FALSE)</f>
        <v>38, 39</v>
      </c>
      <c r="O445" s="32" t="str">
        <f>VLOOKUP(Tabla3[[#This Row],[Site]],Table35[#All],5,FALSE)</f>
        <v>3, 26</v>
      </c>
      <c r="P445" s="32" t="str">
        <f>VLOOKUP(Tabla3[[#This Row],[Site]],Table35[#All],6,FALSE)</f>
        <v>1, 4, 11, 18, 23, 25, 31</v>
      </c>
      <c r="Q445" s="32" t="str">
        <f>VLOOKUP(Tabla3[[#This Row],[Site]],Table35[#All],8,FALSE)</f>
        <v>288</v>
      </c>
    </row>
    <row r="446" spans="1:17" hidden="1" x14ac:dyDescent="0.25">
      <c r="A446" t="str">
        <f>+Tabla3[[#This Row],[Site]]&amp;Tabla3[[#This Row],[Split]]</f>
        <v>(PE) MB of Greenwich8</v>
      </c>
      <c r="B446">
        <v>8</v>
      </c>
      <c r="C446">
        <v>3</v>
      </c>
      <c r="D446" t="s">
        <v>120</v>
      </c>
      <c r="E446" t="str">
        <f>VLOOKUP(Tabla3[[#This Row],[Site]],Table35[],10,FALSE)</f>
        <v>8:00 P.M.</v>
      </c>
      <c r="F446" t="str">
        <f>VLOOKUP(Tabla3[[#This Row],[Site]],Table35[],11,FALSE)</f>
        <v>ET</v>
      </c>
      <c r="G446" t="str">
        <f>VLOOKUP(Tabla3[[#This Row],[Site]],Table35[],12,FALSE)</f>
        <v>5:00 A.M.</v>
      </c>
      <c r="H446" s="74" t="str">
        <f>HYPERLINK(VLOOKUP(Tabla3[[#This Row],[Site]],Table35[#All],9,FALSE))</f>
        <v>https://tools.sig.systems/site/details/188</v>
      </c>
      <c r="I446" t="str">
        <f>VLOOKUP(Tabla3[[#This Row],[Site]],Table35[],13,FALSE)</f>
        <v>https://www.google.com/maps/d/edit?hl=en&amp;mid=1UHmt7tH1ihTa85i0MfQIcTfVvIQg_vM&amp;ll=41.02423447529239%2C-73.63721502222738&amp;z=18</v>
      </c>
      <c r="J446" t="str">
        <f>VLOOKUP(Tabla3[[#This Row],[Site]],Table35[],14,FALSE)</f>
        <v>-</v>
      </c>
      <c r="L446" s="32" t="str">
        <f>VLOOKUP(Tabla3[[#This Row],[Site]],Table35[#All],2,FALSE)</f>
        <v>1, 2, 8</v>
      </c>
      <c r="M446" s="32" t="str">
        <f>VLOOKUP(Tabla3[[#This Row],[Site]],Table35[#All],3,FALSE)</f>
        <v>13, 14, 20, 26, 40</v>
      </c>
      <c r="N446" s="32" t="str">
        <f>VLOOKUP(Tabla3[[#This Row],[Site]],Table35[#All],4,FALSE)</f>
        <v>-</v>
      </c>
      <c r="O446" s="32" t="str">
        <f>VLOOKUP(Tabla3[[#This Row],[Site]],Table35[#All],5,FALSE)</f>
        <v>-</v>
      </c>
      <c r="P446" s="32">
        <f>VLOOKUP(Tabla3[[#This Row],[Site]],Table35[#All],6,FALSE)</f>
        <v>29</v>
      </c>
      <c r="Q446" s="32" t="str">
        <f>VLOOKUP(Tabla3[[#This Row],[Site]],Table35[#All],8,FALSE)</f>
        <v>188</v>
      </c>
    </row>
    <row r="447" spans="1:17" hidden="1" x14ac:dyDescent="0.25">
      <c r="A447" t="str">
        <f>+Tabla3[[#This Row],[Site]]&amp;Tabla3[[#This Row],[Split]]</f>
        <v>(AS) Coggin Collision Center of Kissimmee (NO TOURS)8</v>
      </c>
      <c r="B447">
        <v>8</v>
      </c>
      <c r="C447">
        <v>4</v>
      </c>
      <c r="D447" t="s">
        <v>285</v>
      </c>
      <c r="E447" t="str">
        <f>VLOOKUP(Tabla3[[#This Row],[Site]],Table35[],10,FALSE)</f>
        <v>9:00 P.M.</v>
      </c>
      <c r="F447" t="str">
        <f>VLOOKUP(Tabla3[[#This Row],[Site]],Table35[],11,FALSE)</f>
        <v>ET</v>
      </c>
      <c r="G447" t="str">
        <f>VLOOKUP(Tabla3[[#This Row],[Site]],Table35[],12,FALSE)</f>
        <v>5:00 A.M.</v>
      </c>
      <c r="H447" s="74" t="str">
        <f>HYPERLINK(VLOOKUP(Tabla3[[#This Row],[Site]],Table35[#All],9,FALSE))</f>
        <v>https://tools.sig.systems/site/details/331</v>
      </c>
      <c r="I447">
        <f>VLOOKUP(Tabla3[[#This Row],[Site]],Table35[],13,FALSE)</f>
        <v>0</v>
      </c>
      <c r="J447" t="str">
        <f>VLOOKUP(Tabla3[[#This Row],[Site]],Table35[],14,FALSE)</f>
        <v>-</v>
      </c>
      <c r="L447" s="32" t="str">
        <f>VLOOKUP(Tabla3[[#This Row],[Site]],Table35[#All],2,FALSE)</f>
        <v>1, 12</v>
      </c>
      <c r="M447" s="32" t="str">
        <f>VLOOKUP(Tabla3[[#This Row],[Site]],Table35[#All],3,FALSE)</f>
        <v>-</v>
      </c>
      <c r="N447" s="32" t="str">
        <f>VLOOKUP(Tabla3[[#This Row],[Site]],Table35[#All],4,FALSE)</f>
        <v>-</v>
      </c>
      <c r="O447" s="32" t="str">
        <f>VLOOKUP(Tabla3[[#This Row],[Site]],Table35[#All],5,FALSE)</f>
        <v>-</v>
      </c>
      <c r="P447" s="32" t="str">
        <f>VLOOKUP(Tabla3[[#This Row],[Site]],Table35[#All],6,FALSE)</f>
        <v>2, 7, 9</v>
      </c>
      <c r="Q447" s="32" t="str">
        <f>VLOOKUP(Tabla3[[#This Row],[Site]],Table35[#All],8,FALSE)</f>
        <v>331</v>
      </c>
    </row>
    <row r="448" spans="1:17" hidden="1" x14ac:dyDescent="0.25">
      <c r="A448" t="str">
        <f>+Tabla3[[#This Row],[Site]]&amp;Tabla3[[#This Row],[Split]]</f>
        <v>(AS) Coggin Honda of Orlando (NO TOURS)8</v>
      </c>
      <c r="B448">
        <v>8</v>
      </c>
      <c r="C448">
        <v>4</v>
      </c>
      <c r="D448" t="s">
        <v>375</v>
      </c>
      <c r="E448" t="str">
        <f>VLOOKUP(Tabla3[[#This Row],[Site]],Table35[],10,FALSE)</f>
        <v>9:00 P.M.</v>
      </c>
      <c r="F448" t="str">
        <f>VLOOKUP(Tabla3[[#This Row],[Site]],Table35[],11,FALSE)</f>
        <v>ET</v>
      </c>
      <c r="G448" t="str">
        <f>VLOOKUP(Tabla3[[#This Row],[Site]],Table35[],12,FALSE)</f>
        <v>5:00 A.M.</v>
      </c>
      <c r="H448" s="74" t="str">
        <f>HYPERLINK(VLOOKUP(Tabla3[[#This Row],[Site]],Table35[#All],9,FALSE))</f>
        <v>https://tools.sig.systems/site/details/324</v>
      </c>
      <c r="I448">
        <f>VLOOKUP(Tabla3[[#This Row],[Site]],Table35[],13,FALSE)</f>
        <v>0</v>
      </c>
      <c r="J448" t="str">
        <f>VLOOKUP(Tabla3[[#This Row],[Site]],Table35[],14,FALSE)</f>
        <v>11:00 A.M.</v>
      </c>
      <c r="L448" s="32" t="str">
        <f>VLOOKUP(Tabla3[[#This Row],[Site]],Table35[#All],2,FALSE)</f>
        <v>2, 10, 12B, 14, 38</v>
      </c>
      <c r="M448" s="32" t="str">
        <f>VLOOKUP(Tabla3[[#This Row],[Site]],Table35[#All],3,FALSE)</f>
        <v>-</v>
      </c>
      <c r="N448" s="32" t="str">
        <f>VLOOKUP(Tabla3[[#This Row],[Site]],Table35[#All],4,FALSE)</f>
        <v>-</v>
      </c>
      <c r="O448" s="32" t="str">
        <f>VLOOKUP(Tabla3[[#This Row],[Site]],Table35[#All],5,FALSE)</f>
        <v>12, 31</v>
      </c>
      <c r="P448" s="32" t="str">
        <f>VLOOKUP(Tabla3[[#This Row],[Site]],Table35[#All],6,FALSE)</f>
        <v>12B, 26, 37, 19</v>
      </c>
      <c r="Q448" s="32" t="str">
        <f>VLOOKUP(Tabla3[[#This Row],[Site]],Table35[#All],8,FALSE)</f>
        <v>324</v>
      </c>
    </row>
    <row r="449" spans="1:17" hidden="1" x14ac:dyDescent="0.25">
      <c r="A449" t="str">
        <f>+Tabla3[[#This Row],[Site]]&amp;Tabla3[[#This Row],[Split]]</f>
        <v>(AS) Koons Baltimore Ford - Main Dealership (NO TOURS)8</v>
      </c>
      <c r="B449">
        <v>8</v>
      </c>
      <c r="C449">
        <v>4</v>
      </c>
      <c r="D449" t="s">
        <v>351</v>
      </c>
      <c r="E449" t="str">
        <f>VLOOKUP(Tabla3[[#This Row],[Site]],Table35[],10,FALSE)</f>
        <v>9:00 P.M.</v>
      </c>
      <c r="F449" t="str">
        <f>VLOOKUP(Tabla3[[#This Row],[Site]],Table35[],11,FALSE)</f>
        <v>ET</v>
      </c>
      <c r="G449" t="str">
        <f>VLOOKUP(Tabla3[[#This Row],[Site]],Table35[],12,FALSE)</f>
        <v>5:00 A.M.</v>
      </c>
      <c r="H449" s="74" t="str">
        <f>HYPERLINK(VLOOKUP(Tabla3[[#This Row],[Site]],Table35[#All],9,FALSE))</f>
        <v>https://tools.sig.systems/site/details/335</v>
      </c>
      <c r="I449" t="str">
        <f>VLOOKUP(Tabla3[[#This Row],[Site]],Table35[],13,FALSE)</f>
        <v>-</v>
      </c>
      <c r="J449" t="str">
        <f>VLOOKUP(Tabla3[[#This Row],[Site]],Table35[],14,FALSE)</f>
        <v>-</v>
      </c>
      <c r="L449" s="32" t="str">
        <f>VLOOKUP(Tabla3[[#This Row],[Site]],Table35[#All],2,FALSE)</f>
        <v>21, 22, 24, 32, 45</v>
      </c>
      <c r="M449" s="32">
        <f>VLOOKUP(Tabla3[[#This Row],[Site]],Table35[#All],3,FALSE)</f>
        <v>1</v>
      </c>
      <c r="N449" s="32" t="str">
        <f>VLOOKUP(Tabla3[[#This Row],[Site]],Table35[#All],4,FALSE)</f>
        <v>-</v>
      </c>
      <c r="O449" s="32" t="str">
        <f>VLOOKUP(Tabla3[[#This Row],[Site]],Table35[#All],5,FALSE)</f>
        <v>1, 8</v>
      </c>
      <c r="P449" s="32" t="str">
        <f>VLOOKUP(Tabla3[[#This Row],[Site]],Table35[#All],6,FALSE)</f>
        <v>5, 28, 38</v>
      </c>
      <c r="Q449" s="32">
        <v>335</v>
      </c>
    </row>
    <row r="450" spans="1:17" hidden="1" x14ac:dyDescent="0.25">
      <c r="A450" t="str">
        <f>+Tabla3[[#This Row],[Site]]&amp;Tabla3[[#This Row],[Split]]</f>
        <v>(AS) Koons Falls Church Ford (NO TOURS)8</v>
      </c>
      <c r="B450">
        <v>8</v>
      </c>
      <c r="C450">
        <v>4</v>
      </c>
      <c r="D450" t="s">
        <v>388</v>
      </c>
      <c r="E450" t="str">
        <f>VLOOKUP(Tabla3[[#This Row],[Site]],Table35[],10,FALSE)</f>
        <v>9:00 P.M.</v>
      </c>
      <c r="F450" t="str">
        <f>VLOOKUP(Tabla3[[#This Row],[Site]],Table35[],11,FALSE)</f>
        <v>ET</v>
      </c>
      <c r="G450" t="str">
        <f>VLOOKUP(Tabla3[[#This Row],[Site]],Table35[],12,FALSE)</f>
        <v>5:00 A.M.</v>
      </c>
      <c r="H450" s="74" t="str">
        <f>HYPERLINK(VLOOKUP(Tabla3[[#This Row],[Site]],Table35[#All],9,FALSE))</f>
        <v>https://tools.sig.systems/site/details/345</v>
      </c>
      <c r="I450" t="str">
        <f>VLOOKUP(Tabla3[[#This Row],[Site]],Table35[],13,FALSE)</f>
        <v>-</v>
      </c>
      <c r="J450" t="str">
        <f>VLOOKUP(Tabla3[[#This Row],[Site]],Table35[],14,FALSE)</f>
        <v>10:00 A.M.</v>
      </c>
      <c r="L450" s="32" t="str">
        <f>VLOOKUP(Tabla3[[#This Row],[Site]],Table35[#All],2,FALSE)</f>
        <v>-</v>
      </c>
      <c r="M450" s="32">
        <f>VLOOKUP(Tabla3[[#This Row],[Site]],Table35[#All],3,FALSE)</f>
        <v>1</v>
      </c>
      <c r="N450" s="32" t="str">
        <f>VLOOKUP(Tabla3[[#This Row],[Site]],Table35[#All],4,FALSE)</f>
        <v>-</v>
      </c>
      <c r="O450" s="32" t="str">
        <f>VLOOKUP(Tabla3[[#This Row],[Site]],Table35[#All],5,FALSE)</f>
        <v>-</v>
      </c>
      <c r="P450" s="32" t="str">
        <f>VLOOKUP(Tabla3[[#This Row],[Site]],Table35[#All],6,FALSE)</f>
        <v>-</v>
      </c>
      <c r="Q450" s="32" t="str">
        <f>VLOOKUP(Tabla3[[#This Row],[Site]],Table35[#All],8,FALSE)</f>
        <v>345</v>
      </c>
    </row>
    <row r="451" spans="1:17" hidden="1" x14ac:dyDescent="0.25">
      <c r="A451" t="str">
        <f>+Tabla3[[#This Row],[Site]]&amp;Tabla3[[#This Row],[Split]]</f>
        <v>(LT) Luther North Country Ford8</v>
      </c>
      <c r="B451">
        <v>8</v>
      </c>
      <c r="C451">
        <v>4</v>
      </c>
      <c r="D451" t="s">
        <v>126</v>
      </c>
      <c r="E451" t="str">
        <f>VLOOKUP(Tabla3[[#This Row],[Site]],Table35[],10,FALSE)</f>
        <v>10:00 P.M.</v>
      </c>
      <c r="F451" t="str">
        <f>VLOOKUP(Tabla3[[#This Row],[Site]],Table35[],11,FALSE)</f>
        <v>CT</v>
      </c>
      <c r="G451" t="str">
        <f>VLOOKUP(Tabla3[[#This Row],[Site]],Table35[],12,FALSE)</f>
        <v>6:00 A.M.</v>
      </c>
      <c r="H451" s="74" t="str">
        <f>HYPERLINK(VLOOKUP(Tabla3[[#This Row],[Site]],Table35[#All],9,FALSE))</f>
        <v>https://tools.sig.systems/site/details/292</v>
      </c>
      <c r="I451">
        <f>VLOOKUP(Tabla3[[#This Row],[Site]],Table35[],13,FALSE)</f>
        <v>0</v>
      </c>
      <c r="J451" t="str">
        <f>VLOOKUP(Tabla3[[#This Row],[Site]],Table35[],14,FALSE)</f>
        <v>-</v>
      </c>
      <c r="L451" s="32" t="str">
        <f>VLOOKUP(Tabla3[[#This Row],[Site]],Table35[#All],2,FALSE)</f>
        <v>-</v>
      </c>
      <c r="M451" s="32" t="str">
        <f>VLOOKUP(Tabla3[[#This Row],[Site]],Table35[#All],3,FALSE)</f>
        <v>7, 14, 19</v>
      </c>
      <c r="N451" s="32" t="str">
        <f>VLOOKUP(Tabla3[[#This Row],[Site]],Table35[#All],4,FALSE)</f>
        <v>30, 31, 32</v>
      </c>
      <c r="O451" s="32" t="str">
        <f>VLOOKUP(Tabla3[[#This Row],[Site]],Table35[#All],5,FALSE)</f>
        <v>-</v>
      </c>
      <c r="P451" s="32" t="str">
        <f>VLOOKUP(Tabla3[[#This Row],[Site]],Table35[#All],6,FALSE)</f>
        <v>1, 4, 9, 13, 15, 16B, 25</v>
      </c>
      <c r="Q451" s="32" t="str">
        <f>VLOOKUP(Tabla3[[#This Row],[Site]],Table35[#All],8,FALSE)</f>
        <v>292</v>
      </c>
    </row>
    <row r="452" spans="1:17" hidden="1" x14ac:dyDescent="0.25">
      <c r="A452" t="str">
        <f>+Tabla3[[#This Row],[Site]]&amp;Tabla3[[#This Row],[Split]]</f>
        <v>(PE) JLR Paramus (NO TOURS)8</v>
      </c>
      <c r="B452">
        <v>8</v>
      </c>
      <c r="C452">
        <v>4</v>
      </c>
      <c r="D452" t="s">
        <v>210</v>
      </c>
      <c r="E452" t="str">
        <f>VLOOKUP(Tabla3[[#This Row],[Site]],Table35[],10,FALSE)</f>
        <v>8:00 P.M.</v>
      </c>
      <c r="F452" t="str">
        <f>VLOOKUP(Tabla3[[#This Row],[Site]],Table35[],11,FALSE)</f>
        <v>ET</v>
      </c>
      <c r="G452" t="str">
        <f>VLOOKUP(Tabla3[[#This Row],[Site]],Table35[],12,FALSE)</f>
        <v>5:00 A.M.</v>
      </c>
      <c r="H452" s="74" t="str">
        <f>HYPERLINK(VLOOKUP(Tabla3[[#This Row],[Site]],Table35[#All],9,FALSE))</f>
        <v>https://tools.sig.systems/site/details/177</v>
      </c>
      <c r="I452">
        <f>VLOOKUP(Tabla3[[#This Row],[Site]],Table35[],13,FALSE)</f>
        <v>0</v>
      </c>
      <c r="J452" t="str">
        <f>VLOOKUP(Tabla3[[#This Row],[Site]],Table35[],14,FALSE)</f>
        <v>-</v>
      </c>
      <c r="L452" s="32" t="str">
        <f>VLOOKUP(Tabla3[[#This Row],[Site]],Table35[#All],2,FALSE)</f>
        <v>1, 17</v>
      </c>
      <c r="M452" s="32" t="str">
        <f>VLOOKUP(Tabla3[[#This Row],[Site]],Table35[#All],3,FALSE)</f>
        <v>-</v>
      </c>
      <c r="N452" s="32" t="str">
        <f>VLOOKUP(Tabla3[[#This Row],[Site]],Table35[#All],4,FALSE)</f>
        <v>-</v>
      </c>
      <c r="O452" s="32" t="str">
        <f>VLOOKUP(Tabla3[[#This Row],[Site]],Table35[#All],5,FALSE)</f>
        <v>-</v>
      </c>
      <c r="P452" s="32" t="str">
        <f>VLOOKUP(Tabla3[[#This Row],[Site]],Table35[#All],6,FALSE)</f>
        <v>1, 17</v>
      </c>
      <c r="Q452" s="32" t="str">
        <f>VLOOKUP(Tabla3[[#This Row],[Site]],Table35[#All],8,FALSE)</f>
        <v>177</v>
      </c>
    </row>
    <row r="453" spans="1:17" hidden="1" x14ac:dyDescent="0.25">
      <c r="A453" t="str">
        <f>+Tabla3[[#This Row],[Site]]&amp;Tabla3[[#This Row],[Split]]</f>
        <v>(AS) Hare Chevrolet (NO TOURS)8</v>
      </c>
      <c r="B453">
        <v>8</v>
      </c>
      <c r="C453">
        <v>5</v>
      </c>
      <c r="D453" t="s">
        <v>376</v>
      </c>
      <c r="E453" t="str">
        <f>VLOOKUP(Tabla3[[#This Row],[Site]],Table35[],10,FALSE)</f>
        <v>9:00 P.M.</v>
      </c>
      <c r="F453" t="str">
        <f>VLOOKUP(Tabla3[[#This Row],[Site]],Table35[],11,FALSE)</f>
        <v>ET</v>
      </c>
      <c r="G453" t="str">
        <f>VLOOKUP(Tabla3[[#This Row],[Site]],Table35[],12,FALSE)</f>
        <v>5:00 A.M.</v>
      </c>
      <c r="H453" s="74" t="str">
        <f>HYPERLINK(VLOOKUP(Tabla3[[#This Row],[Site]],Table35[#All],9,FALSE))</f>
        <v>https://tools.sig.systems/site/details/301</v>
      </c>
      <c r="I453" t="str">
        <f>VLOOKUP(Tabla3[[#This Row],[Site]],Table35[],13,FALSE)</f>
        <v>https://www.google.com/maps/d/edit?mid=1hsX5GGrNcCQgAuzDCDz1OWgEkhsAc78&amp;usp=sharing</v>
      </c>
      <c r="J453" t="str">
        <f>VLOOKUP(Tabla3[[#This Row],[Site]],Table35[],14,FALSE)</f>
        <v>-</v>
      </c>
      <c r="L453" s="32" t="str">
        <f>VLOOKUP(Tabla3[[#This Row],[Site]],Table35[#All],2,FALSE)</f>
        <v>18, 24</v>
      </c>
      <c r="M453" s="32" t="str">
        <f>VLOOKUP(Tabla3[[#This Row],[Site]],Table35[#All],3,FALSE)</f>
        <v>2, 3</v>
      </c>
      <c r="N453" s="32" t="str">
        <f>VLOOKUP(Tabla3[[#This Row],[Site]],Table35[#All],4,FALSE)</f>
        <v>-</v>
      </c>
      <c r="O453" s="32">
        <f>VLOOKUP(Tabla3[[#This Row],[Site]],Table35[#All],5,FALSE)</f>
        <v>5</v>
      </c>
      <c r="P453" s="32" t="str">
        <f>VLOOKUP(Tabla3[[#This Row],[Site]],Table35[#All],6,FALSE)</f>
        <v>1, 5, 7, 8, 21, 29</v>
      </c>
      <c r="Q453" s="32" t="str">
        <f>VLOOKUP(Tabla3[[#This Row],[Site]],Table35[#All],8,FALSE)</f>
        <v>301</v>
      </c>
    </row>
    <row r="454" spans="1:17" hidden="1" x14ac:dyDescent="0.25">
      <c r="A454" t="str">
        <f>+Tabla3[[#This Row],[Site]]&amp;Tabla3[[#This Row],[Split]]</f>
        <v>(BRL) Shoemakersville8</v>
      </c>
      <c r="B454">
        <v>8</v>
      </c>
      <c r="C454">
        <v>5</v>
      </c>
      <c r="D454" t="s">
        <v>119</v>
      </c>
      <c r="E454" t="str">
        <f>VLOOKUP(Tabla3[[#This Row],[Site]],Table35[],10,FALSE)</f>
        <v>24H</v>
      </c>
      <c r="F454" t="str">
        <f>VLOOKUP(Tabla3[[#This Row],[Site]],Table35[],11,FALSE)</f>
        <v>ET</v>
      </c>
      <c r="G454" t="str">
        <f>VLOOKUP(Tabla3[[#This Row],[Site]],Table35[],12,FALSE)</f>
        <v>-</v>
      </c>
      <c r="H454" s="74" t="str">
        <f>HYPERLINK(VLOOKUP(Tabla3[[#This Row],[Site]],Table35[#All],9,FALSE))</f>
        <v>https://tools.sig.systems/site/details/302</v>
      </c>
      <c r="I454">
        <f>VLOOKUP(Tabla3[[#This Row],[Site]],Table35[],13,FALSE)</f>
        <v>0</v>
      </c>
      <c r="J454" t="str">
        <f>VLOOKUP(Tabla3[[#This Row],[Site]],Table35[],14,FALSE)</f>
        <v>-</v>
      </c>
      <c r="L454" s="32" t="str">
        <f>VLOOKUP(Tabla3[[#This Row],[Site]],Table35[#All],2,FALSE)</f>
        <v>-</v>
      </c>
      <c r="M454" s="32" t="str">
        <f>VLOOKUP(Tabla3[[#This Row],[Site]],Table35[#All],3,FALSE)</f>
        <v>8, 11</v>
      </c>
      <c r="N454" s="32" t="str">
        <f>VLOOKUP(Tabla3[[#This Row],[Site]],Table35[#All],4,FALSE)</f>
        <v>-</v>
      </c>
      <c r="O454" s="32" t="str">
        <f>VLOOKUP(Tabla3[[#This Row],[Site]],Table35[#All],5,FALSE)</f>
        <v>1, 6, 13A, 15, 18A</v>
      </c>
      <c r="P454" s="32" t="str">
        <f>VLOOKUP(Tabla3[[#This Row],[Site]],Table35[#All],6,FALSE)</f>
        <v>13B, 23</v>
      </c>
      <c r="Q454" s="32" t="str">
        <f>VLOOKUP(Tabla3[[#This Row],[Site]],Table35[#All],8,FALSE)</f>
        <v>302</v>
      </c>
    </row>
    <row r="455" spans="1:17" x14ac:dyDescent="0.25">
      <c r="A455" t="str">
        <f>+Tabla3[[#This Row],[Site]]&amp;Tabla3[[#This Row],[Split]]</f>
        <v>(LT) Luther Bloomington Hyundai (NO TOURS)8</v>
      </c>
      <c r="B455">
        <v>8</v>
      </c>
      <c r="C455">
        <v>5</v>
      </c>
      <c r="D455" t="s">
        <v>455</v>
      </c>
      <c r="E455" t="str">
        <f>VLOOKUP(Tabla3[[#This Row],[Site]],Table35[],10,FALSE)</f>
        <v>10:00 P.M.</v>
      </c>
      <c r="F455" t="str">
        <f>VLOOKUP(Tabla3[[#This Row],[Site]],Table35[],11,FALSE)</f>
        <v>CT</v>
      </c>
      <c r="G455" t="str">
        <f>VLOOKUP(Tabla3[[#This Row],[Site]],Table35[],12,FALSE)</f>
        <v>6:00 A.M.</v>
      </c>
      <c r="H455" s="74" t="str">
        <f>HYPERLINK(VLOOKUP(Tabla3[[#This Row],[Site]],Table35[#All],9,FALSE))</f>
        <v>https://tools.sig.systems/site/details/318</v>
      </c>
      <c r="I455">
        <f>VLOOKUP(Tabla3[[#This Row],[Site]],Table35[],13,FALSE)</f>
        <v>0</v>
      </c>
      <c r="J455" t="str">
        <f>VLOOKUP(Tabla3[[#This Row],[Site]],Table35[],14,FALSE)</f>
        <v>-</v>
      </c>
      <c r="L455" s="32" t="str">
        <f>VLOOKUP(Tabla3[[#This Row],[Site]],Table35[#All],2,FALSE)</f>
        <v>-</v>
      </c>
      <c r="M455" s="32" t="str">
        <f>VLOOKUP(Tabla3[[#This Row],[Site]],Table35[#All],3,FALSE)</f>
        <v>6, 9, 13</v>
      </c>
      <c r="N455" s="32" t="str">
        <f>VLOOKUP(Tabla3[[#This Row],[Site]],Table35[#All],4,FALSE)</f>
        <v>58, 59</v>
      </c>
      <c r="O455" s="32">
        <f>VLOOKUP(Tabla3[[#This Row],[Site]],Table35[#All],5,FALSE)</f>
        <v>10</v>
      </c>
      <c r="P455" s="32" t="str">
        <f>VLOOKUP(Tabla3[[#This Row],[Site]],Table35[#All],6,FALSE)</f>
        <v>11, 18</v>
      </c>
      <c r="Q455" s="32" t="str">
        <f>VLOOKUP(Tabla3[[#This Row],[Site]],Table35[#All],8,FALSE)</f>
        <v>318</v>
      </c>
    </row>
    <row r="456" spans="1:17" hidden="1" x14ac:dyDescent="0.25">
      <c r="A456" t="str">
        <f>+Tabla3[[#This Row],[Site]]&amp;Tabla3[[#This Row],[Split]]</f>
        <v>(LT) Luther Landers Recon Center8</v>
      </c>
      <c r="B456">
        <v>8</v>
      </c>
      <c r="C456">
        <v>5</v>
      </c>
      <c r="D456" t="s">
        <v>253</v>
      </c>
      <c r="E456" t="str">
        <f>VLOOKUP(Tabla3[[#This Row],[Site]],Table35[],10,FALSE)</f>
        <v>10:00 P.M.</v>
      </c>
      <c r="F456" t="str">
        <f>VLOOKUP(Tabla3[[#This Row],[Site]],Table35[],11,FALSE)</f>
        <v>CT</v>
      </c>
      <c r="G456" t="str">
        <f>VLOOKUP(Tabla3[[#This Row],[Site]],Table35[],12,FALSE)</f>
        <v>6:00 A.M.</v>
      </c>
      <c r="H456" s="74" t="str">
        <f>HYPERLINK(VLOOKUP(Tabla3[[#This Row],[Site]],Table35[#All],9,FALSE))</f>
        <v>https://tools.sig.systems/site/details/323</v>
      </c>
      <c r="I456" t="str">
        <f>VLOOKUP(Tabla3[[#This Row],[Site]],Table35[],13,FALSE)</f>
        <v>https://www.google.com/maps/d/u/1/edit?mid=1-zEzsc6U6nZom08edp0XAd3_HYFvAyk&amp;usp=sharing</v>
      </c>
      <c r="J456" t="str">
        <f>VLOOKUP(Tabla3[[#This Row],[Site]],Table35[],14,FALSE)</f>
        <v>-</v>
      </c>
      <c r="L456" s="32" t="str">
        <f>VLOOKUP(Tabla3[[#This Row],[Site]],Table35[#All],2,FALSE)</f>
        <v>2, 4</v>
      </c>
      <c r="M456" s="32" t="str">
        <f>VLOOKUP(Tabla3[[#This Row],[Site]],Table35[#All],3,FALSE)</f>
        <v>-</v>
      </c>
      <c r="N456" s="32" t="str">
        <f>VLOOKUP(Tabla3[[#This Row],[Site]],Table35[#All],4,FALSE)</f>
        <v>-</v>
      </c>
      <c r="O456" s="32" t="str">
        <f>VLOOKUP(Tabla3[[#This Row],[Site]],Table35[#All],5,FALSE)</f>
        <v>-</v>
      </c>
      <c r="P456" s="32" t="str">
        <f>VLOOKUP(Tabla3[[#This Row],[Site]],Table35[#All],6,FALSE)</f>
        <v>3, 9, 11</v>
      </c>
      <c r="Q456" s="32" t="str">
        <f>VLOOKUP(Tabla3[[#This Row],[Site]],Table35[#All],8,FALSE)</f>
        <v>323</v>
      </c>
    </row>
    <row r="457" spans="1:17" hidden="1" x14ac:dyDescent="0.25">
      <c r="A457" t="str">
        <f>+Tabla3[[#This Row],[Site]]&amp;Tabla3[[#This Row],[Split]]</f>
        <v>(SCH) Schumacher of Delray I &amp; III8</v>
      </c>
      <c r="B457">
        <v>8</v>
      </c>
      <c r="C457">
        <v>5</v>
      </c>
      <c r="D457" t="s">
        <v>387</v>
      </c>
      <c r="E457" t="str">
        <f>VLOOKUP(Tabla3[[#This Row],[Site]],Table35[],10,FALSE)</f>
        <v>9:00 P.M.</v>
      </c>
      <c r="F457" t="str">
        <f>VLOOKUP(Tabla3[[#This Row],[Site]],Table35[],11,FALSE)</f>
        <v>ET</v>
      </c>
      <c r="G457" t="str">
        <f>VLOOKUP(Tabla3[[#This Row],[Site]],Table35[],12,FALSE)</f>
        <v>5:00 A.M.</v>
      </c>
      <c r="H457" s="74" t="str">
        <f>HYPERLINK(VLOOKUP(Tabla3[[#This Row],[Site]],Table35[#All],9,FALSE))</f>
        <v>https://tools.sig.systems/site/details/159</v>
      </c>
      <c r="I457" t="str">
        <f>VLOOKUP(Tabla3[[#This Row],[Site]],Table35[],13,FALSE)</f>
        <v>https://www.google.com/maps/d/viewer?mid=1ZLGV-cDM9aCfovhmXHIAXgVOKts0dEI&amp;ll=26.438859950088858%2C-80.07968125000001&amp;z=16</v>
      </c>
      <c r="J457" t="str">
        <f>VLOOKUP(Tabla3[[#This Row],[Site]],Table35[],14,FALSE)</f>
        <v>11:00 A.M.</v>
      </c>
      <c r="L457" s="32" t="str">
        <f>VLOOKUP(Tabla3[[#This Row],[Site]],Table35[#All],2,FALSE)</f>
        <v>11, 21, 22, 57, 69</v>
      </c>
      <c r="M457" s="32" t="str">
        <f>VLOOKUP(Tabla3[[#This Row],[Site]],Table35[#All],3,FALSE)</f>
        <v>2, 16, 46</v>
      </c>
      <c r="N457" s="32" t="str">
        <f>VLOOKUP(Tabla3[[#This Row],[Site]],Table35[#All],4,FALSE)</f>
        <v>-</v>
      </c>
      <c r="O457" s="32" t="str">
        <f>VLOOKUP(Tabla3[[#This Row],[Site]],Table35[#All],5,FALSE)</f>
        <v>-</v>
      </c>
      <c r="P457" s="32" t="str">
        <f>VLOOKUP(Tabla3[[#This Row],[Site]],Table35[#All],6,FALSE)</f>
        <v>24, 39</v>
      </c>
      <c r="Q457" s="32" t="str">
        <f>VLOOKUP(Tabla3[[#This Row],[Site]],Table35[#All],8,FALSE)</f>
        <v>159</v>
      </c>
    </row>
    <row r="458" spans="1:17" hidden="1" x14ac:dyDescent="0.25">
      <c r="A458" t="str">
        <f>+Tabla3[[#This Row],[Site]]&amp;Tabla3[[#This Row],[Split]]</f>
        <v>(AS) Hare Truck Center (NO TOURS)8</v>
      </c>
      <c r="B458">
        <v>8</v>
      </c>
      <c r="C458">
        <v>6</v>
      </c>
      <c r="D458" t="s">
        <v>377</v>
      </c>
      <c r="E458" t="str">
        <f>VLOOKUP(Tabla3[[#This Row],[Site]],Table35[],10,FALSE)</f>
        <v>9:00 P.M.</v>
      </c>
      <c r="F458" t="str">
        <f>VLOOKUP(Tabla3[[#This Row],[Site]],Table35[],11,FALSE)</f>
        <v>ET</v>
      </c>
      <c r="G458" t="str">
        <f>VLOOKUP(Tabla3[[#This Row],[Site]],Table35[],12,FALSE)</f>
        <v>5:00 A.M.</v>
      </c>
      <c r="H458" s="74" t="str">
        <f>HYPERLINK(VLOOKUP(Tabla3[[#This Row],[Site]],Table35[#All],9,FALSE))</f>
        <v>https://tools.sig.systems/site/details/300</v>
      </c>
      <c r="I458" t="str">
        <f>VLOOKUP(Tabla3[[#This Row],[Site]],Table35[],13,FALSE)</f>
        <v>https://www.google.com/maps/d/edit?mid=1hsX5GGrNcCQgAuzDCDz1OWgEkhsAc78&amp;usp=sharing</v>
      </c>
      <c r="J458" t="str">
        <f>VLOOKUP(Tabla3[[#This Row],[Site]],Table35[],14,FALSE)</f>
        <v>-</v>
      </c>
      <c r="L458" s="32" t="str">
        <f>VLOOKUP(Tabla3[[#This Row],[Site]],Table35[#All],2,FALSE)</f>
        <v>-</v>
      </c>
      <c r="M458" s="32" t="str">
        <f>VLOOKUP(Tabla3[[#This Row],[Site]],Table35[#All],3,FALSE)</f>
        <v>1, 5</v>
      </c>
      <c r="N458" s="32" t="str">
        <f>VLOOKUP(Tabla3[[#This Row],[Site]],Table35[#All],4,FALSE)</f>
        <v>-</v>
      </c>
      <c r="O458" s="32" t="str">
        <f>VLOOKUP(Tabla3[[#This Row],[Site]],Table35[#All],5,FALSE)</f>
        <v>-</v>
      </c>
      <c r="P458" s="32" t="str">
        <f>VLOOKUP(Tabla3[[#This Row],[Site]],Table35[#All],6,FALSE)</f>
        <v xml:space="preserve">2, 6, 10, 12, 17 </v>
      </c>
      <c r="Q458" s="32" t="str">
        <f>VLOOKUP(Tabla3[[#This Row],[Site]],Table35[#All],8,FALSE)</f>
        <v>300</v>
      </c>
    </row>
    <row r="459" spans="1:17" hidden="1" x14ac:dyDescent="0.25">
      <c r="A459" t="str">
        <f>+Tabla3[[#This Row],[Site]]&amp;Tabla3[[#This Row],[Split]]</f>
        <v>(AS) Koons Woodbridge Hyundai (NO TOURS)8</v>
      </c>
      <c r="B459">
        <v>8</v>
      </c>
      <c r="C459">
        <v>6</v>
      </c>
      <c r="D459" t="s">
        <v>406</v>
      </c>
      <c r="E459" t="str">
        <f>VLOOKUP(Tabla3[[#This Row],[Site]],Table35[],10,FALSE)</f>
        <v>9:00 P.M.</v>
      </c>
      <c r="F459" t="str">
        <f>VLOOKUP(Tabla3[[#This Row],[Site]],Table35[],11,FALSE)</f>
        <v>ET</v>
      </c>
      <c r="G459" t="str">
        <f>VLOOKUP(Tabla3[[#This Row],[Site]],Table35[],12,FALSE)</f>
        <v>5:00 A.M.</v>
      </c>
      <c r="H459" s="74" t="str">
        <f>HYPERLINK(VLOOKUP(Tabla3[[#This Row],[Site]],Table35[#All],9,FALSE))</f>
        <v>https://tools.sig.systems/site/details/347</v>
      </c>
      <c r="I459" t="str">
        <f>VLOOKUP(Tabla3[[#This Row],[Site]],Table35[],13,FALSE)</f>
        <v>-</v>
      </c>
      <c r="J459" t="str">
        <f>VLOOKUP(Tabla3[[#This Row],[Site]],Table35[],14,FALSE)</f>
        <v>8:00 A.M.</v>
      </c>
      <c r="L459" s="32" t="str">
        <f>VLOOKUP(Tabla3[[#This Row],[Site]],Table35[#All],2,FALSE)</f>
        <v>-</v>
      </c>
      <c r="M459" s="32" t="str">
        <f>VLOOKUP(Tabla3[[#This Row],[Site]],Table35[#All],3,FALSE)</f>
        <v>1, 17</v>
      </c>
      <c r="N459" s="32" t="str">
        <f>VLOOKUP(Tabla3[[#This Row],[Site]],Table35[#All],4,FALSE)</f>
        <v>-</v>
      </c>
      <c r="O459" s="32" t="str">
        <f>VLOOKUP(Tabla3[[#This Row],[Site]],Table35[#All],5,FALSE)</f>
        <v>-</v>
      </c>
      <c r="P459" s="32" t="str">
        <f>VLOOKUP(Tabla3[[#This Row],[Site]],Table35[#All],6,FALSE)</f>
        <v>4, 14, 22</v>
      </c>
      <c r="Q459" s="32" t="str">
        <f>VLOOKUP(Tabla3[[#This Row],[Site]],Table35[#All],8,FALSE)</f>
        <v>347</v>
      </c>
    </row>
    <row r="460" spans="1:17" hidden="1" x14ac:dyDescent="0.25">
      <c r="A460" t="str">
        <f>+Tabla3[[#This Row],[Site]]&amp;Tabla3[[#This Row],[Split]]</f>
        <v>(KG) Big Star Hyundai Houston8</v>
      </c>
      <c r="B460">
        <v>8</v>
      </c>
      <c r="C460">
        <v>6</v>
      </c>
      <c r="D460" t="s">
        <v>128</v>
      </c>
      <c r="E460" t="str">
        <f>VLOOKUP(Tabla3[[#This Row],[Site]],Table35[],10,FALSE)</f>
        <v>10:00 P.M.</v>
      </c>
      <c r="F460" t="str">
        <f>VLOOKUP(Tabla3[[#This Row],[Site]],Table35[],11,FALSE)</f>
        <v>CT</v>
      </c>
      <c r="G460" t="str">
        <f>VLOOKUP(Tabla3[[#This Row],[Site]],Table35[],12,FALSE)</f>
        <v>6:00 A.M.</v>
      </c>
      <c r="H460" s="74" t="str">
        <f>HYPERLINK(VLOOKUP(Tabla3[[#This Row],[Site]],Table35[#All],9,FALSE))</f>
        <v>https://tools.sig.systems/site/details/287</v>
      </c>
      <c r="I460" t="str">
        <f>VLOOKUP(Tabla3[[#This Row],[Site]],Table35[],13,FALSE)</f>
        <v>https://www.google.com/maps/d/edit?hl=en&amp;mid=1jIRkMUnWNPuTgDjQgDP-f33LClT85NU&amp;ll=29.55731827236326%2C-95.1601644&amp;z=17</v>
      </c>
      <c r="J460" t="str">
        <f>VLOOKUP(Tabla3[[#This Row],[Site]],Table35[],14,FALSE)</f>
        <v>-</v>
      </c>
      <c r="L460" s="32" t="s">
        <v>198</v>
      </c>
      <c r="M460" s="32" t="s">
        <v>199</v>
      </c>
      <c r="N460" s="32" t="s">
        <v>96</v>
      </c>
      <c r="O460" s="32" t="s">
        <v>200</v>
      </c>
      <c r="P460" s="32" t="s">
        <v>201</v>
      </c>
      <c r="Q460" s="32" t="s">
        <v>296</v>
      </c>
    </row>
    <row r="461" spans="1:17" hidden="1" x14ac:dyDescent="0.25">
      <c r="A461" t="str">
        <f>+Tabla3[[#This Row],[Site]]&amp;Tabla3[[#This Row],[Split]]</f>
        <v>(KG) Ken Garff Volkswagen of Gilbert8</v>
      </c>
      <c r="B461">
        <v>8</v>
      </c>
      <c r="C461">
        <v>6</v>
      </c>
      <c r="D461" t="s">
        <v>129</v>
      </c>
      <c r="E461" t="str">
        <f>VLOOKUP(Tabla3[[#This Row],[Site]],Table35[],10,FALSE)</f>
        <v>12:00 A.M.</v>
      </c>
      <c r="F461" t="str">
        <f>VLOOKUP(Tabla3[[#This Row],[Site]],Table35[],11,FALSE)</f>
        <v>MST</v>
      </c>
      <c r="G461" t="str">
        <f>VLOOKUP(Tabla3[[#This Row],[Site]],Table35[],12,FALSE)</f>
        <v>8:00 A.M.</v>
      </c>
      <c r="H461" s="74" t="str">
        <f>HYPERLINK(VLOOKUP(Tabla3[[#This Row],[Site]],Table35[#All],9,FALSE))</f>
        <v>https://tools.sig.systems/site/details/284</v>
      </c>
      <c r="I461" t="str">
        <f>VLOOKUP(Tabla3[[#This Row],[Site]],Table35[],13,FALSE)</f>
        <v>https://www.google.com/maps/d/viewer?hl=es&amp;mid=19SU7XE9Cg8jhVFpEI21Vi9Zfgdih9Ds&amp;ll=33.29158262977276%2C-111.75783630000002&amp;z=17</v>
      </c>
      <c r="J461" t="str">
        <f>VLOOKUP(Tabla3[[#This Row],[Site]],Table35[],14,FALSE)</f>
        <v>12:00 P.M.</v>
      </c>
      <c r="L461" s="32" t="str">
        <f>VLOOKUP(Tabla3[[#This Row],[Site]],Table35[#All],2,FALSE)</f>
        <v>4, 6</v>
      </c>
      <c r="M461" s="32" t="str">
        <f>VLOOKUP(Tabla3[[#This Row],[Site]],Table35[#All],3,FALSE)</f>
        <v>-</v>
      </c>
      <c r="N461" s="32" t="str">
        <f>VLOOKUP(Tabla3[[#This Row],[Site]],Table35[#All],4,FALSE)</f>
        <v>-</v>
      </c>
      <c r="O461" s="32" t="str">
        <f>VLOOKUP(Tabla3[[#This Row],[Site]],Table35[#All],5,FALSE)</f>
        <v>2, 14</v>
      </c>
      <c r="P461" s="32" t="str">
        <f>VLOOKUP(Tabla3[[#This Row],[Site]],Table35[#All],6,FALSE)</f>
        <v>1, 5, 8, 9, 17, 19, 21</v>
      </c>
      <c r="Q461" s="32" t="str">
        <f>VLOOKUP(Tabla3[[#This Row],[Site]],Table35[#All],8,FALSE)</f>
        <v>284</v>
      </c>
    </row>
    <row r="462" spans="1:17" hidden="1" x14ac:dyDescent="0.25">
      <c r="A462" t="str">
        <f>+Tabla3[[#This Row],[Site]]&amp;Tabla3[[#This Row],[Split]]</f>
        <v>(LT) Luther Bloomington Subaru - Acura8</v>
      </c>
      <c r="B462">
        <v>8</v>
      </c>
      <c r="C462">
        <v>6</v>
      </c>
      <c r="D462" t="s">
        <v>123</v>
      </c>
      <c r="E462" t="str">
        <f>VLOOKUP(Tabla3[[#This Row],[Site]],Table35[],10,FALSE)</f>
        <v>9:30 P.M.</v>
      </c>
      <c r="F462" t="str">
        <f>VLOOKUP(Tabla3[[#This Row],[Site]],Table35[],11,FALSE)</f>
        <v>CT</v>
      </c>
      <c r="G462" t="str">
        <f>VLOOKUP(Tabla3[[#This Row],[Site]],Table35[],12,FALSE)</f>
        <v>4:00 A.M.</v>
      </c>
      <c r="H462" s="74" t="str">
        <f>HYPERLINK(VLOOKUP(Tabla3[[#This Row],[Site]],Table35[#All],9,FALSE))</f>
        <v>https://tools.sig.systems/site/details/289</v>
      </c>
      <c r="I462">
        <f>VLOOKUP(Tabla3[[#This Row],[Site]],Table35[],13,FALSE)</f>
        <v>0</v>
      </c>
      <c r="J462" t="str">
        <f>VLOOKUP(Tabla3[[#This Row],[Site]],Table35[],14,FALSE)</f>
        <v>-</v>
      </c>
      <c r="L462" s="32">
        <f>VLOOKUP(Tabla3[[#This Row],[Site]],Table35[#All],2,FALSE)</f>
        <v>29</v>
      </c>
      <c r="M462" s="32" t="str">
        <f>VLOOKUP(Tabla3[[#This Row],[Site]],Table35[#All],3,FALSE)</f>
        <v>5, 8, 33</v>
      </c>
      <c r="N462" s="32" t="str">
        <f>VLOOKUP(Tabla3[[#This Row],[Site]],Table35[#All],4,FALSE)</f>
        <v>4, 7, 35</v>
      </c>
      <c r="O462" s="32" t="str">
        <f>VLOOKUP(Tabla3[[#This Row],[Site]],Table35[#All],5,FALSE)</f>
        <v>-</v>
      </c>
      <c r="P462" s="32" t="str">
        <f>VLOOKUP(Tabla3[[#This Row],[Site]],Table35[#All],6,FALSE)</f>
        <v xml:space="preserve">1, 2, 14, 24, 34  </v>
      </c>
      <c r="Q462" s="32" t="str">
        <f>VLOOKUP(Tabla3[[#This Row],[Site]],Table35[#All],8,FALSE)</f>
        <v>289</v>
      </c>
    </row>
    <row r="463" spans="1:17" hidden="1" x14ac:dyDescent="0.25">
      <c r="A463" t="str">
        <f>+Tabla3[[#This Row],[Site]]&amp;Tabla3[[#This Row],[Split]]</f>
        <v>(LT) Luther St. Cloud Subaru8</v>
      </c>
      <c r="B463">
        <v>8</v>
      </c>
      <c r="C463">
        <v>6</v>
      </c>
      <c r="D463" t="s">
        <v>127</v>
      </c>
      <c r="E463" t="str">
        <f>VLOOKUP(Tabla3[[#This Row],[Site]],Table35[],10,FALSE)</f>
        <v>10:00 P.M.</v>
      </c>
      <c r="F463" t="str">
        <f>VLOOKUP(Tabla3[[#This Row],[Site]],Table35[],11,FALSE)</f>
        <v>CT</v>
      </c>
      <c r="G463" t="str">
        <f>VLOOKUP(Tabla3[[#This Row],[Site]],Table35[],12,FALSE)</f>
        <v>5:30 A.M.</v>
      </c>
      <c r="H463" s="74" t="str">
        <f>HYPERLINK(VLOOKUP(Tabla3[[#This Row],[Site]],Table35[#All],9,FALSE))</f>
        <v>https://tools.sig.systems/site/details/295</v>
      </c>
      <c r="I463">
        <f>VLOOKUP(Tabla3[[#This Row],[Site]],Table35[],13,FALSE)</f>
        <v>0</v>
      </c>
      <c r="J463" t="str">
        <f>VLOOKUP(Tabla3[[#This Row],[Site]],Table35[],14,FALSE)</f>
        <v>-</v>
      </c>
      <c r="L463" s="32" t="str">
        <f>VLOOKUP(Tabla3[[#This Row],[Site]],Table35[#All],2,FALSE)</f>
        <v>25, 31</v>
      </c>
      <c r="M463" s="32" t="str">
        <f>VLOOKUP(Tabla3[[#This Row],[Site]],Table35[#All],3,FALSE)</f>
        <v>9, 13, 20</v>
      </c>
      <c r="N463" s="32" t="str">
        <f>VLOOKUP(Tabla3[[#This Row],[Site]],Table35[#All],4,FALSE)</f>
        <v>38, 39, 40, 41</v>
      </c>
      <c r="O463" s="32">
        <f>VLOOKUP(Tabla3[[#This Row],[Site]],Table35[#All],5,FALSE)</f>
        <v>27</v>
      </c>
      <c r="P463" s="32" t="str">
        <f>VLOOKUP(Tabla3[[#This Row],[Site]],Table35[#All],6,FALSE)</f>
        <v>2, 6, 8, 11, 14, 19, 23, 26</v>
      </c>
      <c r="Q463" s="32" t="str">
        <f>VLOOKUP(Tabla3[[#This Row],[Site]],Table35[#All],8,FALSE)</f>
        <v>295</v>
      </c>
    </row>
    <row r="464" spans="1:17" hidden="1" x14ac:dyDescent="0.25">
      <c r="A464" t="str">
        <f>+Tabla3[[#This Row],[Site]]&amp;Tabla3[[#This Row],[Split]]</f>
        <v>(PE) Porsche Audi Fairfield (NO TOURS)8</v>
      </c>
      <c r="B464">
        <v>8</v>
      </c>
      <c r="C464">
        <v>6</v>
      </c>
      <c r="D464" t="s">
        <v>362</v>
      </c>
      <c r="E464" t="str">
        <f>VLOOKUP(Tabla3[[#This Row],[Site]],Table35[],10,FALSE)</f>
        <v>8:00 P.M.</v>
      </c>
      <c r="F464" t="str">
        <f>VLOOKUP(Tabla3[[#This Row],[Site]],Table35[],11,FALSE)</f>
        <v>ET</v>
      </c>
      <c r="G464" t="str">
        <f>VLOOKUP(Tabla3[[#This Row],[Site]],Table35[],12,FALSE)</f>
        <v>5:00 A.M.</v>
      </c>
      <c r="H464" s="74" t="str">
        <f>HYPERLINK(VLOOKUP(Tabla3[[#This Row],[Site]],Table35[#All],9,FALSE))</f>
        <v>https://tools.sig.systems/site/details/194</v>
      </c>
      <c r="I464">
        <f>VLOOKUP(Tabla3[[#This Row],[Site]],Table35[],13,FALSE)</f>
        <v>0</v>
      </c>
      <c r="J464" t="str">
        <f>VLOOKUP(Tabla3[[#This Row],[Site]],Table35[],14,FALSE)</f>
        <v>-</v>
      </c>
      <c r="L464" s="32" t="str">
        <f>VLOOKUP(Tabla3[[#This Row],[Site]],Table35[#All],2,FALSE)</f>
        <v>1, 18</v>
      </c>
      <c r="M464" s="32" t="str">
        <f>VLOOKUP(Tabla3[[#This Row],[Site]],Table35[#All],3,FALSE)</f>
        <v>-</v>
      </c>
      <c r="N464" s="32" t="str">
        <f>VLOOKUP(Tabla3[[#This Row],[Site]],Table35[#All],4,FALSE)</f>
        <v>-</v>
      </c>
      <c r="O464" s="32">
        <f>VLOOKUP(Tabla3[[#This Row],[Site]],Table35[#All],5,FALSE)</f>
        <v>20</v>
      </c>
      <c r="P464" s="32">
        <f>VLOOKUP(Tabla3[[#This Row],[Site]],Table35[#All],6,FALSE)</f>
        <v>15</v>
      </c>
      <c r="Q464" s="32" t="str">
        <f>VLOOKUP(Tabla3[[#This Row],[Site]],Table35[#All],8,FALSE)</f>
        <v>194</v>
      </c>
    </row>
    <row r="465" spans="1:17" hidden="1" x14ac:dyDescent="0.25">
      <c r="A465" t="str">
        <f>+Tabla3[[#This Row],[Site]]&amp;Tabla3[[#This Row],[Split]]</f>
        <v>(TC) Lamborghini South Dade8</v>
      </c>
      <c r="B465">
        <v>8</v>
      </c>
      <c r="C465">
        <v>6</v>
      </c>
      <c r="D465" t="s">
        <v>234</v>
      </c>
      <c r="E465" t="str">
        <f>VLOOKUP(Tabla3[[#This Row],[Site]],Table35[],10,FALSE)</f>
        <v>9:00 P.M.</v>
      </c>
      <c r="F465" t="str">
        <f>VLOOKUP(Tabla3[[#This Row],[Site]],Table35[],11,FALSE)</f>
        <v>ET</v>
      </c>
      <c r="G465" t="str">
        <f>VLOOKUP(Tabla3[[#This Row],[Site]],Table35[],12,FALSE)</f>
        <v>5:00 A.M.</v>
      </c>
      <c r="H465" s="74" t="str">
        <f>HYPERLINK(VLOOKUP(Tabla3[[#This Row],[Site]],Table35[#All],9,FALSE))</f>
        <v>https://tools.sig.systems/site/details/313</v>
      </c>
      <c r="I465">
        <f>VLOOKUP(Tabla3[[#This Row],[Site]],Table35[],13,FALSE)</f>
        <v>0</v>
      </c>
      <c r="J465" t="str">
        <f>VLOOKUP(Tabla3[[#This Row],[Site]],Table35[],14,FALSE)</f>
        <v>-</v>
      </c>
      <c r="L465" s="32" t="str">
        <f>VLOOKUP(Tabla3[[#This Row],[Site]],Table35[#All],2,FALSE)</f>
        <v>-</v>
      </c>
      <c r="M465" s="32" t="str">
        <f>VLOOKUP(Tabla3[[#This Row],[Site]],Table35[#All],3,FALSE)</f>
        <v>9, 11</v>
      </c>
      <c r="N465" s="32" t="str">
        <f>VLOOKUP(Tabla3[[#This Row],[Site]],Table35[#All],4,FALSE)</f>
        <v>-</v>
      </c>
      <c r="O465" s="32" t="str">
        <f>VLOOKUP(Tabla3[[#This Row],[Site]],Table35[#All],5,FALSE)</f>
        <v>-</v>
      </c>
      <c r="P465" s="32" t="str">
        <f>VLOOKUP(Tabla3[[#This Row],[Site]],Table35[#All],6,FALSE)</f>
        <v>-</v>
      </c>
      <c r="Q465" s="32" t="str">
        <f>VLOOKUP(Tabla3[[#This Row],[Site]],Table35[#All],8,FALSE)</f>
        <v>313</v>
      </c>
    </row>
    <row r="466" spans="1:17" hidden="1" x14ac:dyDescent="0.25">
      <c r="A466" t="str">
        <f>+Tabla3[[#This Row],[Site]]&amp;Tabla3[[#This Row],[Split]]</f>
        <v>(AS) Kahlo CDJR (NO TOURS)8</v>
      </c>
      <c r="B466">
        <v>8</v>
      </c>
      <c r="C466">
        <v>7</v>
      </c>
      <c r="D466" t="s">
        <v>378</v>
      </c>
      <c r="E466" t="str">
        <f>VLOOKUP(Tabla3[[#This Row],[Site]],Table35[],10,FALSE)</f>
        <v>9:00 P.M.</v>
      </c>
      <c r="F466" t="str">
        <f>VLOOKUP(Tabla3[[#This Row],[Site]],Table35[],11,FALSE)</f>
        <v>ET</v>
      </c>
      <c r="G466" t="str">
        <f>VLOOKUP(Tabla3[[#This Row],[Site]],Table35[],12,FALSE)</f>
        <v>5:00 A.M.</v>
      </c>
      <c r="H466" s="74" t="str">
        <f>HYPERLINK(VLOOKUP(Tabla3[[#This Row],[Site]],Table35[#All],9,FALSE))</f>
        <v>https://tools.sig.systems/site/details/282</v>
      </c>
      <c r="I466" t="str">
        <f>VLOOKUP(Tabla3[[#This Row],[Site]],Table35[],13,FALSE)</f>
        <v>https://www.google.com/maps/d/edit?mid=1hsX5GGrNcCQgAuzDCDz1OWgEkhsAc78&amp;usp=sharing</v>
      </c>
      <c r="J466" t="str">
        <f>VLOOKUP(Tabla3[[#This Row],[Site]],Table35[],14,FALSE)</f>
        <v>-</v>
      </c>
      <c r="L466" s="32" t="str">
        <f>VLOOKUP(Tabla3[[#This Row],[Site]],Table35[#All],2,FALSE)</f>
        <v>-</v>
      </c>
      <c r="M466" s="32" t="str">
        <f>VLOOKUP(Tabla3[[#This Row],[Site]],Table35[#All],3,FALSE)</f>
        <v>12, 25</v>
      </c>
      <c r="N466" s="32" t="str">
        <f>VLOOKUP(Tabla3[[#This Row],[Site]],Table35[#All],4,FALSE)</f>
        <v>15, 16</v>
      </c>
      <c r="O466" s="32">
        <f>VLOOKUP(Tabla3[[#This Row],[Site]],Table35[#All],5,FALSE)</f>
        <v>20</v>
      </c>
      <c r="P466" s="32" t="str">
        <f>VLOOKUP(Tabla3[[#This Row],[Site]],Table35[#All],6,FALSE)</f>
        <v>1, 2, 9, 22, 31, 57</v>
      </c>
      <c r="Q466" s="32" t="str">
        <f>VLOOKUP(Tabla3[[#This Row],[Site]],Table35[#All],8,FALSE)</f>
        <v>282</v>
      </c>
    </row>
    <row r="467" spans="1:17" hidden="1" x14ac:dyDescent="0.25">
      <c r="A467" t="str">
        <f>+Tabla3[[#This Row],[Site]]&amp;Tabla3[[#This Row],[Split]]</f>
        <v>(AS) Koons Chevrolet Buick GMC - Tysons (NO TOURS)8</v>
      </c>
      <c r="B467">
        <v>8</v>
      </c>
      <c r="C467">
        <v>7</v>
      </c>
      <c r="D467" t="s">
        <v>386</v>
      </c>
      <c r="E467" t="str">
        <f>VLOOKUP(Tabla3[[#This Row],[Site]],Table35[],10,FALSE)</f>
        <v>9:00 P.M.</v>
      </c>
      <c r="F467" t="str">
        <f>VLOOKUP(Tabla3[[#This Row],[Site]],Table35[],11,FALSE)</f>
        <v>ET</v>
      </c>
      <c r="G467" t="str">
        <f>VLOOKUP(Tabla3[[#This Row],[Site]],Table35[],12,FALSE)</f>
        <v>5:00 A.M.</v>
      </c>
      <c r="H467" s="74" t="str">
        <f>HYPERLINK(VLOOKUP(Tabla3[[#This Row],[Site]],Table35[#All],9,FALSE))</f>
        <v>https://tools.sig.systems/site/details/352</v>
      </c>
      <c r="I467" t="str">
        <f>VLOOKUP(Tabla3[[#This Row],[Site]],Table35[],13,FALSE)</f>
        <v>-</v>
      </c>
      <c r="J467" t="str">
        <f>VLOOKUP(Tabla3[[#This Row],[Site]],Table35[],14,FALSE)</f>
        <v>10:00 A.M.</v>
      </c>
      <c r="L467" s="32" t="str">
        <f>VLOOKUP(Tabla3[[#This Row],[Site]],Table35[#All],2,FALSE)</f>
        <v>4, 6</v>
      </c>
      <c r="M467" s="32" t="str">
        <f>VLOOKUP(Tabla3[[#This Row],[Site]],Table35[#All],3,FALSE)</f>
        <v>-</v>
      </c>
      <c r="N467" s="32" t="str">
        <f>VLOOKUP(Tabla3[[#This Row],[Site]],Table35[#All],4,FALSE)</f>
        <v>-</v>
      </c>
      <c r="O467" s="32">
        <f>VLOOKUP(Tabla3[[#This Row],[Site]],Table35[#All],5,FALSE)</f>
        <v>4</v>
      </c>
      <c r="P467" s="32" t="str">
        <f>VLOOKUP(Tabla3[[#This Row],[Site]],Table35[#All],6,FALSE)</f>
        <v>6, 12, 15</v>
      </c>
      <c r="Q467" s="32" t="str">
        <f>VLOOKUP(Tabla3[[#This Row],[Site]],Table35[#All],8,FALSE)</f>
        <v>352</v>
      </c>
    </row>
    <row r="468" spans="1:17" hidden="1" x14ac:dyDescent="0.25">
      <c r="A468" t="str">
        <f>+Tabla3[[#This Row],[Site]]&amp;Tabla3[[#This Row],[Split]]</f>
        <v>(AS) Koons Tysons Toyota - Main Dealership (NO TOURS)8</v>
      </c>
      <c r="B468">
        <v>8</v>
      </c>
      <c r="C468">
        <v>7</v>
      </c>
      <c r="D468" t="s">
        <v>432</v>
      </c>
      <c r="E468" t="str">
        <f>VLOOKUP(Tabla3[[#This Row],[Site]],Table35[],10,FALSE)</f>
        <v>9:00 P.M.</v>
      </c>
      <c r="F468" t="str">
        <f>VLOOKUP(Tabla3[[#This Row],[Site]],Table35[],11,FALSE)</f>
        <v>ET</v>
      </c>
      <c r="G468" t="str">
        <f>VLOOKUP(Tabla3[[#This Row],[Site]],Table35[],12,FALSE)</f>
        <v>5:00 A.M.</v>
      </c>
      <c r="H468" s="74" t="str">
        <f>HYPERLINK(VLOOKUP(Tabla3[[#This Row],[Site]],Table35[#All],9,FALSE))</f>
        <v>https://tools.sig.systems/site/details/344</v>
      </c>
      <c r="I468" t="str">
        <f>VLOOKUP(Tabla3[[#This Row],[Site]],Table35[],13,FALSE)</f>
        <v>-</v>
      </c>
      <c r="J468" t="str">
        <f>VLOOKUP(Tabla3[[#This Row],[Site]],Table35[],14,FALSE)</f>
        <v>-</v>
      </c>
      <c r="L468" s="32" t="str">
        <f>VLOOKUP(Tabla3[[#This Row],[Site]],Table35[#All],2,FALSE)</f>
        <v>-</v>
      </c>
      <c r="M468" s="32" t="str">
        <f>VLOOKUP(Tabla3[[#This Row],[Site]],Table35[#All],3,FALSE)</f>
        <v>1, 25</v>
      </c>
      <c r="N468" s="32" t="str">
        <f>VLOOKUP(Tabla3[[#This Row],[Site]],Table35[#All],4,FALSE)</f>
        <v>-</v>
      </c>
      <c r="O468" s="32" t="str">
        <f>VLOOKUP(Tabla3[[#This Row],[Site]],Table35[#All],5,FALSE)</f>
        <v>-</v>
      </c>
      <c r="P468" s="32" t="str">
        <f>VLOOKUP(Tabla3[[#This Row],[Site]],Table35[#All],6,FALSE)</f>
        <v>13, 22, 27</v>
      </c>
      <c r="Q468" s="32" t="str">
        <f>VLOOKUP(Tabla3[[#This Row],[Site]],Table35[#All],8,FALSE)</f>
        <v>344</v>
      </c>
    </row>
    <row r="469" spans="1:17" hidden="1" x14ac:dyDescent="0.25">
      <c r="A469" t="str">
        <f>+Tabla3[[#This Row],[Site]]&amp;Tabla3[[#This Row],[Split]]</f>
        <v>(AS) Koons Woodbridge Kia (NO TOURS)8</v>
      </c>
      <c r="B469">
        <v>8</v>
      </c>
      <c r="C469">
        <v>7</v>
      </c>
      <c r="D469" t="s">
        <v>407</v>
      </c>
      <c r="E469" t="str">
        <f>VLOOKUP(Tabla3[[#This Row],[Site]],Table35[],10,FALSE)</f>
        <v>9:00 P.M.</v>
      </c>
      <c r="F469" t="str">
        <f>VLOOKUP(Tabla3[[#This Row],[Site]],Table35[],11,FALSE)</f>
        <v>ET</v>
      </c>
      <c r="G469" t="str">
        <f>VLOOKUP(Tabla3[[#This Row],[Site]],Table35[],12,FALSE)</f>
        <v>5:00 A.M.</v>
      </c>
      <c r="H469" s="74" t="str">
        <f>HYPERLINK(VLOOKUP(Tabla3[[#This Row],[Site]],Table35[#All],9,FALSE))</f>
        <v>https://tools.sig.systems/site/details/346</v>
      </c>
      <c r="I469" t="str">
        <f>VLOOKUP(Tabla3[[#This Row],[Site]],Table35[],13,FALSE)</f>
        <v>-</v>
      </c>
      <c r="J469" t="str">
        <f>VLOOKUP(Tabla3[[#This Row],[Site]],Table35[],14,FALSE)</f>
        <v>10:00 A.M.</v>
      </c>
      <c r="L469" s="32" t="str">
        <f>VLOOKUP(Tabla3[[#This Row],[Site]],Table35[#All],2,FALSE)</f>
        <v>-</v>
      </c>
      <c r="M469" s="32">
        <f>VLOOKUP(Tabla3[[#This Row],[Site]],Table35[#All],3,FALSE)</f>
        <v>2</v>
      </c>
      <c r="N469" s="32" t="str">
        <f>VLOOKUP(Tabla3[[#This Row],[Site]],Table35[#All],4,FALSE)</f>
        <v>-</v>
      </c>
      <c r="O469" s="32" t="str">
        <f>VLOOKUP(Tabla3[[#This Row],[Site]],Table35[#All],5,FALSE)</f>
        <v>-</v>
      </c>
      <c r="P469" s="32">
        <f>VLOOKUP(Tabla3[[#This Row],[Site]],Table35[#All],6,FALSE)</f>
        <v>5</v>
      </c>
      <c r="Q469" s="32" t="str">
        <f>VLOOKUP(Tabla3[[#This Row],[Site]],Table35[#All],8,FALSE)</f>
        <v>346</v>
      </c>
    </row>
    <row r="470" spans="1:17" hidden="1" x14ac:dyDescent="0.25">
      <c r="A470" t="str">
        <f>+Tabla3[[#This Row],[Site]]&amp;Tabla3[[#This Row],[Split]]</f>
        <v>(AS) Larry H Miller CDJR Fiat (NO TOURS)8</v>
      </c>
      <c r="B470">
        <v>8</v>
      </c>
      <c r="C470">
        <v>7</v>
      </c>
      <c r="D470" t="s">
        <v>215</v>
      </c>
      <c r="E470" t="str">
        <f>VLOOKUP(Tabla3[[#This Row],[Site]],Table35[],10,FALSE)</f>
        <v>11:00 P.M.</v>
      </c>
      <c r="F470" t="str">
        <f>VLOOKUP(Tabla3[[#This Row],[Site]],Table35[],11,FALSE)</f>
        <v>MT</v>
      </c>
      <c r="G470" t="str">
        <f>VLOOKUP(Tabla3[[#This Row],[Site]],Table35[],12,FALSE)</f>
        <v>7:00 A.M.</v>
      </c>
      <c r="H470" s="74" t="str">
        <f>HYPERLINK(VLOOKUP(Tabla3[[#This Row],[Site]],Table35[#All],9,FALSE))</f>
        <v>https://tools.sig.systems/site/details/298</v>
      </c>
      <c r="I470">
        <f>VLOOKUP(Tabla3[[#This Row],[Site]],Table35[],13,FALSE)</f>
        <v>0</v>
      </c>
      <c r="J470" t="str">
        <f>VLOOKUP(Tabla3[[#This Row],[Site]],Table35[],14,FALSE)</f>
        <v>-</v>
      </c>
      <c r="L470" s="32" t="str">
        <f>VLOOKUP(Tabla3[[#This Row],[Site]],Table35[#All],2,FALSE)</f>
        <v>7, 11</v>
      </c>
      <c r="M470" s="32" t="str">
        <f>VLOOKUP(Tabla3[[#This Row],[Site]],Table35[#All],3,FALSE)</f>
        <v>2, 3</v>
      </c>
      <c r="N470" s="32" t="str">
        <f>VLOOKUP(Tabla3[[#This Row],[Site]],Table35[#All],4,FALSE)</f>
        <v>-</v>
      </c>
      <c r="O470" s="32" t="str">
        <f>VLOOKUP(Tabla3[[#This Row],[Site]],Table35[#All],5,FALSE)</f>
        <v>-</v>
      </c>
      <c r="P470" s="32" t="str">
        <f>VLOOKUP(Tabla3[[#This Row],[Site]],Table35[#All],6,FALSE)</f>
        <v xml:space="preserve">2, 6, 10, 15, 18 </v>
      </c>
      <c r="Q470" s="32" t="str">
        <f>VLOOKUP(Tabla3[[#This Row],[Site]],Table35[#All],8,FALSE)</f>
        <v>298</v>
      </c>
    </row>
    <row r="471" spans="1:17" hidden="1" x14ac:dyDescent="0.25">
      <c r="A471" t="str">
        <f>+Tabla3[[#This Row],[Site]]&amp;Tabla3[[#This Row],[Split]]</f>
        <v>(KG) Big Star Cadillac8</v>
      </c>
      <c r="B471">
        <v>8</v>
      </c>
      <c r="C471">
        <v>7</v>
      </c>
      <c r="D471" t="s">
        <v>237</v>
      </c>
      <c r="E471" t="str">
        <f>VLOOKUP(Tabla3[[#This Row],[Site]],Table35[],10,FALSE)</f>
        <v>10:00 P.M.</v>
      </c>
      <c r="F471" t="str">
        <f>VLOOKUP(Tabla3[[#This Row],[Site]],Table35[],11,FALSE)</f>
        <v>CT</v>
      </c>
      <c r="G471" t="str">
        <f>VLOOKUP(Tabla3[[#This Row],[Site]],Table35[],12,FALSE)</f>
        <v>6:00 A.M.</v>
      </c>
      <c r="H471" s="74" t="str">
        <f>HYPERLINK(VLOOKUP(Tabla3[[#This Row],[Site]],Table35[#All],9,FALSE))</f>
        <v>https://tools.sig.systems/site/details/316</v>
      </c>
      <c r="I471" t="str">
        <f>VLOOKUP(Tabla3[[#This Row],[Site]],Table35[],13,FALSE)</f>
        <v>https://www.google.com/maps/d/edit?mid=1jIRkMUnWNPuTgDjQgDP-f33LClT85NU&amp;usp=sharing</v>
      </c>
      <c r="J471" t="str">
        <f>VLOOKUP(Tabla3[[#This Row],[Site]],Table35[],14,FALSE)</f>
        <v>-</v>
      </c>
      <c r="L471" s="32" t="str">
        <f>VLOOKUP(Tabla3[[#This Row],[Site]],Table35[#All],2,FALSE)</f>
        <v>1, 4, 16</v>
      </c>
      <c r="M471" s="32" t="str">
        <f>VLOOKUP(Tabla3[[#This Row],[Site]],Table35[#All],3,FALSE)</f>
        <v>-</v>
      </c>
      <c r="N471" s="32" t="str">
        <f>VLOOKUP(Tabla3[[#This Row],[Site]],Table35[#All],4,FALSE)</f>
        <v>-</v>
      </c>
      <c r="O471" s="32" t="str">
        <f>VLOOKUP(Tabla3[[#This Row],[Site]],Table35[#All],5,FALSE)</f>
        <v>-</v>
      </c>
      <c r="P471" s="32" t="str">
        <f>VLOOKUP(Tabla3[[#This Row],[Site]],Table35[#All],6,FALSE)</f>
        <v>15, 16, 19, 20</v>
      </c>
      <c r="Q471" s="32" t="str">
        <f>VLOOKUP(Tabla3[[#This Row],[Site]],Table35[#All],8,FALSE)</f>
        <v>316</v>
      </c>
    </row>
    <row r="472" spans="1:17" hidden="1" x14ac:dyDescent="0.25">
      <c r="A472" t="str">
        <f>+Tabla3[[#This Row],[Site]]&amp;Tabla3[[#This Row],[Split]]</f>
        <v>(ML) Joe Machens Hyundai8</v>
      </c>
      <c r="B472">
        <v>8</v>
      </c>
      <c r="C472">
        <v>7</v>
      </c>
      <c r="D472" t="s">
        <v>124</v>
      </c>
      <c r="E472" t="str">
        <f>VLOOKUP(Tabla3[[#This Row],[Site]],Table35[],10,FALSE)</f>
        <v>10:00 P.M.</v>
      </c>
      <c r="F472" t="str">
        <f>VLOOKUP(Tabla3[[#This Row],[Site]],Table35[],11,FALSE)</f>
        <v>CT</v>
      </c>
      <c r="G472" t="str">
        <f>VLOOKUP(Tabla3[[#This Row],[Site]],Table35[],12,FALSE)</f>
        <v>6:00 A.M.</v>
      </c>
      <c r="H472" s="74" t="str">
        <f>HYPERLINK(VLOOKUP(Tabla3[[#This Row],[Site]],Table35[#All],9,FALSE))</f>
        <v>https://tools.sig.systems/site/details/286</v>
      </c>
      <c r="I472" t="str">
        <f>VLOOKUP(Tabla3[[#This Row],[Site]],Table35[],13,FALSE)</f>
        <v>https://www.google.com/maps/d/viewer?hl=es&amp;mid=1C1oZdjH3dNvCvqdpIv_Lk0Yn1OCVn-4&amp;ll=38.965368114274455%2C-92.3405954&amp;z=15</v>
      </c>
      <c r="J472" t="str">
        <f>VLOOKUP(Tabla3[[#This Row],[Site]],Table35[],14,FALSE)</f>
        <v>-</v>
      </c>
      <c r="L472" s="32" t="str">
        <f>VLOOKUP(Tabla3[[#This Row],[Site]],Table35[#All],2,FALSE)</f>
        <v>-</v>
      </c>
      <c r="M472" s="32" t="str">
        <f>VLOOKUP(Tabla3[[#This Row],[Site]],Table35[#All],3,FALSE)</f>
        <v>3, 4, 14, 25</v>
      </c>
      <c r="N472" s="32" t="str">
        <f>VLOOKUP(Tabla3[[#This Row],[Site]],Table35[#All],4,FALSE)</f>
        <v>-</v>
      </c>
      <c r="O472" s="32">
        <f>VLOOKUP(Tabla3[[#This Row],[Site]],Table35[#All],5,FALSE)</f>
        <v>17</v>
      </c>
      <c r="P472" s="32" t="str">
        <f>VLOOKUP(Tabla3[[#This Row],[Site]],Table35[#All],6,FALSE)</f>
        <v>1, 11, 12, 13, 15</v>
      </c>
      <c r="Q472" s="32" t="str">
        <f>VLOOKUP(Tabla3[[#This Row],[Site]],Table35[#All],8,FALSE)</f>
        <v>286</v>
      </c>
    </row>
    <row r="473" spans="1:17" hidden="1" x14ac:dyDescent="0.25">
      <c r="A473" t="str">
        <f>+Tabla3[[#This Row],[Site]]&amp;Tabla3[[#This Row],[Split]]</f>
        <v>Mario Residence8</v>
      </c>
      <c r="B473">
        <v>8</v>
      </c>
      <c r="C473">
        <v>7</v>
      </c>
      <c r="D473" t="s">
        <v>100</v>
      </c>
      <c r="E473" t="str">
        <f>VLOOKUP(Tabla3[[#This Row],[Site]],Table35[],10,FALSE)</f>
        <v>24H</v>
      </c>
      <c r="F473" t="str">
        <f>VLOOKUP(Tabla3[[#This Row],[Site]],Table35[],11,FALSE)</f>
        <v>ET</v>
      </c>
      <c r="G473" t="str">
        <f>VLOOKUP(Tabla3[[#This Row],[Site]],Table35[],12,FALSE)</f>
        <v>-</v>
      </c>
      <c r="H473" s="74" t="str">
        <f>HYPERLINK(VLOOKUP(Tabla3[[#This Row],[Site]],Table35[#All],9,FALSE))</f>
        <v>https://tools.sig.systems/site/details/148</v>
      </c>
      <c r="I473" t="str">
        <f>VLOOKUP(Tabla3[[#This Row],[Site]],Table35[],13,FALSE)</f>
        <v>https://www.google.com/maps/d/edit?hl=es&amp;mid=13OmECPqyeB7fXgZmEoM9cnG34HU_v5g&amp;ll=26.046837034777553%2C-80.38753458591658&amp;z=19</v>
      </c>
      <c r="J473" t="str">
        <f>VLOOKUP(Tabla3[[#This Row],[Site]],Table35[],14,FALSE)</f>
        <v>-</v>
      </c>
      <c r="L473" s="32" t="str">
        <f>VLOOKUP(Tabla3[[#This Row],[Site]],Table35[#All],2,FALSE)</f>
        <v>7, 8</v>
      </c>
      <c r="M473" s="32" t="str">
        <f>VLOOKUP(Tabla3[[#This Row],[Site]],Table35[#All],3,FALSE)</f>
        <v>7, 8</v>
      </c>
      <c r="N473" s="32" t="str">
        <f>VLOOKUP(Tabla3[[#This Row],[Site]],Table35[#All],4,FALSE)</f>
        <v>-</v>
      </c>
      <c r="O473" s="32" t="str">
        <f>VLOOKUP(Tabla3[[#This Row],[Site]],Table35[#All],5,FALSE)</f>
        <v>-</v>
      </c>
      <c r="P473" s="32" t="str">
        <f>VLOOKUP(Tabla3[[#This Row],[Site]],Table35[#All],6,FALSE)</f>
        <v>4,12,13</v>
      </c>
      <c r="Q473" s="32">
        <v>199</v>
      </c>
    </row>
    <row r="474" spans="1:17" hidden="1" x14ac:dyDescent="0.25">
      <c r="A474" t="str">
        <f>+Tabla3[[#This Row],[Site]]&amp;Tabla3[[#This Row],[Split]]</f>
        <v>(AS) Koons Arlington Toyota - New Car (NO TOURS)8</v>
      </c>
      <c r="B474">
        <v>8</v>
      </c>
      <c r="C474">
        <v>8</v>
      </c>
      <c r="D474" t="s">
        <v>380</v>
      </c>
      <c r="E474" t="str">
        <f>VLOOKUP(Tabla3[[#This Row],[Site]],Table35[],10,FALSE)</f>
        <v>9:00 P.M.</v>
      </c>
      <c r="F474" t="str">
        <f>VLOOKUP(Tabla3[[#This Row],[Site]],Table35[],11,FALSE)</f>
        <v>ET</v>
      </c>
      <c r="G474" t="str">
        <f>VLOOKUP(Tabla3[[#This Row],[Site]],Table35[],12,FALSE)</f>
        <v>5:00 A.M.</v>
      </c>
      <c r="H474" s="74" t="str">
        <f>HYPERLINK(VLOOKUP(Tabla3[[#This Row],[Site]],Table35[#All],9,FALSE))</f>
        <v>https://tools.sig.systems/site/details/334</v>
      </c>
      <c r="I474">
        <f>VLOOKUP(Tabla3[[#This Row],[Site]],Table35[],13,FALSE)</f>
        <v>0</v>
      </c>
      <c r="J474" t="str">
        <f>VLOOKUP(Tabla3[[#This Row],[Site]],Table35[],14,FALSE)</f>
        <v>10:00 A.M.</v>
      </c>
      <c r="L474" s="32" t="str">
        <f>VLOOKUP(Tabla3[[#This Row],[Site]],Table35[#All],2,FALSE)</f>
        <v>-</v>
      </c>
      <c r="M474" s="32" t="str">
        <f>VLOOKUP(Tabla3[[#This Row],[Site]],Table35[#All],3,FALSE)</f>
        <v>1, 3, 12, 15, 17</v>
      </c>
      <c r="N474" s="32" t="str">
        <f>VLOOKUP(Tabla3[[#This Row],[Site]],Table35[#All],4,FALSE)</f>
        <v>-</v>
      </c>
      <c r="O474" s="32" t="str">
        <f>VLOOKUP(Tabla3[[#This Row],[Site]],Table35[#All],5,FALSE)</f>
        <v>-</v>
      </c>
      <c r="P474" s="32" t="str">
        <f>VLOOKUP(Tabla3[[#This Row],[Site]],Table35[#All],6,FALSE)</f>
        <v>2, 6, 18, 20</v>
      </c>
      <c r="Q474" s="32" t="str">
        <f>VLOOKUP(Tabla3[[#This Row],[Site]],Table35[#All],8,FALSE)</f>
        <v>334</v>
      </c>
    </row>
    <row r="475" spans="1:17" hidden="1" x14ac:dyDescent="0.25">
      <c r="A475" t="str">
        <f>+Tabla3[[#This Row],[Site]]&amp;Tabla3[[#This Row],[Split]]</f>
        <v>(AS) Koons Chevrolet Buick GMC - Tysons Remote Lot (NO TOURS)8</v>
      </c>
      <c r="B475">
        <v>8</v>
      </c>
      <c r="C475">
        <v>8</v>
      </c>
      <c r="D475" t="s">
        <v>385</v>
      </c>
      <c r="E475" t="str">
        <f>VLOOKUP(Tabla3[[#This Row],[Site]],Table35[],10,FALSE)</f>
        <v>9:00 P.M.</v>
      </c>
      <c r="F475" t="str">
        <f>VLOOKUP(Tabla3[[#This Row],[Site]],Table35[],11,FALSE)</f>
        <v>ET</v>
      </c>
      <c r="G475" t="str">
        <f>VLOOKUP(Tabla3[[#This Row],[Site]],Table35[],12,FALSE)</f>
        <v>5:00 A.M.</v>
      </c>
      <c r="H475" s="74" t="str">
        <f>HYPERLINK(VLOOKUP(Tabla3[[#This Row],[Site]],Table35[#All],9,FALSE))</f>
        <v>https://tools.sig.systems/site/details/333</v>
      </c>
      <c r="I475" t="str">
        <f>VLOOKUP(Tabla3[[#This Row],[Site]],Table35[],13,FALSE)</f>
        <v>-</v>
      </c>
      <c r="J475" t="str">
        <f>VLOOKUP(Tabla3[[#This Row],[Site]],Table35[],14,FALSE)</f>
        <v>-</v>
      </c>
      <c r="L475" s="32" t="str">
        <f>VLOOKUP(Tabla3[[#This Row],[Site]],Table35[#All],2,FALSE)</f>
        <v>-</v>
      </c>
      <c r="M475" s="32">
        <f>VLOOKUP(Tabla3[[#This Row],[Site]],Table35[#All],3,FALSE)</f>
        <v>6</v>
      </c>
      <c r="N475" s="32" t="str">
        <f>VLOOKUP(Tabla3[[#This Row],[Site]],Table35[#All],4,FALSE)</f>
        <v>1, 2, 3</v>
      </c>
      <c r="O475" s="32" t="str">
        <f>VLOOKUP(Tabla3[[#This Row],[Site]],Table35[#All],5,FALSE)</f>
        <v>7, 10, 16, 29</v>
      </c>
      <c r="P475" s="32" t="str">
        <f>VLOOKUP(Tabla3[[#This Row],[Site]],Table35[#All],6,FALSE)</f>
        <v>14, 17, 30</v>
      </c>
      <c r="Q475" s="32" t="str">
        <f>VLOOKUP(Tabla3[[#This Row],[Site]],Table35[#All],8,FALSE)</f>
        <v>333</v>
      </c>
    </row>
    <row r="476" spans="1:17" hidden="1" x14ac:dyDescent="0.25">
      <c r="A476" t="str">
        <f>+Tabla3[[#This Row],[Site]]&amp;Tabla3[[#This Row],[Split]]</f>
        <v>(AS) Koons Sterling Ford - Main Dealership (NO TOURS)8</v>
      </c>
      <c r="B476">
        <v>8</v>
      </c>
      <c r="C476">
        <v>8</v>
      </c>
      <c r="D476" t="s">
        <v>411</v>
      </c>
      <c r="E476" t="str">
        <f>VLOOKUP(Tabla3[[#This Row],[Site]],Table35[],10,FALSE)</f>
        <v>9:00 P.M.</v>
      </c>
      <c r="F476" t="str">
        <f>VLOOKUP(Tabla3[[#This Row],[Site]],Table35[],11,FALSE)</f>
        <v>ET</v>
      </c>
      <c r="G476" t="str">
        <f>VLOOKUP(Tabla3[[#This Row],[Site]],Table35[],12,FALSE)</f>
        <v>5:00 A.M.</v>
      </c>
      <c r="H476" s="74" t="str">
        <f>HYPERLINK(VLOOKUP(Tabla3[[#This Row],[Site]],Table35[#All],9,FALSE))</f>
        <v>https://tools.sig.systems/site/details/348</v>
      </c>
      <c r="I476" t="str">
        <f>VLOOKUP(Tabla3[[#This Row],[Site]],Table35[],13,FALSE)</f>
        <v>-</v>
      </c>
      <c r="J476" t="str">
        <f>VLOOKUP(Tabla3[[#This Row],[Site]],Table35[],14,FALSE)</f>
        <v>10:00 A.M.</v>
      </c>
      <c r="L476" s="32">
        <f>VLOOKUP(Tabla3[[#This Row],[Site]],Table35[#All],2,FALSE)</f>
        <v>19</v>
      </c>
      <c r="M476" s="32">
        <f>VLOOKUP(Tabla3[[#This Row],[Site]],Table35[#All],3,FALSE)</f>
        <v>3</v>
      </c>
      <c r="N476" s="32" t="str">
        <f>VLOOKUP(Tabla3[[#This Row],[Site]],Table35[#All],4,FALSE)</f>
        <v>-</v>
      </c>
      <c r="O476" s="32" t="str">
        <f>VLOOKUP(Tabla3[[#This Row],[Site]],Table35[#All],5,FALSE)</f>
        <v>4, 21</v>
      </c>
      <c r="P476" s="32" t="str">
        <f>VLOOKUP(Tabla3[[#This Row],[Site]],Table35[#All],6,FALSE)</f>
        <v>7, 8</v>
      </c>
      <c r="Q476" s="32" t="str">
        <f>VLOOKUP(Tabla3[[#This Row],[Site]],Table35[#All],8,FALSE)</f>
        <v>348</v>
      </c>
    </row>
    <row r="477" spans="1:17" hidden="1" x14ac:dyDescent="0.25">
      <c r="A477" t="str">
        <f>+Tabla3[[#This Row],[Site]]&amp;Tabla3[[#This Row],[Split]]</f>
        <v>(AS) Koons Volvo Cars White Marsh (NO TOURS)8</v>
      </c>
      <c r="B477">
        <v>8</v>
      </c>
      <c r="C477">
        <v>8</v>
      </c>
      <c r="D477" t="s">
        <v>382</v>
      </c>
      <c r="E477" t="str">
        <f>VLOOKUP(Tabla3[[#This Row],[Site]],Table35[],10,FALSE)</f>
        <v>9:00 P.M.</v>
      </c>
      <c r="F477" t="str">
        <f>VLOOKUP(Tabla3[[#This Row],[Site]],Table35[],11,FALSE)</f>
        <v>ET</v>
      </c>
      <c r="G477" t="str">
        <f>VLOOKUP(Tabla3[[#This Row],[Site]],Table35[],12,FALSE)</f>
        <v>5:00 A.M.</v>
      </c>
      <c r="H477" s="74" t="str">
        <f>HYPERLINK(VLOOKUP(Tabla3[[#This Row],[Site]],Table35[#All],9,FALSE))</f>
        <v>https://tools.sig.systems/site/details/338</v>
      </c>
      <c r="I477">
        <f>VLOOKUP(Tabla3[[#This Row],[Site]],Table35[],13,FALSE)</f>
        <v>0</v>
      </c>
      <c r="J477" t="str">
        <f>VLOOKUP(Tabla3[[#This Row],[Site]],Table35[],14,FALSE)</f>
        <v>-</v>
      </c>
      <c r="L477" s="32" t="str">
        <f>VLOOKUP(Tabla3[[#This Row],[Site]],Table35[#All],2,FALSE)</f>
        <v>-</v>
      </c>
      <c r="M477" s="32" t="str">
        <f>VLOOKUP(Tabla3[[#This Row],[Site]],Table35[#All],3,FALSE)</f>
        <v>5, 7, 9</v>
      </c>
      <c r="N477" s="32" t="str">
        <f>VLOOKUP(Tabla3[[#This Row],[Site]],Table35[#All],4,FALSE)</f>
        <v>-</v>
      </c>
      <c r="O477" s="32" t="str">
        <f>VLOOKUP(Tabla3[[#This Row],[Site]],Table35[#All],5,FALSE)</f>
        <v>-</v>
      </c>
      <c r="P477" s="32" t="str">
        <f>VLOOKUP(Tabla3[[#This Row],[Site]],Table35[#All],6,FALSE)</f>
        <v>6, 10, 1</v>
      </c>
      <c r="Q477" s="32" t="str">
        <f>VLOOKUP(Tabla3[[#This Row],[Site]],Table35[#All],8,FALSE)</f>
        <v>338</v>
      </c>
    </row>
    <row r="478" spans="1:17" hidden="1" x14ac:dyDescent="0.25">
      <c r="A478" t="str">
        <f>+Tabla3[[#This Row],[Site]]&amp;Tabla3[[#This Row],[Split]]</f>
        <v>(BRL) Fort Pierce8</v>
      </c>
      <c r="B478">
        <v>8</v>
      </c>
      <c r="C478">
        <v>8</v>
      </c>
      <c r="D478" t="s">
        <v>347</v>
      </c>
      <c r="E478" t="str">
        <f>VLOOKUP(Tabla3[[#This Row],[Site]],Table35[],10,FALSE)</f>
        <v>24H</v>
      </c>
      <c r="F478" t="str">
        <f>VLOOKUP(Tabla3[[#This Row],[Site]],Table35[],11,FALSE)</f>
        <v>ET</v>
      </c>
      <c r="G478" t="str">
        <f>VLOOKUP(Tabla3[[#This Row],[Site]],Table35[],12,FALSE)</f>
        <v>-</v>
      </c>
      <c r="H478" s="74" t="str">
        <f>HYPERLINK(VLOOKUP(Tabla3[[#This Row],[Site]],Table35[#All],9,FALSE))</f>
        <v>https://tools.sig.systems/site/details/326</v>
      </c>
      <c r="I478" t="str">
        <f>VLOOKUP(Tabla3[[#This Row],[Site]],Table35[],13,FALSE)</f>
        <v>-</v>
      </c>
      <c r="J478" t="str">
        <f>VLOOKUP(Tabla3[[#This Row],[Site]],Table35[],14,FALSE)</f>
        <v>-</v>
      </c>
      <c r="L478" s="32" t="str">
        <f>VLOOKUP(Tabla3[[#This Row],[Site]],Table35[#All],2,FALSE)</f>
        <v>-</v>
      </c>
      <c r="M478" s="32">
        <f>VLOOKUP(Tabla3[[#This Row],[Site]],Table35[#All],3,FALSE)</f>
        <v>1</v>
      </c>
      <c r="N478" s="32" t="str">
        <f>VLOOKUP(Tabla3[[#This Row],[Site]],Table35[#All],4,FALSE)</f>
        <v>-</v>
      </c>
      <c r="O478" s="32">
        <f>VLOOKUP(Tabla3[[#This Row],[Site]],Table35[#All],5,FALSE)</f>
        <v>2</v>
      </c>
      <c r="P478" s="32" t="str">
        <f>VLOOKUP(Tabla3[[#This Row],[Site]],Table35[#All],6,FALSE)</f>
        <v>15, 18</v>
      </c>
      <c r="Q478" s="32" t="str">
        <f>VLOOKUP(Tabla3[[#This Row],[Site]],Table35[#All],8,FALSE)</f>
        <v>326</v>
      </c>
    </row>
    <row r="479" spans="1:17" hidden="1" x14ac:dyDescent="0.25">
      <c r="A479" t="str">
        <f>+Tabla3[[#This Row],[Site]]&amp;Tabla3[[#This Row],[Split]]</f>
        <v>(DT) Arlington8</v>
      </c>
      <c r="B479">
        <v>8</v>
      </c>
      <c r="C479">
        <v>8</v>
      </c>
      <c r="D479" t="s">
        <v>18</v>
      </c>
      <c r="E479" t="str">
        <f>VLOOKUP(Tabla3[[#This Row],[Site]],Table35[],10,FALSE)</f>
        <v>10:00 P.M.</v>
      </c>
      <c r="F479" t="str">
        <f>VLOOKUP(Tabla3[[#This Row],[Site]],Table35[],11,FALSE)</f>
        <v>CT</v>
      </c>
      <c r="G479" t="str">
        <f>VLOOKUP(Tabla3[[#This Row],[Site]],Table35[],12,FALSE)</f>
        <v>6:00 A.M.</v>
      </c>
      <c r="H479" s="74" t="str">
        <f>HYPERLINK(VLOOKUP(Tabla3[[#This Row],[Site]],Table35[#All],9,FALSE))</f>
        <v>https://tools.sig.systems/site/details/199</v>
      </c>
      <c r="I479">
        <f>VLOOKUP(Tabla3[[#This Row],[Site]],Table35[],13,FALSE)</f>
        <v>0</v>
      </c>
      <c r="J479" t="str">
        <f>VLOOKUP(Tabla3[[#This Row],[Site]],Table35[],14,FALSE)</f>
        <v>-</v>
      </c>
      <c r="L479" s="32">
        <f>VLOOKUP(Tabla3[[#This Row],[Site]],Table35[#All],2,FALSE)</f>
        <v>8</v>
      </c>
      <c r="M479" s="32">
        <f>VLOOKUP(Tabla3[[#This Row],[Site]],Table35[#All],3,FALSE)</f>
        <v>3</v>
      </c>
      <c r="N479" s="32" t="str">
        <f>VLOOKUP(Tabla3[[#This Row],[Site]],Table35[#All],4,FALSE)</f>
        <v>-</v>
      </c>
      <c r="O479" s="32" t="str">
        <f>VLOOKUP(Tabla3[[#This Row],[Site]],Table35[#All],5,FALSE)</f>
        <v>-</v>
      </c>
      <c r="P479" s="32" t="str">
        <f>VLOOKUP(Tabla3[[#This Row],[Site]],Table35[#All],6,FALSE)</f>
        <v>3, 8, 9</v>
      </c>
      <c r="Q479" s="32">
        <v>334</v>
      </c>
    </row>
    <row r="480" spans="1:17" hidden="1" x14ac:dyDescent="0.25">
      <c r="A480" t="str">
        <f>+Tabla3[[#This Row],[Site]]&amp;Tabla3[[#This Row],[Split]]</f>
        <v>(LT) Luther Brookdale Honda (NO TOURS)8</v>
      </c>
      <c r="B480">
        <v>8</v>
      </c>
      <c r="C480">
        <v>8</v>
      </c>
      <c r="D480" t="s">
        <v>271</v>
      </c>
      <c r="E480" t="str">
        <f>VLOOKUP(Tabla3[[#This Row],[Site]],Table35[],10,FALSE)</f>
        <v>10:00 P.M.</v>
      </c>
      <c r="F480" t="str">
        <f>VLOOKUP(Tabla3[[#This Row],[Site]],Table35[],11,FALSE)</f>
        <v>CT</v>
      </c>
      <c r="G480" t="str">
        <f>VLOOKUP(Tabla3[[#This Row],[Site]],Table35[],12,FALSE)</f>
        <v>6:00 A.M.</v>
      </c>
      <c r="H480" s="74" t="str">
        <f>HYPERLINK(VLOOKUP(Tabla3[[#This Row],[Site]],Table35[#All],9,FALSE))</f>
        <v>https://tools.sig.systems/site/details/280</v>
      </c>
      <c r="I480" t="str">
        <f>VLOOKUP(Tabla3[[#This Row],[Site]],Table35[],13,FALSE)</f>
        <v>https://www.google.com/maps/d/viewer?mid=1ot0ILX76JMuvd9yMuqkb4_e0yH1n7TA&amp;ll=45.07815812965141%2C-93.33506855000002&amp;z=17</v>
      </c>
      <c r="J480" t="str">
        <f>VLOOKUP(Tabla3[[#This Row],[Site]],Table35[],14,FALSE)</f>
        <v>-</v>
      </c>
      <c r="L480" s="32" t="str">
        <f>VLOOKUP(Tabla3[[#This Row],[Site]],Table35[#All],2,FALSE)</f>
        <v>-</v>
      </c>
      <c r="M480" s="32" t="str">
        <f>VLOOKUP(Tabla3[[#This Row],[Site]],Table35[#All],3,FALSE)</f>
        <v>1, 21</v>
      </c>
      <c r="N480" s="32" t="str">
        <f>VLOOKUP(Tabla3[[#This Row],[Site]],Table35[#All],4,FALSE)</f>
        <v>38, 39, 40</v>
      </c>
      <c r="O480" s="32" t="str">
        <f>VLOOKUP(Tabla3[[#This Row],[Site]],Table35[#All],5,FALSE)</f>
        <v>2, 10, 19</v>
      </c>
      <c r="P480" s="32" t="str">
        <f>VLOOKUP(Tabla3[[#This Row],[Site]],Table35[#All],6,FALSE)</f>
        <v>4, 5, 7, 11, 13, 20, 24, 36</v>
      </c>
      <c r="Q480" s="32" t="str">
        <f>VLOOKUP(Tabla3[[#This Row],[Site]],Table35[#All],8,FALSE)</f>
        <v>280</v>
      </c>
    </row>
    <row r="481" spans="1:17" hidden="1" x14ac:dyDescent="0.25">
      <c r="A481" t="str">
        <f>+Tabla3[[#This Row],[Site]]&amp;Tabla3[[#This Row],[Split]]</f>
        <v>(PE) JLR Darien (NO TOURS)8</v>
      </c>
      <c r="B481">
        <v>8</v>
      </c>
      <c r="C481">
        <v>8</v>
      </c>
      <c r="D481" t="s">
        <v>370</v>
      </c>
      <c r="E481" t="str">
        <f>VLOOKUP(Tabla3[[#This Row],[Site]],Table35[],10,FALSE)</f>
        <v>8:00 P.M.</v>
      </c>
      <c r="F481" t="str">
        <f>VLOOKUP(Tabla3[[#This Row],[Site]],Table35[],11,FALSE)</f>
        <v>ET</v>
      </c>
      <c r="G481" t="str">
        <f>VLOOKUP(Tabla3[[#This Row],[Site]],Table35[],12,FALSE)</f>
        <v>5:00 A.M.</v>
      </c>
      <c r="H481" s="74" t="str">
        <f>HYPERLINK(VLOOKUP(Tabla3[[#This Row],[Site]],Table35[#All],9,FALSE))</f>
        <v>https://tools.sig.systems/site/details/189</v>
      </c>
      <c r="I481" t="str">
        <f>VLOOKUP(Tabla3[[#This Row],[Site]],Table35[],13,FALSE)</f>
        <v>-</v>
      </c>
      <c r="J481" t="str">
        <f>VLOOKUP(Tabla3[[#This Row],[Site]],Table35[],14,FALSE)</f>
        <v>-</v>
      </c>
      <c r="L481" s="32" t="str">
        <f>VLOOKUP(Tabla3[[#This Row],[Site]],Table35[#All],2,FALSE)</f>
        <v>1, 13</v>
      </c>
      <c r="M481" s="32" t="str">
        <f>VLOOKUP(Tabla3[[#This Row],[Site]],Table35[#All],3,FALSE)</f>
        <v>-</v>
      </c>
      <c r="N481" s="32" t="str">
        <f>VLOOKUP(Tabla3[[#This Row],[Site]],Table35[#All],4,FALSE)</f>
        <v>-</v>
      </c>
      <c r="O481" s="32" t="str">
        <f>VLOOKUP(Tabla3[[#This Row],[Site]],Table35[#All],5,FALSE)</f>
        <v>-</v>
      </c>
      <c r="P481" s="32" t="str">
        <f>VLOOKUP(Tabla3[[#This Row],[Site]],Table35[#All],6,FALSE)</f>
        <v>-</v>
      </c>
      <c r="Q481" s="32" t="str">
        <f>VLOOKUP(Tabla3[[#This Row],[Site]],Table35[#All],8,FALSE)</f>
        <v>189</v>
      </c>
    </row>
    <row r="482" spans="1:17" hidden="1" x14ac:dyDescent="0.25">
      <c r="A482" t="str">
        <f>+Tabla3[[#This Row],[Site]]&amp;Tabla3[[#This Row],[Split]]</f>
        <v>(AS) 3281 Storage Lot (NO TOURS)9</v>
      </c>
      <c r="B482">
        <v>9</v>
      </c>
      <c r="C482">
        <v>1</v>
      </c>
      <c r="D482" t="s">
        <v>374</v>
      </c>
      <c r="E482" t="str">
        <f>VLOOKUP(Tabla3[[#This Row],[Site]],Table35[],10,FALSE)</f>
        <v>10:00 P.M.</v>
      </c>
      <c r="F482" t="str">
        <f>VLOOKUP(Tabla3[[#This Row],[Site]],Table35[],11,FALSE)</f>
        <v>CT</v>
      </c>
      <c r="G482" t="str">
        <f>VLOOKUP(Tabla3[[#This Row],[Site]],Table35[],12,FALSE)</f>
        <v>6:00 A.M.</v>
      </c>
      <c r="H482" s="74" t="str">
        <f>HYPERLINK(VLOOKUP(Tabla3[[#This Row],[Site]],Table35[#All],9,FALSE))</f>
        <v>https://tools.sig.systems/site/details/305</v>
      </c>
      <c r="I482" t="str">
        <f>VLOOKUP(Tabla3[[#This Row],[Site]],Table35[],13,FALSE)</f>
        <v>https://www.google.com/maps/d/edit?hl=es&amp;mid=1uPmsRMsXnp74hPFW2t-sp2totVWF_xY&amp;ll=32.83050137713022%2C-96.83197783061323&amp;z=17</v>
      </c>
      <c r="J482" t="str">
        <f>VLOOKUP(Tabla3[[#This Row],[Site]],Table35[],14,FALSE)</f>
        <v>-</v>
      </c>
      <c r="L482" s="32" t="str">
        <f>VLOOKUP(Tabla3[[#This Row],[Site]],Table35[#All],2,FALSE)</f>
        <v>-</v>
      </c>
      <c r="M482" s="32" t="str">
        <f>VLOOKUP(Tabla3[[#This Row],[Site]],Table35[#All],3,FALSE)</f>
        <v>2, 14</v>
      </c>
      <c r="N482" s="32" t="str">
        <f>VLOOKUP(Tabla3[[#This Row],[Site]],Table35[#All],4,FALSE)</f>
        <v>-</v>
      </c>
      <c r="O482" s="32" t="str">
        <f>VLOOKUP(Tabla3[[#This Row],[Site]],Table35[#All],5,FALSE)</f>
        <v>-</v>
      </c>
      <c r="P482" s="32" t="str">
        <f>VLOOKUP(Tabla3[[#This Row],[Site]],Table35[#All],6,FALSE)</f>
        <v>1, 3, 9, 10, 14</v>
      </c>
      <c r="Q482" s="32">
        <f>VLOOKUP(Tabla3[[#This Row],[Site]],Table35[#All],8,FALSE)</f>
        <v>305</v>
      </c>
    </row>
    <row r="483" spans="1:17" hidden="1" x14ac:dyDescent="0.25">
      <c r="A483" t="str">
        <f>+Tabla3[[#This Row],[Site]]&amp;Tabla3[[#This Row],[Split]]</f>
        <v>(AS) Koons Annapolis Toyota (NO TOURS)9</v>
      </c>
      <c r="B483">
        <v>9</v>
      </c>
      <c r="C483">
        <v>8</v>
      </c>
      <c r="D483" t="s">
        <v>446</v>
      </c>
      <c r="E483" t="str">
        <f>VLOOKUP(Tabla3[[#This Row],[Site]],Table35[],10,FALSE)</f>
        <v>9:00 P.M.</v>
      </c>
      <c r="F483" t="str">
        <f>VLOOKUP(Tabla3[[#This Row],[Site]],Table35[],11,FALSE)</f>
        <v>ET</v>
      </c>
      <c r="G483" t="str">
        <f>VLOOKUP(Tabla3[[#This Row],[Site]],Table35[],12,FALSE)</f>
        <v>5:00 A.M.</v>
      </c>
      <c r="H483" s="74" t="str">
        <f>HYPERLINK(VLOOKUP(Tabla3[[#This Row],[Site]],Table35[#All],9,FALSE))</f>
        <v>https://tools.sig.systems/site/details/337</v>
      </c>
      <c r="I483">
        <f>VLOOKUP(Tabla3[[#This Row],[Site]],Table35[],13,FALSE)</f>
        <v>0</v>
      </c>
      <c r="J483" t="str">
        <f>VLOOKUP(Tabla3[[#This Row],[Site]],Table35[],14,FALSE)</f>
        <v>-</v>
      </c>
      <c r="L483" s="32">
        <f>VLOOKUP(Tabla3[[#This Row],[Site]],Table35[#All],2,FALSE)</f>
        <v>6</v>
      </c>
      <c r="M483" s="32" t="str">
        <f>VLOOKUP(Tabla3[[#This Row],[Site]],Table35[#All],3,FALSE)</f>
        <v>1, 6, 21</v>
      </c>
      <c r="N483" s="32" t="str">
        <f>VLOOKUP(Tabla3[[#This Row],[Site]],Table35[#All],4,FALSE)</f>
        <v>-</v>
      </c>
      <c r="O483" s="32" t="str">
        <f>VLOOKUP(Tabla3[[#This Row],[Site]],Table35[#All],5,FALSE)</f>
        <v>-</v>
      </c>
      <c r="P483" s="32" t="str">
        <f>VLOOKUP(Tabla3[[#This Row],[Site]],Table35[#All],6,FALSE)</f>
        <v>3, 5, 7, 19</v>
      </c>
      <c r="Q483" s="32" t="str">
        <f>VLOOKUP(Tabla3[[#This Row],[Site]],Table35[#All],8,FALSE)</f>
        <v>337</v>
      </c>
    </row>
    <row r="484" spans="1:17" hidden="1" x14ac:dyDescent="0.25">
      <c r="A484" t="str">
        <f>+Tabla3[[#This Row],[Site]]&amp;Tabla3[[#This Row],[Split]]</f>
        <v>(AS) Koons Chevrolet Buick GMC - Clarksville (NO TOURS)9</v>
      </c>
      <c r="B484">
        <v>9</v>
      </c>
      <c r="C484">
        <v>1</v>
      </c>
      <c r="D484" t="s">
        <v>379</v>
      </c>
      <c r="E484" t="str">
        <f>VLOOKUP(Tabla3[[#This Row],[Site]],Table35[],10,FALSE)</f>
        <v>9:00 P.M.</v>
      </c>
      <c r="F484" t="str">
        <f>VLOOKUP(Tabla3[[#This Row],[Site]],Table35[],11,FALSE)</f>
        <v>ET</v>
      </c>
      <c r="G484" t="str">
        <f>VLOOKUP(Tabla3[[#This Row],[Site]],Table35[],12,FALSE)</f>
        <v>5:00 A.M.</v>
      </c>
      <c r="H484" s="74" t="str">
        <f>HYPERLINK(VLOOKUP(Tabla3[[#This Row],[Site]],Table35[#All],9,FALSE))</f>
        <v>https://tools.sig.systems/site/details/306</v>
      </c>
      <c r="I484" t="str">
        <f>VLOOKUP(Tabla3[[#This Row],[Site]],Table35[],13,FALSE)</f>
        <v>https://www.google.com/maps/d/edit?hl=es&amp;mid=11XB1lTSP7EcDCDvzypdUPWP6bWCNAEI&amp;ll=39.21145022420528%2C-76.94003711910554&amp;z=17</v>
      </c>
      <c r="J484" t="str">
        <f>VLOOKUP(Tabla3[[#This Row],[Site]],Table35[],14,FALSE)</f>
        <v>10:00 A.M.</v>
      </c>
      <c r="L484" s="32" t="str">
        <f>VLOOKUP(Tabla3[[#This Row],[Site]],Table35[#All],2,FALSE)</f>
        <v>-</v>
      </c>
      <c r="M484" s="32" t="str">
        <f>VLOOKUP(Tabla3[[#This Row],[Site]],Table35[#All],3,FALSE)</f>
        <v>1, 22, 26, 28, 29</v>
      </c>
      <c r="N484" s="32" t="str">
        <f>VLOOKUP(Tabla3[[#This Row],[Site]],Table35[#All],4,FALSE)</f>
        <v>-</v>
      </c>
      <c r="O484" s="32" t="str">
        <f>VLOOKUP(Tabla3[[#This Row],[Site]],Table35[#All],5,FALSE)</f>
        <v>-</v>
      </c>
      <c r="P484" s="32" t="str">
        <f>VLOOKUP(Tabla3[[#This Row],[Site]],Table35[#All],6,FALSE)</f>
        <v>3, 11, 15, 23</v>
      </c>
      <c r="Q484" s="32" t="str">
        <f>VLOOKUP(Tabla3[[#This Row],[Site]],Table35[#All],8,FALSE)</f>
        <v>306</v>
      </c>
    </row>
    <row r="485" spans="1:17" hidden="1" x14ac:dyDescent="0.25">
      <c r="A485" t="str">
        <f>+Tabla3[[#This Row],[Site]]&amp;Tabla3[[#This Row],[Split]]</f>
        <v>(DT) Charlotte9</v>
      </c>
      <c r="B485">
        <v>9</v>
      </c>
      <c r="C485">
        <v>1</v>
      </c>
      <c r="D485" t="s">
        <v>150</v>
      </c>
      <c r="E485" t="str">
        <f>VLOOKUP(Tabla3[[#This Row],[Site]],Table35[],10,FALSE)</f>
        <v>9:00 P.M.</v>
      </c>
      <c r="F485" t="str">
        <f>VLOOKUP(Tabla3[[#This Row],[Site]],Table35[],11,FALSE)</f>
        <v>ET</v>
      </c>
      <c r="G485" t="str">
        <f>VLOOKUP(Tabla3[[#This Row],[Site]],Table35[],12,FALSE)</f>
        <v>5:00 A.M.</v>
      </c>
      <c r="H485" s="74" t="str">
        <f>HYPERLINK(VLOOKUP(Tabla3[[#This Row],[Site]],Table35[#All],9,FALSE))</f>
        <v>https://tools.sig.systems/site/details/299</v>
      </c>
      <c r="I485">
        <f>VLOOKUP(Tabla3[[#This Row],[Site]],Table35[],13,FALSE)</f>
        <v>0</v>
      </c>
      <c r="J485" t="str">
        <f>VLOOKUP(Tabla3[[#This Row],[Site]],Table35[],14,FALSE)</f>
        <v>-</v>
      </c>
      <c r="L485" s="32" t="str">
        <f>VLOOKUP(Tabla3[[#This Row],[Site]],Table35[#All],2,FALSE)</f>
        <v>4, 25, 41</v>
      </c>
      <c r="M485" s="32" t="str">
        <f>VLOOKUP(Tabla3[[#This Row],[Site]],Table35[#All],3,FALSE)</f>
        <v>-</v>
      </c>
      <c r="N485" s="32" t="str">
        <f>VLOOKUP(Tabla3[[#This Row],[Site]],Table35[#All],4,FALSE)</f>
        <v>-</v>
      </c>
      <c r="O485" s="32" t="str">
        <f>VLOOKUP(Tabla3[[#This Row],[Site]],Table35[#All],5,FALSE)</f>
        <v xml:space="preserve">11, 32, 35 </v>
      </c>
      <c r="P485" s="32" t="str">
        <f>VLOOKUP(Tabla3[[#This Row],[Site]],Table35[#All],6,FALSE)</f>
        <v>6, 11, 18, 29, 34,  38, 39</v>
      </c>
      <c r="Q485" s="32" t="str">
        <f>VLOOKUP(Tabla3[[#This Row],[Site]],Table35[#All],8,FALSE)</f>
        <v>299</v>
      </c>
    </row>
    <row r="486" spans="1:17" hidden="1" x14ac:dyDescent="0.25">
      <c r="A486" t="str">
        <f>+Tabla3[[#This Row],[Site]]&amp;Tabla3[[#This Row],[Split]]</f>
        <v>(LT) Luther Brookdale Toyota9</v>
      </c>
      <c r="B486">
        <v>9</v>
      </c>
      <c r="C486">
        <v>1</v>
      </c>
      <c r="D486" t="s">
        <v>125</v>
      </c>
      <c r="E486" t="str">
        <f>VLOOKUP(Tabla3[[#This Row],[Site]],Table35[],10,FALSE)</f>
        <v>10:00 P.M.</v>
      </c>
      <c r="F486" t="str">
        <f>VLOOKUP(Tabla3[[#This Row],[Site]],Table35[],11,FALSE)</f>
        <v>CT</v>
      </c>
      <c r="G486" t="str">
        <f>VLOOKUP(Tabla3[[#This Row],[Site]],Table35[],12,FALSE)</f>
        <v>5:00 A.M.</v>
      </c>
      <c r="H486" s="74" t="str">
        <f>HYPERLINK(VLOOKUP(Tabla3[[#This Row],[Site]],Table35[#All],9,FALSE))</f>
        <v>https://tools.sig.systems/site/details/281</v>
      </c>
      <c r="I486" t="str">
        <f>VLOOKUP(Tabla3[[#This Row],[Site]],Table35[],13,FALSE)</f>
        <v>https://www.google.com/maps/d/viewer?mid=1ot0ILX76JMuvd9yMuqkb4_e0yH1n7TA&amp;ll=45.07815812965141%2C-93.33506855000002&amp;z=17</v>
      </c>
      <c r="J486" t="str">
        <f>VLOOKUP(Tabla3[[#This Row],[Site]],Table35[],14,FALSE)</f>
        <v>-</v>
      </c>
      <c r="L486" s="32" t="str">
        <f>VLOOKUP(Tabla3[[#This Row],[Site]],Table35[#All],2,FALSE)</f>
        <v>-</v>
      </c>
      <c r="M486" s="32" t="str">
        <f>VLOOKUP(Tabla3[[#This Row],[Site]],Table35[#All],3,FALSE)</f>
        <v>5, 7</v>
      </c>
      <c r="N486" s="32">
        <f>VLOOKUP(Tabla3[[#This Row],[Site]],Table35[#All],4,FALSE)</f>
        <v>29</v>
      </c>
      <c r="O486" s="32">
        <f>VLOOKUP(Tabla3[[#This Row],[Site]],Table35[#All],5,FALSE)</f>
        <v>20</v>
      </c>
      <c r="P486" s="32" t="str">
        <f>VLOOKUP(Tabla3[[#This Row],[Site]],Table35[#All],6,FALSE)</f>
        <v xml:space="preserve">1, 2, 4, 10, 18, 24, 25 </v>
      </c>
      <c r="Q486" s="32" t="str">
        <f>VLOOKUP(Tabla3[[#This Row],[Site]],Table35[#All],8,FALSE)</f>
        <v>281</v>
      </c>
    </row>
    <row r="487" spans="1:17" hidden="1" x14ac:dyDescent="0.25">
      <c r="A487" t="str">
        <f>+Tabla3[[#This Row],[Site]]&amp;Tabla3[[#This Row],[Split]]</f>
        <v>(LT) Luther Burnsville Hyundai9</v>
      </c>
      <c r="B487">
        <v>9</v>
      </c>
      <c r="C487">
        <v>1</v>
      </c>
      <c r="D487" t="s">
        <v>280</v>
      </c>
      <c r="E487" t="str">
        <f>VLOOKUP(Tabla3[[#This Row],[Site]],Table35[],10,FALSE)</f>
        <v>10:00 P.M.</v>
      </c>
      <c r="F487" t="str">
        <f>VLOOKUP(Tabla3[[#This Row],[Site]],Table35[],11,FALSE)</f>
        <v>CT</v>
      </c>
      <c r="G487" t="str">
        <f>VLOOKUP(Tabla3[[#This Row],[Site]],Table35[],12,FALSE)</f>
        <v>6:00 A.M.</v>
      </c>
      <c r="H487" s="74" t="str">
        <f>HYPERLINK(VLOOKUP(Tabla3[[#This Row],[Site]],Table35[#All],9,FALSE))</f>
        <v>https://tools.sig.systems/site/details/307</v>
      </c>
      <c r="I487">
        <f>VLOOKUP(Tabla3[[#This Row],[Site]],Table35[],13,FALSE)</f>
        <v>0</v>
      </c>
      <c r="J487" t="str">
        <f>VLOOKUP(Tabla3[[#This Row],[Site]],Table35[],14,FALSE)</f>
        <v>-</v>
      </c>
      <c r="L487" s="32" t="str">
        <f>VLOOKUP(Tabla3[[#This Row],[Site]],Table35[#All],2,FALSE)</f>
        <v>-</v>
      </c>
      <c r="M487" s="32" t="str">
        <f>VLOOKUP(Tabla3[[#This Row],[Site]],Table35[#All],3,FALSE)</f>
        <v>6, 17</v>
      </c>
      <c r="N487" s="32" t="str">
        <f>VLOOKUP(Tabla3[[#This Row],[Site]],Table35[#All],4,FALSE)</f>
        <v>22, 21</v>
      </c>
      <c r="O487" s="32">
        <f>VLOOKUP(Tabla3[[#This Row],[Site]],Table35[#All],5,FALSE)</f>
        <v>7</v>
      </c>
      <c r="P487" s="32" t="str">
        <f>VLOOKUP(Tabla3[[#This Row],[Site]],Table35[#All],6,FALSE)</f>
        <v>2, 4, 16</v>
      </c>
      <c r="Q487" s="32" t="str">
        <f>VLOOKUP(Tabla3[[#This Row],[Site]],Table35[#All],8,FALSE)</f>
        <v>307</v>
      </c>
    </row>
    <row r="488" spans="1:17" hidden="1" x14ac:dyDescent="0.25">
      <c r="A488" t="str">
        <f>+Tabla3[[#This Row],[Site]]&amp;Tabla3[[#This Row],[Split]]</f>
        <v>(PE) BMW Service Center (NO TOURS)9</v>
      </c>
      <c r="B488">
        <v>9</v>
      </c>
      <c r="C488">
        <v>1</v>
      </c>
      <c r="D488" t="s">
        <v>38</v>
      </c>
      <c r="E488" t="str">
        <f>VLOOKUP(Tabla3[[#This Row],[Site]],Table35[],10,FALSE)</f>
        <v>8:00 P.M.</v>
      </c>
      <c r="F488" t="str">
        <f>VLOOKUP(Tabla3[[#This Row],[Site]],Table35[],11,FALSE)</f>
        <v>ET</v>
      </c>
      <c r="G488" t="str">
        <f>VLOOKUP(Tabla3[[#This Row],[Site]],Table35[],12,FALSE)</f>
        <v>5:00 A.M.</v>
      </c>
      <c r="H488" s="74" t="str">
        <f>HYPERLINK(VLOOKUP(Tabla3[[#This Row],[Site]],Table35[#All],9,FALSE))</f>
        <v>https://tools.sig.systems/site/details/184</v>
      </c>
      <c r="I488" t="str">
        <f>VLOOKUP(Tabla3[[#This Row],[Site]],Table35[],13,FALSE)</f>
        <v>https://www.google.com/maps/d/edit?hl=en&amp;mid=1UHmt7tH1ihTa85i0MfQIcTfVvIQg_vM&amp;ll=41.02423447529239%2C-73.63721502222738&amp;z=18</v>
      </c>
      <c r="J488" t="str">
        <f>VLOOKUP(Tabla3[[#This Row],[Site]],Table35[],14,FALSE)</f>
        <v>-</v>
      </c>
      <c r="L488" s="32">
        <f>VLOOKUP(Tabla3[[#This Row],[Site]],Table35[#All],2,FALSE)</f>
        <v>3</v>
      </c>
      <c r="M488" s="32" t="str">
        <f>VLOOKUP(Tabla3[[#This Row],[Site]],Table35[#All],3,FALSE)</f>
        <v>-</v>
      </c>
      <c r="N488" s="32" t="str">
        <f>VLOOKUP(Tabla3[[#This Row],[Site]],Table35[#All],4,FALSE)</f>
        <v>-</v>
      </c>
      <c r="O488" s="32" t="str">
        <f>VLOOKUP(Tabla3[[#This Row],[Site]],Table35[#All],5,FALSE)</f>
        <v>-</v>
      </c>
      <c r="P488" s="32" t="str">
        <f>VLOOKUP(Tabla3[[#This Row],[Site]],Table35[#All],6,FALSE)</f>
        <v xml:space="preserve">1, 2 </v>
      </c>
      <c r="Q488" s="32" t="str">
        <f>VLOOKUP(Tabla3[[#This Row],[Site]],Table35[#All],8,FALSE)</f>
        <v>184</v>
      </c>
    </row>
    <row r="489" spans="1:17" hidden="1" x14ac:dyDescent="0.25">
      <c r="A489" t="str">
        <f>+Tabla3[[#This Row],[Site]]&amp;Tabla3[[#This Row],[Split]]</f>
        <v>(PE) MB of Greenwich9</v>
      </c>
      <c r="B489">
        <v>9</v>
      </c>
      <c r="C489">
        <v>1</v>
      </c>
      <c r="D489" t="s">
        <v>120</v>
      </c>
      <c r="E489" t="str">
        <f>VLOOKUP(Tabla3[[#This Row],[Site]],Table35[],10,FALSE)</f>
        <v>8:00 P.M.</v>
      </c>
      <c r="F489" t="str">
        <f>VLOOKUP(Tabla3[[#This Row],[Site]],Table35[],11,FALSE)</f>
        <v>ET</v>
      </c>
      <c r="G489" t="str">
        <f>VLOOKUP(Tabla3[[#This Row],[Site]],Table35[],12,FALSE)</f>
        <v>5:00 A.M.</v>
      </c>
      <c r="H489" s="74" t="str">
        <f>HYPERLINK(VLOOKUP(Tabla3[[#This Row],[Site]],Table35[#All],9,FALSE))</f>
        <v>https://tools.sig.systems/site/details/188</v>
      </c>
      <c r="I489" t="str">
        <f>VLOOKUP(Tabla3[[#This Row],[Site]],Table35[],13,FALSE)</f>
        <v>https://www.google.com/maps/d/edit?hl=en&amp;mid=1UHmt7tH1ihTa85i0MfQIcTfVvIQg_vM&amp;ll=41.02423447529239%2C-73.63721502222738&amp;z=18</v>
      </c>
      <c r="J489" t="str">
        <f>VLOOKUP(Tabla3[[#This Row],[Site]],Table35[],14,FALSE)</f>
        <v>-</v>
      </c>
      <c r="L489" s="32" t="str">
        <f>VLOOKUP(Tabla3[[#This Row],[Site]],Table35[#All],2,FALSE)</f>
        <v>1, 2, 8</v>
      </c>
      <c r="M489" s="32" t="str">
        <f>VLOOKUP(Tabla3[[#This Row],[Site]],Table35[#All],3,FALSE)</f>
        <v>13, 14, 20, 26, 40</v>
      </c>
      <c r="N489" s="32" t="str">
        <f>VLOOKUP(Tabla3[[#This Row],[Site]],Table35[#All],4,FALSE)</f>
        <v>-</v>
      </c>
      <c r="O489" s="32" t="str">
        <f>VLOOKUP(Tabla3[[#This Row],[Site]],Table35[#All],5,FALSE)</f>
        <v>-</v>
      </c>
      <c r="P489" s="32">
        <f>VLOOKUP(Tabla3[[#This Row],[Site]],Table35[#All],6,FALSE)</f>
        <v>29</v>
      </c>
      <c r="Q489" s="32" t="str">
        <f>VLOOKUP(Tabla3[[#This Row],[Site]],Table35[#All],8,FALSE)</f>
        <v>188</v>
      </c>
    </row>
    <row r="490" spans="1:17" hidden="1" x14ac:dyDescent="0.25">
      <c r="A490" t="str">
        <f>+Tabla3[[#This Row],[Site]]&amp;Tabla3[[#This Row],[Split]]</f>
        <v>(AS) Coggin BMW Ft. Pierce (NO TOURS)9</v>
      </c>
      <c r="B490">
        <v>9</v>
      </c>
      <c r="C490">
        <v>2</v>
      </c>
      <c r="D490" t="s">
        <v>121</v>
      </c>
      <c r="E490" t="str">
        <f>VLOOKUP(Tabla3[[#This Row],[Site]],Table35[],10,FALSE)</f>
        <v>9:00 P.M.</v>
      </c>
      <c r="F490" t="str">
        <f>VLOOKUP(Tabla3[[#This Row],[Site]],Table35[],11,FALSE)</f>
        <v>ET</v>
      </c>
      <c r="G490" t="str">
        <f>VLOOKUP(Tabla3[[#This Row],[Site]],Table35[],12,FALSE)</f>
        <v>5:00 A.M.</v>
      </c>
      <c r="H490" s="74" t="str">
        <f>HYPERLINK(VLOOKUP(Tabla3[[#This Row],[Site]],Table35[#All],9,FALSE))</f>
        <v>https://tools.sig.systems/site/details/119</v>
      </c>
      <c r="I490" t="str">
        <f>VLOOKUP(Tabla3[[#This Row],[Site]],Table35[],13,FALSE)</f>
        <v>https://www.google.com/maps/d/viewer?mid=1AyViBuyeq7iwDua1SVudJ2A1BYi3IBA&amp;ll=27.38181516363982%2C-80.32568845000002&amp;z=18</v>
      </c>
      <c r="J490" t="str">
        <f>VLOOKUP(Tabla3[[#This Row],[Site]],Table35[],14,FALSE)</f>
        <v>-</v>
      </c>
      <c r="L490" s="32" t="str">
        <f>VLOOKUP(Tabla3[[#This Row],[Site]],Table35[#All],2,FALSE)</f>
        <v>3, 10, 13</v>
      </c>
      <c r="M490" s="32" t="str">
        <f>VLOOKUP(Tabla3[[#This Row],[Site]],Table35[#All],3,FALSE)</f>
        <v>-</v>
      </c>
      <c r="N490" s="32" t="str">
        <f>VLOOKUP(Tabla3[[#This Row],[Site]],Table35[#All],4,FALSE)</f>
        <v>-</v>
      </c>
      <c r="O490" s="32">
        <f>VLOOKUP(Tabla3[[#This Row],[Site]],Table35[#All],5,FALSE)</f>
        <v>2</v>
      </c>
      <c r="P490" s="32" t="str">
        <f>VLOOKUP(Tabla3[[#This Row],[Site]],Table35[#All],6,FALSE)</f>
        <v>1, 20, 27</v>
      </c>
      <c r="Q490" s="32" t="str">
        <f>VLOOKUP(Tabla3[[#This Row],[Site]],Table35[#All],8,FALSE)</f>
        <v>119</v>
      </c>
    </row>
    <row r="491" spans="1:17" hidden="1" x14ac:dyDescent="0.25">
      <c r="A491" t="str">
        <f>+Tabla3[[#This Row],[Site]]&amp;Tabla3[[#This Row],[Split]]</f>
        <v>(AS) Koons Baltimore Ford - Main Dealership (NO TOURS)9</v>
      </c>
      <c r="B491">
        <v>9</v>
      </c>
      <c r="C491">
        <v>2</v>
      </c>
      <c r="D491" t="s">
        <v>351</v>
      </c>
      <c r="E491" t="str">
        <f>VLOOKUP(Tabla3[[#This Row],[Site]],Table35[],10,FALSE)</f>
        <v>9:00 P.M.</v>
      </c>
      <c r="F491" t="str">
        <f>VLOOKUP(Tabla3[[#This Row],[Site]],Table35[],11,FALSE)</f>
        <v>ET</v>
      </c>
      <c r="G491" t="str">
        <f>VLOOKUP(Tabla3[[#This Row],[Site]],Table35[],12,FALSE)</f>
        <v>5:00 A.M.</v>
      </c>
      <c r="H491" s="74" t="str">
        <f>HYPERLINK(VLOOKUP(Tabla3[[#This Row],[Site]],Table35[#All],9,FALSE))</f>
        <v>https://tools.sig.systems/site/details/335</v>
      </c>
      <c r="I491" t="str">
        <f>VLOOKUP(Tabla3[[#This Row],[Site]],Table35[],13,FALSE)</f>
        <v>-</v>
      </c>
      <c r="J491" t="str">
        <f>VLOOKUP(Tabla3[[#This Row],[Site]],Table35[],14,FALSE)</f>
        <v>-</v>
      </c>
      <c r="L491" s="32" t="str">
        <f>VLOOKUP(Tabla3[[#This Row],[Site]],Table35[#All],2,FALSE)</f>
        <v>21, 22, 24, 32, 45</v>
      </c>
      <c r="M491" s="32">
        <f>VLOOKUP(Tabla3[[#This Row],[Site]],Table35[#All],3,FALSE)</f>
        <v>1</v>
      </c>
      <c r="N491" s="32" t="str">
        <f>VLOOKUP(Tabla3[[#This Row],[Site]],Table35[#All],4,FALSE)</f>
        <v>-</v>
      </c>
      <c r="O491" s="32" t="str">
        <f>VLOOKUP(Tabla3[[#This Row],[Site]],Table35[#All],5,FALSE)</f>
        <v>1, 8</v>
      </c>
      <c r="P491" s="32" t="str">
        <f>VLOOKUP(Tabla3[[#This Row],[Site]],Table35[#All],6,FALSE)</f>
        <v>5, 28, 38</v>
      </c>
      <c r="Q491" s="32" t="str">
        <f>VLOOKUP(Tabla3[[#This Row],[Site]],Table35[#All],8,FALSE)</f>
        <v>335</v>
      </c>
    </row>
    <row r="492" spans="1:17" hidden="1" x14ac:dyDescent="0.25">
      <c r="A492" t="str">
        <f>+Tabla3[[#This Row],[Site]]&amp;Tabla3[[#This Row],[Split]]</f>
        <v>(AS) Koons Chevrolet Buick GMC - Clarksville Remote Lot (NO TOURS)9</v>
      </c>
      <c r="B492">
        <v>9</v>
      </c>
      <c r="C492">
        <v>2</v>
      </c>
      <c r="D492" t="s">
        <v>415</v>
      </c>
      <c r="E492" t="str">
        <f>VLOOKUP(Tabla3[[#This Row],[Site]],Table35[],10,FALSE)</f>
        <v>9:00 P.M.</v>
      </c>
      <c r="F492" t="str">
        <f>VLOOKUP(Tabla3[[#This Row],[Site]],Table35[],11,FALSE)</f>
        <v>ET</v>
      </c>
      <c r="G492" t="str">
        <f>VLOOKUP(Tabla3[[#This Row],[Site]],Table35[],12,FALSE)</f>
        <v>5:00 A.M.</v>
      </c>
      <c r="H492" s="74" t="str">
        <f>HYPERLINK(VLOOKUP(Tabla3[[#This Row],[Site]],Table35[#All],9,FALSE))</f>
        <v>https://tools.sig.systems/site/details/308</v>
      </c>
      <c r="I492" t="str">
        <f>VLOOKUP(Tabla3[[#This Row],[Site]],Table35[],13,FALSE)</f>
        <v>https://www.google.com/maps/d/edit?hl=es&amp;mid=11XB1lTSP7EcDCDvzypdUPWP6bWCNAEI&amp;ll=39.21145022420528%2C-76.94003711910554&amp;z=21</v>
      </c>
      <c r="J492" t="str">
        <f>VLOOKUP(Tabla3[[#This Row],[Site]],Table35[],14,FALSE)</f>
        <v>10:00 A.M.</v>
      </c>
      <c r="L492" s="32" t="str">
        <f>VLOOKUP(Tabla3[[#This Row],[Site]],Table35[#All],2,FALSE)</f>
        <v>-</v>
      </c>
      <c r="M492" s="32" t="str">
        <f>VLOOKUP(Tabla3[[#This Row],[Site]],Table35[#All],3,FALSE)</f>
        <v>1, 5</v>
      </c>
      <c r="N492" s="32" t="str">
        <f>VLOOKUP(Tabla3[[#This Row],[Site]],Table35[#All],4,FALSE)</f>
        <v>-</v>
      </c>
      <c r="O492" s="32" t="str">
        <f>VLOOKUP(Tabla3[[#This Row],[Site]],Table35[#All],5,FALSE)</f>
        <v>-</v>
      </c>
      <c r="P492" s="32" t="str">
        <f>VLOOKUP(Tabla3[[#This Row],[Site]],Table35[#All],6,FALSE)</f>
        <v>14, 16</v>
      </c>
      <c r="Q492" s="32" t="str">
        <f>VLOOKUP(Tabla3[[#This Row],[Site]],Table35[#All],8,FALSE)</f>
        <v>308</v>
      </c>
    </row>
    <row r="493" spans="1:17" hidden="1" x14ac:dyDescent="0.25">
      <c r="A493" t="str">
        <f>+Tabla3[[#This Row],[Site]]&amp;Tabla3[[#This Row],[Split]]</f>
        <v>(AS) Koons Westminster Toyota (NO TOURS)9</v>
      </c>
      <c r="B493">
        <v>9</v>
      </c>
      <c r="C493">
        <v>2</v>
      </c>
      <c r="D493" t="s">
        <v>422</v>
      </c>
      <c r="E493" t="str">
        <f>VLOOKUP(Tabla3[[#This Row],[Site]],Table35[],10,FALSE)</f>
        <v>9:00 P.M.</v>
      </c>
      <c r="F493" t="str">
        <f>VLOOKUP(Tabla3[[#This Row],[Site]],Table35[],11,FALSE)</f>
        <v>ET</v>
      </c>
      <c r="G493" t="str">
        <f>VLOOKUP(Tabla3[[#This Row],[Site]],Table35[],12,FALSE)</f>
        <v>5:00 A.M.</v>
      </c>
      <c r="H493" s="74" t="str">
        <f>HYPERLINK(VLOOKUP(Tabla3[[#This Row],[Site]],Table35[#All],9,FALSE))</f>
        <v>https://tools.sig.systems/site/details/341</v>
      </c>
      <c r="I493" t="str">
        <f>VLOOKUP(Tabla3[[#This Row],[Site]],Table35[],13,FALSE)</f>
        <v>-</v>
      </c>
      <c r="J493" t="str">
        <f>VLOOKUP(Tabla3[[#This Row],[Site]],Table35[],14,FALSE)</f>
        <v>-</v>
      </c>
      <c r="L493" s="32" t="str">
        <f>VLOOKUP(Tabla3[[#This Row],[Site]],Table35[#All],2,FALSE)</f>
        <v>-</v>
      </c>
      <c r="M493" s="32" t="str">
        <f>VLOOKUP(Tabla3[[#This Row],[Site]],Table35[#All],3,FALSE)</f>
        <v>1, 7, 9, 18, 25</v>
      </c>
      <c r="N493" s="32" t="str">
        <f>VLOOKUP(Tabla3[[#This Row],[Site]],Table35[#All],4,FALSE)</f>
        <v>-</v>
      </c>
      <c r="O493" s="32" t="str">
        <f>VLOOKUP(Tabla3[[#This Row],[Site]],Table35[#All],5,FALSE)</f>
        <v>-</v>
      </c>
      <c r="P493" s="32" t="str">
        <f>VLOOKUP(Tabla3[[#This Row],[Site]],Table35[#All],6,FALSE)</f>
        <v>8, 14, 16</v>
      </c>
      <c r="Q493" s="32">
        <v>341</v>
      </c>
    </row>
    <row r="494" spans="1:17" hidden="1" x14ac:dyDescent="0.25">
      <c r="A494" t="str">
        <f>+Tabla3[[#This Row],[Site]]&amp;Tabla3[[#This Row],[Split]]</f>
        <v>(AS) Koons Woodbridge GMC (NO TOURS)9</v>
      </c>
      <c r="B494">
        <v>9</v>
      </c>
      <c r="C494">
        <v>2</v>
      </c>
      <c r="D494" t="s">
        <v>383</v>
      </c>
      <c r="E494" t="str">
        <f>VLOOKUP(Tabla3[[#This Row],[Site]],Table35[],10,FALSE)</f>
        <v>9:00 P.M.</v>
      </c>
      <c r="F494" t="str">
        <f>VLOOKUP(Tabla3[[#This Row],[Site]],Table35[],11,FALSE)</f>
        <v>ET</v>
      </c>
      <c r="G494" t="str">
        <f>VLOOKUP(Tabla3[[#This Row],[Site]],Table35[],12,FALSE)</f>
        <v>5:00 A.M.</v>
      </c>
      <c r="H494" s="74" t="str">
        <f>HYPERLINK(VLOOKUP(Tabla3[[#This Row],[Site]],Table35[#All],9,FALSE))</f>
        <v>https://tools.sig.systems/site/details/343</v>
      </c>
      <c r="I494">
        <f>VLOOKUP(Tabla3[[#This Row],[Site]],Table35[],13,FALSE)</f>
        <v>0</v>
      </c>
      <c r="J494" t="str">
        <f>VLOOKUP(Tabla3[[#This Row],[Site]],Table35[],14,FALSE)</f>
        <v>10:00 A.M.</v>
      </c>
      <c r="L494" s="32" t="str">
        <f>VLOOKUP(Tabla3[[#This Row],[Site]],Table35[#All],2,FALSE)</f>
        <v>-</v>
      </c>
      <c r="M494" s="32">
        <f>VLOOKUP(Tabla3[[#This Row],[Site]],Table35[#All],3,FALSE)</f>
        <v>1</v>
      </c>
      <c r="N494" s="32" t="str">
        <f>VLOOKUP(Tabla3[[#This Row],[Site]],Table35[#All],4,FALSE)</f>
        <v>-</v>
      </c>
      <c r="O494" s="32">
        <f>VLOOKUP(Tabla3[[#This Row],[Site]],Table35[#All],5,FALSE)</f>
        <v>11</v>
      </c>
      <c r="P494" s="32" t="str">
        <f>VLOOKUP(Tabla3[[#This Row],[Site]],Table35[#All],6,FALSE)</f>
        <v>2, 7</v>
      </c>
      <c r="Q494" s="32" t="str">
        <f>VLOOKUP(Tabla3[[#This Row],[Site]],Table35[#All],8,FALSE)</f>
        <v>343</v>
      </c>
    </row>
    <row r="495" spans="1:17" hidden="1" x14ac:dyDescent="0.25">
      <c r="A495" t="str">
        <f>+Tabla3[[#This Row],[Site]]&amp;Tabla3[[#This Row],[Split]]</f>
        <v>(DT) Modesto9</v>
      </c>
      <c r="B495">
        <v>9</v>
      </c>
      <c r="C495">
        <v>2</v>
      </c>
      <c r="D495" t="s">
        <v>14</v>
      </c>
      <c r="E495" t="str">
        <f>VLOOKUP(Tabla3[[#This Row],[Site]],Table35[],10,FALSE)</f>
        <v>12:00 A.M.</v>
      </c>
      <c r="F495" t="str">
        <f>VLOOKUP(Tabla3[[#This Row],[Site]],Table35[],11,FALSE)</f>
        <v>PT</v>
      </c>
      <c r="G495" t="str">
        <f>VLOOKUP(Tabla3[[#This Row],[Site]],Table35[],12,FALSE)</f>
        <v>8:00 A.M.</v>
      </c>
      <c r="H495" s="74" t="str">
        <f>HYPERLINK(VLOOKUP(Tabla3[[#This Row],[Site]],Table35[#All],9,FALSE))</f>
        <v>https://tools.sig.systems/site/details/267</v>
      </c>
      <c r="I495">
        <f>VLOOKUP(Tabla3[[#This Row],[Site]],Table35[],13,FALSE)</f>
        <v>0</v>
      </c>
      <c r="J495" t="str">
        <f>VLOOKUP(Tabla3[[#This Row],[Site]],Table35[],14,FALSE)</f>
        <v>-</v>
      </c>
      <c r="L495" s="32">
        <f>VLOOKUP(Tabla3[[#This Row],[Site]],Table35[#All],2,FALSE)</f>
        <v>10</v>
      </c>
      <c r="M495" s="32" t="str">
        <f>VLOOKUP(Tabla3[[#This Row],[Site]],Table35[#All],3,FALSE)</f>
        <v>5, 6</v>
      </c>
      <c r="N495" s="32" t="str">
        <f>VLOOKUP(Tabla3[[#This Row],[Site]],Table35[#All],4,FALSE)</f>
        <v>-</v>
      </c>
      <c r="O495" s="32" t="str">
        <f>VLOOKUP(Tabla3[[#This Row],[Site]],Table35[#All],5,FALSE)</f>
        <v>-</v>
      </c>
      <c r="P495" s="32" t="str">
        <f>VLOOKUP(Tabla3[[#This Row],[Site]],Table35[#All],6,FALSE)</f>
        <v>2, 3, 5, 10</v>
      </c>
      <c r="Q495" s="32" t="str">
        <f>VLOOKUP(Tabla3[[#This Row],[Site]],Table35[#All],8,FALSE)</f>
        <v>267</v>
      </c>
    </row>
    <row r="496" spans="1:17" hidden="1" x14ac:dyDescent="0.25">
      <c r="A496" t="str">
        <f>+Tabla3[[#This Row],[Site]]&amp;Tabla3[[#This Row],[Split]]</f>
        <v>(KG) Ken Garff Kia of Avondale9</v>
      </c>
      <c r="B496">
        <v>9</v>
      </c>
      <c r="C496">
        <v>2</v>
      </c>
      <c r="D496" t="s">
        <v>297</v>
      </c>
      <c r="E496" t="str">
        <f>VLOOKUP(Tabla3[[#This Row],[Site]],Table35[],10,FALSE)</f>
        <v>12:00 A.M.</v>
      </c>
      <c r="F496" t="str">
        <f>VLOOKUP(Tabla3[[#This Row],[Site]],Table35[],11,FALSE)</f>
        <v>MST</v>
      </c>
      <c r="G496" t="str">
        <f>VLOOKUP(Tabla3[[#This Row],[Site]],Table35[],12,FALSE)</f>
        <v>8:00 A.M.</v>
      </c>
      <c r="H496" s="74" t="str">
        <f>HYPERLINK(VLOOKUP(Tabla3[[#This Row],[Site]],Table35[#All],9,FALSE))</f>
        <v>https://tools.sig.systems/site/details/283</v>
      </c>
      <c r="I496" t="str">
        <f>VLOOKUP(Tabla3[[#This Row],[Site]],Table35[],13,FALSE)</f>
        <v>https://www.google.com/maps/d/viewer?mid=1bDs0QGFZwL3vEeGKxjVMk_j4azr0-lg&amp;ll=33.4593758581648%2C-112.28793780000001&amp;z=18</v>
      </c>
      <c r="J496" t="str">
        <f>VLOOKUP(Tabla3[[#This Row],[Site]],Table35[],14,FALSE)</f>
        <v>12:00 P.M.</v>
      </c>
      <c r="L496" s="32" t="str">
        <f>VLOOKUP(Tabla3[[#This Row],[Site]],Table35[#All],2,FALSE)</f>
        <v>5, 19</v>
      </c>
      <c r="M496" s="32" t="str">
        <f>VLOOKUP(Tabla3[[#This Row],[Site]],Table35[#All],3,FALSE)</f>
        <v>-</v>
      </c>
      <c r="N496" s="32" t="str">
        <f>VLOOKUP(Tabla3[[#This Row],[Site]],Table35[#All],4,FALSE)</f>
        <v>-</v>
      </c>
      <c r="O496" s="32" t="str">
        <f>VLOOKUP(Tabla3[[#This Row],[Site]],Table35[#All],5,FALSE)</f>
        <v>3, 5</v>
      </c>
      <c r="P496" s="32" t="str">
        <f>VLOOKUP(Tabla3[[#This Row],[Site]],Table35[#All],6,FALSE)</f>
        <v>1, 6, 7, 12, 15, 17, 21</v>
      </c>
      <c r="Q496" s="32" t="str">
        <f>VLOOKUP(Tabla3[[#This Row],[Site]],Table35[#All],8,FALSE)</f>
        <v>283</v>
      </c>
    </row>
    <row r="497" spans="1:17" hidden="1" x14ac:dyDescent="0.25">
      <c r="A497" t="str">
        <f>+Tabla3[[#This Row],[Site]]&amp;Tabla3[[#This Row],[Split]]</f>
        <v>(LT) Luther Genesis of Minneapolis9</v>
      </c>
      <c r="B497">
        <v>9</v>
      </c>
      <c r="C497">
        <v>2</v>
      </c>
      <c r="D497" t="s">
        <v>260</v>
      </c>
      <c r="E497" t="str">
        <f>VLOOKUP(Tabla3[[#This Row],[Site]],Table35[],10,FALSE)</f>
        <v>10:00 P.M.</v>
      </c>
      <c r="F497" t="str">
        <f>VLOOKUP(Tabla3[[#This Row],[Site]],Table35[],11,FALSE)</f>
        <v>CT</v>
      </c>
      <c r="G497" t="str">
        <f>VLOOKUP(Tabla3[[#This Row],[Site]],Table35[],12,FALSE)</f>
        <v>6:00 A.M.</v>
      </c>
      <c r="H497" s="74" t="str">
        <f>HYPERLINK(VLOOKUP(Tabla3[[#This Row],[Site]],Table35[#All],9,FALSE))</f>
        <v>https://tools.sig.systems/site/details/315</v>
      </c>
      <c r="I497">
        <f>VLOOKUP(Tabla3[[#This Row],[Site]],Table35[],13,FALSE)</f>
        <v>0</v>
      </c>
      <c r="J497" t="str">
        <f>VLOOKUP(Tabla3[[#This Row],[Site]],Table35[],14,FALSE)</f>
        <v>-</v>
      </c>
      <c r="L497" s="32" t="str">
        <f>VLOOKUP(Tabla3[[#This Row],[Site]],Table35[#All],2,FALSE)</f>
        <v>-</v>
      </c>
      <c r="M497" s="32" t="str">
        <f>VLOOKUP(Tabla3[[#This Row],[Site]],Table35[#All],3,FALSE)</f>
        <v>1,2,3,18</v>
      </c>
      <c r="N497" s="32" t="str">
        <f>VLOOKUP(Tabla3[[#This Row],[Site]],Table35[#All],4,FALSE)</f>
        <v>-</v>
      </c>
      <c r="O497" s="32" t="str">
        <f>VLOOKUP(Tabla3[[#This Row],[Site]],Table35[#All],5,FALSE)</f>
        <v>-</v>
      </c>
      <c r="P497" s="32" t="str">
        <f>VLOOKUP(Tabla3[[#This Row],[Site]],Table35[#All],6,FALSE)</f>
        <v>1,2,3,5,16,18</v>
      </c>
      <c r="Q497" s="32" t="str">
        <f>VLOOKUP(Tabla3[[#This Row],[Site]],Table35[#All],8,FALSE)</f>
        <v>315</v>
      </c>
    </row>
    <row r="498" spans="1:17" hidden="1" x14ac:dyDescent="0.25">
      <c r="A498" t="str">
        <f>+Tabla3[[#This Row],[Site]]&amp;Tabla3[[#This Row],[Split]]</f>
        <v>(AS) Koons MB of Catonsville (NO TOURS)9</v>
      </c>
      <c r="B498">
        <v>9</v>
      </c>
      <c r="C498">
        <v>3</v>
      </c>
      <c r="D498" t="s">
        <v>233</v>
      </c>
      <c r="E498" t="str">
        <f>VLOOKUP(Tabla3[[#This Row],[Site]],Table35[],10,FALSE)</f>
        <v>9:00 P.M.</v>
      </c>
      <c r="F498" t="str">
        <f>VLOOKUP(Tabla3[[#This Row],[Site]],Table35[],11,FALSE)</f>
        <v>ET</v>
      </c>
      <c r="G498" t="str">
        <f>VLOOKUP(Tabla3[[#This Row],[Site]],Table35[],12,FALSE)</f>
        <v>5:00 A.M.</v>
      </c>
      <c r="H498" s="74" t="str">
        <f>HYPERLINK(VLOOKUP(Tabla3[[#This Row],[Site]],Table35[#All],9,FALSE))</f>
        <v>https://tools.sig.systems/site/details/303</v>
      </c>
      <c r="I498">
        <f>VLOOKUP(Tabla3[[#This Row],[Site]],Table35[],13,FALSE)</f>
        <v>0</v>
      </c>
      <c r="J498" t="str">
        <f>VLOOKUP(Tabla3[[#This Row],[Site]],Table35[],14,FALSE)</f>
        <v>-</v>
      </c>
      <c r="L498" s="32" t="str">
        <f>VLOOKUP(Tabla3[[#This Row],[Site]],Table35[#All],2,FALSE)</f>
        <v>-</v>
      </c>
      <c r="M498" s="32" t="str">
        <f>VLOOKUP(Tabla3[[#This Row],[Site]],Table35[#All],3,FALSE)</f>
        <v>15, 16, 17, 29</v>
      </c>
      <c r="N498" s="32">
        <f>VLOOKUP(Tabla3[[#This Row],[Site]],Table35[#All],4,FALSE)</f>
        <v>29</v>
      </c>
      <c r="O498" s="32">
        <f>VLOOKUP(Tabla3[[#This Row],[Site]],Table35[#All],5,FALSE)</f>
        <v>5</v>
      </c>
      <c r="P498" s="32" t="str">
        <f>VLOOKUP(Tabla3[[#This Row],[Site]],Table35[#All],6,FALSE)</f>
        <v>1, 7, 8, 12, 19, 32</v>
      </c>
      <c r="Q498" s="32" t="str">
        <f>VLOOKUP(Tabla3[[#This Row],[Site]],Table35[#All],8,FALSE)</f>
        <v>303</v>
      </c>
    </row>
    <row r="499" spans="1:17" hidden="1" x14ac:dyDescent="0.25">
      <c r="A499" t="str">
        <f>+Tabla3[[#This Row],[Site]]&amp;Tabla3[[#This Row],[Split]]</f>
        <v>(AS) Koons Tysons Toyota - Main Dealership (NO TOURS)9</v>
      </c>
      <c r="B499">
        <v>9</v>
      </c>
      <c r="C499">
        <v>3</v>
      </c>
      <c r="D499" t="s">
        <v>432</v>
      </c>
      <c r="E499" t="str">
        <f>VLOOKUP(Tabla3[[#This Row],[Site]],Table35[],10,FALSE)</f>
        <v>9:00 P.M.</v>
      </c>
      <c r="F499" t="str">
        <f>VLOOKUP(Tabla3[[#This Row],[Site]],Table35[],11,FALSE)</f>
        <v>ET</v>
      </c>
      <c r="G499" t="str">
        <f>VLOOKUP(Tabla3[[#This Row],[Site]],Table35[],12,FALSE)</f>
        <v>5:00 A.M.</v>
      </c>
      <c r="H499" s="74" t="str">
        <f>HYPERLINK(VLOOKUP(Tabla3[[#This Row],[Site]],Table35[#All],9,FALSE))</f>
        <v>https://tools.sig.systems/site/details/344</v>
      </c>
      <c r="I499" t="str">
        <f>VLOOKUP(Tabla3[[#This Row],[Site]],Table35[],13,FALSE)</f>
        <v>-</v>
      </c>
      <c r="J499" t="str">
        <f>VLOOKUP(Tabla3[[#This Row],[Site]],Table35[],14,FALSE)</f>
        <v>-</v>
      </c>
      <c r="L499" s="32" t="str">
        <f>VLOOKUP(Tabla3[[#This Row],[Site]],Table35[#All],2,FALSE)</f>
        <v>-</v>
      </c>
      <c r="M499" s="32" t="str">
        <f>VLOOKUP(Tabla3[[#This Row],[Site]],Table35[#All],3,FALSE)</f>
        <v>1, 25</v>
      </c>
      <c r="N499" s="32" t="str">
        <f>VLOOKUP(Tabla3[[#This Row],[Site]],Table35[#All],4,FALSE)</f>
        <v>-</v>
      </c>
      <c r="O499" s="32" t="str">
        <f>VLOOKUP(Tabla3[[#This Row],[Site]],Table35[#All],5,FALSE)</f>
        <v>-</v>
      </c>
      <c r="P499" s="32" t="str">
        <f>VLOOKUP(Tabla3[[#This Row],[Site]],Table35[#All],6,FALSE)</f>
        <v>13, 22, 27</v>
      </c>
      <c r="Q499" s="32" t="str">
        <f>VLOOKUP(Tabla3[[#This Row],[Site]],Table35[#All],8,FALSE)</f>
        <v>344</v>
      </c>
    </row>
    <row r="500" spans="1:17" hidden="1" x14ac:dyDescent="0.25">
      <c r="A500" t="str">
        <f>+Tabla3[[#This Row],[Site]]&amp;Tabla3[[#This Row],[Split]]</f>
        <v>(AS) Koons White Marsh Chevrolet (NO TOURS)9</v>
      </c>
      <c r="B500">
        <v>9</v>
      </c>
      <c r="C500">
        <v>3</v>
      </c>
      <c r="D500" t="s">
        <v>393</v>
      </c>
      <c r="E500" t="str">
        <f>VLOOKUP(Tabla3[[#This Row],[Site]],Table35[],10,FALSE)</f>
        <v>9:00 P.M.</v>
      </c>
      <c r="F500" t="str">
        <f>VLOOKUP(Tabla3[[#This Row],[Site]],Table35[],11,FALSE)</f>
        <v>ET</v>
      </c>
      <c r="G500" t="str">
        <f>VLOOKUP(Tabla3[[#This Row],[Site]],Table35[],12,FALSE)</f>
        <v>5:00 A.M.</v>
      </c>
      <c r="H500" s="74" t="str">
        <f>HYPERLINK(VLOOKUP(Tabla3[[#This Row],[Site]],Table35[#All],9,FALSE))</f>
        <v>https://tools.sig.systems/site/details/339</v>
      </c>
      <c r="I500" t="str">
        <f>VLOOKUP(Tabla3[[#This Row],[Site]],Table35[],13,FALSE)</f>
        <v>-</v>
      </c>
      <c r="J500" t="str">
        <f>VLOOKUP(Tabla3[[#This Row],[Site]],Table35[],14,FALSE)</f>
        <v>-</v>
      </c>
      <c r="L500" s="32">
        <f>VLOOKUP(Tabla3[[#This Row],[Site]],Table35[#All],2,FALSE)</f>
        <v>25</v>
      </c>
      <c r="M500" s="32">
        <f>VLOOKUP(Tabla3[[#This Row],[Site]],Table35[#All],3,FALSE)</f>
        <v>10</v>
      </c>
      <c r="N500" s="32" t="str">
        <f>VLOOKUP(Tabla3[[#This Row],[Site]],Table35[#All],4,FALSE)</f>
        <v>-</v>
      </c>
      <c r="O500" s="32" t="str">
        <f>VLOOKUP(Tabla3[[#This Row],[Site]],Table35[#All],5,FALSE)</f>
        <v>-</v>
      </c>
      <c r="P500" s="32">
        <f>VLOOKUP(Tabla3[[#This Row],[Site]],Table35[#All],6,FALSE)</f>
        <v>12</v>
      </c>
      <c r="Q500" s="32" t="str">
        <f>VLOOKUP(Tabla3[[#This Row],[Site]],Table35[#All],8,FALSE)</f>
        <v>339</v>
      </c>
    </row>
    <row r="501" spans="1:17" hidden="1" x14ac:dyDescent="0.25">
      <c r="A501" t="str">
        <f>+Tabla3[[#This Row],[Site]]&amp;Tabla3[[#This Row],[Split]]</f>
        <v>(AS) Plaza Collision ST Louis (NO TOURS)9</v>
      </c>
      <c r="B501">
        <v>9</v>
      </c>
      <c r="C501">
        <v>3</v>
      </c>
      <c r="D501" t="s">
        <v>437</v>
      </c>
      <c r="E501" t="str">
        <f>VLOOKUP(Tabla3[[#This Row],[Site]],Table35[],10,FALSE)</f>
        <v>10:00 P.M.</v>
      </c>
      <c r="F501" t="str">
        <f>VLOOKUP(Tabla3[[#This Row],[Site]],Table35[],11,FALSE)</f>
        <v>CT</v>
      </c>
      <c r="G501" t="str">
        <f>VLOOKUP(Tabla3[[#This Row],[Site]],Table35[],12,FALSE)</f>
        <v>6:00 A.M.</v>
      </c>
      <c r="H501" s="74" t="str">
        <f>HYPERLINK(VLOOKUP(Tabla3[[#This Row],[Site]],Table35[#All],9,FALSE))</f>
        <v>https://tools.sig.systems/site/details/350</v>
      </c>
      <c r="I501" t="str">
        <f>VLOOKUP(Tabla3[[#This Row],[Site]],Table35[],13,FALSE)</f>
        <v>-</v>
      </c>
      <c r="J501" t="str">
        <f>VLOOKUP(Tabla3[[#This Row],[Site]],Table35[],14,FALSE)</f>
        <v>-</v>
      </c>
      <c r="L501" s="32" t="str">
        <f>VLOOKUP(Tabla3[[#This Row],[Site]],Table35[#All],2,FALSE)</f>
        <v>2, 6</v>
      </c>
      <c r="M501" s="32">
        <f>VLOOKUP(Tabla3[[#This Row],[Site]],Table35[#All],3,FALSE)</f>
        <v>1</v>
      </c>
      <c r="N501" s="32" t="str">
        <f>VLOOKUP(Tabla3[[#This Row],[Site]],Table35[#All],4,FALSE)</f>
        <v>-</v>
      </c>
      <c r="O501" s="32" t="str">
        <f>VLOOKUP(Tabla3[[#This Row],[Site]],Table35[#All],5,FALSE)</f>
        <v>-</v>
      </c>
      <c r="P501" s="32">
        <f>VLOOKUP(Tabla3[[#This Row],[Site]],Table35[#All],6,FALSE)</f>
        <v>3</v>
      </c>
      <c r="Q501" s="32" t="str">
        <f>VLOOKUP(Tabla3[[#This Row],[Site]],Table35[#All],8,FALSE)</f>
        <v>350</v>
      </c>
    </row>
    <row r="502" spans="1:17" hidden="1" x14ac:dyDescent="0.25">
      <c r="A502" t="str">
        <f>+Tabla3[[#This Row],[Site]]&amp;Tabla3[[#This Row],[Split]]</f>
        <v>(LT) Luther Hopkins Honda (NO TOURS)9</v>
      </c>
      <c r="B502">
        <v>9</v>
      </c>
      <c r="C502">
        <v>3</v>
      </c>
      <c r="D502" t="s">
        <v>303</v>
      </c>
      <c r="E502" t="str">
        <f>VLOOKUP(Tabla3[[#This Row],[Site]],Table35[],10,FALSE)</f>
        <v>10:00 P.M.</v>
      </c>
      <c r="F502" t="str">
        <f>VLOOKUP(Tabla3[[#This Row],[Site]],Table35[],11,FALSE)</f>
        <v>CT</v>
      </c>
      <c r="G502" t="str">
        <f>VLOOKUP(Tabla3[[#This Row],[Site]],Table35[],12,FALSE)</f>
        <v>6:00 A.M.</v>
      </c>
      <c r="H502" s="74" t="str">
        <f>HYPERLINK(VLOOKUP(Tabla3[[#This Row],[Site]],Table35[#All],9,FALSE))</f>
        <v>https://tools.sig.systems/site/details/288</v>
      </c>
      <c r="I502">
        <f>VLOOKUP(Tabla3[[#This Row],[Site]],Table35[],13,FALSE)</f>
        <v>0</v>
      </c>
      <c r="J502" t="str">
        <f>VLOOKUP(Tabla3[[#This Row],[Site]],Table35[],14,FALSE)</f>
        <v>-</v>
      </c>
      <c r="L502" s="32" t="str">
        <f>VLOOKUP(Tabla3[[#This Row],[Site]],Table35[#All],2,FALSE)</f>
        <v>-</v>
      </c>
      <c r="M502" s="32" t="str">
        <f>VLOOKUP(Tabla3[[#This Row],[Site]],Table35[#All],3,FALSE)</f>
        <v>9, 36</v>
      </c>
      <c r="N502" s="32" t="str">
        <f>VLOOKUP(Tabla3[[#This Row],[Site]],Table35[#All],4,FALSE)</f>
        <v>38, 39</v>
      </c>
      <c r="O502" s="32" t="str">
        <f>VLOOKUP(Tabla3[[#This Row],[Site]],Table35[#All],5,FALSE)</f>
        <v>3, 26</v>
      </c>
      <c r="P502" s="32" t="str">
        <f>VLOOKUP(Tabla3[[#This Row],[Site]],Table35[#All],6,FALSE)</f>
        <v>1, 4, 11, 18, 23, 25, 31</v>
      </c>
      <c r="Q502" s="32" t="str">
        <f>VLOOKUP(Tabla3[[#This Row],[Site]],Table35[#All],8,FALSE)</f>
        <v>288</v>
      </c>
    </row>
    <row r="503" spans="1:17" hidden="1" x14ac:dyDescent="0.25">
      <c r="A503" t="str">
        <f>+Tabla3[[#This Row],[Site]]&amp;Tabla3[[#This Row],[Split]]</f>
        <v>(AS) Coggin Honda of Orlando (NO TOURS)9</v>
      </c>
      <c r="B503">
        <v>9</v>
      </c>
      <c r="C503">
        <v>4</v>
      </c>
      <c r="D503" t="s">
        <v>375</v>
      </c>
      <c r="E503" t="str">
        <f>VLOOKUP(Tabla3[[#This Row],[Site]],Table35[],10,FALSE)</f>
        <v>9:00 P.M.</v>
      </c>
      <c r="F503" t="str">
        <f>VLOOKUP(Tabla3[[#This Row],[Site]],Table35[],11,FALSE)</f>
        <v>ET</v>
      </c>
      <c r="G503" t="str">
        <f>VLOOKUP(Tabla3[[#This Row],[Site]],Table35[],12,FALSE)</f>
        <v>5:00 A.M.</v>
      </c>
      <c r="H503" s="74" t="str">
        <f>HYPERLINK(VLOOKUP(Tabla3[[#This Row],[Site]],Table35[#All],9,FALSE))</f>
        <v>https://tools.sig.systems/site/details/324</v>
      </c>
      <c r="I503">
        <f>VLOOKUP(Tabla3[[#This Row],[Site]],Table35[],13,FALSE)</f>
        <v>0</v>
      </c>
      <c r="J503" t="str">
        <f>VLOOKUP(Tabla3[[#This Row],[Site]],Table35[],14,FALSE)</f>
        <v>11:00 A.M.</v>
      </c>
      <c r="L503" s="32" t="str">
        <f>VLOOKUP(Tabla3[[#This Row],[Site]],Table35[#All],2,FALSE)</f>
        <v>2, 10, 12B, 14, 38</v>
      </c>
      <c r="M503" s="32" t="str">
        <f>VLOOKUP(Tabla3[[#This Row],[Site]],Table35[#All],3,FALSE)</f>
        <v>-</v>
      </c>
      <c r="N503" s="32" t="str">
        <f>VLOOKUP(Tabla3[[#This Row],[Site]],Table35[#All],4,FALSE)</f>
        <v>-</v>
      </c>
      <c r="O503" s="32" t="str">
        <f>VLOOKUP(Tabla3[[#This Row],[Site]],Table35[#All],5,FALSE)</f>
        <v>12, 31</v>
      </c>
      <c r="P503" s="32" t="str">
        <f>VLOOKUP(Tabla3[[#This Row],[Site]],Table35[#All],6,FALSE)</f>
        <v>12B, 26, 37, 19</v>
      </c>
      <c r="Q503" s="32" t="str">
        <f>VLOOKUP(Tabla3[[#This Row],[Site]],Table35[#All],8,FALSE)</f>
        <v>324</v>
      </c>
    </row>
    <row r="504" spans="1:17" hidden="1" x14ac:dyDescent="0.25">
      <c r="A504" t="str">
        <f>+Tabla3[[#This Row],[Site]]&amp;Tabla3[[#This Row],[Split]]</f>
        <v>(AS) Koons Easton Toyota - Main Dealership (NO TOURS)9</v>
      </c>
      <c r="B504">
        <v>9</v>
      </c>
      <c r="C504">
        <v>4</v>
      </c>
      <c r="D504" t="s">
        <v>426</v>
      </c>
      <c r="E504" t="str">
        <f>VLOOKUP(Tabla3[[#This Row],[Site]],Table35[],10,FALSE)</f>
        <v>9:00 P.M.</v>
      </c>
      <c r="F504" t="str">
        <f>VLOOKUP(Tabla3[[#This Row],[Site]],Table35[],11,FALSE)</f>
        <v>ET</v>
      </c>
      <c r="G504" t="str">
        <f>VLOOKUP(Tabla3[[#This Row],[Site]],Table35[],12,FALSE)</f>
        <v>5:00 A.M.</v>
      </c>
      <c r="H504" s="74" t="str">
        <f>HYPERLINK(VLOOKUP(Tabla3[[#This Row],[Site]],Table35[#All],9,FALSE))</f>
        <v>https://tools.sig.systems/site/details/340</v>
      </c>
      <c r="I504" t="str">
        <f>VLOOKUP(Tabla3[[#This Row],[Site]],Table35[],13,FALSE)</f>
        <v>-</v>
      </c>
      <c r="J504" t="str">
        <f>VLOOKUP(Tabla3[[#This Row],[Site]],Table35[],14,FALSE)</f>
        <v>-</v>
      </c>
      <c r="L504" s="32" t="str">
        <f>VLOOKUP(Tabla3[[#This Row],[Site]],Table35[#All],2,FALSE)</f>
        <v>-</v>
      </c>
      <c r="M504" s="32" t="str">
        <f>VLOOKUP(Tabla3[[#This Row],[Site]],Table35[#All],3,FALSE)</f>
        <v>4, 5</v>
      </c>
      <c r="N504" s="32" t="str">
        <f>VLOOKUP(Tabla3[[#This Row],[Site]],Table35[#All],4,FALSE)</f>
        <v>-</v>
      </c>
      <c r="O504" s="32" t="str">
        <f>VLOOKUP(Tabla3[[#This Row],[Site]],Table35[#All],5,FALSE)</f>
        <v>-</v>
      </c>
      <c r="P504" s="32" t="str">
        <f>VLOOKUP(Tabla3[[#This Row],[Site]],Table35[#All],6,FALSE)</f>
        <v>8, 15</v>
      </c>
      <c r="Q504" s="32" t="str">
        <f>VLOOKUP(Tabla3[[#This Row],[Site]],Table35[#All],8,FALSE)</f>
        <v>340</v>
      </c>
    </row>
    <row r="505" spans="1:17" hidden="1" x14ac:dyDescent="0.25">
      <c r="A505" t="str">
        <f>+Tabla3[[#This Row],[Site]]&amp;Tabla3[[#This Row],[Split]]</f>
        <v>(AS) Koons Falls Church Ford (NO TOURS)9</v>
      </c>
      <c r="B505">
        <v>9</v>
      </c>
      <c r="C505">
        <v>4</v>
      </c>
      <c r="D505" t="s">
        <v>388</v>
      </c>
      <c r="E505" t="str">
        <f>VLOOKUP(Tabla3[[#This Row],[Site]],Table35[],10,FALSE)</f>
        <v>9:00 P.M.</v>
      </c>
      <c r="F505" t="str">
        <f>VLOOKUP(Tabla3[[#This Row],[Site]],Table35[],11,FALSE)</f>
        <v>ET</v>
      </c>
      <c r="G505" t="str">
        <f>VLOOKUP(Tabla3[[#This Row],[Site]],Table35[],12,FALSE)</f>
        <v>5:00 A.M.</v>
      </c>
      <c r="H505" s="74" t="str">
        <f>HYPERLINK(VLOOKUP(Tabla3[[#This Row],[Site]],Table35[#All],9,FALSE))</f>
        <v>https://tools.sig.systems/site/details/345</v>
      </c>
      <c r="I505" t="str">
        <f>VLOOKUP(Tabla3[[#This Row],[Site]],Table35[],13,FALSE)</f>
        <v>-</v>
      </c>
      <c r="J505" t="str">
        <f>VLOOKUP(Tabla3[[#This Row],[Site]],Table35[],14,FALSE)</f>
        <v>10:00 A.M.</v>
      </c>
      <c r="L505" s="32" t="str">
        <f>VLOOKUP(Tabla3[[#This Row],[Site]],Table35[#All],2,FALSE)</f>
        <v>-</v>
      </c>
      <c r="M505" s="32">
        <f>VLOOKUP(Tabla3[[#This Row],[Site]],Table35[#All],3,FALSE)</f>
        <v>1</v>
      </c>
      <c r="N505" s="32" t="str">
        <f>VLOOKUP(Tabla3[[#This Row],[Site]],Table35[#All],4,FALSE)</f>
        <v>-</v>
      </c>
      <c r="O505" s="32" t="str">
        <f>VLOOKUP(Tabla3[[#This Row],[Site]],Table35[#All],5,FALSE)</f>
        <v>-</v>
      </c>
      <c r="P505" s="32" t="str">
        <f>VLOOKUP(Tabla3[[#This Row],[Site]],Table35[#All],6,FALSE)</f>
        <v>-</v>
      </c>
      <c r="Q505" s="32" t="str">
        <f>VLOOKUP(Tabla3[[#This Row],[Site]],Table35[#All],8,FALSE)</f>
        <v>345</v>
      </c>
    </row>
    <row r="506" spans="1:17" hidden="1" x14ac:dyDescent="0.25">
      <c r="A506" t="str">
        <f>+Tabla3[[#This Row],[Site]]&amp;Tabla3[[#This Row],[Split]]</f>
        <v>(AS) Koons Owings Mills Kia (NO TOURS)9</v>
      </c>
      <c r="B506">
        <v>9</v>
      </c>
      <c r="C506">
        <v>4</v>
      </c>
      <c r="D506" t="s">
        <v>416</v>
      </c>
      <c r="E506" t="str">
        <f>VLOOKUP(Tabla3[[#This Row],[Site]],Table35[],10,FALSE)</f>
        <v>9:00 P.M.</v>
      </c>
      <c r="F506" t="str">
        <f>VLOOKUP(Tabla3[[#This Row],[Site]],Table35[],11,FALSE)</f>
        <v>ET</v>
      </c>
      <c r="G506" t="str">
        <f>VLOOKUP(Tabla3[[#This Row],[Site]],Table35[],12,FALSE)</f>
        <v>5:00 A.M.</v>
      </c>
      <c r="H506" s="74" t="str">
        <f>HYPERLINK(VLOOKUP(Tabla3[[#This Row],[Site]],Table35[#All],9,FALSE))</f>
        <v>https://tools.sig.systems/site/details/336</v>
      </c>
      <c r="I506" t="str">
        <f>VLOOKUP(Tabla3[[#This Row],[Site]],Table35[],13,FALSE)</f>
        <v>-</v>
      </c>
      <c r="J506" t="str">
        <f>VLOOKUP(Tabla3[[#This Row],[Site]],Table35[],14,FALSE)</f>
        <v>-</v>
      </c>
      <c r="L506" s="32">
        <f>VLOOKUP(Tabla3[[#This Row],[Site]],Table35[#All],2,FALSE)</f>
        <v>12</v>
      </c>
      <c r="M506" s="32" t="str">
        <f>VLOOKUP(Tabla3[[#This Row],[Site]],Table35[#All],3,FALSE)</f>
        <v>2, 18</v>
      </c>
      <c r="N506" s="32" t="str">
        <f>VLOOKUP(Tabla3[[#This Row],[Site]],Table35[#All],4,FALSE)</f>
        <v>-</v>
      </c>
      <c r="O506" s="32" t="str">
        <f>VLOOKUP(Tabla3[[#This Row],[Site]],Table35[#All],5,FALSE)</f>
        <v>-</v>
      </c>
      <c r="P506" s="32" t="str">
        <f>VLOOKUP(Tabla3[[#This Row],[Site]],Table35[#All],6,FALSE)</f>
        <v>7, 14</v>
      </c>
      <c r="Q506" s="32">
        <v>336</v>
      </c>
    </row>
    <row r="507" spans="1:17" hidden="1" x14ac:dyDescent="0.25">
      <c r="A507" t="str">
        <f>+Tabla3[[#This Row],[Site]]&amp;Tabla3[[#This Row],[Split]]</f>
        <v>(LT) Landers Kia of Little Rock9</v>
      </c>
      <c r="B507">
        <v>9</v>
      </c>
      <c r="C507">
        <v>4</v>
      </c>
      <c r="D507" t="s">
        <v>247</v>
      </c>
      <c r="E507" t="str">
        <f>VLOOKUP(Tabla3[[#This Row],[Site]],Table35[],10,FALSE)</f>
        <v>10:00 P.M.</v>
      </c>
      <c r="F507" t="str">
        <f>VLOOKUP(Tabla3[[#This Row],[Site]],Table35[],11,FALSE)</f>
        <v>CT</v>
      </c>
      <c r="G507" t="str">
        <f>VLOOKUP(Tabla3[[#This Row],[Site]],Table35[],12,FALSE)</f>
        <v>6:00 A.M.</v>
      </c>
      <c r="H507" s="74" t="str">
        <f>HYPERLINK(VLOOKUP(Tabla3[[#This Row],[Site]],Table35[#All],9,FALSE))</f>
        <v>https://tools.sig.systems/site/details/322</v>
      </c>
      <c r="I507" t="str">
        <f>VLOOKUP(Tabla3[[#This Row],[Site]],Table35[],13,FALSE)</f>
        <v>https://www.google.com/maps/d/u/1/edit?mid=1-zEzsc6U6nZom08edp0XAd3_HYFvAyk&amp;usp=sharing</v>
      </c>
      <c r="J507" t="str">
        <f>VLOOKUP(Tabla3[[#This Row],[Site]],Table35[],14,FALSE)</f>
        <v>-</v>
      </c>
      <c r="L507" s="32" t="str">
        <f>VLOOKUP(Tabla3[[#This Row],[Site]],Table35[#All],2,FALSE)</f>
        <v>5, 9, 33, 19</v>
      </c>
      <c r="M507" s="32" t="str">
        <f>VLOOKUP(Tabla3[[#This Row],[Site]],Table35[#All],3,FALSE)</f>
        <v>-</v>
      </c>
      <c r="N507" s="32" t="str">
        <f>VLOOKUP(Tabla3[[#This Row],[Site]],Table35[#All],4,FALSE)</f>
        <v>4, 10</v>
      </c>
      <c r="O507" s="32" t="str">
        <f>VLOOKUP(Tabla3[[#This Row],[Site]],Table35[#All],5,FALSE)</f>
        <v>1, 35</v>
      </c>
      <c r="P507" s="32" t="str">
        <f>VLOOKUP(Tabla3[[#This Row],[Site]],Table35[#All],6,FALSE)</f>
        <v>5, 9, 12, 14, 18, 26, 29</v>
      </c>
      <c r="Q507" s="32" t="str">
        <f>VLOOKUP(Tabla3[[#This Row],[Site]],Table35[#All],8,FALSE)</f>
        <v>322</v>
      </c>
    </row>
    <row r="508" spans="1:17" hidden="1" x14ac:dyDescent="0.25">
      <c r="A508" t="str">
        <f>+Tabla3[[#This Row],[Site]]&amp;Tabla3[[#This Row],[Split]]</f>
        <v>(PE) JLR Englewood (NO TOURS)9</v>
      </c>
      <c r="B508">
        <v>9</v>
      </c>
      <c r="C508">
        <v>4</v>
      </c>
      <c r="D508" t="s">
        <v>216</v>
      </c>
      <c r="E508" t="str">
        <f>VLOOKUP(Tabla3[[#This Row],[Site]],Table35[],10,FALSE)</f>
        <v>8:00 P.M.</v>
      </c>
      <c r="F508" t="str">
        <f>VLOOKUP(Tabla3[[#This Row],[Site]],Table35[],11,FALSE)</f>
        <v>ET</v>
      </c>
      <c r="G508" t="str">
        <f>VLOOKUP(Tabla3[[#This Row],[Site]],Table35[],12,FALSE)</f>
        <v>5:00 A.M.</v>
      </c>
      <c r="H508" s="74" t="str">
        <f>HYPERLINK(VLOOKUP(Tabla3[[#This Row],[Site]],Table35[#All],9,FALSE))</f>
        <v>https://tools.sig.systems/site/details/178</v>
      </c>
      <c r="I508" t="str">
        <f>VLOOKUP(Tabla3[[#This Row],[Site]],Table35[],13,FALSE)</f>
        <v>https://www.google.com/maps/d/viewer?mid=1ubI2iKs1JyYXssuT4oLPnVvFnyLPi_s&amp;ll=40.878808846788026%2C-73.98560655&amp;z=17</v>
      </c>
      <c r="J508" t="str">
        <f>VLOOKUP(Tabla3[[#This Row],[Site]],Table35[],14,FALSE)</f>
        <v>-</v>
      </c>
      <c r="L508" s="32" t="str">
        <f>VLOOKUP(Tabla3[[#This Row],[Site]],Table35[#All],2,FALSE)</f>
        <v>1, 2</v>
      </c>
      <c r="M508" s="32" t="str">
        <f>VLOOKUP(Tabla3[[#This Row],[Site]],Table35[#All],3,FALSE)</f>
        <v>-</v>
      </c>
      <c r="N508" s="32" t="str">
        <f>VLOOKUP(Tabla3[[#This Row],[Site]],Table35[#All],4,FALSE)</f>
        <v>-</v>
      </c>
      <c r="O508" s="32" t="str">
        <f>VLOOKUP(Tabla3[[#This Row],[Site]],Table35[#All],5,FALSE)</f>
        <v>-</v>
      </c>
      <c r="P508" s="32" t="str">
        <f>VLOOKUP(Tabla3[[#This Row],[Site]],Table35[#All],6,FALSE)</f>
        <v>-</v>
      </c>
      <c r="Q508" s="32" t="str">
        <f>VLOOKUP(Tabla3[[#This Row],[Site]],Table35[#All],8,FALSE)</f>
        <v>178</v>
      </c>
    </row>
    <row r="509" spans="1:17" hidden="1" x14ac:dyDescent="0.25">
      <c r="A509" t="str">
        <f>+Tabla3[[#This Row],[Site]]&amp;Tabla3[[#This Row],[Split]]</f>
        <v>(AS) Hare Chevrolet (NO TOURS)9</v>
      </c>
      <c r="B509">
        <v>9</v>
      </c>
      <c r="C509">
        <v>5</v>
      </c>
      <c r="D509" t="s">
        <v>376</v>
      </c>
      <c r="E509" t="str">
        <f>VLOOKUP(Tabla3[[#This Row],[Site]],Table35[],10,FALSE)</f>
        <v>9:00 P.M.</v>
      </c>
      <c r="F509" t="str">
        <f>VLOOKUP(Tabla3[[#This Row],[Site]],Table35[],11,FALSE)</f>
        <v>ET</v>
      </c>
      <c r="G509" t="str">
        <f>VLOOKUP(Tabla3[[#This Row],[Site]],Table35[],12,FALSE)</f>
        <v>5:00 A.M.</v>
      </c>
      <c r="H509" s="74" t="str">
        <f>HYPERLINK(VLOOKUP(Tabla3[[#This Row],[Site]],Table35[#All],9,FALSE))</f>
        <v>https://tools.sig.systems/site/details/301</v>
      </c>
      <c r="I509" t="str">
        <f>VLOOKUP(Tabla3[[#This Row],[Site]],Table35[],13,FALSE)</f>
        <v>https://www.google.com/maps/d/edit?mid=1hsX5GGrNcCQgAuzDCDz1OWgEkhsAc78&amp;usp=sharing</v>
      </c>
      <c r="J509" t="str">
        <f>VLOOKUP(Tabla3[[#This Row],[Site]],Table35[],14,FALSE)</f>
        <v>-</v>
      </c>
      <c r="L509" s="32" t="str">
        <f>VLOOKUP(Tabla3[[#This Row],[Site]],Table35[#All],2,FALSE)</f>
        <v>18, 24</v>
      </c>
      <c r="M509" s="32" t="str">
        <f>VLOOKUP(Tabla3[[#This Row],[Site]],Table35[#All],3,FALSE)</f>
        <v>2, 3</v>
      </c>
      <c r="N509" s="32" t="str">
        <f>VLOOKUP(Tabla3[[#This Row],[Site]],Table35[#All],4,FALSE)</f>
        <v>-</v>
      </c>
      <c r="O509" s="32">
        <f>VLOOKUP(Tabla3[[#This Row],[Site]],Table35[#All],5,FALSE)</f>
        <v>5</v>
      </c>
      <c r="P509" s="32" t="str">
        <f>VLOOKUP(Tabla3[[#This Row],[Site]],Table35[#All],6,FALSE)</f>
        <v>1, 5, 7, 8, 21, 29</v>
      </c>
      <c r="Q509" s="32" t="str">
        <f>VLOOKUP(Tabla3[[#This Row],[Site]],Table35[#All],8,FALSE)</f>
        <v>301</v>
      </c>
    </row>
    <row r="510" spans="1:17" x14ac:dyDescent="0.25">
      <c r="A510" t="str">
        <f>+Tabla3[[#This Row],[Site]]&amp;Tabla3[[#This Row],[Split]]</f>
        <v>(LT) Luther Bloomington Hyundai (NO TOURS)9</v>
      </c>
      <c r="B510">
        <v>9</v>
      </c>
      <c r="C510">
        <v>5</v>
      </c>
      <c r="D510" t="s">
        <v>455</v>
      </c>
      <c r="E510" t="str">
        <f>VLOOKUP(Tabla3[[#This Row],[Site]],Table35[],10,FALSE)</f>
        <v>10:00 P.M.</v>
      </c>
      <c r="F510" t="str">
        <f>VLOOKUP(Tabla3[[#This Row],[Site]],Table35[],11,FALSE)</f>
        <v>CT</v>
      </c>
      <c r="G510" t="str">
        <f>VLOOKUP(Tabla3[[#This Row],[Site]],Table35[],12,FALSE)</f>
        <v>6:00 A.M.</v>
      </c>
      <c r="H510" s="74" t="str">
        <f>HYPERLINK(VLOOKUP(Tabla3[[#This Row],[Site]],Table35[#All],9,FALSE))</f>
        <v>https://tools.sig.systems/site/details/318</v>
      </c>
      <c r="I510">
        <f>VLOOKUP(Tabla3[[#This Row],[Site]],Table35[],13,FALSE)</f>
        <v>0</v>
      </c>
      <c r="J510" t="str">
        <f>VLOOKUP(Tabla3[[#This Row],[Site]],Table35[],14,FALSE)</f>
        <v>-</v>
      </c>
      <c r="L510" s="32" t="str">
        <f>VLOOKUP(Tabla3[[#This Row],[Site]],Table35[#All],2,FALSE)</f>
        <v>-</v>
      </c>
      <c r="M510" s="32" t="str">
        <f>VLOOKUP(Tabla3[[#This Row],[Site]],Table35[#All],3,FALSE)</f>
        <v>6, 9, 13</v>
      </c>
      <c r="N510" s="32" t="str">
        <f>VLOOKUP(Tabla3[[#This Row],[Site]],Table35[#All],4,FALSE)</f>
        <v>58, 59</v>
      </c>
      <c r="O510" s="32">
        <f>VLOOKUP(Tabla3[[#This Row],[Site]],Table35[#All],5,FALSE)</f>
        <v>10</v>
      </c>
      <c r="P510" s="32" t="str">
        <f>VLOOKUP(Tabla3[[#This Row],[Site]],Table35[#All],6,FALSE)</f>
        <v>11, 18</v>
      </c>
      <c r="Q510" s="32" t="str">
        <f>VLOOKUP(Tabla3[[#This Row],[Site]],Table35[#All],8,FALSE)</f>
        <v>318</v>
      </c>
    </row>
    <row r="511" spans="1:17" hidden="1" x14ac:dyDescent="0.25">
      <c r="A511" t="str">
        <f>+Tabla3[[#This Row],[Site]]&amp;Tabla3[[#This Row],[Split]]</f>
        <v>(LT) Luther Landers Recon Center9</v>
      </c>
      <c r="B511">
        <v>9</v>
      </c>
      <c r="C511">
        <v>5</v>
      </c>
      <c r="D511" t="s">
        <v>253</v>
      </c>
      <c r="E511" t="str">
        <f>VLOOKUP(Tabla3[[#This Row],[Site]],Table35[],10,FALSE)</f>
        <v>10:00 P.M.</v>
      </c>
      <c r="F511" t="str">
        <f>VLOOKUP(Tabla3[[#This Row],[Site]],Table35[],11,FALSE)</f>
        <v>CT</v>
      </c>
      <c r="G511" t="str">
        <f>VLOOKUP(Tabla3[[#This Row],[Site]],Table35[],12,FALSE)</f>
        <v>6:00 A.M.</v>
      </c>
      <c r="H511" s="74" t="str">
        <f>HYPERLINK(VLOOKUP(Tabla3[[#This Row],[Site]],Table35[#All],9,FALSE))</f>
        <v>https://tools.sig.systems/site/details/323</v>
      </c>
      <c r="I511" t="str">
        <f>VLOOKUP(Tabla3[[#This Row],[Site]],Table35[],13,FALSE)</f>
        <v>https://www.google.com/maps/d/u/1/edit?mid=1-zEzsc6U6nZom08edp0XAd3_HYFvAyk&amp;usp=sharing</v>
      </c>
      <c r="J511" t="str">
        <f>VLOOKUP(Tabla3[[#This Row],[Site]],Table35[],14,FALSE)</f>
        <v>-</v>
      </c>
      <c r="L511" s="32" t="str">
        <f>VLOOKUP(Tabla3[[#This Row],[Site]],Table35[#All],2,FALSE)</f>
        <v>2, 4</v>
      </c>
      <c r="M511" s="32" t="str">
        <f>VLOOKUP(Tabla3[[#This Row],[Site]],Table35[#All],3,FALSE)</f>
        <v>-</v>
      </c>
      <c r="N511" s="32" t="str">
        <f>VLOOKUP(Tabla3[[#This Row],[Site]],Table35[#All],4,FALSE)</f>
        <v>-</v>
      </c>
      <c r="O511" s="32" t="str">
        <f>VLOOKUP(Tabla3[[#This Row],[Site]],Table35[#All],5,FALSE)</f>
        <v>-</v>
      </c>
      <c r="P511" s="32" t="str">
        <f>VLOOKUP(Tabla3[[#This Row],[Site]],Table35[#All],6,FALSE)</f>
        <v>3, 9, 11</v>
      </c>
      <c r="Q511" s="32" t="str">
        <f>VLOOKUP(Tabla3[[#This Row],[Site]],Table35[#All],8,FALSE)</f>
        <v>323</v>
      </c>
    </row>
    <row r="512" spans="1:17" hidden="1" x14ac:dyDescent="0.25">
      <c r="A512" t="str">
        <f>+Tabla3[[#This Row],[Site]]&amp;Tabla3[[#This Row],[Split]]</f>
        <v>(SCH) Schumacher of Delray I &amp; III9</v>
      </c>
      <c r="B512">
        <v>9</v>
      </c>
      <c r="C512">
        <v>5</v>
      </c>
      <c r="D512" t="s">
        <v>387</v>
      </c>
      <c r="E512" t="str">
        <f>VLOOKUP(Tabla3[[#This Row],[Site]],Table35[],10,FALSE)</f>
        <v>9:00 P.M.</v>
      </c>
      <c r="F512" t="str">
        <f>VLOOKUP(Tabla3[[#This Row],[Site]],Table35[],11,FALSE)</f>
        <v>ET</v>
      </c>
      <c r="G512" t="str">
        <f>VLOOKUP(Tabla3[[#This Row],[Site]],Table35[],12,FALSE)</f>
        <v>5:00 A.M.</v>
      </c>
      <c r="H512" s="74" t="str">
        <f>HYPERLINK(VLOOKUP(Tabla3[[#This Row],[Site]],Table35[#All],9,FALSE))</f>
        <v>https://tools.sig.systems/site/details/159</v>
      </c>
      <c r="I512" t="str">
        <f>VLOOKUP(Tabla3[[#This Row],[Site]],Table35[],13,FALSE)</f>
        <v>https://www.google.com/maps/d/viewer?mid=1ZLGV-cDM9aCfovhmXHIAXgVOKts0dEI&amp;ll=26.438859950088858%2C-80.07968125000001&amp;z=16</v>
      </c>
      <c r="J512" t="str">
        <f>VLOOKUP(Tabla3[[#This Row],[Site]],Table35[],14,FALSE)</f>
        <v>11:00 A.M.</v>
      </c>
      <c r="L512" s="32" t="str">
        <f>VLOOKUP(Tabla3[[#This Row],[Site]],Table35[#All],2,FALSE)</f>
        <v>11, 21, 22, 57, 69</v>
      </c>
      <c r="M512" s="32" t="str">
        <f>VLOOKUP(Tabla3[[#This Row],[Site]],Table35[#All],3,FALSE)</f>
        <v>2, 16, 46</v>
      </c>
      <c r="N512" s="32" t="str">
        <f>VLOOKUP(Tabla3[[#This Row],[Site]],Table35[#All],4,FALSE)</f>
        <v>-</v>
      </c>
      <c r="O512" s="32" t="str">
        <f>VLOOKUP(Tabla3[[#This Row],[Site]],Table35[#All],5,FALSE)</f>
        <v>-</v>
      </c>
      <c r="P512" s="32" t="str">
        <f>VLOOKUP(Tabla3[[#This Row],[Site]],Table35[#All],6,FALSE)</f>
        <v>24, 39</v>
      </c>
      <c r="Q512" s="32" t="str">
        <f>VLOOKUP(Tabla3[[#This Row],[Site]],Table35[#All],8,FALSE)</f>
        <v>159</v>
      </c>
    </row>
    <row r="513" spans="1:17" hidden="1" x14ac:dyDescent="0.25">
      <c r="A513" t="str">
        <f>+Tabla3[[#This Row],[Site]]&amp;Tabla3[[#This Row],[Split]]</f>
        <v>(AS) Hare Truck Center (NO TOURS)9</v>
      </c>
      <c r="B513">
        <v>9</v>
      </c>
      <c r="C513">
        <v>6</v>
      </c>
      <c r="D513" t="s">
        <v>377</v>
      </c>
      <c r="E513" t="str">
        <f>VLOOKUP(Tabla3[[#This Row],[Site]],Table35[],10,FALSE)</f>
        <v>9:00 P.M.</v>
      </c>
      <c r="F513" t="str">
        <f>VLOOKUP(Tabla3[[#This Row],[Site]],Table35[],11,FALSE)</f>
        <v>ET</v>
      </c>
      <c r="G513" t="str">
        <f>VLOOKUP(Tabla3[[#This Row],[Site]],Table35[],12,FALSE)</f>
        <v>5:00 A.M.</v>
      </c>
      <c r="H513" s="74" t="str">
        <f>HYPERLINK(VLOOKUP(Tabla3[[#This Row],[Site]],Table35[#All],9,FALSE))</f>
        <v>https://tools.sig.systems/site/details/300</v>
      </c>
      <c r="I513" t="str">
        <f>VLOOKUP(Tabla3[[#This Row],[Site]],Table35[],13,FALSE)</f>
        <v>https://www.google.com/maps/d/edit?mid=1hsX5GGrNcCQgAuzDCDz1OWgEkhsAc78&amp;usp=sharing</v>
      </c>
      <c r="J513" t="str">
        <f>VLOOKUP(Tabla3[[#This Row],[Site]],Table35[],14,FALSE)</f>
        <v>-</v>
      </c>
      <c r="L513" s="32" t="str">
        <f>VLOOKUP(Tabla3[[#This Row],[Site]],Table35[#All],2,FALSE)</f>
        <v>-</v>
      </c>
      <c r="M513" s="32" t="str">
        <f>VLOOKUP(Tabla3[[#This Row],[Site]],Table35[#All],3,FALSE)</f>
        <v>1, 5</v>
      </c>
      <c r="N513" s="32" t="str">
        <f>VLOOKUP(Tabla3[[#This Row],[Site]],Table35[#All],4,FALSE)</f>
        <v>-</v>
      </c>
      <c r="O513" s="32" t="str">
        <f>VLOOKUP(Tabla3[[#This Row],[Site]],Table35[#All],5,FALSE)</f>
        <v>-</v>
      </c>
      <c r="P513" s="32" t="str">
        <f>VLOOKUP(Tabla3[[#This Row],[Site]],Table35[#All],6,FALSE)</f>
        <v xml:space="preserve">2, 6, 10, 12, 17 </v>
      </c>
      <c r="Q513" s="32" t="str">
        <f>VLOOKUP(Tabla3[[#This Row],[Site]],Table35[#All],8,FALSE)</f>
        <v>300</v>
      </c>
    </row>
    <row r="514" spans="1:17" hidden="1" x14ac:dyDescent="0.25">
      <c r="A514" t="str">
        <f>+Tabla3[[#This Row],[Site]]&amp;Tabla3[[#This Row],[Split]]</f>
        <v>(AS) Koons Sterling Ford - Main Dealership (NO TOURS)9</v>
      </c>
      <c r="B514">
        <v>9</v>
      </c>
      <c r="C514">
        <v>6</v>
      </c>
      <c r="D514" t="s">
        <v>411</v>
      </c>
      <c r="E514" t="str">
        <f>VLOOKUP(Tabla3[[#This Row],[Site]],Table35[],10,FALSE)</f>
        <v>9:00 P.M.</v>
      </c>
      <c r="F514" t="str">
        <f>VLOOKUP(Tabla3[[#This Row],[Site]],Table35[],11,FALSE)</f>
        <v>ET</v>
      </c>
      <c r="G514" t="str">
        <f>VLOOKUP(Tabla3[[#This Row],[Site]],Table35[],12,FALSE)</f>
        <v>5:00 A.M.</v>
      </c>
      <c r="H514" s="74" t="str">
        <f>HYPERLINK(VLOOKUP(Tabla3[[#This Row],[Site]],Table35[#All],9,FALSE))</f>
        <v>https://tools.sig.systems/site/details/348</v>
      </c>
      <c r="I514" t="str">
        <f>VLOOKUP(Tabla3[[#This Row],[Site]],Table35[],13,FALSE)</f>
        <v>-</v>
      </c>
      <c r="J514" t="str">
        <f>VLOOKUP(Tabla3[[#This Row],[Site]],Table35[],14,FALSE)</f>
        <v>10:00 A.M.</v>
      </c>
      <c r="L514" s="32">
        <f>VLOOKUP(Tabla3[[#This Row],[Site]],Table35[#All],2,FALSE)</f>
        <v>19</v>
      </c>
      <c r="M514" s="32">
        <f>VLOOKUP(Tabla3[[#This Row],[Site]],Table35[#All],3,FALSE)</f>
        <v>3</v>
      </c>
      <c r="N514" s="32" t="str">
        <f>VLOOKUP(Tabla3[[#This Row],[Site]],Table35[#All],4,FALSE)</f>
        <v>-</v>
      </c>
      <c r="O514" s="32" t="str">
        <f>VLOOKUP(Tabla3[[#This Row],[Site]],Table35[#All],5,FALSE)</f>
        <v>4, 21</v>
      </c>
      <c r="P514" s="32" t="str">
        <f>VLOOKUP(Tabla3[[#This Row],[Site]],Table35[#All],6,FALSE)</f>
        <v>7, 8</v>
      </c>
      <c r="Q514" s="32" t="str">
        <f>VLOOKUP(Tabla3[[#This Row],[Site]],Table35[#All],8,FALSE)</f>
        <v>348</v>
      </c>
    </row>
    <row r="515" spans="1:17" hidden="1" x14ac:dyDescent="0.25">
      <c r="A515" t="str">
        <f>+Tabla3[[#This Row],[Site]]&amp;Tabla3[[#This Row],[Split]]</f>
        <v>(KG) Big Star Hyundai Houston9</v>
      </c>
      <c r="B515">
        <v>9</v>
      </c>
      <c r="C515">
        <v>6</v>
      </c>
      <c r="D515" t="s">
        <v>128</v>
      </c>
      <c r="E515" t="str">
        <f>VLOOKUP(Tabla3[[#This Row],[Site]],Table35[],10,FALSE)</f>
        <v>10:00 P.M.</v>
      </c>
      <c r="F515" t="str">
        <f>VLOOKUP(Tabla3[[#This Row],[Site]],Table35[],11,FALSE)</f>
        <v>CT</v>
      </c>
      <c r="G515" t="str">
        <f>VLOOKUP(Tabla3[[#This Row],[Site]],Table35[],12,FALSE)</f>
        <v>6:00 A.M.</v>
      </c>
      <c r="H515" s="74" t="str">
        <f>HYPERLINK(VLOOKUP(Tabla3[[#This Row],[Site]],Table35[#All],9,FALSE))</f>
        <v>https://tools.sig.systems/site/details/287</v>
      </c>
      <c r="I515" t="str">
        <f>VLOOKUP(Tabla3[[#This Row],[Site]],Table35[],13,FALSE)</f>
        <v>https://www.google.com/maps/d/edit?hl=en&amp;mid=1jIRkMUnWNPuTgDjQgDP-f33LClT85NU&amp;ll=29.55731827236326%2C-95.1601644&amp;z=17</v>
      </c>
      <c r="J515" t="str">
        <f>VLOOKUP(Tabla3[[#This Row],[Site]],Table35[],14,FALSE)</f>
        <v>-</v>
      </c>
      <c r="L515" s="32" t="str">
        <f>VLOOKUP(Tabla3[[#This Row],[Site]],Table35[#All],2,FALSE)</f>
        <v>3, 12, 17</v>
      </c>
      <c r="M515" s="32" t="str">
        <f>VLOOKUP(Tabla3[[#This Row],[Site]],Table35[#All],3,FALSE)</f>
        <v>23, 35</v>
      </c>
      <c r="N515" s="32" t="str">
        <f>VLOOKUP(Tabla3[[#This Row],[Site]],Table35[#All],4,FALSE)</f>
        <v>-</v>
      </c>
      <c r="O515" s="32" t="str">
        <f>VLOOKUP(Tabla3[[#This Row],[Site]],Table35[#All],5,FALSE)</f>
        <v>1, 75</v>
      </c>
      <c r="P515" s="32" t="str">
        <f>VLOOKUP(Tabla3[[#This Row],[Site]],Table35[#All],6,FALSE)</f>
        <v xml:space="preserve">5, 11, 16, 20, 26, 30, 32, 34 </v>
      </c>
      <c r="Q515" s="32" t="str">
        <f>VLOOKUP(Tabla3[[#This Row],[Site]],Table35[#All],8,FALSE)</f>
        <v>287</v>
      </c>
    </row>
    <row r="516" spans="1:17" hidden="1" x14ac:dyDescent="0.25">
      <c r="A516" t="str">
        <f>+Tabla3[[#This Row],[Site]]&amp;Tabla3[[#This Row],[Split]]</f>
        <v>(LT) Luther Bloomington Subaru - Acura9</v>
      </c>
      <c r="B516">
        <v>9</v>
      </c>
      <c r="C516">
        <v>6</v>
      </c>
      <c r="D516" t="s">
        <v>123</v>
      </c>
      <c r="E516" t="str">
        <f>VLOOKUP(Tabla3[[#This Row],[Site]],Table35[],10,FALSE)</f>
        <v>9:30 P.M.</v>
      </c>
      <c r="F516" t="str">
        <f>VLOOKUP(Tabla3[[#This Row],[Site]],Table35[],11,FALSE)</f>
        <v>CT</v>
      </c>
      <c r="G516" t="str">
        <f>VLOOKUP(Tabla3[[#This Row],[Site]],Table35[],12,FALSE)</f>
        <v>4:00 A.M.</v>
      </c>
      <c r="H516" s="74" t="str">
        <f>HYPERLINK(VLOOKUP(Tabla3[[#This Row],[Site]],Table35[#All],9,FALSE))</f>
        <v>https://tools.sig.systems/site/details/289</v>
      </c>
      <c r="I516">
        <f>VLOOKUP(Tabla3[[#This Row],[Site]],Table35[],13,FALSE)</f>
        <v>0</v>
      </c>
      <c r="J516" t="str">
        <f>VLOOKUP(Tabla3[[#This Row],[Site]],Table35[],14,FALSE)</f>
        <v>-</v>
      </c>
      <c r="L516" s="32">
        <f>VLOOKUP(Tabla3[[#This Row],[Site]],Table35[#All],2,FALSE)</f>
        <v>29</v>
      </c>
      <c r="M516" s="32" t="str">
        <f>VLOOKUP(Tabla3[[#This Row],[Site]],Table35[#All],3,FALSE)</f>
        <v>5, 8, 33</v>
      </c>
      <c r="N516" s="32" t="str">
        <f>VLOOKUP(Tabla3[[#This Row],[Site]],Table35[#All],4,FALSE)</f>
        <v>4, 7, 35</v>
      </c>
      <c r="O516" s="32" t="str">
        <f>VLOOKUP(Tabla3[[#This Row],[Site]],Table35[#All],5,FALSE)</f>
        <v>-</v>
      </c>
      <c r="P516" s="32" t="str">
        <f>VLOOKUP(Tabla3[[#This Row],[Site]],Table35[#All],6,FALSE)</f>
        <v xml:space="preserve">1, 2, 14, 24, 34  </v>
      </c>
      <c r="Q516" s="32" t="str">
        <f>VLOOKUP(Tabla3[[#This Row],[Site]],Table35[#All],8,FALSE)</f>
        <v>289</v>
      </c>
    </row>
    <row r="517" spans="1:17" hidden="1" x14ac:dyDescent="0.25">
      <c r="A517" t="str">
        <f>+Tabla3[[#This Row],[Site]]&amp;Tabla3[[#This Row],[Split]]</f>
        <v>(LT) Luther St. Cloud Subaru9</v>
      </c>
      <c r="B517">
        <v>9</v>
      </c>
      <c r="C517">
        <v>6</v>
      </c>
      <c r="D517" t="s">
        <v>127</v>
      </c>
      <c r="E517" t="str">
        <f>VLOOKUP(Tabla3[[#This Row],[Site]],Table35[],10,FALSE)</f>
        <v>10:00 P.M.</v>
      </c>
      <c r="F517" t="str">
        <f>VLOOKUP(Tabla3[[#This Row],[Site]],Table35[],11,FALSE)</f>
        <v>CT</v>
      </c>
      <c r="G517" t="str">
        <f>VLOOKUP(Tabla3[[#This Row],[Site]],Table35[],12,FALSE)</f>
        <v>5:30 A.M.</v>
      </c>
      <c r="H517" s="74" t="str">
        <f>HYPERLINK(VLOOKUP(Tabla3[[#This Row],[Site]],Table35[#All],9,FALSE))</f>
        <v>https://tools.sig.systems/site/details/295</v>
      </c>
      <c r="I517">
        <f>VLOOKUP(Tabla3[[#This Row],[Site]],Table35[],13,FALSE)</f>
        <v>0</v>
      </c>
      <c r="J517" t="str">
        <f>VLOOKUP(Tabla3[[#This Row],[Site]],Table35[],14,FALSE)</f>
        <v>-</v>
      </c>
      <c r="L517" s="32" t="str">
        <f>VLOOKUP(Tabla3[[#This Row],[Site]],Table35[#All],2,FALSE)</f>
        <v>25, 31</v>
      </c>
      <c r="M517" s="32" t="str">
        <f>VLOOKUP(Tabla3[[#This Row],[Site]],Table35[#All],3,FALSE)</f>
        <v>9, 13, 20</v>
      </c>
      <c r="N517" s="32" t="str">
        <f>VLOOKUP(Tabla3[[#This Row],[Site]],Table35[#All],4,FALSE)</f>
        <v>38, 39, 40, 41</v>
      </c>
      <c r="O517" s="32">
        <f>VLOOKUP(Tabla3[[#This Row],[Site]],Table35[#All],5,FALSE)</f>
        <v>27</v>
      </c>
      <c r="P517" s="32" t="str">
        <f>VLOOKUP(Tabla3[[#This Row],[Site]],Table35[#All],6,FALSE)</f>
        <v>2, 6, 8, 11, 14, 19, 23, 26</v>
      </c>
      <c r="Q517" s="32" t="str">
        <f>VLOOKUP(Tabla3[[#This Row],[Site]],Table35[#All],8,FALSE)</f>
        <v>295</v>
      </c>
    </row>
    <row r="518" spans="1:17" hidden="1" x14ac:dyDescent="0.25">
      <c r="A518" t="str">
        <f>+Tabla3[[#This Row],[Site]]&amp;Tabla3[[#This Row],[Split]]</f>
        <v>(TC) Lamborghini South Dade9</v>
      </c>
      <c r="B518">
        <v>9</v>
      </c>
      <c r="C518">
        <v>6</v>
      </c>
      <c r="D518" t="s">
        <v>234</v>
      </c>
      <c r="E518" t="str">
        <f>VLOOKUP(Tabla3[[#This Row],[Site]],Table35[],10,FALSE)</f>
        <v>9:00 P.M.</v>
      </c>
      <c r="F518" t="str">
        <f>VLOOKUP(Tabla3[[#This Row],[Site]],Table35[],11,FALSE)</f>
        <v>ET</v>
      </c>
      <c r="G518" t="str">
        <f>VLOOKUP(Tabla3[[#This Row],[Site]],Table35[],12,FALSE)</f>
        <v>5:00 A.M.</v>
      </c>
      <c r="H518" s="74" t="str">
        <f>HYPERLINK(VLOOKUP(Tabla3[[#This Row],[Site]],Table35[#All],9,FALSE))</f>
        <v>https://tools.sig.systems/site/details/313</v>
      </c>
      <c r="I518">
        <f>VLOOKUP(Tabla3[[#This Row],[Site]],Table35[],13,FALSE)</f>
        <v>0</v>
      </c>
      <c r="J518" t="str">
        <f>VLOOKUP(Tabla3[[#This Row],[Site]],Table35[],14,FALSE)</f>
        <v>-</v>
      </c>
      <c r="L518" s="32" t="str">
        <f>VLOOKUP(Tabla3[[#This Row],[Site]],Table35[#All],2,FALSE)</f>
        <v>-</v>
      </c>
      <c r="M518" s="32" t="str">
        <f>VLOOKUP(Tabla3[[#This Row],[Site]],Table35[#All],3,FALSE)</f>
        <v>9, 11</v>
      </c>
      <c r="N518" s="32" t="str">
        <f>VLOOKUP(Tabla3[[#This Row],[Site]],Table35[#All],4,FALSE)</f>
        <v>-</v>
      </c>
      <c r="O518" s="32" t="str">
        <f>VLOOKUP(Tabla3[[#This Row],[Site]],Table35[#All],5,FALSE)</f>
        <v>-</v>
      </c>
      <c r="P518" s="32" t="str">
        <f>VLOOKUP(Tabla3[[#This Row],[Site]],Table35[#All],6,FALSE)</f>
        <v>-</v>
      </c>
      <c r="Q518" s="32" t="str">
        <f>VLOOKUP(Tabla3[[#This Row],[Site]],Table35[#All],8,FALSE)</f>
        <v>313</v>
      </c>
    </row>
    <row r="519" spans="1:17" hidden="1" x14ac:dyDescent="0.25">
      <c r="A519" t="str">
        <f>+Tabla3[[#This Row],[Site]]&amp;Tabla3[[#This Row],[Split]]</f>
        <v>(AS) Kahlo CDJR (NO TOURS)9</v>
      </c>
      <c r="B519">
        <v>9</v>
      </c>
      <c r="C519">
        <v>7</v>
      </c>
      <c r="D519" t="s">
        <v>378</v>
      </c>
      <c r="E519" t="str">
        <f>VLOOKUP(Tabla3[[#This Row],[Site]],Table35[],10,FALSE)</f>
        <v>9:00 P.M.</v>
      </c>
      <c r="F519" t="str">
        <f>VLOOKUP(Tabla3[[#This Row],[Site]],Table35[],11,FALSE)</f>
        <v>ET</v>
      </c>
      <c r="G519" t="str">
        <f>VLOOKUP(Tabla3[[#This Row],[Site]],Table35[],12,FALSE)</f>
        <v>5:00 A.M.</v>
      </c>
      <c r="H519" s="74" t="str">
        <f>HYPERLINK(VLOOKUP(Tabla3[[#This Row],[Site]],Table35[#All],9,FALSE))</f>
        <v>https://tools.sig.systems/site/details/282</v>
      </c>
      <c r="I519" t="str">
        <f>VLOOKUP(Tabla3[[#This Row],[Site]],Table35[],13,FALSE)</f>
        <v>https://www.google.com/maps/d/edit?mid=1hsX5GGrNcCQgAuzDCDz1OWgEkhsAc78&amp;usp=sharing</v>
      </c>
      <c r="J519" t="str">
        <f>VLOOKUP(Tabla3[[#This Row],[Site]],Table35[],14,FALSE)</f>
        <v>-</v>
      </c>
      <c r="L519" s="32" t="str">
        <f>VLOOKUP(Tabla3[[#This Row],[Site]],Table35[#All],2,FALSE)</f>
        <v>-</v>
      </c>
      <c r="M519" s="32" t="str">
        <f>VLOOKUP(Tabla3[[#This Row],[Site]],Table35[#All],3,FALSE)</f>
        <v>12, 25</v>
      </c>
      <c r="N519" s="32" t="str">
        <f>VLOOKUP(Tabla3[[#This Row],[Site]],Table35[#All],4,FALSE)</f>
        <v>15, 16</v>
      </c>
      <c r="O519" s="32">
        <f>VLOOKUP(Tabla3[[#This Row],[Site]],Table35[#All],5,FALSE)</f>
        <v>20</v>
      </c>
      <c r="P519" s="32" t="str">
        <f>VLOOKUP(Tabla3[[#This Row],[Site]],Table35[#All],6,FALSE)</f>
        <v>1, 2, 9, 22, 31, 57</v>
      </c>
      <c r="Q519" s="32" t="str">
        <f>VLOOKUP(Tabla3[[#This Row],[Site]],Table35[#All],8,FALSE)</f>
        <v>282</v>
      </c>
    </row>
    <row r="520" spans="1:17" hidden="1" x14ac:dyDescent="0.25">
      <c r="A520" t="str">
        <f>+Tabla3[[#This Row],[Site]]&amp;Tabla3[[#This Row],[Split]]</f>
        <v>(AS) Koons Chevrolet Buick GMC - Tysons (NO TOURS)9</v>
      </c>
      <c r="B520">
        <v>9</v>
      </c>
      <c r="C520">
        <v>7</v>
      </c>
      <c r="D520" t="s">
        <v>386</v>
      </c>
      <c r="E520" t="str">
        <f>VLOOKUP(Tabla3[[#This Row],[Site]],Table35[],10,FALSE)</f>
        <v>9:00 P.M.</v>
      </c>
      <c r="F520" t="str">
        <f>VLOOKUP(Tabla3[[#This Row],[Site]],Table35[],11,FALSE)</f>
        <v>ET</v>
      </c>
      <c r="G520" t="str">
        <f>VLOOKUP(Tabla3[[#This Row],[Site]],Table35[],12,FALSE)</f>
        <v>5:00 A.M.</v>
      </c>
      <c r="H520" s="74" t="str">
        <f>HYPERLINK(VLOOKUP(Tabla3[[#This Row],[Site]],Table35[#All],9,FALSE))</f>
        <v>https://tools.sig.systems/site/details/352</v>
      </c>
      <c r="I520" t="str">
        <f>VLOOKUP(Tabla3[[#This Row],[Site]],Table35[],13,FALSE)</f>
        <v>-</v>
      </c>
      <c r="J520" t="str">
        <f>VLOOKUP(Tabla3[[#This Row],[Site]],Table35[],14,FALSE)</f>
        <v>10:00 A.M.</v>
      </c>
      <c r="L520" s="32" t="str">
        <f>VLOOKUP(Tabla3[[#This Row],[Site]],Table35[#All],2,FALSE)</f>
        <v>4, 6</v>
      </c>
      <c r="M520" s="32" t="str">
        <f>VLOOKUP(Tabla3[[#This Row],[Site]],Table35[#All],3,FALSE)</f>
        <v>-</v>
      </c>
      <c r="N520" s="32" t="str">
        <f>VLOOKUP(Tabla3[[#This Row],[Site]],Table35[#All],4,FALSE)</f>
        <v>-</v>
      </c>
      <c r="O520" s="32">
        <f>VLOOKUP(Tabla3[[#This Row],[Site]],Table35[#All],5,FALSE)</f>
        <v>4</v>
      </c>
      <c r="P520" s="32" t="str">
        <f>VLOOKUP(Tabla3[[#This Row],[Site]],Table35[#All],6,FALSE)</f>
        <v>6, 12, 15</v>
      </c>
      <c r="Q520" s="32" t="str">
        <f>VLOOKUP(Tabla3[[#This Row],[Site]],Table35[#All],8,FALSE)</f>
        <v>352</v>
      </c>
    </row>
    <row r="521" spans="1:17" hidden="1" x14ac:dyDescent="0.25">
      <c r="A521" t="str">
        <f>+Tabla3[[#This Row],[Site]]&amp;Tabla3[[#This Row],[Split]]</f>
        <v>(AS) Koons Woodbridge Kia (NO TOURS)9</v>
      </c>
      <c r="B521">
        <v>9</v>
      </c>
      <c r="C521">
        <v>7</v>
      </c>
      <c r="D521" t="s">
        <v>407</v>
      </c>
      <c r="E521" t="str">
        <f>VLOOKUP(Tabla3[[#This Row],[Site]],Table35[],10,FALSE)</f>
        <v>9:00 P.M.</v>
      </c>
      <c r="F521" t="str">
        <f>VLOOKUP(Tabla3[[#This Row],[Site]],Table35[],11,FALSE)</f>
        <v>ET</v>
      </c>
      <c r="G521" t="str">
        <f>VLOOKUP(Tabla3[[#This Row],[Site]],Table35[],12,FALSE)</f>
        <v>5:00 A.M.</v>
      </c>
      <c r="H521" s="74" t="str">
        <f>HYPERLINK(VLOOKUP(Tabla3[[#This Row],[Site]],Table35[#All],9,FALSE))</f>
        <v>https://tools.sig.systems/site/details/346</v>
      </c>
      <c r="I521" t="str">
        <f>VLOOKUP(Tabla3[[#This Row],[Site]],Table35[],13,FALSE)</f>
        <v>-</v>
      </c>
      <c r="J521" t="str">
        <f>VLOOKUP(Tabla3[[#This Row],[Site]],Table35[],14,FALSE)</f>
        <v>10:00 A.M.</v>
      </c>
      <c r="L521" s="32" t="str">
        <f>VLOOKUP(Tabla3[[#This Row],[Site]],Table35[#All],2,FALSE)</f>
        <v>-</v>
      </c>
      <c r="M521" s="32">
        <f>VLOOKUP(Tabla3[[#This Row],[Site]],Table35[#All],3,FALSE)</f>
        <v>2</v>
      </c>
      <c r="N521" s="32" t="str">
        <f>VLOOKUP(Tabla3[[#This Row],[Site]],Table35[#All],4,FALSE)</f>
        <v>-</v>
      </c>
      <c r="O521" s="32" t="str">
        <f>VLOOKUP(Tabla3[[#This Row],[Site]],Table35[#All],5,FALSE)</f>
        <v>-</v>
      </c>
      <c r="P521" s="32">
        <f>VLOOKUP(Tabla3[[#This Row],[Site]],Table35[#All],6,FALSE)</f>
        <v>5</v>
      </c>
      <c r="Q521" s="32" t="str">
        <f>VLOOKUP(Tabla3[[#This Row],[Site]],Table35[#All],8,FALSE)</f>
        <v>346</v>
      </c>
    </row>
    <row r="522" spans="1:17" hidden="1" x14ac:dyDescent="0.25">
      <c r="A522" t="str">
        <f>+Tabla3[[#This Row],[Site]]&amp;Tabla3[[#This Row],[Split]]</f>
        <v>(KG) Big Star Cadillac9</v>
      </c>
      <c r="B522">
        <v>9</v>
      </c>
      <c r="C522">
        <v>7</v>
      </c>
      <c r="D522" t="s">
        <v>237</v>
      </c>
      <c r="E522" t="str">
        <f>VLOOKUP(Tabla3[[#This Row],[Site]],Table35[],10,FALSE)</f>
        <v>10:00 P.M.</v>
      </c>
      <c r="F522" t="str">
        <f>VLOOKUP(Tabla3[[#This Row],[Site]],Table35[],11,FALSE)</f>
        <v>CT</v>
      </c>
      <c r="G522" t="str">
        <f>VLOOKUP(Tabla3[[#This Row],[Site]],Table35[],12,FALSE)</f>
        <v>6:00 A.M.</v>
      </c>
      <c r="H522" s="74" t="str">
        <f>HYPERLINK(VLOOKUP(Tabla3[[#This Row],[Site]],Table35[#All],9,FALSE))</f>
        <v>https://tools.sig.systems/site/details/316</v>
      </c>
      <c r="I522" t="str">
        <f>VLOOKUP(Tabla3[[#This Row],[Site]],Table35[],13,FALSE)</f>
        <v>https://www.google.com/maps/d/edit?mid=1jIRkMUnWNPuTgDjQgDP-f33LClT85NU&amp;usp=sharing</v>
      </c>
      <c r="J522" t="str">
        <f>VLOOKUP(Tabla3[[#This Row],[Site]],Table35[],14,FALSE)</f>
        <v>-</v>
      </c>
      <c r="L522" s="32" t="str">
        <f>VLOOKUP(Tabla3[[#This Row],[Site]],Table35[#All],2,FALSE)</f>
        <v>1, 4, 16</v>
      </c>
      <c r="M522" s="32" t="str">
        <f>VLOOKUP(Tabla3[[#This Row],[Site]],Table35[#All],3,FALSE)</f>
        <v>-</v>
      </c>
      <c r="N522" s="32" t="str">
        <f>VLOOKUP(Tabla3[[#This Row],[Site]],Table35[#All],4,FALSE)</f>
        <v>-</v>
      </c>
      <c r="O522" s="32" t="str">
        <f>VLOOKUP(Tabla3[[#This Row],[Site]],Table35[#All],5,FALSE)</f>
        <v>-</v>
      </c>
      <c r="P522" s="32" t="str">
        <f>VLOOKUP(Tabla3[[#This Row],[Site]],Table35[#All],6,FALSE)</f>
        <v>15, 16, 19, 20</v>
      </c>
      <c r="Q522" s="32" t="str">
        <f>VLOOKUP(Tabla3[[#This Row],[Site]],Table35[#All],8,FALSE)</f>
        <v>316</v>
      </c>
    </row>
    <row r="523" spans="1:17" hidden="1" x14ac:dyDescent="0.25">
      <c r="A523" t="str">
        <f>+Tabla3[[#This Row],[Site]]&amp;Tabla3[[#This Row],[Split]]</f>
        <v>(LT) Luther Brookdale Honda (NO TOURS)9</v>
      </c>
      <c r="B523">
        <v>9</v>
      </c>
      <c r="C523">
        <v>7</v>
      </c>
      <c r="D523" t="s">
        <v>271</v>
      </c>
      <c r="E523" t="str">
        <f>VLOOKUP(Tabla3[[#This Row],[Site]],Table35[],10,FALSE)</f>
        <v>10:00 P.M.</v>
      </c>
      <c r="F523" t="str">
        <f>VLOOKUP(Tabla3[[#This Row],[Site]],Table35[],11,FALSE)</f>
        <v>CT</v>
      </c>
      <c r="G523" t="str">
        <f>VLOOKUP(Tabla3[[#This Row],[Site]],Table35[],12,FALSE)</f>
        <v>6:00 A.M.</v>
      </c>
      <c r="H523" s="74" t="str">
        <f>HYPERLINK(VLOOKUP(Tabla3[[#This Row],[Site]],Table35[#All],9,FALSE))</f>
        <v>https://tools.sig.systems/site/details/280</v>
      </c>
      <c r="I523" t="str">
        <f>VLOOKUP(Tabla3[[#This Row],[Site]],Table35[],13,FALSE)</f>
        <v>https://www.google.com/maps/d/viewer?mid=1ot0ILX76JMuvd9yMuqkb4_e0yH1n7TA&amp;ll=45.07815812965141%2C-93.33506855000002&amp;z=17</v>
      </c>
      <c r="J523" t="str">
        <f>VLOOKUP(Tabla3[[#This Row],[Site]],Table35[],14,FALSE)</f>
        <v>-</v>
      </c>
      <c r="L523" s="32" t="str">
        <f>VLOOKUP(Tabla3[[#This Row],[Site]],Table35[#All],2,FALSE)</f>
        <v>-</v>
      </c>
      <c r="M523" s="32" t="str">
        <f>VLOOKUP(Tabla3[[#This Row],[Site]],Table35[#All],3,FALSE)</f>
        <v>1, 21</v>
      </c>
      <c r="N523" s="32" t="str">
        <f>VLOOKUP(Tabla3[[#This Row],[Site]],Table35[#All],4,FALSE)</f>
        <v>38, 39, 40</v>
      </c>
      <c r="O523" s="32" t="str">
        <f>VLOOKUP(Tabla3[[#This Row],[Site]],Table35[#All],5,FALSE)</f>
        <v>2, 10, 19</v>
      </c>
      <c r="P523" s="32" t="str">
        <f>VLOOKUP(Tabla3[[#This Row],[Site]],Table35[#All],6,FALSE)</f>
        <v>4, 5, 7, 11, 13, 20, 24, 36</v>
      </c>
      <c r="Q523" s="32" t="str">
        <f>VLOOKUP(Tabla3[[#This Row],[Site]],Table35[#All],8,FALSE)</f>
        <v>280</v>
      </c>
    </row>
    <row r="524" spans="1:17" hidden="1" x14ac:dyDescent="0.25">
      <c r="A524" t="str">
        <f>+Tabla3[[#This Row],[Site]]&amp;Tabla3[[#This Row],[Split]]</f>
        <v>(ML) Joe Machens Hyundai9</v>
      </c>
      <c r="B524">
        <v>9</v>
      </c>
      <c r="C524">
        <v>7</v>
      </c>
      <c r="D524" t="s">
        <v>124</v>
      </c>
      <c r="E524" t="str">
        <f>VLOOKUP(Tabla3[[#This Row],[Site]],Table35[],10,FALSE)</f>
        <v>10:00 P.M.</v>
      </c>
      <c r="F524" t="str">
        <f>VLOOKUP(Tabla3[[#This Row],[Site]],Table35[],11,FALSE)</f>
        <v>CT</v>
      </c>
      <c r="G524" t="str">
        <f>VLOOKUP(Tabla3[[#This Row],[Site]],Table35[],12,FALSE)</f>
        <v>6:00 A.M.</v>
      </c>
      <c r="H524" s="74" t="str">
        <f>HYPERLINK(VLOOKUP(Tabla3[[#This Row],[Site]],Table35[#All],9,FALSE))</f>
        <v>https://tools.sig.systems/site/details/286</v>
      </c>
      <c r="I524" t="str">
        <f>VLOOKUP(Tabla3[[#This Row],[Site]],Table35[],13,FALSE)</f>
        <v>https://www.google.com/maps/d/viewer?hl=es&amp;mid=1C1oZdjH3dNvCvqdpIv_Lk0Yn1OCVn-4&amp;ll=38.965368114274455%2C-92.3405954&amp;z=15</v>
      </c>
      <c r="J524" t="str">
        <f>VLOOKUP(Tabla3[[#This Row],[Site]],Table35[],14,FALSE)</f>
        <v>-</v>
      </c>
      <c r="L524" s="32" t="str">
        <f>VLOOKUP(Tabla3[[#This Row],[Site]],Table35[#All],2,FALSE)</f>
        <v>-</v>
      </c>
      <c r="M524" s="32" t="str">
        <f>VLOOKUP(Tabla3[[#This Row],[Site]],Table35[#All],3,FALSE)</f>
        <v>3, 4, 14, 25</v>
      </c>
      <c r="N524" s="32" t="str">
        <f>VLOOKUP(Tabla3[[#This Row],[Site]],Table35[#All],4,FALSE)</f>
        <v>-</v>
      </c>
      <c r="O524" s="32">
        <f>VLOOKUP(Tabla3[[#This Row],[Site]],Table35[#All],5,FALSE)</f>
        <v>17</v>
      </c>
      <c r="P524" s="32" t="str">
        <f>VLOOKUP(Tabla3[[#This Row],[Site]],Table35[#All],6,FALSE)</f>
        <v>1, 11, 12, 13, 15</v>
      </c>
      <c r="Q524" s="32" t="str">
        <f>VLOOKUP(Tabla3[[#This Row],[Site]],Table35[#All],8,FALSE)</f>
        <v>286</v>
      </c>
    </row>
    <row r="525" spans="1:17" hidden="1" x14ac:dyDescent="0.25">
      <c r="A525" t="str">
        <f>+Tabla3[[#This Row],[Site]]&amp;Tabla3[[#This Row],[Split]]</f>
        <v>Mario Residence9</v>
      </c>
      <c r="B525">
        <v>9</v>
      </c>
      <c r="C525">
        <v>7</v>
      </c>
      <c r="D525" t="s">
        <v>100</v>
      </c>
      <c r="E525" t="str">
        <f>VLOOKUP(Tabla3[[#This Row],[Site]],Table35[],10,FALSE)</f>
        <v>24H</v>
      </c>
      <c r="F525" t="str">
        <f>VLOOKUP(Tabla3[[#This Row],[Site]],Table35[],11,FALSE)</f>
        <v>ET</v>
      </c>
      <c r="G525" t="str">
        <f>VLOOKUP(Tabla3[[#This Row],[Site]],Table35[],12,FALSE)</f>
        <v>-</v>
      </c>
      <c r="H525" s="74" t="str">
        <f>HYPERLINK(VLOOKUP(Tabla3[[#This Row],[Site]],Table35[#All],9,FALSE))</f>
        <v>https://tools.sig.systems/site/details/148</v>
      </c>
      <c r="I525" t="str">
        <f>VLOOKUP(Tabla3[[#This Row],[Site]],Table35[],13,FALSE)</f>
        <v>https://www.google.com/maps/d/edit?hl=es&amp;mid=13OmECPqyeB7fXgZmEoM9cnG34HU_v5g&amp;ll=26.046837034777553%2C-80.38753458591658&amp;z=19</v>
      </c>
      <c r="J525" t="str">
        <f>VLOOKUP(Tabla3[[#This Row],[Site]],Table35[],14,FALSE)</f>
        <v>-</v>
      </c>
      <c r="L525" s="32" t="str">
        <f>VLOOKUP(Tabla3[[#This Row],[Site]],Table35[#All],2,FALSE)</f>
        <v>7, 8</v>
      </c>
      <c r="M525" s="32" t="str">
        <f>VLOOKUP(Tabla3[[#This Row],[Site]],Table35[#All],3,FALSE)</f>
        <v>7, 8</v>
      </c>
      <c r="N525" s="32" t="str">
        <f>VLOOKUP(Tabla3[[#This Row],[Site]],Table35[#All],4,FALSE)</f>
        <v>-</v>
      </c>
      <c r="O525" s="32" t="str">
        <f>VLOOKUP(Tabla3[[#This Row],[Site]],Table35[#All],5,FALSE)</f>
        <v>-</v>
      </c>
      <c r="P525" s="32" t="str">
        <f>VLOOKUP(Tabla3[[#This Row],[Site]],Table35[#All],6,FALSE)</f>
        <v>4,12,13</v>
      </c>
      <c r="Q525" s="32" t="str">
        <f>VLOOKUP(Tabla3[[#This Row],[Site]],Table35[#All],8,FALSE)</f>
        <v>148</v>
      </c>
    </row>
    <row r="526" spans="1:17" hidden="1" x14ac:dyDescent="0.25">
      <c r="A526" t="str">
        <f>+Tabla3[[#This Row],[Site]]&amp;Tabla3[[#This Row],[Split]]</f>
        <v>(AS) Koons Arlington Toyota - New Car (NO TOURS)9</v>
      </c>
      <c r="B526">
        <v>9</v>
      </c>
      <c r="C526">
        <v>8</v>
      </c>
      <c r="D526" t="s">
        <v>380</v>
      </c>
      <c r="E526" t="str">
        <f>VLOOKUP(Tabla3[[#This Row],[Site]],Table35[],10,FALSE)</f>
        <v>9:00 P.M.</v>
      </c>
      <c r="F526" t="str">
        <f>VLOOKUP(Tabla3[[#This Row],[Site]],Table35[],11,FALSE)</f>
        <v>ET</v>
      </c>
      <c r="G526" t="str">
        <f>VLOOKUP(Tabla3[[#This Row],[Site]],Table35[],12,FALSE)</f>
        <v>5:00 A.M.</v>
      </c>
      <c r="H526" s="74" t="str">
        <f>HYPERLINK(VLOOKUP(Tabla3[[#This Row],[Site]],Table35[#All],9,FALSE))</f>
        <v>https://tools.sig.systems/site/details/334</v>
      </c>
      <c r="I526">
        <f>VLOOKUP(Tabla3[[#This Row],[Site]],Table35[],13,FALSE)</f>
        <v>0</v>
      </c>
      <c r="J526" t="str">
        <f>VLOOKUP(Tabla3[[#This Row],[Site]],Table35[],14,FALSE)</f>
        <v>10:00 A.M.</v>
      </c>
      <c r="L526" s="32" t="str">
        <f>VLOOKUP(Tabla3[[#This Row],[Site]],Table35[#All],2,FALSE)</f>
        <v>-</v>
      </c>
      <c r="M526" s="32" t="str">
        <f>VLOOKUP(Tabla3[[#This Row],[Site]],Table35[#All],3,FALSE)</f>
        <v>1, 3, 12, 15, 17</v>
      </c>
      <c r="N526" s="32" t="str">
        <f>VLOOKUP(Tabla3[[#This Row],[Site]],Table35[#All],4,FALSE)</f>
        <v>-</v>
      </c>
      <c r="O526" s="32" t="str">
        <f>VLOOKUP(Tabla3[[#This Row],[Site]],Table35[#All],5,FALSE)</f>
        <v>-</v>
      </c>
      <c r="P526" s="32" t="str">
        <f>VLOOKUP(Tabla3[[#This Row],[Site]],Table35[#All],6,FALSE)</f>
        <v>2, 6, 18, 20</v>
      </c>
      <c r="Q526" s="32" t="str">
        <f>VLOOKUP(Tabla3[[#This Row],[Site]],Table35[#All],8,FALSE)</f>
        <v>334</v>
      </c>
    </row>
    <row r="527" spans="1:17" hidden="1" x14ac:dyDescent="0.25">
      <c r="A527" t="str">
        <f>+Tabla3[[#This Row],[Site]]&amp;Tabla3[[#This Row],[Split]]</f>
        <v>(AS) Koons Chevrolet Buick GMC - Tysons Remote Lot (NO TOURS)9</v>
      </c>
      <c r="B527">
        <v>9</v>
      </c>
      <c r="C527">
        <v>8</v>
      </c>
      <c r="D527" t="s">
        <v>385</v>
      </c>
      <c r="E527" t="str">
        <f>VLOOKUP(Tabla3[[#This Row],[Site]],Table35[],10,FALSE)</f>
        <v>9:00 P.M.</v>
      </c>
      <c r="F527" t="str">
        <f>VLOOKUP(Tabla3[[#This Row],[Site]],Table35[],11,FALSE)</f>
        <v>ET</v>
      </c>
      <c r="G527" t="str">
        <f>VLOOKUP(Tabla3[[#This Row],[Site]],Table35[],12,FALSE)</f>
        <v>5:00 A.M.</v>
      </c>
      <c r="H527" s="74" t="str">
        <f>HYPERLINK(VLOOKUP(Tabla3[[#This Row],[Site]],Table35[#All],9,FALSE))</f>
        <v>https://tools.sig.systems/site/details/333</v>
      </c>
      <c r="I527" t="str">
        <f>VLOOKUP(Tabla3[[#This Row],[Site]],Table35[],13,FALSE)</f>
        <v>-</v>
      </c>
      <c r="J527" t="str">
        <f>VLOOKUP(Tabla3[[#This Row],[Site]],Table35[],14,FALSE)</f>
        <v>-</v>
      </c>
      <c r="L527" s="32" t="str">
        <f>VLOOKUP(Tabla3[[#This Row],[Site]],Table35[#All],2,FALSE)</f>
        <v>-</v>
      </c>
      <c r="M527" s="32">
        <f>VLOOKUP(Tabla3[[#This Row],[Site]],Table35[#All],3,FALSE)</f>
        <v>6</v>
      </c>
      <c r="N527" s="32" t="str">
        <f>VLOOKUP(Tabla3[[#This Row],[Site]],Table35[#All],4,FALSE)</f>
        <v>1, 2, 3</v>
      </c>
      <c r="O527" s="32" t="str">
        <f>VLOOKUP(Tabla3[[#This Row],[Site]],Table35[#All],5,FALSE)</f>
        <v>7, 10, 16, 29</v>
      </c>
      <c r="P527" s="32" t="str">
        <f>VLOOKUP(Tabla3[[#This Row],[Site]],Table35[#All],6,FALSE)</f>
        <v>14, 17, 30</v>
      </c>
      <c r="Q527" s="32" t="str">
        <f>VLOOKUP(Tabla3[[#This Row],[Site]],Table35[#All],8,FALSE)</f>
        <v>333</v>
      </c>
    </row>
    <row r="528" spans="1:17" hidden="1" x14ac:dyDescent="0.25">
      <c r="A528" t="str">
        <f>+Tabla3[[#This Row],[Site]]&amp;Tabla3[[#This Row],[Split]]</f>
        <v>(AS) Koons Volvo Cars White Marsh (NO TOURS)9</v>
      </c>
      <c r="B528">
        <v>9</v>
      </c>
      <c r="C528">
        <v>8</v>
      </c>
      <c r="D528" t="s">
        <v>382</v>
      </c>
      <c r="E528" t="str">
        <f>VLOOKUP(Tabla3[[#This Row],[Site]],Table35[],10,FALSE)</f>
        <v>9:00 P.M.</v>
      </c>
      <c r="F528" t="str">
        <f>VLOOKUP(Tabla3[[#This Row],[Site]],Table35[],11,FALSE)</f>
        <v>ET</v>
      </c>
      <c r="G528" t="str">
        <f>VLOOKUP(Tabla3[[#This Row],[Site]],Table35[],12,FALSE)</f>
        <v>5:00 A.M.</v>
      </c>
      <c r="H528" s="74" t="str">
        <f>HYPERLINK(VLOOKUP(Tabla3[[#This Row],[Site]],Table35[#All],9,FALSE))</f>
        <v>https://tools.sig.systems/site/details/338</v>
      </c>
      <c r="I528">
        <f>VLOOKUP(Tabla3[[#This Row],[Site]],Table35[],13,FALSE)</f>
        <v>0</v>
      </c>
      <c r="J528" t="str">
        <f>VLOOKUP(Tabla3[[#This Row],[Site]],Table35[],14,FALSE)</f>
        <v>-</v>
      </c>
      <c r="L528" s="32" t="str">
        <f>VLOOKUP(Tabla3[[#This Row],[Site]],Table35[#All],2,FALSE)</f>
        <v>-</v>
      </c>
      <c r="M528" s="32" t="str">
        <f>VLOOKUP(Tabla3[[#This Row],[Site]],Table35[#All],3,FALSE)</f>
        <v>5, 7, 9</v>
      </c>
      <c r="N528" s="32" t="str">
        <f>VLOOKUP(Tabla3[[#This Row],[Site]],Table35[#All],4,FALSE)</f>
        <v>-</v>
      </c>
      <c r="O528" s="32" t="str">
        <f>VLOOKUP(Tabla3[[#This Row],[Site]],Table35[#All],5,FALSE)</f>
        <v>-</v>
      </c>
      <c r="P528" s="32" t="str">
        <f>VLOOKUP(Tabla3[[#This Row],[Site]],Table35[#All],6,FALSE)</f>
        <v>6, 10, 1</v>
      </c>
      <c r="Q528" s="32" t="str">
        <f>VLOOKUP(Tabla3[[#This Row],[Site]],Table35[#All],8,FALSE)</f>
        <v>338</v>
      </c>
    </row>
    <row r="529" spans="1:17" hidden="1" x14ac:dyDescent="0.25">
      <c r="A529" t="str">
        <f>+Tabla3[[#This Row],[Site]]&amp;Tabla3[[#This Row],[Split]]</f>
        <v>(AS) Larry H Miller CDJR Fiat (NO TOURS)9</v>
      </c>
      <c r="B529">
        <v>9</v>
      </c>
      <c r="C529">
        <v>8</v>
      </c>
      <c r="D529" t="s">
        <v>215</v>
      </c>
      <c r="E529" t="str">
        <f>VLOOKUP(Tabla3[[#This Row],[Site]],Table35[],10,FALSE)</f>
        <v>11:00 P.M.</v>
      </c>
      <c r="F529" t="str">
        <f>VLOOKUP(Tabla3[[#This Row],[Site]],Table35[],11,FALSE)</f>
        <v>MT</v>
      </c>
      <c r="G529" t="str">
        <f>VLOOKUP(Tabla3[[#This Row],[Site]],Table35[],12,FALSE)</f>
        <v>7:00 A.M.</v>
      </c>
      <c r="H529" s="74" t="str">
        <f>HYPERLINK(VLOOKUP(Tabla3[[#This Row],[Site]],Table35[#All],9,FALSE))</f>
        <v>https://tools.sig.systems/site/details/298</v>
      </c>
      <c r="I529">
        <f>VLOOKUP(Tabla3[[#This Row],[Site]],Table35[],13,FALSE)</f>
        <v>0</v>
      </c>
      <c r="J529" t="str">
        <f>VLOOKUP(Tabla3[[#This Row],[Site]],Table35[],14,FALSE)</f>
        <v>-</v>
      </c>
      <c r="L529" s="32" t="str">
        <f>VLOOKUP(Tabla3[[#This Row],[Site]],Table35[#All],2,FALSE)</f>
        <v>7, 11</v>
      </c>
      <c r="M529" s="32" t="str">
        <f>VLOOKUP(Tabla3[[#This Row],[Site]],Table35[#All],3,FALSE)</f>
        <v>2, 3</v>
      </c>
      <c r="N529" s="32" t="str">
        <f>VLOOKUP(Tabla3[[#This Row],[Site]],Table35[#All],4,FALSE)</f>
        <v>-</v>
      </c>
      <c r="O529" s="32" t="str">
        <f>VLOOKUP(Tabla3[[#This Row],[Site]],Table35[#All],5,FALSE)</f>
        <v>-</v>
      </c>
      <c r="P529" s="32" t="str">
        <f>VLOOKUP(Tabla3[[#This Row],[Site]],Table35[#All],6,FALSE)</f>
        <v xml:space="preserve">2, 6, 10, 15, 18 </v>
      </c>
      <c r="Q529" s="32" t="str">
        <f>VLOOKUP(Tabla3[[#This Row],[Site]],Table35[#All],8,FALSE)</f>
        <v>298</v>
      </c>
    </row>
    <row r="530" spans="1:17" hidden="1" x14ac:dyDescent="0.25">
      <c r="A530" t="str">
        <f>+Tabla3[[#This Row],[Site]]&amp;Tabla3[[#This Row],[Split]]</f>
        <v>(BRL) Fort Pierce9</v>
      </c>
      <c r="B530">
        <v>9</v>
      </c>
      <c r="C530">
        <v>8</v>
      </c>
      <c r="D530" t="s">
        <v>347</v>
      </c>
      <c r="E530" t="str">
        <f>VLOOKUP(Tabla3[[#This Row],[Site]],Table35[],10,FALSE)</f>
        <v>24H</v>
      </c>
      <c r="F530" t="str">
        <f>VLOOKUP(Tabla3[[#This Row],[Site]],Table35[],11,FALSE)</f>
        <v>ET</v>
      </c>
      <c r="G530" t="str">
        <f>VLOOKUP(Tabla3[[#This Row],[Site]],Table35[],12,FALSE)</f>
        <v>-</v>
      </c>
      <c r="H530" s="74" t="str">
        <f>HYPERLINK(VLOOKUP(Tabla3[[#This Row],[Site]],Table35[#All],9,FALSE))</f>
        <v>https://tools.sig.systems/site/details/326</v>
      </c>
      <c r="I530" t="str">
        <f>VLOOKUP(Tabla3[[#This Row],[Site]],Table35[],13,FALSE)</f>
        <v>-</v>
      </c>
      <c r="J530" t="str">
        <f>VLOOKUP(Tabla3[[#This Row],[Site]],Table35[],14,FALSE)</f>
        <v>-</v>
      </c>
      <c r="L530" s="32" t="str">
        <f>VLOOKUP(Tabla3[[#This Row],[Site]],Table35[#All],2,FALSE)</f>
        <v>-</v>
      </c>
      <c r="M530" s="32">
        <f>VLOOKUP(Tabla3[[#This Row],[Site]],Table35[#All],3,FALSE)</f>
        <v>1</v>
      </c>
      <c r="N530" s="32" t="str">
        <f>VLOOKUP(Tabla3[[#This Row],[Site]],Table35[#All],4,FALSE)</f>
        <v>-</v>
      </c>
      <c r="O530" s="32">
        <f>VLOOKUP(Tabla3[[#This Row],[Site]],Table35[#All],5,FALSE)</f>
        <v>2</v>
      </c>
      <c r="P530" s="32" t="str">
        <f>VLOOKUP(Tabla3[[#This Row],[Site]],Table35[#All],6,FALSE)</f>
        <v>15, 18</v>
      </c>
      <c r="Q530" s="32" t="str">
        <f>VLOOKUP(Tabla3[[#This Row],[Site]],Table35[#All],8,FALSE)</f>
        <v>326</v>
      </c>
    </row>
    <row r="531" spans="1:17" hidden="1" x14ac:dyDescent="0.25">
      <c r="A531" t="str">
        <f>+Tabla3[[#This Row],[Site]]&amp;Tabla3[[#This Row],[Split]]</f>
        <v>(DT) Arlington9</v>
      </c>
      <c r="B531">
        <v>9</v>
      </c>
      <c r="C531">
        <v>8</v>
      </c>
      <c r="D531" t="s">
        <v>18</v>
      </c>
      <c r="E531" t="str">
        <f>VLOOKUP(Tabla3[[#This Row],[Site]],Table35[],10,FALSE)</f>
        <v>10:00 P.M.</v>
      </c>
      <c r="F531" t="str">
        <f>VLOOKUP(Tabla3[[#This Row],[Site]],Table35[],11,FALSE)</f>
        <v>CT</v>
      </c>
      <c r="G531" t="str">
        <f>VLOOKUP(Tabla3[[#This Row],[Site]],Table35[],12,FALSE)</f>
        <v>6:00 A.M.</v>
      </c>
      <c r="H531" s="74" t="str">
        <f>HYPERLINK(VLOOKUP(Tabla3[[#This Row],[Site]],Table35[#All],9,FALSE))</f>
        <v>https://tools.sig.systems/site/details/199</v>
      </c>
      <c r="I531">
        <f>VLOOKUP(Tabla3[[#This Row],[Site]],Table35[],13,FALSE)</f>
        <v>0</v>
      </c>
      <c r="J531" t="str">
        <f>VLOOKUP(Tabla3[[#This Row],[Site]],Table35[],14,FALSE)</f>
        <v>-</v>
      </c>
      <c r="L531" s="32">
        <f>VLOOKUP(Tabla3[[#This Row],[Site]],Table35[#All],2,FALSE)</f>
        <v>8</v>
      </c>
      <c r="M531" s="32">
        <f>VLOOKUP(Tabla3[[#This Row],[Site]],Table35[#All],3,FALSE)</f>
        <v>3</v>
      </c>
      <c r="N531" s="32" t="str">
        <f>VLOOKUP(Tabla3[[#This Row],[Site]],Table35[#All],4,FALSE)</f>
        <v>-</v>
      </c>
      <c r="O531" s="32" t="str">
        <f>VLOOKUP(Tabla3[[#This Row],[Site]],Table35[#All],5,FALSE)</f>
        <v>-</v>
      </c>
      <c r="P531" s="32" t="str">
        <f>VLOOKUP(Tabla3[[#This Row],[Site]],Table35[#All],6,FALSE)</f>
        <v>3, 8, 9</v>
      </c>
      <c r="Q531" s="32" t="str">
        <f>VLOOKUP(Tabla3[[#This Row],[Site]],Table35[#All],8,FALSE)</f>
        <v>199</v>
      </c>
    </row>
    <row r="532" spans="1:17" hidden="1" x14ac:dyDescent="0.25">
      <c r="A532" t="str">
        <f>+Tabla3[[#This Row],[Site]]&amp;Tabla3[[#This Row],[Split]]</f>
        <v>(KG) Ken Garff Volkswagen of Gilbert9</v>
      </c>
      <c r="B532">
        <v>9</v>
      </c>
      <c r="C532">
        <v>8</v>
      </c>
      <c r="D532" t="s">
        <v>129</v>
      </c>
      <c r="E532" t="str">
        <f>VLOOKUP(Tabla3[[#This Row],[Site]],Table35[],10,FALSE)</f>
        <v>12:00 A.M.</v>
      </c>
      <c r="F532" t="str">
        <f>VLOOKUP(Tabla3[[#This Row],[Site]],Table35[],11,FALSE)</f>
        <v>MST</v>
      </c>
      <c r="G532" t="str">
        <f>VLOOKUP(Tabla3[[#This Row],[Site]],Table35[],12,FALSE)</f>
        <v>8:00 A.M.</v>
      </c>
      <c r="H532" s="74" t="str">
        <f>HYPERLINK(VLOOKUP(Tabla3[[#This Row],[Site]],Table35[#All],9,FALSE))</f>
        <v>https://tools.sig.systems/site/details/284</v>
      </c>
      <c r="I532" t="str">
        <f>VLOOKUP(Tabla3[[#This Row],[Site]],Table35[],13,FALSE)</f>
        <v>https://www.google.com/maps/d/viewer?hl=es&amp;mid=19SU7XE9Cg8jhVFpEI21Vi9Zfgdih9Ds&amp;ll=33.29158262977276%2C-111.75783630000002&amp;z=17</v>
      </c>
      <c r="J532" t="str">
        <f>VLOOKUP(Tabla3[[#This Row],[Site]],Table35[],14,FALSE)</f>
        <v>12:00 P.M.</v>
      </c>
      <c r="L532" s="32" t="str">
        <f>VLOOKUP(Tabla3[[#This Row],[Site]],Table35[#All],2,FALSE)</f>
        <v>4, 6</v>
      </c>
      <c r="M532" s="32" t="str">
        <f>VLOOKUP(Tabla3[[#This Row],[Site]],Table35[#All],3,FALSE)</f>
        <v>-</v>
      </c>
      <c r="N532" s="32" t="str">
        <f>VLOOKUP(Tabla3[[#This Row],[Site]],Table35[#All],4,FALSE)</f>
        <v>-</v>
      </c>
      <c r="O532" s="32" t="str">
        <f>VLOOKUP(Tabla3[[#This Row],[Site]],Table35[#All],5,FALSE)</f>
        <v>2, 14</v>
      </c>
      <c r="P532" s="32" t="str">
        <f>VLOOKUP(Tabla3[[#This Row],[Site]],Table35[#All],6,FALSE)</f>
        <v>1, 5, 8, 9, 17, 19, 21</v>
      </c>
      <c r="Q532" s="32" t="str">
        <f>VLOOKUP(Tabla3[[#This Row],[Site]],Table35[#All],8,FALSE)</f>
        <v>284</v>
      </c>
    </row>
    <row r="533" spans="1:17" hidden="1" x14ac:dyDescent="0.25">
      <c r="A533" t="str">
        <f>+Tabla3[[#This Row],[Site]]&amp;Tabla3[[#This Row],[Split]]</f>
        <v>(PE) JLR Darien (NO TOURS)9</v>
      </c>
      <c r="B533">
        <v>9</v>
      </c>
      <c r="C533">
        <v>8</v>
      </c>
      <c r="D533" t="s">
        <v>370</v>
      </c>
      <c r="E533" t="str">
        <f>VLOOKUP(Tabla3[[#This Row],[Site]],Table35[],10,FALSE)</f>
        <v>8:00 P.M.</v>
      </c>
      <c r="F533" t="str">
        <f>VLOOKUP(Tabla3[[#This Row],[Site]],Table35[],11,FALSE)</f>
        <v>ET</v>
      </c>
      <c r="G533" t="str">
        <f>VLOOKUP(Tabla3[[#This Row],[Site]],Table35[],12,FALSE)</f>
        <v>5:00 A.M.</v>
      </c>
      <c r="H533" s="74" t="str">
        <f>HYPERLINK(VLOOKUP(Tabla3[[#This Row],[Site]],Table35[#All],9,FALSE))</f>
        <v>https://tools.sig.systems/site/details/189</v>
      </c>
      <c r="I533" t="str">
        <f>VLOOKUP(Tabla3[[#This Row],[Site]],Table35[],13,FALSE)</f>
        <v>-</v>
      </c>
      <c r="J533" t="str">
        <f>VLOOKUP(Tabla3[[#This Row],[Site]],Table35[],14,FALSE)</f>
        <v>-</v>
      </c>
      <c r="L533" s="32" t="str">
        <f>VLOOKUP(Tabla3[[#This Row],[Site]],Table35[#All],2,FALSE)</f>
        <v>1, 13</v>
      </c>
      <c r="M533" s="32" t="str">
        <f>VLOOKUP(Tabla3[[#This Row],[Site]],Table35[#All],3,FALSE)</f>
        <v>-</v>
      </c>
      <c r="N533" s="32" t="str">
        <f>VLOOKUP(Tabla3[[#This Row],[Site]],Table35[#All],4,FALSE)</f>
        <v>-</v>
      </c>
      <c r="O533" s="32" t="str">
        <f>VLOOKUP(Tabla3[[#This Row],[Site]],Table35[#All],5,FALSE)</f>
        <v>-</v>
      </c>
      <c r="P533" s="32" t="str">
        <f>VLOOKUP(Tabla3[[#This Row],[Site]],Table35[#All],6,FALSE)</f>
        <v>-</v>
      </c>
      <c r="Q533" s="32" t="str">
        <f>VLOOKUP(Tabla3[[#This Row],[Site]],Table35[#All],8,FALSE)</f>
        <v>189</v>
      </c>
    </row>
    <row r="534" spans="1:17" hidden="1" x14ac:dyDescent="0.25">
      <c r="A534" t="str">
        <f>+Tabla3[[#This Row],[Site]]&amp;Tabla3[[#This Row],[Split]]</f>
        <v>(PE) JLR Paramus (NO TOURS)9</v>
      </c>
      <c r="B534">
        <v>9</v>
      </c>
      <c r="C534">
        <v>8</v>
      </c>
      <c r="D534" t="s">
        <v>210</v>
      </c>
      <c r="E534" t="str">
        <f>VLOOKUP(Tabla3[[#This Row],[Site]],Table35[],10,FALSE)</f>
        <v>8:00 P.M.</v>
      </c>
      <c r="F534" t="str">
        <f>VLOOKUP(Tabla3[[#This Row],[Site]],Table35[],11,FALSE)</f>
        <v>ET</v>
      </c>
      <c r="G534" t="str">
        <f>VLOOKUP(Tabla3[[#This Row],[Site]],Table35[],12,FALSE)</f>
        <v>5:00 A.M.</v>
      </c>
      <c r="H534" s="74" t="str">
        <f>HYPERLINK(VLOOKUP(Tabla3[[#This Row],[Site]],Table35[#All],9,FALSE))</f>
        <v>https://tools.sig.systems/site/details/177</v>
      </c>
      <c r="I534">
        <f>VLOOKUP(Tabla3[[#This Row],[Site]],Table35[],13,FALSE)</f>
        <v>0</v>
      </c>
      <c r="J534" t="str">
        <f>VLOOKUP(Tabla3[[#This Row],[Site]],Table35[],14,FALSE)</f>
        <v>-</v>
      </c>
      <c r="L534" s="32" t="str">
        <f>VLOOKUP(Tabla3[[#This Row],[Site]],Table35[#All],2,FALSE)</f>
        <v>1, 17</v>
      </c>
      <c r="M534" s="32" t="str">
        <f>VLOOKUP(Tabla3[[#This Row],[Site]],Table35[#All],3,FALSE)</f>
        <v>-</v>
      </c>
      <c r="N534" s="32" t="str">
        <f>VLOOKUP(Tabla3[[#This Row],[Site]],Table35[#All],4,FALSE)</f>
        <v>-</v>
      </c>
      <c r="O534" s="32" t="str">
        <f>VLOOKUP(Tabla3[[#This Row],[Site]],Table35[#All],5,FALSE)</f>
        <v>-</v>
      </c>
      <c r="P534" s="32" t="str">
        <f>VLOOKUP(Tabla3[[#This Row],[Site]],Table35[#All],6,FALSE)</f>
        <v>1, 17</v>
      </c>
      <c r="Q534" s="32" t="str">
        <f>VLOOKUP(Tabla3[[#This Row],[Site]],Table35[#All],8,FALSE)</f>
        <v>177</v>
      </c>
    </row>
    <row r="535" spans="1:17" hidden="1" x14ac:dyDescent="0.25">
      <c r="A535" t="str">
        <f>+Tabla3[[#This Row],[Site]]&amp;Tabla3[[#This Row],[Split]]</f>
        <v>(AS) Coggin Collision Center of Kissimmee (NO TOURS)9</v>
      </c>
      <c r="B535">
        <v>9</v>
      </c>
      <c r="C535">
        <v>9</v>
      </c>
      <c r="D535" t="s">
        <v>285</v>
      </c>
      <c r="E535" t="str">
        <f>VLOOKUP(Tabla3[[#This Row],[Site]],Table35[],10,FALSE)</f>
        <v>9:00 P.M.</v>
      </c>
      <c r="F535" t="str">
        <f>VLOOKUP(Tabla3[[#This Row],[Site]],Table35[],11,FALSE)</f>
        <v>ET</v>
      </c>
      <c r="G535" t="str">
        <f>VLOOKUP(Tabla3[[#This Row],[Site]],Table35[],12,FALSE)</f>
        <v>5:00 A.M.</v>
      </c>
      <c r="H535" s="74" t="str">
        <f>HYPERLINK(VLOOKUP(Tabla3[[#This Row],[Site]],Table35[#All],9,FALSE))</f>
        <v>https://tools.sig.systems/site/details/331</v>
      </c>
      <c r="I535">
        <f>VLOOKUP(Tabla3[[#This Row],[Site]],Table35[],13,FALSE)</f>
        <v>0</v>
      </c>
      <c r="J535" t="str">
        <f>VLOOKUP(Tabla3[[#This Row],[Site]],Table35[],14,FALSE)</f>
        <v>-</v>
      </c>
      <c r="L535" s="32" t="str">
        <f>VLOOKUP(Tabla3[[#This Row],[Site]],Table35[#All],2,FALSE)</f>
        <v>1, 12</v>
      </c>
      <c r="M535" s="32" t="str">
        <f>VLOOKUP(Tabla3[[#This Row],[Site]],Table35[#All],3,FALSE)</f>
        <v>-</v>
      </c>
      <c r="N535" s="32" t="str">
        <f>VLOOKUP(Tabla3[[#This Row],[Site]],Table35[#All],4,FALSE)</f>
        <v>-</v>
      </c>
      <c r="O535" s="32" t="str">
        <f>VLOOKUP(Tabla3[[#This Row],[Site]],Table35[#All],5,FALSE)</f>
        <v>-</v>
      </c>
      <c r="P535" s="32" t="str">
        <f>VLOOKUP(Tabla3[[#This Row],[Site]],Table35[#All],6,FALSE)</f>
        <v>2, 7, 9</v>
      </c>
      <c r="Q535" s="32" t="str">
        <f>VLOOKUP(Tabla3[[#This Row],[Site]],Table35[#All],8,FALSE)</f>
        <v>331</v>
      </c>
    </row>
    <row r="536" spans="1:17" hidden="1" x14ac:dyDescent="0.25">
      <c r="A536" t="str">
        <f>+Tabla3[[#This Row],[Site]]&amp;Tabla3[[#This Row],[Split]]</f>
        <v>(AS) Koons Woodbridge Ford (NO TOURS)9</v>
      </c>
      <c r="B536">
        <v>9</v>
      </c>
      <c r="C536">
        <v>9</v>
      </c>
      <c r="D536" t="s">
        <v>384</v>
      </c>
      <c r="E536" t="str">
        <f>VLOOKUP(Tabla3[[#This Row],[Site]],Table35[],10,FALSE)</f>
        <v>9:00 P.M.</v>
      </c>
      <c r="F536" t="str">
        <f>VLOOKUP(Tabla3[[#This Row],[Site]],Table35[],11,FALSE)</f>
        <v>ET</v>
      </c>
      <c r="G536" t="str">
        <f>VLOOKUP(Tabla3[[#This Row],[Site]],Table35[],12,FALSE)</f>
        <v>5:00 A.M.</v>
      </c>
      <c r="H536" s="74" t="str">
        <f>HYPERLINK(VLOOKUP(Tabla3[[#This Row],[Site]],Table35[#All],9,FALSE))</f>
        <v>https://tools.sig.systems/site/details/342</v>
      </c>
      <c r="I536">
        <f>VLOOKUP(Tabla3[[#This Row],[Site]],Table35[],13,FALSE)</f>
        <v>0</v>
      </c>
      <c r="J536" t="str">
        <f>VLOOKUP(Tabla3[[#This Row],[Site]],Table35[],14,FALSE)</f>
        <v>9:00 A.M.</v>
      </c>
      <c r="L536" s="32" t="str">
        <f>VLOOKUP(Tabla3[[#This Row],[Site]],Table35[#All],2,FALSE)</f>
        <v>-</v>
      </c>
      <c r="M536" s="32" t="str">
        <f>VLOOKUP(Tabla3[[#This Row],[Site]],Table35[#All],3,FALSE)</f>
        <v>3, 24, 26, 27, 31, 36</v>
      </c>
      <c r="N536" s="32" t="str">
        <f>VLOOKUP(Tabla3[[#This Row],[Site]],Table35[#All],4,FALSE)</f>
        <v>-</v>
      </c>
      <c r="O536" s="32" t="str">
        <f>VLOOKUP(Tabla3[[#This Row],[Site]],Table35[#All],5,FALSE)</f>
        <v>-</v>
      </c>
      <c r="P536" s="32" t="str">
        <f>VLOOKUP(Tabla3[[#This Row],[Site]],Table35[#All],6,FALSE)</f>
        <v>13, 26, 29</v>
      </c>
      <c r="Q536" s="32" t="str">
        <f>VLOOKUP(Tabla3[[#This Row],[Site]],Table35[#All],8,FALSE)</f>
        <v>342</v>
      </c>
    </row>
    <row r="537" spans="1:17" hidden="1" x14ac:dyDescent="0.25">
      <c r="A537" t="str">
        <f>+Tabla3[[#This Row],[Site]]&amp;Tabla3[[#This Row],[Split]]</f>
        <v>(AS) Koons Woodbridge Hyundai (NO TOURS)9</v>
      </c>
      <c r="B537">
        <v>9</v>
      </c>
      <c r="C537">
        <v>9</v>
      </c>
      <c r="D537" t="s">
        <v>406</v>
      </c>
      <c r="E537" t="str">
        <f>VLOOKUP(Tabla3[[#This Row],[Site]],Table35[],10,FALSE)</f>
        <v>9:00 P.M.</v>
      </c>
      <c r="F537" t="str">
        <f>VLOOKUP(Tabla3[[#This Row],[Site]],Table35[],11,FALSE)</f>
        <v>ET</v>
      </c>
      <c r="G537" t="str">
        <f>VLOOKUP(Tabla3[[#This Row],[Site]],Table35[],12,FALSE)</f>
        <v>5:00 A.M.</v>
      </c>
      <c r="H537" s="74" t="str">
        <f>HYPERLINK(VLOOKUP(Tabla3[[#This Row],[Site]],Table35[#All],9,FALSE))</f>
        <v>https://tools.sig.systems/site/details/347</v>
      </c>
      <c r="I537" t="str">
        <f>VLOOKUP(Tabla3[[#This Row],[Site]],Table35[],13,FALSE)</f>
        <v>-</v>
      </c>
      <c r="J537" t="str">
        <f>VLOOKUP(Tabla3[[#This Row],[Site]],Table35[],14,FALSE)</f>
        <v>8:00 A.M.</v>
      </c>
      <c r="L537" s="32" t="str">
        <f>VLOOKUP(Tabla3[[#This Row],[Site]],Table35[#All],2,FALSE)</f>
        <v>-</v>
      </c>
      <c r="M537" s="32" t="str">
        <f>VLOOKUP(Tabla3[[#This Row],[Site]],Table35[#All],3,FALSE)</f>
        <v>1, 17</v>
      </c>
      <c r="N537" s="32" t="str">
        <f>VLOOKUP(Tabla3[[#This Row],[Site]],Table35[#All],4,FALSE)</f>
        <v>-</v>
      </c>
      <c r="O537" s="32" t="str">
        <f>VLOOKUP(Tabla3[[#This Row],[Site]],Table35[#All],5,FALSE)</f>
        <v>-</v>
      </c>
      <c r="P537" s="32" t="str">
        <f>VLOOKUP(Tabla3[[#This Row],[Site]],Table35[#All],6,FALSE)</f>
        <v>4, 14, 22</v>
      </c>
      <c r="Q537" s="32" t="str">
        <f>VLOOKUP(Tabla3[[#This Row],[Site]],Table35[#All],8,FALSE)</f>
        <v>347</v>
      </c>
    </row>
    <row r="538" spans="1:17" hidden="1" x14ac:dyDescent="0.25">
      <c r="A538" t="str">
        <f>+Tabla3[[#This Row],[Site]]&amp;Tabla3[[#This Row],[Split]]</f>
        <v>(AS) Plaza Mercedes Benz West (NO TOURS)9</v>
      </c>
      <c r="B538">
        <v>9</v>
      </c>
      <c r="C538">
        <v>9</v>
      </c>
      <c r="D538" t="s">
        <v>394</v>
      </c>
      <c r="E538" t="str">
        <f>VLOOKUP(Tabla3[[#This Row],[Site]],Table35[],10,FALSE)</f>
        <v>10:00 P.M.</v>
      </c>
      <c r="F538" t="str">
        <f>VLOOKUP(Tabla3[[#This Row],[Site]],Table35[],11,FALSE)</f>
        <v>CT</v>
      </c>
      <c r="G538" t="str">
        <f>VLOOKUP(Tabla3[[#This Row],[Site]],Table35[],12,FALSE)</f>
        <v>6:00 A.M.</v>
      </c>
      <c r="H538" s="74" t="str">
        <f>HYPERLINK(VLOOKUP(Tabla3[[#This Row],[Site]],Table35[#All],9,FALSE))</f>
        <v>https://tools.sig.systems/site/details/349</v>
      </c>
      <c r="I538">
        <f>VLOOKUP(Tabla3[[#This Row],[Site]],Table35[],13,FALSE)</f>
        <v>0</v>
      </c>
      <c r="J538" t="str">
        <f>VLOOKUP(Tabla3[[#This Row],[Site]],Table35[],14,FALSE)</f>
        <v>-</v>
      </c>
      <c r="L538" s="32" t="str">
        <f>VLOOKUP(Tabla3[[#This Row],[Site]],Table35[#All],2,FALSE)</f>
        <v>-</v>
      </c>
      <c r="M538" s="32" t="str">
        <f>VLOOKUP(Tabla3[[#This Row],[Site]],Table35[#All],3,FALSE)</f>
        <v>1, 7</v>
      </c>
      <c r="N538" s="32" t="str">
        <f>VLOOKUP(Tabla3[[#This Row],[Site]],Table35[#All],4,FALSE)</f>
        <v>-</v>
      </c>
      <c r="O538" s="32">
        <f>VLOOKUP(Tabla3[[#This Row],[Site]],Table35[#All],5,FALSE)</f>
        <v>17</v>
      </c>
      <c r="P538" s="32" t="str">
        <f>VLOOKUP(Tabla3[[#This Row],[Site]],Table35[#All],6,FALSE)</f>
        <v>6, 21</v>
      </c>
      <c r="Q538" s="32" t="str">
        <f>VLOOKUP(Tabla3[[#This Row],[Site]],Table35[#All],8,FALSE)</f>
        <v>349</v>
      </c>
    </row>
    <row r="539" spans="1:17" hidden="1" x14ac:dyDescent="0.25">
      <c r="A539" t="str">
        <f>+Tabla3[[#This Row],[Site]]&amp;Tabla3[[#This Row],[Split]]</f>
        <v>(BRL) Shoemakersville9</v>
      </c>
      <c r="B539">
        <v>9</v>
      </c>
      <c r="C539">
        <v>9</v>
      </c>
      <c r="D539" t="s">
        <v>119</v>
      </c>
      <c r="E539" t="str">
        <f>VLOOKUP(Tabla3[[#This Row],[Site]],Table35[],10,FALSE)</f>
        <v>24H</v>
      </c>
      <c r="F539" t="str">
        <f>VLOOKUP(Tabla3[[#This Row],[Site]],Table35[],11,FALSE)</f>
        <v>ET</v>
      </c>
      <c r="G539" t="str">
        <f>VLOOKUP(Tabla3[[#This Row],[Site]],Table35[],12,FALSE)</f>
        <v>-</v>
      </c>
      <c r="H539" s="74" t="str">
        <f>HYPERLINK(VLOOKUP(Tabla3[[#This Row],[Site]],Table35[#All],9,FALSE))</f>
        <v>https://tools.sig.systems/site/details/302</v>
      </c>
      <c r="I539">
        <f>VLOOKUP(Tabla3[[#This Row],[Site]],Table35[],13,FALSE)</f>
        <v>0</v>
      </c>
      <c r="J539" t="str">
        <f>VLOOKUP(Tabla3[[#This Row],[Site]],Table35[],14,FALSE)</f>
        <v>-</v>
      </c>
      <c r="L539" s="32" t="str">
        <f>VLOOKUP(Tabla3[[#This Row],[Site]],Table35[#All],2,FALSE)</f>
        <v>-</v>
      </c>
      <c r="M539" s="32" t="str">
        <f>VLOOKUP(Tabla3[[#This Row],[Site]],Table35[#All],3,FALSE)</f>
        <v>8, 11</v>
      </c>
      <c r="N539" s="32" t="str">
        <f>VLOOKUP(Tabla3[[#This Row],[Site]],Table35[#All],4,FALSE)</f>
        <v>-</v>
      </c>
      <c r="O539" s="32" t="str">
        <f>VLOOKUP(Tabla3[[#This Row],[Site]],Table35[#All],5,FALSE)</f>
        <v>1, 6, 13A, 15, 18A</v>
      </c>
      <c r="P539" s="32" t="str">
        <f>VLOOKUP(Tabla3[[#This Row],[Site]],Table35[#All],6,FALSE)</f>
        <v>13B, 23</v>
      </c>
      <c r="Q539" s="32" t="str">
        <f>VLOOKUP(Tabla3[[#This Row],[Site]],Table35[#All],8,FALSE)</f>
        <v>302</v>
      </c>
    </row>
    <row r="540" spans="1:17" hidden="1" x14ac:dyDescent="0.25">
      <c r="A540" t="str">
        <f>+Tabla3[[#This Row],[Site]]&amp;Tabla3[[#This Row],[Split]]</f>
        <v>(LT) Luther North Country Ford9</v>
      </c>
      <c r="B540">
        <v>9</v>
      </c>
      <c r="C540">
        <v>9</v>
      </c>
      <c r="D540" t="s">
        <v>126</v>
      </c>
      <c r="E540" t="str">
        <f>VLOOKUP(Tabla3[[#This Row],[Site]],Table35[],10,FALSE)</f>
        <v>10:00 P.M.</v>
      </c>
      <c r="F540" t="str">
        <f>VLOOKUP(Tabla3[[#This Row],[Site]],Table35[],11,FALSE)</f>
        <v>CT</v>
      </c>
      <c r="G540" t="str">
        <f>VLOOKUP(Tabla3[[#This Row],[Site]],Table35[],12,FALSE)</f>
        <v>6:00 A.M.</v>
      </c>
      <c r="H540" s="74" t="str">
        <f>HYPERLINK(VLOOKUP(Tabla3[[#This Row],[Site]],Table35[#All],9,FALSE))</f>
        <v>https://tools.sig.systems/site/details/292</v>
      </c>
      <c r="I540">
        <f>VLOOKUP(Tabla3[[#This Row],[Site]],Table35[],13,FALSE)</f>
        <v>0</v>
      </c>
      <c r="J540" t="str">
        <f>VLOOKUP(Tabla3[[#This Row],[Site]],Table35[],14,FALSE)</f>
        <v>-</v>
      </c>
      <c r="L540" s="32" t="str">
        <f>VLOOKUP(Tabla3[[#This Row],[Site]],Table35[#All],2,FALSE)</f>
        <v>-</v>
      </c>
      <c r="M540" s="32" t="str">
        <f>VLOOKUP(Tabla3[[#This Row],[Site]],Table35[#All],3,FALSE)</f>
        <v>7, 14, 19</v>
      </c>
      <c r="N540" s="32" t="str">
        <f>VLOOKUP(Tabla3[[#This Row],[Site]],Table35[#All],4,FALSE)</f>
        <v>30, 31, 32</v>
      </c>
      <c r="O540" s="32" t="str">
        <f>VLOOKUP(Tabla3[[#This Row],[Site]],Table35[#All],5,FALSE)</f>
        <v>-</v>
      </c>
      <c r="P540" s="32" t="str">
        <f>VLOOKUP(Tabla3[[#This Row],[Site]],Table35[#All],6,FALSE)</f>
        <v>1, 4, 9, 13, 15, 16B, 25</v>
      </c>
      <c r="Q540" s="32" t="str">
        <f>VLOOKUP(Tabla3[[#This Row],[Site]],Table35[#All],8,FALSE)</f>
        <v>292</v>
      </c>
    </row>
    <row r="541" spans="1:17" hidden="1" x14ac:dyDescent="0.25">
      <c r="A541" t="str">
        <f>+Tabla3[[#This Row],[Site]]&amp;Tabla3[[#This Row],[Split]]</f>
        <v>(PE) Porsche Audi Fairfield (NO TOURS)9</v>
      </c>
      <c r="B541">
        <v>9</v>
      </c>
      <c r="C541">
        <v>9</v>
      </c>
      <c r="D541" t="s">
        <v>362</v>
      </c>
      <c r="E541" t="str">
        <f>VLOOKUP(Tabla3[[#This Row],[Site]],Table35[],10,FALSE)</f>
        <v>8:00 P.M.</v>
      </c>
      <c r="F541" t="str">
        <f>VLOOKUP(Tabla3[[#This Row],[Site]],Table35[],11,FALSE)</f>
        <v>ET</v>
      </c>
      <c r="G541" t="str">
        <f>VLOOKUP(Tabla3[[#This Row],[Site]],Table35[],12,FALSE)</f>
        <v>5:00 A.M.</v>
      </c>
      <c r="H541" s="74" t="str">
        <f>HYPERLINK(VLOOKUP(Tabla3[[#This Row],[Site]],Table35[#All],9,FALSE))</f>
        <v>https://tools.sig.systems/site/details/194</v>
      </c>
      <c r="I541">
        <f>VLOOKUP(Tabla3[[#This Row],[Site]],Table35[],13,FALSE)</f>
        <v>0</v>
      </c>
      <c r="J541" t="str">
        <f>VLOOKUP(Tabla3[[#This Row],[Site]],Table35[],14,FALSE)</f>
        <v>-</v>
      </c>
      <c r="L541" s="32" t="str">
        <f>VLOOKUP(Tabla3[[#This Row],[Site]],Table35[#All],2,FALSE)</f>
        <v>1, 18</v>
      </c>
      <c r="M541" s="32" t="str">
        <f>VLOOKUP(Tabla3[[#This Row],[Site]],Table35[#All],3,FALSE)</f>
        <v>-</v>
      </c>
      <c r="N541" s="32" t="str">
        <f>VLOOKUP(Tabla3[[#This Row],[Site]],Table35[#All],4,FALSE)</f>
        <v>-</v>
      </c>
      <c r="O541" s="32">
        <f>VLOOKUP(Tabla3[[#This Row],[Site]],Table35[#All],5,FALSE)</f>
        <v>20</v>
      </c>
      <c r="P541" s="32">
        <f>VLOOKUP(Tabla3[[#This Row],[Site]],Table35[#All],6,FALSE)</f>
        <v>15</v>
      </c>
      <c r="Q541" s="32" t="str">
        <f>VLOOKUP(Tabla3[[#This Row],[Site]],Table35[#All],8,FALSE)</f>
        <v>194</v>
      </c>
    </row>
    <row r="542" spans="1:17" hidden="1" x14ac:dyDescent="0.25">
      <c r="A542" t="str">
        <f>+Tabla3[[#This Row],[Site]]&amp;Tabla3[[#This Row],[Split]]</f>
        <v>(AS) Koons Tysons Toyota - UC Recon (NO TOURS)1</v>
      </c>
      <c r="B542">
        <v>1</v>
      </c>
      <c r="C542">
        <v>1</v>
      </c>
      <c r="D542" t="s">
        <v>454</v>
      </c>
      <c r="E542" t="str">
        <f>VLOOKUP(Tabla3[[#This Row],[Site]],Table35[],10,FALSE)</f>
        <v>9:00 P.M.</v>
      </c>
      <c r="F542" t="str">
        <f>VLOOKUP(Tabla3[[#This Row],[Site]],Table35[],11,FALSE)</f>
        <v>ET</v>
      </c>
      <c r="G542" t="str">
        <f>VLOOKUP(Tabla3[[#This Row],[Site]],Table35[],12,FALSE)</f>
        <v>5:00 A.M.</v>
      </c>
      <c r="H542" s="74" t="str">
        <f>HYPERLINK(VLOOKUP(Tabla3[[#This Row],[Site]],Table35[#All],9,FALSE))</f>
        <v>https://tools.sig.systems/site/details/355</v>
      </c>
      <c r="I542" t="str">
        <f>VLOOKUP(Tabla3[[#This Row],[Site]],Table35[],13,FALSE)</f>
        <v>-</v>
      </c>
      <c r="J542" t="str">
        <f>VLOOKUP(Tabla3[[#This Row],[Site]],Table35[],14,FALSE)</f>
        <v>-</v>
      </c>
      <c r="L542" s="32" t="str">
        <f>VLOOKUP(Tabla3[[#This Row],[Site]],Table35[#All],2,FALSE)</f>
        <v>-</v>
      </c>
      <c r="M542" s="32" t="str">
        <f>VLOOKUP(Tabla3[[#This Row],[Site]],Table35[#All],3,FALSE)</f>
        <v>37, 38</v>
      </c>
      <c r="N542" s="32" t="str">
        <f>VLOOKUP(Tabla3[[#This Row],[Site]],Table35[#All],4,FALSE)</f>
        <v>-</v>
      </c>
      <c r="O542" s="32" t="str">
        <f>VLOOKUP(Tabla3[[#This Row],[Site]],Table35[#All],5,FALSE)</f>
        <v>-</v>
      </c>
      <c r="P542" s="32" t="str">
        <f>VLOOKUP(Tabla3[[#This Row],[Site]],Table35[#All],6,FALSE)</f>
        <v>-</v>
      </c>
      <c r="Q542" s="32" t="str">
        <f>VLOOKUP(Tabla3[[#This Row],[Site]],Table35[#All],8,FALSE)</f>
        <v>355</v>
      </c>
    </row>
    <row r="543" spans="1:17" hidden="1" x14ac:dyDescent="0.25">
      <c r="A543" t="str">
        <f>+Tabla3[[#This Row],[Site]]&amp;Tabla3[[#This Row],[Split]]</f>
        <v>(AS) Koons Tysons Toyota - UC Recon (NO TOURS)2</v>
      </c>
      <c r="B543">
        <v>2</v>
      </c>
      <c r="C543">
        <v>2</v>
      </c>
      <c r="D543" t="s">
        <v>454</v>
      </c>
      <c r="E543" t="str">
        <f>VLOOKUP(Tabla3[[#This Row],[Site]],Table35[],10,FALSE)</f>
        <v>9:00 P.M.</v>
      </c>
      <c r="F543" t="str">
        <f>VLOOKUP(Tabla3[[#This Row],[Site]],Table35[],11,FALSE)</f>
        <v>ET</v>
      </c>
      <c r="G543" t="str">
        <f>VLOOKUP(Tabla3[[#This Row],[Site]],Table35[],12,FALSE)</f>
        <v>5:00 A.M.</v>
      </c>
      <c r="H543" s="74" t="str">
        <f>HYPERLINK(VLOOKUP(Tabla3[[#This Row],[Site]],Table35[#All],9,FALSE))</f>
        <v>https://tools.sig.systems/site/details/355</v>
      </c>
      <c r="I543" t="str">
        <f>VLOOKUP(Tabla3[[#This Row],[Site]],Table35[],13,FALSE)</f>
        <v>-</v>
      </c>
      <c r="J543" t="str">
        <f>VLOOKUP(Tabla3[[#This Row],[Site]],Table35[],14,FALSE)</f>
        <v>-</v>
      </c>
      <c r="L543" s="32" t="str">
        <f>VLOOKUP(Tabla3[[#This Row],[Site]],Table35[#All],2,FALSE)</f>
        <v>-</v>
      </c>
      <c r="M543" s="32" t="str">
        <f>VLOOKUP(Tabla3[[#This Row],[Site]],Table35[#All],3,FALSE)</f>
        <v>37, 38</v>
      </c>
      <c r="N543" s="32" t="str">
        <f>VLOOKUP(Tabla3[[#This Row],[Site]],Table35[#All],4,FALSE)</f>
        <v>-</v>
      </c>
      <c r="O543" s="32" t="str">
        <f>VLOOKUP(Tabla3[[#This Row],[Site]],Table35[#All],5,FALSE)</f>
        <v>-</v>
      </c>
      <c r="P543" s="32" t="str">
        <f>VLOOKUP(Tabla3[[#This Row],[Site]],Table35[#All],6,FALSE)</f>
        <v>-</v>
      </c>
      <c r="Q543" s="32" t="str">
        <f>VLOOKUP(Tabla3[[#This Row],[Site]],Table35[#All],8,FALSE)</f>
        <v>355</v>
      </c>
    </row>
    <row r="544" spans="1:17" hidden="1" x14ac:dyDescent="0.25">
      <c r="A544" t="str">
        <f>+Tabla3[[#This Row],[Site]]&amp;Tabla3[[#This Row],[Split]]</f>
        <v>(AS) Koons Tysons Toyota - UC Recon (NO TOURS)3</v>
      </c>
      <c r="B544">
        <v>3</v>
      </c>
      <c r="C544">
        <v>3</v>
      </c>
      <c r="D544" t="s">
        <v>454</v>
      </c>
      <c r="E544" t="str">
        <f>VLOOKUP(Tabla3[[#This Row],[Site]],Table35[],10,FALSE)</f>
        <v>9:00 P.M.</v>
      </c>
      <c r="F544" t="str">
        <f>VLOOKUP(Tabla3[[#This Row],[Site]],Table35[],11,FALSE)</f>
        <v>ET</v>
      </c>
      <c r="G544" t="str">
        <f>VLOOKUP(Tabla3[[#This Row],[Site]],Table35[],12,FALSE)</f>
        <v>5:00 A.M.</v>
      </c>
      <c r="H544" s="74" t="str">
        <f>HYPERLINK(VLOOKUP(Tabla3[[#This Row],[Site]],Table35[#All],9,FALSE))</f>
        <v>https://tools.sig.systems/site/details/355</v>
      </c>
      <c r="I544" t="str">
        <f>VLOOKUP(Tabla3[[#This Row],[Site]],Table35[],13,FALSE)</f>
        <v>-</v>
      </c>
      <c r="J544" t="str">
        <f>VLOOKUP(Tabla3[[#This Row],[Site]],Table35[],14,FALSE)</f>
        <v>-</v>
      </c>
      <c r="L544" s="32" t="str">
        <f>VLOOKUP(Tabla3[[#This Row],[Site]],Table35[#All],2,FALSE)</f>
        <v>-</v>
      </c>
      <c r="M544" s="32" t="str">
        <f>VLOOKUP(Tabla3[[#This Row],[Site]],Table35[#All],3,FALSE)</f>
        <v>37, 38</v>
      </c>
      <c r="N544" s="32" t="str">
        <f>VLOOKUP(Tabla3[[#This Row],[Site]],Table35[#All],4,FALSE)</f>
        <v>-</v>
      </c>
      <c r="O544" s="32" t="str">
        <f>VLOOKUP(Tabla3[[#This Row],[Site]],Table35[#All],5,FALSE)</f>
        <v>-</v>
      </c>
      <c r="P544" s="32" t="str">
        <f>VLOOKUP(Tabla3[[#This Row],[Site]],Table35[#All],6,FALSE)</f>
        <v>-</v>
      </c>
      <c r="Q544" s="32" t="str">
        <f>VLOOKUP(Tabla3[[#This Row],[Site]],Table35[#All],8,FALSE)</f>
        <v>355</v>
      </c>
    </row>
    <row r="545" spans="1:17" hidden="1" x14ac:dyDescent="0.25">
      <c r="A545" t="str">
        <f>+Tabla3[[#This Row],[Site]]&amp;Tabla3[[#This Row],[Split]]</f>
        <v>(AS) Koons Tysons Toyota - UC Recon (NO TOURS)4</v>
      </c>
      <c r="B545">
        <v>4</v>
      </c>
      <c r="C545">
        <v>1</v>
      </c>
      <c r="D545" t="s">
        <v>454</v>
      </c>
      <c r="E545" t="str">
        <f>VLOOKUP(Tabla3[[#This Row],[Site]],Table35[],10,FALSE)</f>
        <v>9:00 P.M.</v>
      </c>
      <c r="F545" t="str">
        <f>VLOOKUP(Tabla3[[#This Row],[Site]],Table35[],11,FALSE)</f>
        <v>ET</v>
      </c>
      <c r="G545" t="str">
        <f>VLOOKUP(Tabla3[[#This Row],[Site]],Table35[],12,FALSE)</f>
        <v>5:00 A.M.</v>
      </c>
      <c r="H545" s="74" t="str">
        <f>HYPERLINK(VLOOKUP(Tabla3[[#This Row],[Site]],Table35[#All],9,FALSE))</f>
        <v>https://tools.sig.systems/site/details/355</v>
      </c>
      <c r="I545" t="str">
        <f>VLOOKUP(Tabla3[[#This Row],[Site]],Table35[],13,FALSE)</f>
        <v>-</v>
      </c>
      <c r="J545" t="str">
        <f>VLOOKUP(Tabla3[[#This Row],[Site]],Table35[],14,FALSE)</f>
        <v>-</v>
      </c>
      <c r="L545" s="32" t="str">
        <f>VLOOKUP(Tabla3[[#This Row],[Site]],Table35[#All],2,FALSE)</f>
        <v>-</v>
      </c>
      <c r="M545" s="32" t="str">
        <f>VLOOKUP(Tabla3[[#This Row],[Site]],Table35[#All],3,FALSE)</f>
        <v>37, 38</v>
      </c>
      <c r="N545" s="32" t="str">
        <f>VLOOKUP(Tabla3[[#This Row],[Site]],Table35[#All],4,FALSE)</f>
        <v>-</v>
      </c>
      <c r="O545" s="32" t="str">
        <f>VLOOKUP(Tabla3[[#This Row],[Site]],Table35[#All],5,FALSE)</f>
        <v>-</v>
      </c>
      <c r="P545" s="32" t="str">
        <f>VLOOKUP(Tabla3[[#This Row],[Site]],Table35[#All],6,FALSE)</f>
        <v>-</v>
      </c>
      <c r="Q545" s="32" t="str">
        <f>VLOOKUP(Tabla3[[#This Row],[Site]],Table35[#All],8,FALSE)</f>
        <v>355</v>
      </c>
    </row>
    <row r="546" spans="1:17" hidden="1" x14ac:dyDescent="0.25">
      <c r="A546" t="str">
        <f>+Tabla3[[#This Row],[Site]]&amp;Tabla3[[#This Row],[Split]]</f>
        <v>(AS) Koons Tysons Toyota - UC Recon (NO TOURS)5</v>
      </c>
      <c r="B546">
        <v>5</v>
      </c>
      <c r="C546">
        <v>3</v>
      </c>
      <c r="D546" t="s">
        <v>454</v>
      </c>
      <c r="E546" t="str">
        <f>VLOOKUP(Tabla3[[#This Row],[Site]],Table35[],10,FALSE)</f>
        <v>9:00 P.M.</v>
      </c>
      <c r="F546" t="str">
        <f>VLOOKUP(Tabla3[[#This Row],[Site]],Table35[],11,FALSE)</f>
        <v>ET</v>
      </c>
      <c r="G546" t="str">
        <f>VLOOKUP(Tabla3[[#This Row],[Site]],Table35[],12,FALSE)</f>
        <v>5:00 A.M.</v>
      </c>
      <c r="H546" s="74" t="str">
        <f>HYPERLINK(VLOOKUP(Tabla3[[#This Row],[Site]],Table35[#All],9,FALSE))</f>
        <v>https://tools.sig.systems/site/details/355</v>
      </c>
      <c r="I546" t="str">
        <f>VLOOKUP(Tabla3[[#This Row],[Site]],Table35[],13,FALSE)</f>
        <v>-</v>
      </c>
      <c r="J546" t="str">
        <f>VLOOKUP(Tabla3[[#This Row],[Site]],Table35[],14,FALSE)</f>
        <v>-</v>
      </c>
      <c r="L546" s="32" t="str">
        <f>VLOOKUP(Tabla3[[#This Row],[Site]],Table35[#All],2,FALSE)</f>
        <v>-</v>
      </c>
      <c r="M546" s="32" t="str">
        <f>VLOOKUP(Tabla3[[#This Row],[Site]],Table35[#All],3,FALSE)</f>
        <v>37, 38</v>
      </c>
      <c r="N546" s="32" t="str">
        <f>VLOOKUP(Tabla3[[#This Row],[Site]],Table35[#All],4,FALSE)</f>
        <v>-</v>
      </c>
      <c r="O546" s="32" t="str">
        <f>VLOOKUP(Tabla3[[#This Row],[Site]],Table35[#All],5,FALSE)</f>
        <v>-</v>
      </c>
      <c r="P546" s="32" t="str">
        <f>VLOOKUP(Tabla3[[#This Row],[Site]],Table35[#All],6,FALSE)</f>
        <v>-</v>
      </c>
      <c r="Q546" s="32" t="str">
        <f>VLOOKUP(Tabla3[[#This Row],[Site]],Table35[#All],8,FALSE)</f>
        <v>355</v>
      </c>
    </row>
    <row r="547" spans="1:17" hidden="1" x14ac:dyDescent="0.25">
      <c r="A547" t="str">
        <f>+Tabla3[[#This Row],[Site]]&amp;Tabla3[[#This Row],[Split]]</f>
        <v>(AS) Koons Tysons Toyota - UC Recon (NO TOURS)6</v>
      </c>
      <c r="B547">
        <v>6</v>
      </c>
      <c r="C547">
        <v>3</v>
      </c>
      <c r="D547" t="s">
        <v>454</v>
      </c>
      <c r="E547" t="str">
        <f>VLOOKUP(Tabla3[[#This Row],[Site]],Table35[],10,FALSE)</f>
        <v>9:00 P.M.</v>
      </c>
      <c r="F547" t="str">
        <f>VLOOKUP(Tabla3[[#This Row],[Site]],Table35[],11,FALSE)</f>
        <v>ET</v>
      </c>
      <c r="G547" t="str">
        <f>VLOOKUP(Tabla3[[#This Row],[Site]],Table35[],12,FALSE)</f>
        <v>5:00 A.M.</v>
      </c>
      <c r="H547" s="74" t="str">
        <f>HYPERLINK(VLOOKUP(Tabla3[[#This Row],[Site]],Table35[#All],9,FALSE))</f>
        <v>https://tools.sig.systems/site/details/355</v>
      </c>
      <c r="I547" t="str">
        <f>VLOOKUP(Tabla3[[#This Row],[Site]],Table35[],13,FALSE)</f>
        <v>-</v>
      </c>
      <c r="J547" t="str">
        <f>VLOOKUP(Tabla3[[#This Row],[Site]],Table35[],14,FALSE)</f>
        <v>-</v>
      </c>
      <c r="L547" s="32" t="str">
        <f>VLOOKUP(Tabla3[[#This Row],[Site]],Table35[#All],2,FALSE)</f>
        <v>-</v>
      </c>
      <c r="M547" s="32" t="str">
        <f>VLOOKUP(Tabla3[[#This Row],[Site]],Table35[#All],3,FALSE)</f>
        <v>37, 38</v>
      </c>
      <c r="N547" s="32" t="str">
        <f>VLOOKUP(Tabla3[[#This Row],[Site]],Table35[#All],4,FALSE)</f>
        <v>-</v>
      </c>
      <c r="O547" s="32" t="str">
        <f>VLOOKUP(Tabla3[[#This Row],[Site]],Table35[#All],5,FALSE)</f>
        <v>-</v>
      </c>
      <c r="P547" s="32" t="str">
        <f>VLOOKUP(Tabla3[[#This Row],[Site]],Table35[#All],6,FALSE)</f>
        <v>-</v>
      </c>
      <c r="Q547" s="32" t="str">
        <f>VLOOKUP(Tabla3[[#This Row],[Site]],Table35[#All],8,FALSE)</f>
        <v>355</v>
      </c>
    </row>
    <row r="548" spans="1:17" hidden="1" x14ac:dyDescent="0.25">
      <c r="A548" t="str">
        <f>+Tabla3[[#This Row],[Site]]&amp;Tabla3[[#This Row],[Split]]</f>
        <v>(AS) Koons Tysons Toyota - UC Recon (NO TOURS)7</v>
      </c>
      <c r="B548">
        <v>7</v>
      </c>
      <c r="C548">
        <v>3</v>
      </c>
      <c r="D548" t="s">
        <v>454</v>
      </c>
      <c r="E548" t="str">
        <f>VLOOKUP(Tabla3[[#This Row],[Site]],Table35[],10,FALSE)</f>
        <v>9:00 P.M.</v>
      </c>
      <c r="F548" t="str">
        <f>VLOOKUP(Tabla3[[#This Row],[Site]],Table35[],11,FALSE)</f>
        <v>ET</v>
      </c>
      <c r="G548" t="str">
        <f>VLOOKUP(Tabla3[[#This Row],[Site]],Table35[],12,FALSE)</f>
        <v>5:00 A.M.</v>
      </c>
      <c r="H548" s="74" t="str">
        <f>HYPERLINK(VLOOKUP(Tabla3[[#This Row],[Site]],Table35[#All],9,FALSE))</f>
        <v>https://tools.sig.systems/site/details/355</v>
      </c>
      <c r="I548" t="str">
        <f>VLOOKUP(Tabla3[[#This Row],[Site]],Table35[],13,FALSE)</f>
        <v>-</v>
      </c>
      <c r="J548" t="str">
        <f>VLOOKUP(Tabla3[[#This Row],[Site]],Table35[],14,FALSE)</f>
        <v>-</v>
      </c>
      <c r="L548" s="32" t="str">
        <f>VLOOKUP(Tabla3[[#This Row],[Site]],Table35[#All],2,FALSE)</f>
        <v>-</v>
      </c>
      <c r="M548" s="32" t="str">
        <f>VLOOKUP(Tabla3[[#This Row],[Site]],Table35[#All],3,FALSE)</f>
        <v>37, 38</v>
      </c>
      <c r="N548" s="32" t="str">
        <f>VLOOKUP(Tabla3[[#This Row],[Site]],Table35[#All],4,FALSE)</f>
        <v>-</v>
      </c>
      <c r="O548" s="32" t="str">
        <f>VLOOKUP(Tabla3[[#This Row],[Site]],Table35[#All],5,FALSE)</f>
        <v>-</v>
      </c>
      <c r="P548" s="32" t="str">
        <f>VLOOKUP(Tabla3[[#This Row],[Site]],Table35[#All],6,FALSE)</f>
        <v>-</v>
      </c>
      <c r="Q548" s="32" t="str">
        <f>VLOOKUP(Tabla3[[#This Row],[Site]],Table35[#All],8,FALSE)</f>
        <v>355</v>
      </c>
    </row>
    <row r="549" spans="1:17" hidden="1" x14ac:dyDescent="0.25">
      <c r="A549" t="str">
        <f>+Tabla3[[#This Row],[Site]]&amp;Tabla3[[#This Row],[Split]]</f>
        <v>(AS) Koons Tysons Toyota - UC Recon (NO TOURS)8</v>
      </c>
      <c r="B549">
        <v>8</v>
      </c>
      <c r="C549">
        <v>7</v>
      </c>
      <c r="D549" t="s">
        <v>454</v>
      </c>
      <c r="E549" t="str">
        <f>VLOOKUP(Tabla3[[#This Row],[Site]],Table35[],10,FALSE)</f>
        <v>9:00 P.M.</v>
      </c>
      <c r="F549" t="str">
        <f>VLOOKUP(Tabla3[[#This Row],[Site]],Table35[],11,FALSE)</f>
        <v>ET</v>
      </c>
      <c r="G549" t="str">
        <f>VLOOKUP(Tabla3[[#This Row],[Site]],Table35[],12,FALSE)</f>
        <v>5:00 A.M.</v>
      </c>
      <c r="H549" s="74" t="str">
        <f>HYPERLINK(VLOOKUP(Tabla3[[#This Row],[Site]],Table35[#All],9,FALSE))</f>
        <v>https://tools.sig.systems/site/details/355</v>
      </c>
      <c r="I549" t="str">
        <f>VLOOKUP(Tabla3[[#This Row],[Site]],Table35[],13,FALSE)</f>
        <v>-</v>
      </c>
      <c r="J549" t="str">
        <f>VLOOKUP(Tabla3[[#This Row],[Site]],Table35[],14,FALSE)</f>
        <v>-</v>
      </c>
      <c r="L549" s="32" t="str">
        <f>VLOOKUP(Tabla3[[#This Row],[Site]],Table35[#All],2,FALSE)</f>
        <v>-</v>
      </c>
      <c r="M549" s="32" t="str">
        <f>VLOOKUP(Tabla3[[#This Row],[Site]],Table35[#All],3,FALSE)</f>
        <v>37, 38</v>
      </c>
      <c r="N549" s="32" t="str">
        <f>VLOOKUP(Tabla3[[#This Row],[Site]],Table35[#All],4,FALSE)</f>
        <v>-</v>
      </c>
      <c r="O549" s="32" t="str">
        <f>VLOOKUP(Tabla3[[#This Row],[Site]],Table35[#All],5,FALSE)</f>
        <v>-</v>
      </c>
      <c r="P549" s="32" t="str">
        <f>VLOOKUP(Tabla3[[#This Row],[Site]],Table35[#All],6,FALSE)</f>
        <v>-</v>
      </c>
      <c r="Q549" s="32" t="str">
        <f>VLOOKUP(Tabla3[[#This Row],[Site]],Table35[#All],8,FALSE)</f>
        <v>355</v>
      </c>
    </row>
    <row r="550" spans="1:17" hidden="1" x14ac:dyDescent="0.25">
      <c r="A550" t="str">
        <f>+Tabla3[[#This Row],[Site]]&amp;Tabla3[[#This Row],[Split]]</f>
        <v>(AS) Koons Tysons Toyota - UC Recon (NO TOURS)9</v>
      </c>
      <c r="B550">
        <v>9</v>
      </c>
      <c r="C550">
        <v>3</v>
      </c>
      <c r="D550" t="s">
        <v>454</v>
      </c>
      <c r="E550" t="str">
        <f>VLOOKUP(Tabla3[[#This Row],[Site]],Table35[],10,FALSE)</f>
        <v>9:00 P.M.</v>
      </c>
      <c r="F550" t="str">
        <f>VLOOKUP(Tabla3[[#This Row],[Site]],Table35[],11,FALSE)</f>
        <v>ET</v>
      </c>
      <c r="G550" t="str">
        <f>VLOOKUP(Tabla3[[#This Row],[Site]],Table35[],12,FALSE)</f>
        <v>5:00 A.M.</v>
      </c>
      <c r="H550" s="74" t="str">
        <f>HYPERLINK(VLOOKUP(Tabla3[[#This Row],[Site]],Table35[#All],9,FALSE))</f>
        <v>https://tools.sig.systems/site/details/355</v>
      </c>
      <c r="I550" t="str">
        <f>VLOOKUP(Tabla3[[#This Row],[Site]],Table35[],13,FALSE)</f>
        <v>-</v>
      </c>
      <c r="J550" t="str">
        <f>VLOOKUP(Tabla3[[#This Row],[Site]],Table35[],14,FALSE)</f>
        <v>-</v>
      </c>
      <c r="L550" s="32" t="str">
        <f>VLOOKUP(Tabla3[[#This Row],[Site]],Table35[#All],2,FALSE)</f>
        <v>-</v>
      </c>
      <c r="M550" s="32" t="str">
        <f>VLOOKUP(Tabla3[[#This Row],[Site]],Table35[#All],3,FALSE)</f>
        <v>37, 38</v>
      </c>
      <c r="N550" s="32" t="str">
        <f>VLOOKUP(Tabla3[[#This Row],[Site]],Table35[#All],4,FALSE)</f>
        <v>-</v>
      </c>
      <c r="O550" s="32" t="str">
        <f>VLOOKUP(Tabla3[[#This Row],[Site]],Table35[#All],5,FALSE)</f>
        <v>-</v>
      </c>
      <c r="P550" s="32" t="str">
        <f>VLOOKUP(Tabla3[[#This Row],[Site]],Table35[#All],6,FALSE)</f>
        <v>-</v>
      </c>
      <c r="Q550" s="32" t="str">
        <f>VLOOKUP(Tabla3[[#This Row],[Site]],Table35[#All],8,FALSE)</f>
        <v>355</v>
      </c>
    </row>
    <row r="551" spans="1:17" hidden="1" x14ac:dyDescent="0.25">
      <c r="A551" t="str">
        <f>+Tabla3[[#This Row],[Site]]&amp;Tabla3[[#This Row],[Split]]</f>
        <v/>
      </c>
      <c r="E551" t="e">
        <f>VLOOKUP(Tabla3[[#This Row],[Site]],Table35[],10,FALSE)</f>
        <v>#N/A</v>
      </c>
      <c r="F551" t="e">
        <f>VLOOKUP(Tabla3[[#This Row],[Site]],Table35[],11,FALSE)</f>
        <v>#N/A</v>
      </c>
      <c r="G551" t="e">
        <f>VLOOKUP(Tabla3[[#This Row],[Site]],Table35[],12,FALSE)</f>
        <v>#N/A</v>
      </c>
      <c r="H551" s="74" t="e">
        <f>HYPERLINK(VLOOKUP(Tabla3[[#This Row],[Site]],Table35[#All],9,FALSE))</f>
        <v>#N/A</v>
      </c>
      <c r="I551" t="e">
        <f>VLOOKUP(Tabla3[[#This Row],[Site]],Table35[],13,FALSE)</f>
        <v>#N/A</v>
      </c>
      <c r="J551" t="e">
        <f>VLOOKUP(Tabla3[[#This Row],[Site]],Table35[],14,FALSE)</f>
        <v>#N/A</v>
      </c>
      <c r="L551" s="32" t="e">
        <f>VLOOKUP(Tabla3[[#This Row],[Site]],Table35[#All],2,FALSE)</f>
        <v>#N/A</v>
      </c>
      <c r="M551" s="32" t="e">
        <f>VLOOKUP(Tabla3[[#This Row],[Site]],Table35[#All],3,FALSE)</f>
        <v>#N/A</v>
      </c>
      <c r="N551" s="32" t="e">
        <f>VLOOKUP(Tabla3[[#This Row],[Site]],Table35[#All],4,FALSE)</f>
        <v>#N/A</v>
      </c>
      <c r="O551" s="32" t="e">
        <f>VLOOKUP(Tabla3[[#This Row],[Site]],Table35[#All],5,FALSE)</f>
        <v>#N/A</v>
      </c>
      <c r="P551" s="32" t="e">
        <f>VLOOKUP(Tabla3[[#This Row],[Site]],Table35[#All],6,FALSE)</f>
        <v>#N/A</v>
      </c>
      <c r="Q551" s="32" t="e">
        <f>VLOOKUP(Tabla3[[#This Row],[Site]],Table35[#All],8,FALSE)</f>
        <v>#N/A</v>
      </c>
    </row>
    <row r="552" spans="1:17" hidden="1" x14ac:dyDescent="0.25">
      <c r="A552" t="str">
        <f>+Tabla3[[#This Row],[Site]]&amp;Tabla3[[#This Row],[Split]]</f>
        <v/>
      </c>
      <c r="E552" t="e">
        <f>VLOOKUP(Tabla3[[#This Row],[Site]],Table35[],10,FALSE)</f>
        <v>#N/A</v>
      </c>
      <c r="F552" t="e">
        <f>VLOOKUP(Tabla3[[#This Row],[Site]],Table35[],11,FALSE)</f>
        <v>#N/A</v>
      </c>
      <c r="G552" t="e">
        <f>VLOOKUP(Tabla3[[#This Row],[Site]],Table35[],12,FALSE)</f>
        <v>#N/A</v>
      </c>
      <c r="H552" s="74" t="e">
        <f>HYPERLINK(VLOOKUP(Tabla3[[#This Row],[Site]],Table35[#All],9,FALSE))</f>
        <v>#N/A</v>
      </c>
      <c r="I552" t="e">
        <f>VLOOKUP(Tabla3[[#This Row],[Site]],Table35[],13,FALSE)</f>
        <v>#N/A</v>
      </c>
      <c r="J552" t="e">
        <f>VLOOKUP(Tabla3[[#This Row],[Site]],Table35[],14,FALSE)</f>
        <v>#N/A</v>
      </c>
      <c r="L552" s="32" t="e">
        <f>VLOOKUP(Tabla3[[#This Row],[Site]],Table35[#All],2,FALSE)</f>
        <v>#N/A</v>
      </c>
      <c r="M552" s="32" t="e">
        <f>VLOOKUP(Tabla3[[#This Row],[Site]],Table35[#All],3,FALSE)</f>
        <v>#N/A</v>
      </c>
      <c r="N552" s="32" t="e">
        <f>VLOOKUP(Tabla3[[#This Row],[Site]],Table35[#All],4,FALSE)</f>
        <v>#N/A</v>
      </c>
      <c r="O552" s="32" t="e">
        <f>VLOOKUP(Tabla3[[#This Row],[Site]],Table35[#All],5,FALSE)</f>
        <v>#N/A</v>
      </c>
      <c r="P552" s="32" t="e">
        <f>VLOOKUP(Tabla3[[#This Row],[Site]],Table35[#All],6,FALSE)</f>
        <v>#N/A</v>
      </c>
      <c r="Q552" s="32" t="e">
        <f>VLOOKUP(Tabla3[[#This Row],[Site]],Table35[#All],8,FALSE)</f>
        <v>#N/A</v>
      </c>
    </row>
    <row r="553" spans="1:17" hidden="1" x14ac:dyDescent="0.25">
      <c r="A553" t="str">
        <f>+Tabla3[[#This Row],[Site]]&amp;Tabla3[[#This Row],[Split]]</f>
        <v/>
      </c>
      <c r="E553" t="e">
        <f>VLOOKUP(Tabla3[[#This Row],[Site]],Table35[],10,FALSE)</f>
        <v>#N/A</v>
      </c>
      <c r="F553" t="e">
        <f>VLOOKUP(Tabla3[[#This Row],[Site]],Table35[],11,FALSE)</f>
        <v>#N/A</v>
      </c>
      <c r="G553" t="e">
        <f>VLOOKUP(Tabla3[[#This Row],[Site]],Table35[],12,FALSE)</f>
        <v>#N/A</v>
      </c>
      <c r="H553" s="74" t="e">
        <f>HYPERLINK(VLOOKUP(Tabla3[[#This Row],[Site]],Table35[#All],9,FALSE))</f>
        <v>#N/A</v>
      </c>
      <c r="I553" t="e">
        <f>VLOOKUP(Tabla3[[#This Row],[Site]],Table35[],13,FALSE)</f>
        <v>#N/A</v>
      </c>
      <c r="J553" t="e">
        <f>VLOOKUP(Tabla3[[#This Row],[Site]],Table35[],14,FALSE)</f>
        <v>#N/A</v>
      </c>
      <c r="L553" s="32" t="e">
        <f>VLOOKUP(Tabla3[[#This Row],[Site]],Table35[#All],2,FALSE)</f>
        <v>#N/A</v>
      </c>
      <c r="M553" s="32" t="e">
        <f>VLOOKUP(Tabla3[[#This Row],[Site]],Table35[#All],3,FALSE)</f>
        <v>#N/A</v>
      </c>
      <c r="N553" s="32" t="e">
        <f>VLOOKUP(Tabla3[[#This Row],[Site]],Table35[#All],4,FALSE)</f>
        <v>#N/A</v>
      </c>
      <c r="O553" s="32" t="e">
        <f>VLOOKUP(Tabla3[[#This Row],[Site]],Table35[#All],5,FALSE)</f>
        <v>#N/A</v>
      </c>
      <c r="P553" s="32" t="e">
        <f>VLOOKUP(Tabla3[[#This Row],[Site]],Table35[#All],6,FALSE)</f>
        <v>#N/A</v>
      </c>
      <c r="Q553" s="32" t="e">
        <f>VLOOKUP(Tabla3[[#This Row],[Site]],Table35[#All],8,FALSE)</f>
        <v>#N/A</v>
      </c>
    </row>
    <row r="554" spans="1:17" hidden="1" x14ac:dyDescent="0.25">
      <c r="A554" t="str">
        <f>+Tabla3[[#This Row],[Site]]&amp;Tabla3[[#This Row],[Split]]</f>
        <v/>
      </c>
      <c r="E554" t="e">
        <f>VLOOKUP(Tabla3[[#This Row],[Site]],Table35[],10,FALSE)</f>
        <v>#N/A</v>
      </c>
      <c r="F554" t="e">
        <f>VLOOKUP(Tabla3[[#This Row],[Site]],Table35[],11,FALSE)</f>
        <v>#N/A</v>
      </c>
      <c r="G554" t="e">
        <f>VLOOKUP(Tabla3[[#This Row],[Site]],Table35[],12,FALSE)</f>
        <v>#N/A</v>
      </c>
      <c r="H554" s="74" t="e">
        <f>HYPERLINK(VLOOKUP(Tabla3[[#This Row],[Site]],Table35[#All],9,FALSE))</f>
        <v>#N/A</v>
      </c>
      <c r="I554" t="e">
        <f>VLOOKUP(Tabla3[[#This Row],[Site]],Table35[],13,FALSE)</f>
        <v>#N/A</v>
      </c>
      <c r="J554" t="e">
        <f>VLOOKUP(Tabla3[[#This Row],[Site]],Table35[],14,FALSE)</f>
        <v>#N/A</v>
      </c>
      <c r="L554" s="32" t="e">
        <f>VLOOKUP(Tabla3[[#This Row],[Site]],Table35[#All],2,FALSE)</f>
        <v>#N/A</v>
      </c>
      <c r="M554" s="32" t="e">
        <f>VLOOKUP(Tabla3[[#This Row],[Site]],Table35[#All],3,FALSE)</f>
        <v>#N/A</v>
      </c>
      <c r="N554" s="32" t="e">
        <f>VLOOKUP(Tabla3[[#This Row],[Site]],Table35[#All],4,FALSE)</f>
        <v>#N/A</v>
      </c>
      <c r="O554" s="32" t="e">
        <f>VLOOKUP(Tabla3[[#This Row],[Site]],Table35[#All],5,FALSE)</f>
        <v>#N/A</v>
      </c>
      <c r="P554" s="32" t="e">
        <f>VLOOKUP(Tabla3[[#This Row],[Site]],Table35[#All],6,FALSE)</f>
        <v>#N/A</v>
      </c>
      <c r="Q554" s="32" t="e">
        <f>VLOOKUP(Tabla3[[#This Row],[Site]],Table35[#All],8,FALSE)</f>
        <v>#N/A</v>
      </c>
    </row>
    <row r="555" spans="1:17" hidden="1" x14ac:dyDescent="0.25">
      <c r="A555" t="str">
        <f>+Tabla3[[#This Row],[Site]]&amp;Tabla3[[#This Row],[Split]]</f>
        <v/>
      </c>
      <c r="E555" t="e">
        <f>VLOOKUP(Tabla3[[#This Row],[Site]],Table35[],10,FALSE)</f>
        <v>#N/A</v>
      </c>
      <c r="F555" t="e">
        <f>VLOOKUP(Tabla3[[#This Row],[Site]],Table35[],11,FALSE)</f>
        <v>#N/A</v>
      </c>
      <c r="G555" t="e">
        <f>VLOOKUP(Tabla3[[#This Row],[Site]],Table35[],12,FALSE)</f>
        <v>#N/A</v>
      </c>
      <c r="H555" s="74" t="e">
        <f>HYPERLINK(VLOOKUP(Tabla3[[#This Row],[Site]],Table35[#All],9,FALSE))</f>
        <v>#N/A</v>
      </c>
      <c r="I555" t="e">
        <f>VLOOKUP(Tabla3[[#This Row],[Site]],Table35[],13,FALSE)</f>
        <v>#N/A</v>
      </c>
      <c r="J555" t="e">
        <f>VLOOKUP(Tabla3[[#This Row],[Site]],Table35[],14,FALSE)</f>
        <v>#N/A</v>
      </c>
      <c r="L555" s="32" t="e">
        <f>VLOOKUP(Tabla3[[#This Row],[Site]],Table35[#All],2,FALSE)</f>
        <v>#N/A</v>
      </c>
      <c r="M555" s="32" t="e">
        <f>VLOOKUP(Tabla3[[#This Row],[Site]],Table35[#All],3,FALSE)</f>
        <v>#N/A</v>
      </c>
      <c r="N555" s="32" t="e">
        <f>VLOOKUP(Tabla3[[#This Row],[Site]],Table35[#All],4,FALSE)</f>
        <v>#N/A</v>
      </c>
      <c r="O555" s="32" t="e">
        <f>VLOOKUP(Tabla3[[#This Row],[Site]],Table35[#All],5,FALSE)</f>
        <v>#N/A</v>
      </c>
      <c r="P555" s="32" t="e">
        <f>VLOOKUP(Tabla3[[#This Row],[Site]],Table35[#All],6,FALSE)</f>
        <v>#N/A</v>
      </c>
      <c r="Q555" s="32" t="e">
        <f>VLOOKUP(Tabla3[[#This Row],[Site]],Table35[#All],8,FALSE)</f>
        <v>#N/A</v>
      </c>
    </row>
    <row r="556" spans="1:17" hidden="1" x14ac:dyDescent="0.25">
      <c r="A556" t="str">
        <f>+Tabla3[[#This Row],[Site]]&amp;Tabla3[[#This Row],[Split]]</f>
        <v/>
      </c>
      <c r="E556" t="e">
        <f>VLOOKUP(Tabla3[[#This Row],[Site]],Table35[],10,FALSE)</f>
        <v>#N/A</v>
      </c>
      <c r="F556" t="e">
        <f>VLOOKUP(Tabla3[[#This Row],[Site]],Table35[],11,FALSE)</f>
        <v>#N/A</v>
      </c>
      <c r="G556" t="e">
        <f>VLOOKUP(Tabla3[[#This Row],[Site]],Table35[],12,FALSE)</f>
        <v>#N/A</v>
      </c>
      <c r="H556" s="74" t="e">
        <f>HYPERLINK(VLOOKUP(Tabla3[[#This Row],[Site]],Table35[#All],9,FALSE))</f>
        <v>#N/A</v>
      </c>
      <c r="I556" t="e">
        <f>VLOOKUP(Tabla3[[#This Row],[Site]],Table35[],13,FALSE)</f>
        <v>#N/A</v>
      </c>
      <c r="J556" t="e">
        <f>VLOOKUP(Tabla3[[#This Row],[Site]],Table35[],14,FALSE)</f>
        <v>#N/A</v>
      </c>
      <c r="L556" s="32" t="e">
        <f>VLOOKUP(Tabla3[[#This Row],[Site]],Table35[#All],2,FALSE)</f>
        <v>#N/A</v>
      </c>
      <c r="M556" s="32" t="e">
        <f>VLOOKUP(Tabla3[[#This Row],[Site]],Table35[#All],3,FALSE)</f>
        <v>#N/A</v>
      </c>
      <c r="N556" s="32" t="e">
        <f>VLOOKUP(Tabla3[[#This Row],[Site]],Table35[#All],4,FALSE)</f>
        <v>#N/A</v>
      </c>
      <c r="O556" s="32" t="e">
        <f>VLOOKUP(Tabla3[[#This Row],[Site]],Table35[#All],5,FALSE)</f>
        <v>#N/A</v>
      </c>
      <c r="P556" s="32" t="e">
        <f>VLOOKUP(Tabla3[[#This Row],[Site]],Table35[#All],6,FALSE)</f>
        <v>#N/A</v>
      </c>
      <c r="Q556" s="32" t="e">
        <f>VLOOKUP(Tabla3[[#This Row],[Site]],Table35[#All],8,FALSE)</f>
        <v>#N/A</v>
      </c>
    </row>
    <row r="557" spans="1:17" hidden="1" x14ac:dyDescent="0.25">
      <c r="A557" t="str">
        <f>+Tabla3[[#This Row],[Site]]&amp;Tabla3[[#This Row],[Split]]</f>
        <v/>
      </c>
      <c r="E557" t="e">
        <f>VLOOKUP(Tabla3[[#This Row],[Site]],Table35[],10,FALSE)</f>
        <v>#N/A</v>
      </c>
      <c r="F557" t="e">
        <f>VLOOKUP(Tabla3[[#This Row],[Site]],Table35[],11,FALSE)</f>
        <v>#N/A</v>
      </c>
      <c r="G557" t="e">
        <f>VLOOKUP(Tabla3[[#This Row],[Site]],Table35[],12,FALSE)</f>
        <v>#N/A</v>
      </c>
      <c r="H557" s="74" t="e">
        <f>HYPERLINK(VLOOKUP(Tabla3[[#This Row],[Site]],Table35[#All],9,FALSE))</f>
        <v>#N/A</v>
      </c>
      <c r="I557" t="e">
        <f>VLOOKUP(Tabla3[[#This Row],[Site]],Table35[],13,FALSE)</f>
        <v>#N/A</v>
      </c>
      <c r="J557" t="e">
        <f>VLOOKUP(Tabla3[[#This Row],[Site]],Table35[],14,FALSE)</f>
        <v>#N/A</v>
      </c>
      <c r="L557" s="32" t="e">
        <f>VLOOKUP(Tabla3[[#This Row],[Site]],Table35[#All],2,FALSE)</f>
        <v>#N/A</v>
      </c>
      <c r="M557" s="32" t="e">
        <f>VLOOKUP(Tabla3[[#This Row],[Site]],Table35[#All],3,FALSE)</f>
        <v>#N/A</v>
      </c>
      <c r="N557" s="32" t="e">
        <f>VLOOKUP(Tabla3[[#This Row],[Site]],Table35[#All],4,FALSE)</f>
        <v>#N/A</v>
      </c>
      <c r="O557" s="32" t="e">
        <f>VLOOKUP(Tabla3[[#This Row],[Site]],Table35[#All],5,FALSE)</f>
        <v>#N/A</v>
      </c>
      <c r="P557" s="32" t="e">
        <f>VLOOKUP(Tabla3[[#This Row],[Site]],Table35[#All],6,FALSE)</f>
        <v>#N/A</v>
      </c>
      <c r="Q557" s="32" t="e">
        <f>VLOOKUP(Tabla3[[#This Row],[Site]],Table35[#All],8,FALSE)</f>
        <v>#N/A</v>
      </c>
    </row>
    <row r="558" spans="1:17" hidden="1" x14ac:dyDescent="0.25">
      <c r="A558" t="str">
        <f>+Tabla3[[#This Row],[Site]]&amp;Tabla3[[#This Row],[Split]]</f>
        <v/>
      </c>
      <c r="E558" t="e">
        <f>VLOOKUP(Tabla3[[#This Row],[Site]],Table35[],10,FALSE)</f>
        <v>#N/A</v>
      </c>
      <c r="F558" t="e">
        <f>VLOOKUP(Tabla3[[#This Row],[Site]],Table35[],11,FALSE)</f>
        <v>#N/A</v>
      </c>
      <c r="G558" t="e">
        <f>VLOOKUP(Tabla3[[#This Row],[Site]],Table35[],12,FALSE)</f>
        <v>#N/A</v>
      </c>
      <c r="H558" s="74" t="e">
        <f>HYPERLINK(VLOOKUP(Tabla3[[#This Row],[Site]],Table35[#All],9,FALSE))</f>
        <v>#N/A</v>
      </c>
      <c r="I558" t="e">
        <f>VLOOKUP(Tabla3[[#This Row],[Site]],Table35[],13,FALSE)</f>
        <v>#N/A</v>
      </c>
      <c r="J558" t="e">
        <f>VLOOKUP(Tabla3[[#This Row],[Site]],Table35[],14,FALSE)</f>
        <v>#N/A</v>
      </c>
      <c r="L558" s="32" t="e">
        <f>VLOOKUP(Tabla3[[#This Row],[Site]],Table35[#All],2,FALSE)</f>
        <v>#N/A</v>
      </c>
      <c r="M558" s="32" t="e">
        <f>VLOOKUP(Tabla3[[#This Row],[Site]],Table35[#All],3,FALSE)</f>
        <v>#N/A</v>
      </c>
      <c r="N558" s="32" t="e">
        <f>VLOOKUP(Tabla3[[#This Row],[Site]],Table35[#All],4,FALSE)</f>
        <v>#N/A</v>
      </c>
      <c r="O558" s="32" t="e">
        <f>VLOOKUP(Tabla3[[#This Row],[Site]],Table35[#All],5,FALSE)</f>
        <v>#N/A</v>
      </c>
      <c r="P558" s="32" t="e">
        <f>VLOOKUP(Tabla3[[#This Row],[Site]],Table35[#All],6,FALSE)</f>
        <v>#N/A</v>
      </c>
      <c r="Q558" s="32" t="e">
        <f>VLOOKUP(Tabla3[[#This Row],[Site]],Table35[#All],8,FALSE)</f>
        <v>#N/A</v>
      </c>
    </row>
    <row r="559" spans="1:17" hidden="1" x14ac:dyDescent="0.25">
      <c r="A559" t="str">
        <f>+Tabla3[[#This Row],[Site]]&amp;Tabla3[[#This Row],[Split]]</f>
        <v/>
      </c>
      <c r="E559" t="e">
        <f>VLOOKUP(Tabla3[[#This Row],[Site]],Table35[],10,FALSE)</f>
        <v>#N/A</v>
      </c>
      <c r="F559" t="e">
        <f>VLOOKUP(Tabla3[[#This Row],[Site]],Table35[],11,FALSE)</f>
        <v>#N/A</v>
      </c>
      <c r="G559" t="e">
        <f>VLOOKUP(Tabla3[[#This Row],[Site]],Table35[],12,FALSE)</f>
        <v>#N/A</v>
      </c>
      <c r="H559" s="74" t="e">
        <f>HYPERLINK(VLOOKUP(Tabla3[[#This Row],[Site]],Table35[#All],9,FALSE))</f>
        <v>#N/A</v>
      </c>
      <c r="I559" t="e">
        <f>VLOOKUP(Tabla3[[#This Row],[Site]],Table35[],13,FALSE)</f>
        <v>#N/A</v>
      </c>
      <c r="J559" t="e">
        <f>VLOOKUP(Tabla3[[#This Row],[Site]],Table35[],14,FALSE)</f>
        <v>#N/A</v>
      </c>
      <c r="L559" s="32" t="e">
        <f>VLOOKUP(Tabla3[[#This Row],[Site]],Table35[#All],2,FALSE)</f>
        <v>#N/A</v>
      </c>
      <c r="M559" s="32" t="e">
        <f>VLOOKUP(Tabla3[[#This Row],[Site]],Table35[#All],3,FALSE)</f>
        <v>#N/A</v>
      </c>
      <c r="N559" s="32" t="e">
        <f>VLOOKUP(Tabla3[[#This Row],[Site]],Table35[#All],4,FALSE)</f>
        <v>#N/A</v>
      </c>
      <c r="O559" s="32" t="e">
        <f>VLOOKUP(Tabla3[[#This Row],[Site]],Table35[#All],5,FALSE)</f>
        <v>#N/A</v>
      </c>
      <c r="P559" s="32" t="e">
        <f>VLOOKUP(Tabla3[[#This Row],[Site]],Table35[#All],6,FALSE)</f>
        <v>#N/A</v>
      </c>
      <c r="Q559" s="32" t="e">
        <f>VLOOKUP(Tabla3[[#This Row],[Site]],Table35[#All],8,FALSE)</f>
        <v>#N/A</v>
      </c>
    </row>
  </sheetData>
  <phoneticPr fontId="20"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CAA4F-CF6B-4982-A681-BCAAB66CBAC5}">
  <sheetPr>
    <pageSetUpPr fitToPage="1"/>
  </sheetPr>
  <dimension ref="A1:N435"/>
  <sheetViews>
    <sheetView showGridLines="0" zoomScale="55" zoomScaleNormal="55" workbookViewId="0">
      <pane ySplit="1" topLeftCell="A23" activePane="bottomLeft" state="frozen"/>
      <selection activeCell="D80" sqref="D80:D510"/>
      <selection pane="bottomLeft" activeCell="D80" sqref="D80:D510"/>
    </sheetView>
  </sheetViews>
  <sheetFormatPr defaultColWidth="8.85546875" defaultRowHeight="33.75" x14ac:dyDescent="0.5"/>
  <cols>
    <col min="1" max="1" width="103" style="68" customWidth="1"/>
    <col min="2" max="2" width="39.28515625" style="36" customWidth="1"/>
    <col min="3" max="3" width="29.28515625" style="37" customWidth="1"/>
    <col min="4" max="4" width="36.7109375" customWidth="1"/>
    <col min="5" max="5" width="29.5703125" customWidth="1"/>
    <col min="6" max="6" width="54.28515625" customWidth="1"/>
    <col min="7" max="7" width="34.42578125" customWidth="1"/>
    <col min="8" max="8" width="12.140625" style="69" customWidth="1"/>
    <col min="9" max="9" width="40.140625" customWidth="1"/>
    <col min="10" max="10" width="23" bestFit="1" customWidth="1"/>
    <col min="11" max="14" width="25.5703125" customWidth="1"/>
  </cols>
  <sheetData>
    <row r="1" spans="1:14" x14ac:dyDescent="0.25">
      <c r="A1" s="63" t="s">
        <v>108</v>
      </c>
      <c r="B1" s="61" t="s">
        <v>107</v>
      </c>
      <c r="C1" s="61" t="s">
        <v>106</v>
      </c>
      <c r="D1" s="61" t="s">
        <v>105</v>
      </c>
      <c r="E1" s="61" t="s">
        <v>102</v>
      </c>
      <c r="F1" s="61" t="s">
        <v>103</v>
      </c>
      <c r="G1" s="61" t="s">
        <v>104</v>
      </c>
      <c r="H1" s="64" t="s">
        <v>286</v>
      </c>
      <c r="I1" s="65" t="s">
        <v>287</v>
      </c>
      <c r="J1" s="65" t="s">
        <v>441</v>
      </c>
      <c r="K1" s="61" t="s">
        <v>442</v>
      </c>
      <c r="L1" s="61" t="s">
        <v>443</v>
      </c>
      <c r="M1" s="61" t="s">
        <v>445</v>
      </c>
      <c r="N1" s="72" t="s">
        <v>444</v>
      </c>
    </row>
    <row r="2" spans="1:14" x14ac:dyDescent="0.25">
      <c r="A2" s="66" t="s">
        <v>374</v>
      </c>
      <c r="B2" s="62" t="s">
        <v>96</v>
      </c>
      <c r="C2" s="62" t="s">
        <v>159</v>
      </c>
      <c r="D2" s="62" t="s">
        <v>96</v>
      </c>
      <c r="E2" s="62" t="s">
        <v>96</v>
      </c>
      <c r="F2" s="62" t="s">
        <v>160</v>
      </c>
      <c r="G2" s="62" t="s">
        <v>96</v>
      </c>
      <c r="H2" s="67">
        <v>305</v>
      </c>
      <c r="I2" s="62" t="s">
        <v>147</v>
      </c>
      <c r="J2" s="62" t="s">
        <v>65</v>
      </c>
      <c r="K2" s="62" t="s">
        <v>4</v>
      </c>
      <c r="L2" s="62" t="s">
        <v>72</v>
      </c>
      <c r="M2" s="62" t="s">
        <v>230</v>
      </c>
      <c r="N2" s="62" t="s">
        <v>96</v>
      </c>
    </row>
    <row r="3" spans="1:14" x14ac:dyDescent="0.25">
      <c r="A3" s="66" t="s">
        <v>121</v>
      </c>
      <c r="B3" s="62" t="s">
        <v>161</v>
      </c>
      <c r="C3" s="62" t="s">
        <v>96</v>
      </c>
      <c r="D3" s="62" t="s">
        <v>96</v>
      </c>
      <c r="E3" s="62">
        <v>2</v>
      </c>
      <c r="F3" s="62" t="s">
        <v>162</v>
      </c>
      <c r="G3" s="62" t="s">
        <v>96</v>
      </c>
      <c r="H3" s="67" t="s">
        <v>288</v>
      </c>
      <c r="I3" s="62" t="s">
        <v>143</v>
      </c>
      <c r="J3" s="62" t="s">
        <v>63</v>
      </c>
      <c r="K3" s="62" t="s">
        <v>2</v>
      </c>
      <c r="L3" s="62" t="s">
        <v>246</v>
      </c>
      <c r="M3" s="62" t="s">
        <v>58</v>
      </c>
      <c r="N3" s="62" t="s">
        <v>96</v>
      </c>
    </row>
    <row r="4" spans="1:14" x14ac:dyDescent="0.25">
      <c r="A4" s="66" t="s">
        <v>285</v>
      </c>
      <c r="B4" s="62" t="s">
        <v>272</v>
      </c>
      <c r="C4" s="62" t="s">
        <v>96</v>
      </c>
      <c r="D4" s="62" t="s">
        <v>96</v>
      </c>
      <c r="E4" s="62" t="s">
        <v>96</v>
      </c>
      <c r="F4" s="62" t="s">
        <v>273</v>
      </c>
      <c r="G4" s="62" t="s">
        <v>274</v>
      </c>
      <c r="H4" s="67" t="s">
        <v>326</v>
      </c>
      <c r="I4" s="74" t="s">
        <v>275</v>
      </c>
      <c r="J4" s="62" t="s">
        <v>63</v>
      </c>
      <c r="K4" s="62" t="s">
        <v>2</v>
      </c>
      <c r="L4" s="62" t="s">
        <v>246</v>
      </c>
      <c r="M4" s="62">
        <v>0</v>
      </c>
      <c r="N4" s="62" t="s">
        <v>96</v>
      </c>
    </row>
    <row r="5" spans="1:14" x14ac:dyDescent="0.25">
      <c r="A5" s="66" t="s">
        <v>375</v>
      </c>
      <c r="B5" s="62" t="s">
        <v>268</v>
      </c>
      <c r="C5" s="62" t="s">
        <v>96</v>
      </c>
      <c r="D5" s="62" t="s">
        <v>96</v>
      </c>
      <c r="E5" s="62" t="s">
        <v>269</v>
      </c>
      <c r="F5" s="62" t="s">
        <v>270</v>
      </c>
      <c r="G5" s="62" t="s">
        <v>96</v>
      </c>
      <c r="H5" s="67" t="s">
        <v>325</v>
      </c>
      <c r="I5" s="74" t="s">
        <v>267</v>
      </c>
      <c r="J5" s="62" t="s">
        <v>63</v>
      </c>
      <c r="K5" s="62" t="s">
        <v>2</v>
      </c>
      <c r="L5" s="62" t="s">
        <v>246</v>
      </c>
      <c r="M5" s="62">
        <v>0</v>
      </c>
      <c r="N5" s="62" t="s">
        <v>69</v>
      </c>
    </row>
    <row r="6" spans="1:14" x14ac:dyDescent="0.25">
      <c r="A6" s="66" t="s">
        <v>376</v>
      </c>
      <c r="B6" s="62" t="s">
        <v>168</v>
      </c>
      <c r="C6" s="62" t="s">
        <v>169</v>
      </c>
      <c r="D6" s="62" t="s">
        <v>96</v>
      </c>
      <c r="E6" s="62">
        <v>5</v>
      </c>
      <c r="F6" s="62" t="s">
        <v>170</v>
      </c>
      <c r="G6" s="62" t="s">
        <v>96</v>
      </c>
      <c r="H6" s="67" t="s">
        <v>289</v>
      </c>
      <c r="I6" s="74" t="s">
        <v>148</v>
      </c>
      <c r="J6" s="62" t="s">
        <v>63</v>
      </c>
      <c r="K6" s="62" t="s">
        <v>2</v>
      </c>
      <c r="L6" s="62" t="s">
        <v>246</v>
      </c>
      <c r="M6" s="62" t="s">
        <v>142</v>
      </c>
      <c r="N6" s="62" t="s">
        <v>96</v>
      </c>
    </row>
    <row r="7" spans="1:14" x14ac:dyDescent="0.25">
      <c r="A7" s="66" t="s">
        <v>377</v>
      </c>
      <c r="B7" s="62" t="s">
        <v>96</v>
      </c>
      <c r="C7" s="62" t="s">
        <v>171</v>
      </c>
      <c r="D7" s="62" t="s">
        <v>96</v>
      </c>
      <c r="E7" s="62" t="s">
        <v>96</v>
      </c>
      <c r="F7" s="62" t="s">
        <v>172</v>
      </c>
      <c r="G7" s="62" t="s">
        <v>96</v>
      </c>
      <c r="H7" s="67" t="s">
        <v>290</v>
      </c>
      <c r="I7" s="74" t="s">
        <v>221</v>
      </c>
      <c r="J7" s="62" t="s">
        <v>63</v>
      </c>
      <c r="K7" s="62" t="s">
        <v>2</v>
      </c>
      <c r="L7" s="62" t="s">
        <v>246</v>
      </c>
      <c r="M7" s="62" t="s">
        <v>142</v>
      </c>
      <c r="N7" s="62" t="s">
        <v>96</v>
      </c>
    </row>
    <row r="8" spans="1:14" x14ac:dyDescent="0.25">
      <c r="A8" s="66" t="s">
        <v>378</v>
      </c>
      <c r="B8" s="62" t="s">
        <v>96</v>
      </c>
      <c r="C8" s="62" t="s">
        <v>163</v>
      </c>
      <c r="D8" s="62" t="s">
        <v>164</v>
      </c>
      <c r="E8" s="62">
        <v>20</v>
      </c>
      <c r="F8" s="62" t="s">
        <v>165</v>
      </c>
      <c r="G8" s="62" t="s">
        <v>96</v>
      </c>
      <c r="H8" s="67" t="s">
        <v>291</v>
      </c>
      <c r="I8" s="74" t="s">
        <v>141</v>
      </c>
      <c r="J8" s="62" t="s">
        <v>63</v>
      </c>
      <c r="K8" s="62" t="s">
        <v>2</v>
      </c>
      <c r="L8" s="62" t="s">
        <v>246</v>
      </c>
      <c r="M8" s="62" t="s">
        <v>142</v>
      </c>
      <c r="N8" s="62" t="s">
        <v>96</v>
      </c>
    </row>
    <row r="9" spans="1:14" x14ac:dyDescent="0.25">
      <c r="A9" s="66" t="s">
        <v>446</v>
      </c>
      <c r="B9" s="62">
        <v>6</v>
      </c>
      <c r="C9" s="62" t="s">
        <v>447</v>
      </c>
      <c r="D9" s="62" t="s">
        <v>96</v>
      </c>
      <c r="E9" s="62" t="s">
        <v>96</v>
      </c>
      <c r="F9" s="62" t="s">
        <v>448</v>
      </c>
      <c r="G9" s="62" t="s">
        <v>96</v>
      </c>
      <c r="H9" s="67" t="s">
        <v>450</v>
      </c>
      <c r="I9" s="75" t="s">
        <v>449</v>
      </c>
      <c r="J9" s="62" t="s">
        <v>63</v>
      </c>
      <c r="K9" s="62" t="s">
        <v>2</v>
      </c>
      <c r="L9" s="62" t="s">
        <v>246</v>
      </c>
      <c r="M9" s="62">
        <v>0</v>
      </c>
      <c r="N9" s="62" t="s">
        <v>96</v>
      </c>
    </row>
    <row r="10" spans="1:14" x14ac:dyDescent="0.25">
      <c r="A10" s="66" t="s">
        <v>380</v>
      </c>
      <c r="B10" s="62" t="s">
        <v>96</v>
      </c>
      <c r="C10" s="62" t="s">
        <v>355</v>
      </c>
      <c r="D10" s="62" t="s">
        <v>96</v>
      </c>
      <c r="E10" s="62" t="s">
        <v>96</v>
      </c>
      <c r="F10" s="62" t="s">
        <v>356</v>
      </c>
      <c r="G10" s="62" t="s">
        <v>217</v>
      </c>
      <c r="H10" s="67" t="s">
        <v>353</v>
      </c>
      <c r="I10" s="74" t="s">
        <v>352</v>
      </c>
      <c r="J10" s="62" t="s">
        <v>63</v>
      </c>
      <c r="K10" s="62" t="s">
        <v>2</v>
      </c>
      <c r="L10" s="62" t="s">
        <v>246</v>
      </c>
      <c r="M10" s="62">
        <v>0</v>
      </c>
      <c r="N10" s="62" t="s">
        <v>68</v>
      </c>
    </row>
    <row r="11" spans="1:14" x14ac:dyDescent="0.25">
      <c r="A11" s="66" t="s">
        <v>351</v>
      </c>
      <c r="B11" s="62" t="s">
        <v>337</v>
      </c>
      <c r="C11" s="62">
        <v>1</v>
      </c>
      <c r="D11" s="62" t="s">
        <v>96</v>
      </c>
      <c r="E11" s="62" t="s">
        <v>338</v>
      </c>
      <c r="F11" s="62" t="s">
        <v>339</v>
      </c>
      <c r="G11" s="62" t="s">
        <v>96</v>
      </c>
      <c r="H11" s="67" t="s">
        <v>340</v>
      </c>
      <c r="I11" s="74" t="s">
        <v>341</v>
      </c>
      <c r="J11" s="62" t="s">
        <v>63</v>
      </c>
      <c r="K11" s="62" t="s">
        <v>2</v>
      </c>
      <c r="L11" s="62" t="s">
        <v>246</v>
      </c>
      <c r="M11" s="62" t="s">
        <v>96</v>
      </c>
      <c r="N11" s="62" t="s">
        <v>96</v>
      </c>
    </row>
    <row r="12" spans="1:14" x14ac:dyDescent="0.25">
      <c r="A12" s="66" t="s">
        <v>379</v>
      </c>
      <c r="B12" s="62" t="s">
        <v>96</v>
      </c>
      <c r="C12" s="62" t="s">
        <v>222</v>
      </c>
      <c r="D12" s="62" t="s">
        <v>96</v>
      </c>
      <c r="E12" s="62" t="s">
        <v>96</v>
      </c>
      <c r="F12" s="62" t="s">
        <v>223</v>
      </c>
      <c r="G12" s="62" t="s">
        <v>96</v>
      </c>
      <c r="H12" s="67" t="s">
        <v>320</v>
      </c>
      <c r="I12" s="62" t="s">
        <v>225</v>
      </c>
      <c r="J12" s="62" t="s">
        <v>63</v>
      </c>
      <c r="K12" s="62" t="s">
        <v>2</v>
      </c>
      <c r="L12" s="62" t="s">
        <v>246</v>
      </c>
      <c r="M12" s="62" t="s">
        <v>226</v>
      </c>
      <c r="N12" s="62" t="s">
        <v>68</v>
      </c>
    </row>
    <row r="13" spans="1:14" x14ac:dyDescent="0.25">
      <c r="A13" s="66" t="s">
        <v>415</v>
      </c>
      <c r="B13" s="62" t="s">
        <v>96</v>
      </c>
      <c r="C13" s="62" t="s">
        <v>171</v>
      </c>
      <c r="D13" s="62" t="s">
        <v>96</v>
      </c>
      <c r="E13" s="62" t="s">
        <v>96</v>
      </c>
      <c r="F13" s="62" t="s">
        <v>224</v>
      </c>
      <c r="G13" s="62" t="s">
        <v>96</v>
      </c>
      <c r="H13" s="67" t="s">
        <v>321</v>
      </c>
      <c r="I13" s="74" t="s">
        <v>227</v>
      </c>
      <c r="J13" s="62" t="s">
        <v>63</v>
      </c>
      <c r="K13" s="62" t="s">
        <v>2</v>
      </c>
      <c r="L13" s="62" t="s">
        <v>246</v>
      </c>
      <c r="M13" s="62" t="s">
        <v>228</v>
      </c>
      <c r="N13" s="62" t="s">
        <v>68</v>
      </c>
    </row>
    <row r="14" spans="1:14" x14ac:dyDescent="0.25">
      <c r="A14" s="66" t="s">
        <v>386</v>
      </c>
      <c r="B14" s="62" t="s">
        <v>204</v>
      </c>
      <c r="C14" s="62" t="s">
        <v>96</v>
      </c>
      <c r="D14" s="62" t="s">
        <v>96</v>
      </c>
      <c r="E14" s="62">
        <v>4</v>
      </c>
      <c r="F14" s="62" t="s">
        <v>366</v>
      </c>
      <c r="G14" s="62" t="s">
        <v>367</v>
      </c>
      <c r="H14" s="67" t="s">
        <v>368</v>
      </c>
      <c r="I14" s="74" t="s">
        <v>369</v>
      </c>
      <c r="J14" s="62" t="s">
        <v>63</v>
      </c>
      <c r="K14" s="62" t="s">
        <v>2</v>
      </c>
      <c r="L14" s="62" t="s">
        <v>246</v>
      </c>
      <c r="M14" s="62" t="s">
        <v>96</v>
      </c>
      <c r="N14" s="62" t="s">
        <v>68</v>
      </c>
    </row>
    <row r="15" spans="1:14" x14ac:dyDescent="0.25">
      <c r="A15" s="66" t="s">
        <v>386</v>
      </c>
      <c r="B15" s="62" t="s">
        <v>96</v>
      </c>
      <c r="C15" s="62" t="s">
        <v>399</v>
      </c>
      <c r="D15" s="62" t="s">
        <v>96</v>
      </c>
      <c r="E15" s="62">
        <v>4</v>
      </c>
      <c r="F15" s="62" t="s">
        <v>400</v>
      </c>
      <c r="G15" s="62" t="s">
        <v>401</v>
      </c>
      <c r="H15" s="67" t="s">
        <v>368</v>
      </c>
      <c r="I15" s="62" t="s">
        <v>369</v>
      </c>
      <c r="J15" s="62" t="s">
        <v>63</v>
      </c>
      <c r="K15" s="62" t="s">
        <v>2</v>
      </c>
      <c r="L15" s="62" t="s">
        <v>246</v>
      </c>
      <c r="M15" s="62" t="s">
        <v>96</v>
      </c>
      <c r="N15" s="62" t="s">
        <v>68</v>
      </c>
    </row>
    <row r="16" spans="1:14" x14ac:dyDescent="0.25">
      <c r="A16" s="66" t="s">
        <v>385</v>
      </c>
      <c r="B16" s="62" t="s">
        <v>96</v>
      </c>
      <c r="C16" s="62">
        <v>6</v>
      </c>
      <c r="D16" s="62" t="s">
        <v>343</v>
      </c>
      <c r="E16" s="62" t="s">
        <v>342</v>
      </c>
      <c r="F16" s="62" t="s">
        <v>344</v>
      </c>
      <c r="G16" s="62" t="s">
        <v>96</v>
      </c>
      <c r="H16" s="67" t="s">
        <v>345</v>
      </c>
      <c r="I16" s="62" t="s">
        <v>346</v>
      </c>
      <c r="J16" s="62" t="s">
        <v>63</v>
      </c>
      <c r="K16" s="62" t="s">
        <v>2</v>
      </c>
      <c r="L16" s="62" t="s">
        <v>246</v>
      </c>
      <c r="M16" s="62" t="s">
        <v>96</v>
      </c>
      <c r="N16" s="62" t="s">
        <v>96</v>
      </c>
    </row>
    <row r="17" spans="1:14" x14ac:dyDescent="0.25">
      <c r="A17" s="66" t="s">
        <v>426</v>
      </c>
      <c r="B17" s="62" t="s">
        <v>96</v>
      </c>
      <c r="C17" s="62" t="s">
        <v>429</v>
      </c>
      <c r="D17" s="62" t="s">
        <v>96</v>
      </c>
      <c r="E17" s="62" t="s">
        <v>96</v>
      </c>
      <c r="F17" s="62" t="s">
        <v>430</v>
      </c>
      <c r="G17" s="62" t="s">
        <v>96</v>
      </c>
      <c r="H17" s="67" t="s">
        <v>427</v>
      </c>
      <c r="I17" s="62" t="s">
        <v>428</v>
      </c>
      <c r="J17" s="62" t="s">
        <v>63</v>
      </c>
      <c r="K17" s="62" t="s">
        <v>2</v>
      </c>
      <c r="L17" s="62" t="s">
        <v>246</v>
      </c>
      <c r="M17" s="62" t="s">
        <v>96</v>
      </c>
      <c r="N17" s="62" t="s">
        <v>96</v>
      </c>
    </row>
    <row r="18" spans="1:14" x14ac:dyDescent="0.25">
      <c r="A18" s="66" t="s">
        <v>388</v>
      </c>
      <c r="B18" s="62" t="s">
        <v>96</v>
      </c>
      <c r="C18" s="62">
        <v>1</v>
      </c>
      <c r="D18" s="62" t="s">
        <v>96</v>
      </c>
      <c r="E18" s="62" t="s">
        <v>96</v>
      </c>
      <c r="F18" s="62" t="s">
        <v>96</v>
      </c>
      <c r="G18" s="62" t="s">
        <v>96</v>
      </c>
      <c r="H18" s="67" t="s">
        <v>389</v>
      </c>
      <c r="I18" s="62" t="s">
        <v>390</v>
      </c>
      <c r="J18" s="62" t="s">
        <v>63</v>
      </c>
      <c r="K18" s="62" t="s">
        <v>2</v>
      </c>
      <c r="L18" s="62" t="s">
        <v>246</v>
      </c>
      <c r="M18" s="62" t="s">
        <v>96</v>
      </c>
      <c r="N18" s="62" t="s">
        <v>68</v>
      </c>
    </row>
    <row r="19" spans="1:14" x14ac:dyDescent="0.25">
      <c r="A19" s="66" t="s">
        <v>233</v>
      </c>
      <c r="B19" s="62" t="s">
        <v>96</v>
      </c>
      <c r="C19" s="62" t="s">
        <v>166</v>
      </c>
      <c r="D19" s="62">
        <v>29</v>
      </c>
      <c r="E19" s="62">
        <v>5</v>
      </c>
      <c r="F19" s="62" t="s">
        <v>167</v>
      </c>
      <c r="G19" s="62" t="s">
        <v>96</v>
      </c>
      <c r="H19" s="67" t="s">
        <v>292</v>
      </c>
      <c r="I19" s="62" t="s">
        <v>149</v>
      </c>
      <c r="J19" s="62" t="s">
        <v>63</v>
      </c>
      <c r="K19" s="62" t="s">
        <v>2</v>
      </c>
      <c r="L19" s="62" t="s">
        <v>246</v>
      </c>
      <c r="M19" s="62">
        <v>0</v>
      </c>
      <c r="N19" s="62" t="s">
        <v>96</v>
      </c>
    </row>
    <row r="20" spans="1:14" x14ac:dyDescent="0.25">
      <c r="A20" s="66" t="s">
        <v>416</v>
      </c>
      <c r="B20" s="62">
        <v>12</v>
      </c>
      <c r="C20" s="62" t="s">
        <v>418</v>
      </c>
      <c r="D20" s="62" t="s">
        <v>96</v>
      </c>
      <c r="E20" s="62" t="s">
        <v>96</v>
      </c>
      <c r="F20" s="62" t="s">
        <v>419</v>
      </c>
      <c r="G20" s="62" t="s">
        <v>96</v>
      </c>
      <c r="H20" s="67" t="s">
        <v>420</v>
      </c>
      <c r="I20" s="62" t="s">
        <v>417</v>
      </c>
      <c r="J20" s="62" t="s">
        <v>63</v>
      </c>
      <c r="K20" s="62" t="s">
        <v>2</v>
      </c>
      <c r="L20" s="62" t="s">
        <v>246</v>
      </c>
      <c r="M20" s="62" t="s">
        <v>96</v>
      </c>
      <c r="N20" s="62" t="s">
        <v>96</v>
      </c>
    </row>
    <row r="21" spans="1:14" x14ac:dyDescent="0.25">
      <c r="A21" s="66" t="s">
        <v>411</v>
      </c>
      <c r="B21" s="62">
        <v>19</v>
      </c>
      <c r="C21" s="62">
        <v>3</v>
      </c>
      <c r="D21" s="62" t="s">
        <v>96</v>
      </c>
      <c r="E21" s="62" t="s">
        <v>412</v>
      </c>
      <c r="F21" s="62" t="s">
        <v>209</v>
      </c>
      <c r="G21" s="62" t="s">
        <v>96</v>
      </c>
      <c r="H21" s="67" t="s">
        <v>413</v>
      </c>
      <c r="I21" s="62" t="s">
        <v>414</v>
      </c>
      <c r="J21" s="62" t="s">
        <v>63</v>
      </c>
      <c r="K21" s="62" t="s">
        <v>2</v>
      </c>
      <c r="L21" s="62" t="s">
        <v>246</v>
      </c>
      <c r="M21" s="62" t="s">
        <v>96</v>
      </c>
      <c r="N21" s="62" t="s">
        <v>68</v>
      </c>
    </row>
    <row r="22" spans="1:14" x14ac:dyDescent="0.25">
      <c r="A22" s="66" t="s">
        <v>432</v>
      </c>
      <c r="B22" s="62" t="s">
        <v>96</v>
      </c>
      <c r="C22" s="62" t="s">
        <v>433</v>
      </c>
      <c r="D22" s="62" t="s">
        <v>96</v>
      </c>
      <c r="E22" s="62" t="s">
        <v>96</v>
      </c>
      <c r="F22" s="62" t="s">
        <v>434</v>
      </c>
      <c r="G22" s="62" t="s">
        <v>96</v>
      </c>
      <c r="H22" s="67" t="s">
        <v>435</v>
      </c>
      <c r="I22" s="62" t="s">
        <v>436</v>
      </c>
      <c r="J22" s="62" t="s">
        <v>63</v>
      </c>
      <c r="K22" s="62" t="s">
        <v>2</v>
      </c>
      <c r="L22" s="62" t="s">
        <v>246</v>
      </c>
      <c r="M22" s="62" t="s">
        <v>96</v>
      </c>
      <c r="N22" s="62" t="s">
        <v>96</v>
      </c>
    </row>
    <row r="23" spans="1:14" x14ac:dyDescent="0.25">
      <c r="A23" s="66" t="s">
        <v>382</v>
      </c>
      <c r="B23" s="62" t="s">
        <v>96</v>
      </c>
      <c r="C23" s="62" t="s">
        <v>358</v>
      </c>
      <c r="D23" s="62" t="s">
        <v>96</v>
      </c>
      <c r="E23" s="62" t="s">
        <v>96</v>
      </c>
      <c r="F23" s="62" t="s">
        <v>359</v>
      </c>
      <c r="G23" s="62" t="s">
        <v>96</v>
      </c>
      <c r="H23" s="67" t="s">
        <v>357</v>
      </c>
      <c r="I23" s="62" t="s">
        <v>354</v>
      </c>
      <c r="J23" s="62" t="s">
        <v>63</v>
      </c>
      <c r="K23" s="62" t="s">
        <v>2</v>
      </c>
      <c r="L23" s="62" t="s">
        <v>246</v>
      </c>
      <c r="M23" s="62">
        <v>0</v>
      </c>
      <c r="N23" s="62" t="s">
        <v>96</v>
      </c>
    </row>
    <row r="24" spans="1:14" x14ac:dyDescent="0.25">
      <c r="A24" s="66" t="s">
        <v>422</v>
      </c>
      <c r="B24" s="62" t="s">
        <v>96</v>
      </c>
      <c r="C24" s="62" t="s">
        <v>423</v>
      </c>
      <c r="D24" s="62" t="s">
        <v>96</v>
      </c>
      <c r="E24" s="62" t="s">
        <v>96</v>
      </c>
      <c r="F24" s="62" t="s">
        <v>424</v>
      </c>
      <c r="G24" s="62">
        <v>20</v>
      </c>
      <c r="H24" s="67" t="s">
        <v>425</v>
      </c>
      <c r="I24" s="62" t="s">
        <v>421</v>
      </c>
      <c r="J24" s="62" t="s">
        <v>63</v>
      </c>
      <c r="K24" s="62" t="s">
        <v>2</v>
      </c>
      <c r="L24" s="62" t="s">
        <v>246</v>
      </c>
      <c r="M24" s="62" t="s">
        <v>96</v>
      </c>
      <c r="N24" s="62" t="s">
        <v>96</v>
      </c>
    </row>
    <row r="25" spans="1:14" x14ac:dyDescent="0.25">
      <c r="A25" s="66" t="s">
        <v>393</v>
      </c>
      <c r="B25" s="62">
        <v>25</v>
      </c>
      <c r="C25" s="62">
        <v>10</v>
      </c>
      <c r="D25" s="62" t="s">
        <v>96</v>
      </c>
      <c r="E25" s="62" t="s">
        <v>96</v>
      </c>
      <c r="F25" s="62">
        <v>12</v>
      </c>
      <c r="G25" s="62" t="s">
        <v>96</v>
      </c>
      <c r="H25" s="67" t="s">
        <v>391</v>
      </c>
      <c r="I25" s="62" t="s">
        <v>392</v>
      </c>
      <c r="J25" s="62" t="s">
        <v>63</v>
      </c>
      <c r="K25" s="62" t="s">
        <v>2</v>
      </c>
      <c r="L25" s="62" t="s">
        <v>246</v>
      </c>
      <c r="M25" s="62" t="s">
        <v>96</v>
      </c>
      <c r="N25" s="62" t="s">
        <v>96</v>
      </c>
    </row>
    <row r="26" spans="1:14" x14ac:dyDescent="0.25">
      <c r="A26" s="66" t="s">
        <v>384</v>
      </c>
      <c r="B26" s="62" t="s">
        <v>96</v>
      </c>
      <c r="C26" s="62" t="s">
        <v>332</v>
      </c>
      <c r="D26" s="62" t="s">
        <v>96</v>
      </c>
      <c r="E26" s="62" t="s">
        <v>96</v>
      </c>
      <c r="F26" s="62" t="s">
        <v>333</v>
      </c>
      <c r="G26" s="62" t="s">
        <v>96</v>
      </c>
      <c r="H26" s="67" t="s">
        <v>334</v>
      </c>
      <c r="I26" s="62" t="s">
        <v>335</v>
      </c>
      <c r="J26" s="62" t="s">
        <v>63</v>
      </c>
      <c r="K26" s="62" t="s">
        <v>2</v>
      </c>
      <c r="L26" s="62" t="s">
        <v>246</v>
      </c>
      <c r="M26" s="62">
        <v>0</v>
      </c>
      <c r="N26" s="62" t="s">
        <v>74</v>
      </c>
    </row>
    <row r="27" spans="1:14" x14ac:dyDescent="0.25">
      <c r="A27" s="66" t="s">
        <v>383</v>
      </c>
      <c r="B27" s="62" t="s">
        <v>96</v>
      </c>
      <c r="C27" s="62">
        <v>1</v>
      </c>
      <c r="D27" s="62" t="s">
        <v>96</v>
      </c>
      <c r="E27" s="62">
        <v>11</v>
      </c>
      <c r="F27" s="62" t="s">
        <v>329</v>
      </c>
      <c r="G27" s="62" t="s">
        <v>96</v>
      </c>
      <c r="H27" s="67" t="s">
        <v>330</v>
      </c>
      <c r="I27" s="62" t="s">
        <v>331</v>
      </c>
      <c r="J27" s="62" t="s">
        <v>63</v>
      </c>
      <c r="K27" s="62" t="s">
        <v>2</v>
      </c>
      <c r="L27" s="62" t="s">
        <v>246</v>
      </c>
      <c r="M27" s="62">
        <v>0</v>
      </c>
      <c r="N27" s="62" t="s">
        <v>68</v>
      </c>
    </row>
    <row r="28" spans="1:14" x14ac:dyDescent="0.25">
      <c r="A28" s="66" t="s">
        <v>406</v>
      </c>
      <c r="B28" s="62" t="s">
        <v>96</v>
      </c>
      <c r="C28" s="62" t="s">
        <v>211</v>
      </c>
      <c r="D28" s="62" t="s">
        <v>96</v>
      </c>
      <c r="E28" s="62" t="s">
        <v>96</v>
      </c>
      <c r="F28" s="62" t="s">
        <v>402</v>
      </c>
      <c r="G28" s="62" t="s">
        <v>403</v>
      </c>
      <c r="H28" s="67" t="s">
        <v>404</v>
      </c>
      <c r="I28" s="62" t="s">
        <v>405</v>
      </c>
      <c r="J28" s="62" t="s">
        <v>63</v>
      </c>
      <c r="K28" s="62" t="s">
        <v>2</v>
      </c>
      <c r="L28" s="62" t="s">
        <v>246</v>
      </c>
      <c r="M28" s="62" t="s">
        <v>96</v>
      </c>
      <c r="N28" s="62" t="s">
        <v>73</v>
      </c>
    </row>
    <row r="29" spans="1:14" x14ac:dyDescent="0.25">
      <c r="A29" s="66" t="s">
        <v>407</v>
      </c>
      <c r="B29" s="62" t="s">
        <v>96</v>
      </c>
      <c r="C29" s="62">
        <v>2</v>
      </c>
      <c r="D29" s="62" t="s">
        <v>96</v>
      </c>
      <c r="E29" s="62" t="s">
        <v>96</v>
      </c>
      <c r="F29" s="62">
        <v>5</v>
      </c>
      <c r="G29" s="62" t="s">
        <v>408</v>
      </c>
      <c r="H29" s="67" t="s">
        <v>409</v>
      </c>
      <c r="I29" s="62" t="s">
        <v>410</v>
      </c>
      <c r="J29" s="62" t="s">
        <v>63</v>
      </c>
      <c r="K29" s="62" t="s">
        <v>2</v>
      </c>
      <c r="L29" s="62" t="s">
        <v>246</v>
      </c>
      <c r="M29" s="62" t="s">
        <v>96</v>
      </c>
      <c r="N29" s="62" t="s">
        <v>68</v>
      </c>
    </row>
    <row r="30" spans="1:14" x14ac:dyDescent="0.25">
      <c r="A30" s="66" t="s">
        <v>215</v>
      </c>
      <c r="B30" s="62" t="s">
        <v>202</v>
      </c>
      <c r="C30" s="62" t="s">
        <v>169</v>
      </c>
      <c r="D30" s="62" t="s">
        <v>96</v>
      </c>
      <c r="E30" s="62" t="s">
        <v>96</v>
      </c>
      <c r="F30" s="62" t="s">
        <v>203</v>
      </c>
      <c r="G30" s="62" t="s">
        <v>96</v>
      </c>
      <c r="H30" s="67" t="s">
        <v>293</v>
      </c>
      <c r="I30" s="62" t="s">
        <v>133</v>
      </c>
      <c r="J30" s="62" t="s">
        <v>66</v>
      </c>
      <c r="K30" s="62" t="s">
        <v>5</v>
      </c>
      <c r="L30" s="62" t="s">
        <v>70</v>
      </c>
      <c r="M30" s="62">
        <v>0</v>
      </c>
      <c r="N30" s="62" t="s">
        <v>96</v>
      </c>
    </row>
    <row r="31" spans="1:14" x14ac:dyDescent="0.25">
      <c r="A31" s="66" t="s">
        <v>381</v>
      </c>
      <c r="B31" s="62" t="s">
        <v>96</v>
      </c>
      <c r="C31" s="62" t="s">
        <v>261</v>
      </c>
      <c r="D31" s="62" t="s">
        <v>96</v>
      </c>
      <c r="E31" s="62" t="s">
        <v>96</v>
      </c>
      <c r="F31" s="62" t="s">
        <v>262</v>
      </c>
      <c r="G31" s="62" t="s">
        <v>96</v>
      </c>
      <c r="H31" s="67" t="s">
        <v>293</v>
      </c>
      <c r="I31" s="62" t="s">
        <v>133</v>
      </c>
      <c r="J31" s="62" t="e">
        <v>#N/A</v>
      </c>
      <c r="K31" s="62" t="e">
        <v>#N/A</v>
      </c>
      <c r="L31" s="62" t="e">
        <v>#N/A</v>
      </c>
      <c r="M31" s="62" t="e">
        <v>#N/A</v>
      </c>
      <c r="N31" s="62" t="e">
        <v>#N/A</v>
      </c>
    </row>
    <row r="32" spans="1:14" x14ac:dyDescent="0.25">
      <c r="A32" s="66" t="s">
        <v>437</v>
      </c>
      <c r="B32" s="62" t="s">
        <v>440</v>
      </c>
      <c r="C32" s="62">
        <v>1</v>
      </c>
      <c r="D32" s="62" t="s">
        <v>96</v>
      </c>
      <c r="E32" s="62" t="s">
        <v>96</v>
      </c>
      <c r="F32" s="62">
        <v>3</v>
      </c>
      <c r="G32" s="62" t="s">
        <v>96</v>
      </c>
      <c r="H32" s="67" t="s">
        <v>439</v>
      </c>
      <c r="I32" s="62" t="s">
        <v>438</v>
      </c>
      <c r="J32" s="62" t="s">
        <v>65</v>
      </c>
      <c r="K32" s="62" t="s">
        <v>4</v>
      </c>
      <c r="L32" s="62" t="s">
        <v>72</v>
      </c>
      <c r="M32" s="62" t="s">
        <v>96</v>
      </c>
      <c r="N32" s="62" t="s">
        <v>96</v>
      </c>
    </row>
    <row r="33" spans="1:14" x14ac:dyDescent="0.25">
      <c r="A33" s="66" t="s">
        <v>394</v>
      </c>
      <c r="B33" s="62" t="s">
        <v>96</v>
      </c>
      <c r="C33" s="62" t="s">
        <v>396</v>
      </c>
      <c r="D33" s="62" t="s">
        <v>96</v>
      </c>
      <c r="E33" s="62">
        <v>17</v>
      </c>
      <c r="F33" s="62" t="s">
        <v>397</v>
      </c>
      <c r="G33" s="62" t="s">
        <v>96</v>
      </c>
      <c r="H33" s="67" t="s">
        <v>398</v>
      </c>
      <c r="I33" s="62" t="s">
        <v>395</v>
      </c>
      <c r="J33" s="62" t="s">
        <v>65</v>
      </c>
      <c r="K33" s="62" t="s">
        <v>4</v>
      </c>
      <c r="L33" s="62" t="s">
        <v>72</v>
      </c>
      <c r="M33" s="62">
        <v>0</v>
      </c>
      <c r="N33" s="62" t="s">
        <v>96</v>
      </c>
    </row>
    <row r="34" spans="1:14" x14ac:dyDescent="0.25">
      <c r="A34" s="66" t="s">
        <v>347</v>
      </c>
      <c r="B34" s="62" t="s">
        <v>96</v>
      </c>
      <c r="C34" s="62">
        <v>1</v>
      </c>
      <c r="D34" s="62" t="s">
        <v>96</v>
      </c>
      <c r="E34" s="62">
        <v>2</v>
      </c>
      <c r="F34" s="62" t="s">
        <v>348</v>
      </c>
      <c r="G34" s="62" t="s">
        <v>164</v>
      </c>
      <c r="H34" s="67" t="s">
        <v>349</v>
      </c>
      <c r="I34" s="62" t="s">
        <v>350</v>
      </c>
      <c r="J34" s="62" t="s">
        <v>122</v>
      </c>
      <c r="K34" s="62" t="s">
        <v>2</v>
      </c>
      <c r="L34" s="62" t="s">
        <v>96</v>
      </c>
      <c r="M34" s="62" t="s">
        <v>96</v>
      </c>
      <c r="N34" s="62" t="s">
        <v>96</v>
      </c>
    </row>
    <row r="35" spans="1:14" x14ac:dyDescent="0.25">
      <c r="A35" s="66" t="s">
        <v>119</v>
      </c>
      <c r="B35" s="62" t="s">
        <v>96</v>
      </c>
      <c r="C35" s="62" t="s">
        <v>153</v>
      </c>
      <c r="D35" s="62" t="s">
        <v>96</v>
      </c>
      <c r="E35" s="62" t="s">
        <v>154</v>
      </c>
      <c r="F35" s="62" t="s">
        <v>155</v>
      </c>
      <c r="G35" s="62" t="s">
        <v>96</v>
      </c>
      <c r="H35" s="67" t="s">
        <v>294</v>
      </c>
      <c r="I35" s="62" t="s">
        <v>146</v>
      </c>
      <c r="J35" s="62" t="s">
        <v>122</v>
      </c>
      <c r="K35" s="62" t="s">
        <v>2</v>
      </c>
      <c r="L35" s="62" t="s">
        <v>96</v>
      </c>
      <c r="M35" s="62">
        <v>0</v>
      </c>
      <c r="N35" s="62" t="s">
        <v>96</v>
      </c>
    </row>
    <row r="36" spans="1:14" x14ac:dyDescent="0.25">
      <c r="A36" s="66" t="s">
        <v>18</v>
      </c>
      <c r="B36" s="62">
        <v>8</v>
      </c>
      <c r="C36" s="62">
        <v>3</v>
      </c>
      <c r="D36" s="62" t="s">
        <v>96</v>
      </c>
      <c r="E36" s="62" t="s">
        <v>96</v>
      </c>
      <c r="F36" s="62" t="s">
        <v>360</v>
      </c>
      <c r="G36" s="62" t="s">
        <v>96</v>
      </c>
      <c r="H36" s="67" t="s">
        <v>361</v>
      </c>
      <c r="I36" s="62" t="s">
        <v>336</v>
      </c>
      <c r="J36" s="62" t="s">
        <v>65</v>
      </c>
      <c r="K36" s="62" t="s">
        <v>4</v>
      </c>
      <c r="L36" s="62" t="s">
        <v>72</v>
      </c>
      <c r="M36" s="62">
        <v>0</v>
      </c>
      <c r="N36" s="62" t="s">
        <v>96</v>
      </c>
    </row>
    <row r="37" spans="1:14" x14ac:dyDescent="0.25">
      <c r="A37" s="66" t="s">
        <v>150</v>
      </c>
      <c r="B37" s="62" t="s">
        <v>173</v>
      </c>
      <c r="C37" s="62" t="s">
        <v>96</v>
      </c>
      <c r="D37" s="62" t="s">
        <v>96</v>
      </c>
      <c r="E37" s="62" t="s">
        <v>174</v>
      </c>
      <c r="F37" s="62" t="s">
        <v>175</v>
      </c>
      <c r="G37" s="62">
        <v>17</v>
      </c>
      <c r="H37" s="67" t="s">
        <v>295</v>
      </c>
      <c r="I37" s="62" t="s">
        <v>151</v>
      </c>
      <c r="J37" s="62" t="s">
        <v>63</v>
      </c>
      <c r="K37" s="62" t="s">
        <v>2</v>
      </c>
      <c r="L37" s="62" t="s">
        <v>246</v>
      </c>
      <c r="M37" s="62">
        <v>0</v>
      </c>
      <c r="N37" s="62" t="s">
        <v>96</v>
      </c>
    </row>
    <row r="38" spans="1:14" x14ac:dyDescent="0.25">
      <c r="A38" s="66" t="s">
        <v>14</v>
      </c>
      <c r="B38" s="62">
        <v>10</v>
      </c>
      <c r="C38" s="62" t="s">
        <v>278</v>
      </c>
      <c r="D38" s="62" t="s">
        <v>96</v>
      </c>
      <c r="E38" s="62" t="s">
        <v>96</v>
      </c>
      <c r="F38" s="62" t="s">
        <v>279</v>
      </c>
      <c r="G38" s="62" t="s">
        <v>96</v>
      </c>
      <c r="H38" s="67" t="s">
        <v>327</v>
      </c>
      <c r="I38" s="62" t="s">
        <v>277</v>
      </c>
      <c r="J38" s="62" t="s">
        <v>67</v>
      </c>
      <c r="K38" s="62" t="s">
        <v>6</v>
      </c>
      <c r="L38" s="62" t="s">
        <v>73</v>
      </c>
      <c r="M38" s="62">
        <v>0</v>
      </c>
      <c r="N38" s="62" t="s">
        <v>96</v>
      </c>
    </row>
    <row r="39" spans="1:14" x14ac:dyDescent="0.25">
      <c r="A39" s="66" t="s">
        <v>237</v>
      </c>
      <c r="B39" s="62" t="s">
        <v>238</v>
      </c>
      <c r="C39" s="62" t="s">
        <v>96</v>
      </c>
      <c r="D39" s="62" t="s">
        <v>96</v>
      </c>
      <c r="E39" s="62" t="s">
        <v>96</v>
      </c>
      <c r="F39" s="62" t="s">
        <v>239</v>
      </c>
      <c r="G39" s="62" t="s">
        <v>96</v>
      </c>
      <c r="H39" s="67" t="s">
        <v>323</v>
      </c>
      <c r="I39" s="62" t="s">
        <v>241</v>
      </c>
      <c r="J39" s="62" t="s">
        <v>65</v>
      </c>
      <c r="K39" s="62" t="s">
        <v>4</v>
      </c>
      <c r="L39" s="62" t="s">
        <v>72</v>
      </c>
      <c r="M39" s="62" t="s">
        <v>240</v>
      </c>
      <c r="N39" s="62" t="s">
        <v>96</v>
      </c>
    </row>
    <row r="40" spans="1:14" x14ac:dyDescent="0.25">
      <c r="A40" s="66" t="s">
        <v>128</v>
      </c>
      <c r="B40" s="62" t="s">
        <v>198</v>
      </c>
      <c r="C40" s="62" t="s">
        <v>199</v>
      </c>
      <c r="D40" s="62" t="s">
        <v>96</v>
      </c>
      <c r="E40" s="62" t="s">
        <v>200</v>
      </c>
      <c r="F40" s="62" t="s">
        <v>201</v>
      </c>
      <c r="G40" s="62" t="s">
        <v>96</v>
      </c>
      <c r="H40" s="67" t="s">
        <v>296</v>
      </c>
      <c r="I40" s="62" t="s">
        <v>220</v>
      </c>
      <c r="J40" s="62" t="s">
        <v>65</v>
      </c>
      <c r="K40" s="62" t="s">
        <v>4</v>
      </c>
      <c r="L40" s="62" t="s">
        <v>72</v>
      </c>
      <c r="M40" s="62" t="s">
        <v>232</v>
      </c>
      <c r="N40" s="62" t="s">
        <v>96</v>
      </c>
    </row>
    <row r="41" spans="1:14" x14ac:dyDescent="0.25">
      <c r="A41" s="66" t="s">
        <v>297</v>
      </c>
      <c r="B41" s="62" t="s">
        <v>206</v>
      </c>
      <c r="C41" s="62" t="s">
        <v>96</v>
      </c>
      <c r="D41" s="62" t="s">
        <v>96</v>
      </c>
      <c r="E41" s="62" t="s">
        <v>207</v>
      </c>
      <c r="F41" s="62" t="s">
        <v>208</v>
      </c>
      <c r="G41" s="62" t="s">
        <v>96</v>
      </c>
      <c r="H41" s="67" t="s">
        <v>298</v>
      </c>
      <c r="I41" s="62" t="s">
        <v>130</v>
      </c>
      <c r="J41" s="62" t="s">
        <v>67</v>
      </c>
      <c r="K41" s="62" t="s">
        <v>113</v>
      </c>
      <c r="L41" s="62" t="s">
        <v>73</v>
      </c>
      <c r="M41" s="62" t="s">
        <v>98</v>
      </c>
      <c r="N41" s="62" t="s">
        <v>71</v>
      </c>
    </row>
    <row r="42" spans="1:14" x14ac:dyDescent="0.25">
      <c r="A42" s="66" t="s">
        <v>129</v>
      </c>
      <c r="B42" s="62" t="s">
        <v>204</v>
      </c>
      <c r="C42" s="62" t="s">
        <v>96</v>
      </c>
      <c r="D42" s="62" t="s">
        <v>96</v>
      </c>
      <c r="E42" s="62" t="s">
        <v>159</v>
      </c>
      <c r="F42" s="62" t="s">
        <v>205</v>
      </c>
      <c r="G42" s="62" t="s">
        <v>96</v>
      </c>
      <c r="H42" s="67" t="s">
        <v>299</v>
      </c>
      <c r="I42" s="62" t="s">
        <v>132</v>
      </c>
      <c r="J42" s="62" t="s">
        <v>67</v>
      </c>
      <c r="K42" s="62" t="s">
        <v>113</v>
      </c>
      <c r="L42" s="62" t="s">
        <v>73</v>
      </c>
      <c r="M42" s="62" t="s">
        <v>131</v>
      </c>
      <c r="N42" s="62" t="s">
        <v>71</v>
      </c>
    </row>
    <row r="43" spans="1:14" x14ac:dyDescent="0.25">
      <c r="A43" s="66" t="s">
        <v>247</v>
      </c>
      <c r="B43" s="62" t="s">
        <v>249</v>
      </c>
      <c r="C43" s="62" t="s">
        <v>96</v>
      </c>
      <c r="D43" s="62" t="s">
        <v>250</v>
      </c>
      <c r="E43" s="62" t="s">
        <v>251</v>
      </c>
      <c r="F43" s="62" t="s">
        <v>252</v>
      </c>
      <c r="G43" s="62" t="s">
        <v>96</v>
      </c>
      <c r="H43" s="67" t="s">
        <v>305</v>
      </c>
      <c r="I43" s="62" t="s">
        <v>248</v>
      </c>
      <c r="J43" s="62" t="s">
        <v>65</v>
      </c>
      <c r="K43" s="62" t="s">
        <v>4</v>
      </c>
      <c r="L43" s="62" t="s">
        <v>72</v>
      </c>
      <c r="M43" s="62" t="s">
        <v>276</v>
      </c>
      <c r="N43" s="62" t="s">
        <v>96</v>
      </c>
    </row>
    <row r="44" spans="1:14" x14ac:dyDescent="0.25">
      <c r="A44" s="66" t="s">
        <v>455</v>
      </c>
      <c r="B44" s="62" t="s">
        <v>96</v>
      </c>
      <c r="C44" s="62" t="s">
        <v>243</v>
      </c>
      <c r="D44" s="62" t="s">
        <v>244</v>
      </c>
      <c r="E44" s="62">
        <v>10</v>
      </c>
      <c r="F44" s="62" t="s">
        <v>245</v>
      </c>
      <c r="G44" s="62">
        <v>7</v>
      </c>
      <c r="H44" s="67" t="s">
        <v>309</v>
      </c>
      <c r="I44" s="62" t="s">
        <v>242</v>
      </c>
      <c r="J44" s="62" t="s">
        <v>65</v>
      </c>
      <c r="K44" s="62" t="s">
        <v>4</v>
      </c>
      <c r="L44" s="62" t="s">
        <v>72</v>
      </c>
      <c r="M44" s="62">
        <v>0</v>
      </c>
      <c r="N44" s="62" t="s">
        <v>96</v>
      </c>
    </row>
    <row r="45" spans="1:14" x14ac:dyDescent="0.25">
      <c r="A45" s="66" t="s">
        <v>123</v>
      </c>
      <c r="B45" s="62">
        <v>29</v>
      </c>
      <c r="C45" s="62" t="s">
        <v>176</v>
      </c>
      <c r="D45" s="62" t="s">
        <v>177</v>
      </c>
      <c r="E45" s="62" t="s">
        <v>96</v>
      </c>
      <c r="F45" s="62" t="s">
        <v>178</v>
      </c>
      <c r="G45" s="62" t="s">
        <v>96</v>
      </c>
      <c r="H45" s="67" t="s">
        <v>300</v>
      </c>
      <c r="I45" s="62" t="s">
        <v>140</v>
      </c>
      <c r="J45" s="62" t="s">
        <v>64</v>
      </c>
      <c r="K45" s="62" t="s">
        <v>4</v>
      </c>
      <c r="L45" s="62" t="s">
        <v>255</v>
      </c>
      <c r="M45" s="62">
        <v>0</v>
      </c>
      <c r="N45" s="62" t="s">
        <v>96</v>
      </c>
    </row>
    <row r="46" spans="1:14" x14ac:dyDescent="0.25">
      <c r="A46" s="66" t="s">
        <v>271</v>
      </c>
      <c r="B46" s="62" t="s">
        <v>96</v>
      </c>
      <c r="C46" s="62" t="s">
        <v>181</v>
      </c>
      <c r="D46" s="62" t="s">
        <v>182</v>
      </c>
      <c r="E46" s="62" t="s">
        <v>183</v>
      </c>
      <c r="F46" s="62" t="s">
        <v>184</v>
      </c>
      <c r="G46" s="62" t="s">
        <v>96</v>
      </c>
      <c r="H46" s="67" t="s">
        <v>301</v>
      </c>
      <c r="I46" s="62" t="s">
        <v>138</v>
      </c>
      <c r="J46" s="62" t="s">
        <v>65</v>
      </c>
      <c r="K46" s="62" t="s">
        <v>4</v>
      </c>
      <c r="L46" s="62" t="s">
        <v>72</v>
      </c>
      <c r="M46" s="62" t="s">
        <v>97</v>
      </c>
      <c r="N46" s="62" t="s">
        <v>96</v>
      </c>
    </row>
    <row r="47" spans="1:14" x14ac:dyDescent="0.25">
      <c r="A47" s="66" t="s">
        <v>125</v>
      </c>
      <c r="B47" s="62" t="s">
        <v>96</v>
      </c>
      <c r="C47" s="62" t="s">
        <v>185</v>
      </c>
      <c r="D47" s="62">
        <v>29</v>
      </c>
      <c r="E47" s="62">
        <v>20</v>
      </c>
      <c r="F47" s="62" t="s">
        <v>186</v>
      </c>
      <c r="G47" s="62" t="s">
        <v>96</v>
      </c>
      <c r="H47" s="67" t="s">
        <v>302</v>
      </c>
      <c r="I47" s="62" t="s">
        <v>137</v>
      </c>
      <c r="J47" s="62" t="s">
        <v>65</v>
      </c>
      <c r="K47" s="62" t="s">
        <v>4</v>
      </c>
      <c r="L47" s="62" t="s">
        <v>246</v>
      </c>
      <c r="M47" s="62" t="s">
        <v>97</v>
      </c>
      <c r="N47" s="62" t="s">
        <v>96</v>
      </c>
    </row>
    <row r="48" spans="1:14" x14ac:dyDescent="0.25">
      <c r="A48" s="66" t="s">
        <v>280</v>
      </c>
      <c r="B48" s="62" t="s">
        <v>96</v>
      </c>
      <c r="C48" s="62" t="s">
        <v>281</v>
      </c>
      <c r="D48" s="62" t="s">
        <v>282</v>
      </c>
      <c r="E48" s="62">
        <v>7</v>
      </c>
      <c r="F48" s="62" t="s">
        <v>283</v>
      </c>
      <c r="G48" s="62" t="s">
        <v>96</v>
      </c>
      <c r="H48" s="67" t="s">
        <v>328</v>
      </c>
      <c r="I48" s="62" t="s">
        <v>284</v>
      </c>
      <c r="J48" s="62" t="s">
        <v>65</v>
      </c>
      <c r="K48" s="62" t="s">
        <v>4</v>
      </c>
      <c r="L48" s="62" t="s">
        <v>72</v>
      </c>
      <c r="M48" s="62">
        <v>0</v>
      </c>
      <c r="N48" s="62" t="s">
        <v>96</v>
      </c>
    </row>
    <row r="49" spans="1:14" x14ac:dyDescent="0.25">
      <c r="A49" s="66" t="s">
        <v>260</v>
      </c>
      <c r="B49" s="62" t="s">
        <v>96</v>
      </c>
      <c r="C49" s="62" t="s">
        <v>258</v>
      </c>
      <c r="D49" s="62" t="s">
        <v>96</v>
      </c>
      <c r="E49" s="62" t="s">
        <v>96</v>
      </c>
      <c r="F49" s="62" t="s">
        <v>259</v>
      </c>
      <c r="G49" s="62" t="s">
        <v>96</v>
      </c>
      <c r="H49" s="67" t="s">
        <v>306</v>
      </c>
      <c r="I49" s="62" t="s">
        <v>257</v>
      </c>
      <c r="J49" s="62" t="s">
        <v>65</v>
      </c>
      <c r="K49" s="62" t="s">
        <v>4</v>
      </c>
      <c r="L49" s="62" t="s">
        <v>72</v>
      </c>
      <c r="M49" s="62">
        <v>0</v>
      </c>
      <c r="N49" s="62" t="s">
        <v>96</v>
      </c>
    </row>
    <row r="50" spans="1:14" x14ac:dyDescent="0.25">
      <c r="A50" s="66" t="s">
        <v>260</v>
      </c>
      <c r="B50" s="62" t="s">
        <v>265</v>
      </c>
      <c r="C50" s="62" t="s">
        <v>96</v>
      </c>
      <c r="D50" s="62" t="s">
        <v>96</v>
      </c>
      <c r="E50" s="62" t="s">
        <v>96</v>
      </c>
      <c r="F50" s="62" t="s">
        <v>266</v>
      </c>
      <c r="G50" s="62" t="s">
        <v>96</v>
      </c>
      <c r="H50" s="67" t="s">
        <v>306</v>
      </c>
      <c r="I50" s="62" t="s">
        <v>257</v>
      </c>
      <c r="J50" s="62" t="s">
        <v>65</v>
      </c>
      <c r="K50" s="62" t="s">
        <v>4</v>
      </c>
      <c r="L50" s="62" t="s">
        <v>72</v>
      </c>
      <c r="M50" s="62">
        <v>0</v>
      </c>
      <c r="N50" s="62" t="s">
        <v>96</v>
      </c>
    </row>
    <row r="51" spans="1:14" x14ac:dyDescent="0.25">
      <c r="A51" s="66" t="s">
        <v>303</v>
      </c>
      <c r="B51" s="62" t="s">
        <v>96</v>
      </c>
      <c r="C51" s="62" t="s">
        <v>187</v>
      </c>
      <c r="D51" s="62" t="s">
        <v>188</v>
      </c>
      <c r="E51" s="62" t="s">
        <v>189</v>
      </c>
      <c r="F51" s="62" t="s">
        <v>190</v>
      </c>
      <c r="G51" s="62">
        <v>21</v>
      </c>
      <c r="H51" s="67" t="s">
        <v>304</v>
      </c>
      <c r="I51" s="62" t="s">
        <v>136</v>
      </c>
      <c r="J51" s="62" t="s">
        <v>65</v>
      </c>
      <c r="K51" s="62" t="s">
        <v>4</v>
      </c>
      <c r="L51" s="62" t="s">
        <v>72</v>
      </c>
      <c r="M51" s="62">
        <v>0</v>
      </c>
      <c r="N51" s="62" t="s">
        <v>96</v>
      </c>
    </row>
    <row r="52" spans="1:14" x14ac:dyDescent="0.25">
      <c r="A52" s="66" t="s">
        <v>253</v>
      </c>
      <c r="B52" s="62" t="s">
        <v>263</v>
      </c>
      <c r="C52" s="62" t="s">
        <v>96</v>
      </c>
      <c r="D52" s="62" t="s">
        <v>96</v>
      </c>
      <c r="E52" s="62" t="s">
        <v>96</v>
      </c>
      <c r="F52" s="62" t="s">
        <v>264</v>
      </c>
      <c r="G52" s="62" t="s">
        <v>96</v>
      </c>
      <c r="H52" s="67" t="s">
        <v>324</v>
      </c>
      <c r="I52" s="62" t="s">
        <v>254</v>
      </c>
      <c r="J52" s="62" t="s">
        <v>65</v>
      </c>
      <c r="K52" s="62" t="s">
        <v>4</v>
      </c>
      <c r="L52" s="62" t="s">
        <v>72</v>
      </c>
      <c r="M52" s="62" t="s">
        <v>276</v>
      </c>
      <c r="N52" s="62" t="s">
        <v>96</v>
      </c>
    </row>
    <row r="53" spans="1:14" x14ac:dyDescent="0.25">
      <c r="A53" s="66" t="s">
        <v>126</v>
      </c>
      <c r="B53" s="62" t="s">
        <v>96</v>
      </c>
      <c r="C53" s="62" t="s">
        <v>191</v>
      </c>
      <c r="D53" s="62" t="s">
        <v>192</v>
      </c>
      <c r="E53" s="62" t="s">
        <v>96</v>
      </c>
      <c r="F53" s="62" t="s">
        <v>193</v>
      </c>
      <c r="G53" s="62">
        <v>10</v>
      </c>
      <c r="H53" s="67" t="s">
        <v>307</v>
      </c>
      <c r="I53" s="62" t="s">
        <v>135</v>
      </c>
      <c r="J53" s="62" t="s">
        <v>65</v>
      </c>
      <c r="K53" s="62" t="s">
        <v>4</v>
      </c>
      <c r="L53" s="62" t="s">
        <v>72</v>
      </c>
      <c r="M53" s="62">
        <v>0</v>
      </c>
      <c r="N53" s="62" t="s">
        <v>96</v>
      </c>
    </row>
    <row r="54" spans="1:14" x14ac:dyDescent="0.25">
      <c r="A54" s="66" t="s">
        <v>127</v>
      </c>
      <c r="B54" s="62" t="s">
        <v>194</v>
      </c>
      <c r="C54" s="62" t="s">
        <v>195</v>
      </c>
      <c r="D54" s="62" t="s">
        <v>196</v>
      </c>
      <c r="E54" s="62">
        <v>27</v>
      </c>
      <c r="F54" s="62" t="s">
        <v>197</v>
      </c>
      <c r="G54" s="62" t="s">
        <v>96</v>
      </c>
      <c r="H54" s="67" t="s">
        <v>308</v>
      </c>
      <c r="I54" s="62" t="s">
        <v>134</v>
      </c>
      <c r="J54" s="62" t="s">
        <v>65</v>
      </c>
      <c r="K54" s="62" t="s">
        <v>4</v>
      </c>
      <c r="L54" s="62" t="s">
        <v>256</v>
      </c>
      <c r="M54" s="62">
        <v>0</v>
      </c>
      <c r="N54" s="62" t="s">
        <v>96</v>
      </c>
    </row>
    <row r="55" spans="1:14" x14ac:dyDescent="0.25">
      <c r="A55" s="66" t="s">
        <v>124</v>
      </c>
      <c r="B55" s="62" t="s">
        <v>96</v>
      </c>
      <c r="C55" s="62" t="s">
        <v>179</v>
      </c>
      <c r="D55" s="62" t="s">
        <v>96</v>
      </c>
      <c r="E55" s="62">
        <v>17</v>
      </c>
      <c r="F55" s="62" t="s">
        <v>180</v>
      </c>
      <c r="G55" s="62" t="s">
        <v>96</v>
      </c>
      <c r="H55" s="67" t="s">
        <v>310</v>
      </c>
      <c r="I55" s="62" t="s">
        <v>139</v>
      </c>
      <c r="J55" s="62" t="s">
        <v>65</v>
      </c>
      <c r="K55" s="62" t="s">
        <v>4</v>
      </c>
      <c r="L55" s="62" t="s">
        <v>72</v>
      </c>
      <c r="M55" s="62" t="s">
        <v>111</v>
      </c>
      <c r="N55" s="62" t="s">
        <v>96</v>
      </c>
    </row>
    <row r="56" spans="1:14" x14ac:dyDescent="0.25">
      <c r="A56" s="66" t="s">
        <v>38</v>
      </c>
      <c r="B56" s="62">
        <v>3</v>
      </c>
      <c r="C56" s="62" t="s">
        <v>96</v>
      </c>
      <c r="D56" s="62" t="s">
        <v>96</v>
      </c>
      <c r="E56" s="62" t="s">
        <v>96</v>
      </c>
      <c r="F56" s="62" t="s">
        <v>213</v>
      </c>
      <c r="G56" s="62"/>
      <c r="H56" s="67" t="s">
        <v>311</v>
      </c>
      <c r="I56" s="74" t="s">
        <v>214</v>
      </c>
      <c r="J56" s="62" t="s">
        <v>62</v>
      </c>
      <c r="K56" s="62" t="s">
        <v>2</v>
      </c>
      <c r="L56" s="62" t="s">
        <v>246</v>
      </c>
      <c r="M56" s="62" t="s">
        <v>231</v>
      </c>
      <c r="N56" s="62" t="s">
        <v>96</v>
      </c>
    </row>
    <row r="57" spans="1:14" x14ac:dyDescent="0.25">
      <c r="A57" s="66" t="s">
        <v>370</v>
      </c>
      <c r="B57" s="62" t="s">
        <v>371</v>
      </c>
      <c r="C57" s="62" t="s">
        <v>96</v>
      </c>
      <c r="D57" s="62" t="s">
        <v>96</v>
      </c>
      <c r="E57" s="62" t="s">
        <v>96</v>
      </c>
      <c r="F57" s="62" t="s">
        <v>96</v>
      </c>
      <c r="G57" s="62" t="s">
        <v>96</v>
      </c>
      <c r="H57" s="67" t="s">
        <v>373</v>
      </c>
      <c r="I57" s="74" t="s">
        <v>372</v>
      </c>
      <c r="J57" s="62" t="s">
        <v>62</v>
      </c>
      <c r="K57" s="62" t="s">
        <v>2</v>
      </c>
      <c r="L57" s="62" t="s">
        <v>246</v>
      </c>
      <c r="M57" s="62" t="s">
        <v>96</v>
      </c>
      <c r="N57" s="62" t="s">
        <v>96</v>
      </c>
    </row>
    <row r="58" spans="1:14" x14ac:dyDescent="0.25">
      <c r="A58" s="66" t="s">
        <v>216</v>
      </c>
      <c r="B58" s="62" t="s">
        <v>217</v>
      </c>
      <c r="C58" s="62" t="s">
        <v>96</v>
      </c>
      <c r="D58" s="62" t="s">
        <v>96</v>
      </c>
      <c r="E58" s="62" t="s">
        <v>96</v>
      </c>
      <c r="F58" s="62" t="s">
        <v>96</v>
      </c>
      <c r="G58" s="62"/>
      <c r="H58" s="67" t="s">
        <v>312</v>
      </c>
      <c r="I58" s="74" t="s">
        <v>218</v>
      </c>
      <c r="J58" s="62" t="s">
        <v>62</v>
      </c>
      <c r="K58" s="62" t="s">
        <v>2</v>
      </c>
      <c r="L58" s="62" t="s">
        <v>246</v>
      </c>
      <c r="M58" s="62" t="s">
        <v>219</v>
      </c>
      <c r="N58" s="62" t="s">
        <v>96</v>
      </c>
    </row>
    <row r="59" spans="1:14" x14ac:dyDescent="0.25">
      <c r="A59" s="66" t="s">
        <v>210</v>
      </c>
      <c r="B59" s="62" t="s">
        <v>211</v>
      </c>
      <c r="C59" s="62" t="s">
        <v>96</v>
      </c>
      <c r="D59" s="62" t="s">
        <v>96</v>
      </c>
      <c r="E59" s="62" t="s">
        <v>96</v>
      </c>
      <c r="F59" s="62" t="s">
        <v>211</v>
      </c>
      <c r="G59" s="62" t="s">
        <v>96</v>
      </c>
      <c r="H59" s="67" t="s">
        <v>313</v>
      </c>
      <c r="I59" s="74" t="s">
        <v>212</v>
      </c>
      <c r="J59" s="62" t="s">
        <v>62</v>
      </c>
      <c r="K59" s="62" t="s">
        <v>2</v>
      </c>
      <c r="L59" s="62" t="s">
        <v>246</v>
      </c>
      <c r="M59" s="62">
        <v>0</v>
      </c>
      <c r="N59" s="62" t="s">
        <v>96</v>
      </c>
    </row>
    <row r="60" spans="1:14" x14ac:dyDescent="0.25">
      <c r="A60" s="66" t="s">
        <v>120</v>
      </c>
      <c r="B60" s="62" t="s">
        <v>156</v>
      </c>
      <c r="C60" s="62" t="s">
        <v>157</v>
      </c>
      <c r="D60" s="62" t="s">
        <v>96</v>
      </c>
      <c r="E60" s="62" t="s">
        <v>96</v>
      </c>
      <c r="F60" s="62">
        <v>29</v>
      </c>
      <c r="G60" s="62" t="s">
        <v>158</v>
      </c>
      <c r="H60" s="67" t="s">
        <v>314</v>
      </c>
      <c r="I60" s="74" t="s">
        <v>145</v>
      </c>
      <c r="J60" s="62" t="s">
        <v>62</v>
      </c>
      <c r="K60" s="62" t="s">
        <v>2</v>
      </c>
      <c r="L60" s="62" t="s">
        <v>246</v>
      </c>
      <c r="M60" s="62" t="s">
        <v>231</v>
      </c>
      <c r="N60" s="62" t="s">
        <v>96</v>
      </c>
    </row>
    <row r="61" spans="1:14" x14ac:dyDescent="0.25">
      <c r="A61" s="66" t="s">
        <v>362</v>
      </c>
      <c r="B61" s="62" t="s">
        <v>363</v>
      </c>
      <c r="C61" s="62" t="s">
        <v>96</v>
      </c>
      <c r="D61" s="62" t="s">
        <v>96</v>
      </c>
      <c r="E61" s="62">
        <v>20</v>
      </c>
      <c r="F61" s="62">
        <v>15</v>
      </c>
      <c r="G61" s="62" t="s">
        <v>96</v>
      </c>
      <c r="H61" s="67" t="s">
        <v>365</v>
      </c>
      <c r="I61" s="74" t="s">
        <v>364</v>
      </c>
      <c r="J61" s="62" t="s">
        <v>62</v>
      </c>
      <c r="K61" s="62" t="s">
        <v>2</v>
      </c>
      <c r="L61" s="62" t="s">
        <v>246</v>
      </c>
      <c r="M61" s="62">
        <v>0</v>
      </c>
      <c r="N61" s="62" t="s">
        <v>96</v>
      </c>
    </row>
    <row r="62" spans="1:14" x14ac:dyDescent="0.25">
      <c r="A62" s="66" t="s">
        <v>387</v>
      </c>
      <c r="B62" s="62" t="s">
        <v>315</v>
      </c>
      <c r="C62" s="62" t="s">
        <v>316</v>
      </c>
      <c r="D62" s="62" t="s">
        <v>96</v>
      </c>
      <c r="E62" s="62" t="s">
        <v>96</v>
      </c>
      <c r="F62" s="62" t="s">
        <v>317</v>
      </c>
      <c r="G62" s="62" t="s">
        <v>96</v>
      </c>
      <c r="H62" s="67" t="s">
        <v>318</v>
      </c>
      <c r="I62" s="74" t="s">
        <v>112</v>
      </c>
      <c r="J62" s="62" t="s">
        <v>63</v>
      </c>
      <c r="K62" s="62" t="s">
        <v>2</v>
      </c>
      <c r="L62" s="62" t="s">
        <v>246</v>
      </c>
      <c r="M62" s="62" t="s">
        <v>144</v>
      </c>
      <c r="N62" s="62" t="s">
        <v>69</v>
      </c>
    </row>
    <row r="63" spans="1:14" x14ac:dyDescent="0.25">
      <c r="A63" s="66" t="s">
        <v>234</v>
      </c>
      <c r="B63" s="62" t="s">
        <v>96</v>
      </c>
      <c r="C63" s="62" t="s">
        <v>235</v>
      </c>
      <c r="D63" s="62" t="s">
        <v>96</v>
      </c>
      <c r="E63" s="62" t="s">
        <v>96</v>
      </c>
      <c r="F63" s="62" t="s">
        <v>96</v>
      </c>
      <c r="G63" s="62" t="s">
        <v>96</v>
      </c>
      <c r="H63" s="67" t="s">
        <v>322</v>
      </c>
      <c r="I63" s="74" t="s">
        <v>236</v>
      </c>
      <c r="J63" s="62" t="s">
        <v>63</v>
      </c>
      <c r="K63" s="62" t="s">
        <v>2</v>
      </c>
      <c r="L63" s="62" t="s">
        <v>246</v>
      </c>
      <c r="M63" s="62">
        <v>0</v>
      </c>
      <c r="N63" s="62" t="s">
        <v>96</v>
      </c>
    </row>
    <row r="64" spans="1:14" x14ac:dyDescent="0.25">
      <c r="A64" s="66" t="s">
        <v>100</v>
      </c>
      <c r="B64" s="62" t="s">
        <v>209</v>
      </c>
      <c r="C64" s="62" t="s">
        <v>209</v>
      </c>
      <c r="D64" s="62" t="s">
        <v>96</v>
      </c>
      <c r="E64" s="62" t="s">
        <v>96</v>
      </c>
      <c r="F64" s="62" t="s">
        <v>152</v>
      </c>
      <c r="G64" s="62" t="s">
        <v>96</v>
      </c>
      <c r="H64" s="67" t="s">
        <v>319</v>
      </c>
      <c r="I64" s="74" t="s">
        <v>118</v>
      </c>
      <c r="J64" s="62" t="s">
        <v>122</v>
      </c>
      <c r="K64" s="62" t="s">
        <v>2</v>
      </c>
      <c r="L64" s="62" t="s">
        <v>96</v>
      </c>
      <c r="M64" s="62" t="s">
        <v>229</v>
      </c>
      <c r="N64" s="62" t="s">
        <v>96</v>
      </c>
    </row>
    <row r="65" spans="1:14" x14ac:dyDescent="0.25">
      <c r="A65" s="66" t="s">
        <v>454</v>
      </c>
      <c r="B65" s="62" t="s">
        <v>96</v>
      </c>
      <c r="C65" s="62" t="s">
        <v>451</v>
      </c>
      <c r="D65" s="62" t="s">
        <v>96</v>
      </c>
      <c r="E65" s="62" t="s">
        <v>96</v>
      </c>
      <c r="F65" s="62" t="s">
        <v>96</v>
      </c>
      <c r="G65" s="62" t="s">
        <v>96</v>
      </c>
      <c r="H65" s="67" t="s">
        <v>452</v>
      </c>
      <c r="I65" s="74" t="s">
        <v>453</v>
      </c>
      <c r="J65" s="62" t="s">
        <v>63</v>
      </c>
      <c r="K65" s="62" t="s">
        <v>2</v>
      </c>
      <c r="L65" s="62" t="s">
        <v>246</v>
      </c>
      <c r="M65" s="62" t="s">
        <v>96</v>
      </c>
      <c r="N65" s="62" t="s">
        <v>96</v>
      </c>
    </row>
    <row r="66" spans="1:14" x14ac:dyDescent="0.25">
      <c r="A66" s="66"/>
      <c r="B66" s="62"/>
      <c r="C66" s="62"/>
      <c r="D66" s="62"/>
      <c r="E66" s="62"/>
      <c r="F66" s="62"/>
      <c r="G66" s="62"/>
      <c r="H66" s="67"/>
      <c r="I66" s="62"/>
    </row>
    <row r="67" spans="1:14" x14ac:dyDescent="0.25">
      <c r="A67" s="66"/>
      <c r="B67" s="62"/>
      <c r="C67" s="62"/>
      <c r="D67" s="62"/>
      <c r="E67" s="62"/>
      <c r="F67" s="62"/>
      <c r="G67" s="62"/>
      <c r="H67" s="67"/>
      <c r="I67" s="62"/>
    </row>
    <row r="68" spans="1:14" x14ac:dyDescent="0.25">
      <c r="A68" s="66"/>
      <c r="B68" s="62"/>
      <c r="C68" s="62"/>
      <c r="D68" s="62"/>
      <c r="E68" s="62"/>
      <c r="F68" s="62"/>
      <c r="G68" s="62"/>
      <c r="H68" s="67"/>
      <c r="I68" s="62"/>
    </row>
    <row r="69" spans="1:14" x14ac:dyDescent="0.25">
      <c r="A69" s="66"/>
      <c r="B69" s="62"/>
      <c r="C69" s="62"/>
      <c r="D69" s="62"/>
      <c r="E69" s="62"/>
      <c r="F69" s="62"/>
      <c r="G69" s="62"/>
      <c r="H69" s="67"/>
      <c r="I69" s="62"/>
    </row>
    <row r="70" spans="1:14" x14ac:dyDescent="0.25">
      <c r="A70" s="66"/>
      <c r="B70" s="62"/>
      <c r="C70" s="62"/>
      <c r="D70" s="62"/>
      <c r="E70" s="62"/>
      <c r="F70" s="62"/>
      <c r="G70" s="62"/>
      <c r="H70" s="67"/>
      <c r="I70" s="62"/>
    </row>
    <row r="71" spans="1:14" x14ac:dyDescent="0.25">
      <c r="A71" s="66"/>
      <c r="B71" s="62"/>
      <c r="C71" s="62"/>
      <c r="D71" s="62"/>
      <c r="E71" s="62"/>
      <c r="F71" s="62"/>
      <c r="G71" s="62"/>
      <c r="H71" s="67"/>
      <c r="I71" s="62"/>
    </row>
    <row r="72" spans="1:14" x14ac:dyDescent="0.25">
      <c r="A72" s="66"/>
      <c r="B72" s="62"/>
      <c r="C72" s="62"/>
      <c r="D72" s="62"/>
      <c r="E72" s="62"/>
      <c r="F72" s="62"/>
      <c r="G72" s="62"/>
      <c r="H72" s="67"/>
      <c r="I72" s="62"/>
    </row>
    <row r="73" spans="1:14" x14ac:dyDescent="0.25">
      <c r="A73" s="66"/>
      <c r="B73" s="62"/>
      <c r="C73" s="62"/>
      <c r="D73" s="62"/>
      <c r="E73" s="62"/>
      <c r="F73" s="62"/>
      <c r="G73" s="62"/>
      <c r="H73" s="67"/>
      <c r="I73" s="62"/>
    </row>
    <row r="74" spans="1:14" x14ac:dyDescent="0.25">
      <c r="A74" s="66"/>
      <c r="B74" s="62"/>
      <c r="C74" s="62"/>
      <c r="D74" s="62"/>
      <c r="E74" s="62"/>
      <c r="F74" s="62"/>
      <c r="G74" s="62"/>
      <c r="H74" s="67"/>
      <c r="I74" s="62"/>
    </row>
    <row r="75" spans="1:14" x14ac:dyDescent="0.25">
      <c r="A75" s="66"/>
      <c r="B75" s="62"/>
      <c r="C75" s="62"/>
      <c r="D75" s="62"/>
      <c r="E75" s="62"/>
      <c r="F75" s="62"/>
      <c r="G75" s="62"/>
      <c r="H75" s="67"/>
      <c r="I75" s="62"/>
    </row>
    <row r="76" spans="1:14" x14ac:dyDescent="0.25">
      <c r="A76" s="66"/>
      <c r="B76" s="62"/>
      <c r="C76" s="62"/>
      <c r="D76" s="62"/>
      <c r="E76" s="62"/>
      <c r="F76" s="62"/>
      <c r="G76" s="62"/>
      <c r="H76" s="67"/>
      <c r="I76" s="62"/>
    </row>
    <row r="77" spans="1:14" x14ac:dyDescent="0.25">
      <c r="A77" s="66"/>
      <c r="B77" s="62"/>
      <c r="C77" s="62"/>
      <c r="D77" s="62"/>
      <c r="E77" s="62"/>
      <c r="F77" s="62"/>
      <c r="G77" s="62"/>
      <c r="H77" s="67"/>
      <c r="I77" s="62"/>
    </row>
    <row r="78" spans="1:14" x14ac:dyDescent="0.25">
      <c r="A78" s="66"/>
      <c r="B78" s="62"/>
      <c r="C78" s="62"/>
      <c r="D78" s="62"/>
      <c r="E78" s="62"/>
      <c r="F78" s="62"/>
      <c r="G78" s="62"/>
      <c r="H78" s="67"/>
      <c r="I78" s="62"/>
    </row>
    <row r="79" spans="1:14" x14ac:dyDescent="0.25">
      <c r="A79" s="66"/>
      <c r="B79" s="62"/>
      <c r="C79" s="62"/>
      <c r="D79" s="62"/>
      <c r="E79" s="62"/>
      <c r="F79" s="62"/>
      <c r="G79" s="62"/>
      <c r="H79" s="67"/>
      <c r="I79" s="62"/>
    </row>
    <row r="80" spans="1:14" x14ac:dyDescent="0.25">
      <c r="A80" s="66"/>
      <c r="B80" s="62"/>
      <c r="C80" s="62"/>
      <c r="D80" s="62"/>
      <c r="E80" s="62"/>
      <c r="F80" s="62"/>
      <c r="G80" s="62"/>
      <c r="H80" s="67"/>
      <c r="I80" s="62"/>
    </row>
    <row r="81" spans="1:9" x14ac:dyDescent="0.25">
      <c r="A81" s="66"/>
      <c r="B81" s="62"/>
      <c r="C81" s="62"/>
      <c r="D81" s="62"/>
      <c r="E81" s="62"/>
      <c r="F81" s="62"/>
      <c r="G81" s="62"/>
      <c r="H81" s="67"/>
      <c r="I81" s="62"/>
    </row>
    <row r="82" spans="1:9" x14ac:dyDescent="0.25">
      <c r="A82" s="66"/>
      <c r="B82" s="62"/>
      <c r="C82" s="62"/>
      <c r="D82" s="62"/>
      <c r="E82" s="62"/>
      <c r="F82" s="62"/>
      <c r="G82" s="62"/>
      <c r="H82" s="67"/>
      <c r="I82" s="62"/>
    </row>
    <row r="83" spans="1:9" x14ac:dyDescent="0.25">
      <c r="A83" s="66"/>
      <c r="B83" s="62"/>
      <c r="C83" s="62"/>
      <c r="D83" s="62"/>
      <c r="E83" s="62"/>
      <c r="F83" s="62"/>
      <c r="G83" s="62"/>
      <c r="H83" s="67"/>
      <c r="I83" s="62"/>
    </row>
    <row r="84" spans="1:9" x14ac:dyDescent="0.25">
      <c r="A84" s="66"/>
      <c r="B84" s="62"/>
      <c r="C84" s="62"/>
      <c r="D84" s="62"/>
      <c r="E84" s="62"/>
      <c r="F84" s="62"/>
      <c r="G84" s="62"/>
      <c r="H84" s="67"/>
      <c r="I84" s="62"/>
    </row>
    <row r="85" spans="1:9" x14ac:dyDescent="0.25">
      <c r="A85" s="66"/>
      <c r="B85" s="62"/>
      <c r="C85" s="62"/>
      <c r="D85" s="62"/>
      <c r="E85" s="62"/>
      <c r="F85" s="62"/>
      <c r="G85" s="62"/>
      <c r="H85" s="67"/>
      <c r="I85" s="62"/>
    </row>
    <row r="86" spans="1:9" x14ac:dyDescent="0.25">
      <c r="A86" s="66"/>
      <c r="B86" s="62"/>
      <c r="C86" s="62"/>
      <c r="D86" s="62"/>
      <c r="E86" s="62"/>
      <c r="F86" s="62"/>
      <c r="G86" s="62"/>
      <c r="H86" s="67"/>
      <c r="I86" s="62"/>
    </row>
    <row r="87" spans="1:9" x14ac:dyDescent="0.25">
      <c r="A87" s="66"/>
      <c r="B87" s="62"/>
      <c r="C87" s="62"/>
      <c r="D87" s="62"/>
      <c r="E87" s="62"/>
      <c r="F87" s="62"/>
      <c r="G87" s="62"/>
      <c r="H87" s="67"/>
      <c r="I87" s="62"/>
    </row>
    <row r="88" spans="1:9" x14ac:dyDescent="0.25">
      <c r="A88" s="66"/>
      <c r="B88" s="62"/>
      <c r="C88" s="62"/>
      <c r="D88" s="62"/>
      <c r="E88" s="62"/>
      <c r="F88" s="62"/>
      <c r="G88" s="62"/>
      <c r="H88" s="67"/>
      <c r="I88" s="62"/>
    </row>
    <row r="89" spans="1:9" x14ac:dyDescent="0.25">
      <c r="A89" s="66"/>
      <c r="B89" s="62"/>
      <c r="C89" s="62"/>
      <c r="D89" s="62"/>
      <c r="E89" s="62"/>
      <c r="F89" s="62"/>
      <c r="G89" s="62"/>
      <c r="H89" s="67"/>
      <c r="I89" s="62"/>
    </row>
    <row r="90" spans="1:9" x14ac:dyDescent="0.25">
      <c r="A90" s="66"/>
      <c r="B90" s="62"/>
      <c r="C90" s="62"/>
      <c r="D90" s="62"/>
      <c r="E90" s="62"/>
      <c r="F90" s="62"/>
      <c r="G90" s="62"/>
      <c r="H90" s="67"/>
      <c r="I90" s="62"/>
    </row>
    <row r="91" spans="1:9" x14ac:dyDescent="0.25">
      <c r="A91" s="66"/>
      <c r="B91" s="62"/>
      <c r="C91" s="62"/>
      <c r="D91" s="62"/>
      <c r="E91" s="62"/>
      <c r="F91" s="62"/>
      <c r="G91" s="62"/>
      <c r="H91" s="67"/>
      <c r="I91" s="62"/>
    </row>
    <row r="92" spans="1:9" x14ac:dyDescent="0.25">
      <c r="A92" s="66"/>
      <c r="B92" s="62"/>
      <c r="C92" s="62"/>
      <c r="D92" s="62"/>
      <c r="E92" s="62"/>
      <c r="F92" s="62"/>
      <c r="G92" s="62"/>
      <c r="H92" s="67"/>
      <c r="I92" s="62"/>
    </row>
    <row r="93" spans="1:9" x14ac:dyDescent="0.25">
      <c r="A93" s="66"/>
      <c r="B93" s="62"/>
      <c r="C93" s="62"/>
      <c r="D93" s="62"/>
      <c r="E93" s="62"/>
      <c r="F93" s="62"/>
      <c r="G93" s="62"/>
      <c r="H93" s="67"/>
      <c r="I93" s="62"/>
    </row>
    <row r="94" spans="1:9" x14ac:dyDescent="0.25">
      <c r="A94" s="66"/>
      <c r="B94" s="62"/>
      <c r="C94" s="62"/>
      <c r="D94" s="62"/>
      <c r="E94" s="62"/>
      <c r="F94" s="62"/>
      <c r="G94" s="62"/>
      <c r="H94" s="67"/>
      <c r="I94" s="62"/>
    </row>
    <row r="95" spans="1:9" x14ac:dyDescent="0.25">
      <c r="A95" s="66"/>
      <c r="B95" s="62"/>
      <c r="C95" s="62"/>
      <c r="D95" s="62"/>
      <c r="E95" s="62"/>
      <c r="F95" s="62"/>
      <c r="G95" s="62"/>
      <c r="H95" s="67"/>
      <c r="I95" s="62"/>
    </row>
    <row r="96" spans="1:9" x14ac:dyDescent="0.25">
      <c r="A96" s="66"/>
      <c r="B96" s="62"/>
      <c r="C96" s="62"/>
      <c r="D96" s="62"/>
      <c r="E96" s="62"/>
      <c r="F96" s="62"/>
      <c r="G96" s="62"/>
      <c r="H96" s="67"/>
      <c r="I96" s="62"/>
    </row>
    <row r="97" spans="1:9" x14ac:dyDescent="0.25">
      <c r="A97" s="66"/>
      <c r="B97" s="62"/>
      <c r="C97" s="62"/>
      <c r="D97" s="62"/>
      <c r="E97" s="62"/>
      <c r="F97" s="62"/>
      <c r="G97" s="62"/>
      <c r="H97" s="67"/>
      <c r="I97" s="62"/>
    </row>
    <row r="98" spans="1:9" x14ac:dyDescent="0.25">
      <c r="A98" s="66"/>
      <c r="B98" s="62"/>
      <c r="C98" s="62"/>
      <c r="D98" s="62"/>
      <c r="E98" s="62"/>
      <c r="F98" s="62"/>
      <c r="G98" s="62"/>
      <c r="H98" s="67"/>
      <c r="I98" s="62"/>
    </row>
    <row r="99" spans="1:9" x14ac:dyDescent="0.25">
      <c r="A99" s="66"/>
      <c r="B99" s="62"/>
      <c r="C99" s="62"/>
      <c r="D99" s="62"/>
      <c r="E99" s="62"/>
      <c r="F99" s="62"/>
      <c r="G99" s="62"/>
      <c r="H99" s="67"/>
      <c r="I99" s="62"/>
    </row>
    <row r="100" spans="1:9" x14ac:dyDescent="0.25">
      <c r="A100" s="66"/>
      <c r="B100" s="62"/>
      <c r="C100" s="62"/>
      <c r="D100" s="62"/>
      <c r="E100" s="62"/>
      <c r="F100" s="62"/>
      <c r="G100" s="62"/>
      <c r="H100" s="67"/>
      <c r="I100" s="62"/>
    </row>
    <row r="101" spans="1:9" x14ac:dyDescent="0.25">
      <c r="A101" s="66"/>
      <c r="B101" s="62"/>
      <c r="C101" s="62"/>
      <c r="D101" s="62"/>
      <c r="E101" s="62"/>
      <c r="F101" s="62"/>
      <c r="G101" s="62"/>
      <c r="H101" s="67"/>
      <c r="I101" s="62"/>
    </row>
    <row r="102" spans="1:9" x14ac:dyDescent="0.25">
      <c r="A102" s="66"/>
      <c r="B102" s="62"/>
      <c r="C102" s="62"/>
      <c r="D102" s="62"/>
      <c r="E102" s="62"/>
      <c r="F102" s="62"/>
      <c r="G102" s="62"/>
      <c r="H102" s="67"/>
      <c r="I102" s="62"/>
    </row>
    <row r="103" spans="1:9" x14ac:dyDescent="0.25">
      <c r="A103" s="66"/>
      <c r="B103" s="62"/>
      <c r="C103" s="62"/>
      <c r="D103" s="62"/>
      <c r="E103" s="62"/>
      <c r="F103" s="62"/>
      <c r="G103" s="62"/>
      <c r="H103" s="67"/>
      <c r="I103" s="62"/>
    </row>
    <row r="104" spans="1:9" x14ac:dyDescent="0.25">
      <c r="A104" s="66"/>
      <c r="B104" s="62"/>
      <c r="C104" s="62"/>
      <c r="D104" s="62"/>
      <c r="E104" s="62"/>
      <c r="F104" s="62"/>
      <c r="G104" s="62"/>
      <c r="H104" s="67"/>
      <c r="I104" s="62"/>
    </row>
    <row r="105" spans="1:9" x14ac:dyDescent="0.25">
      <c r="A105" s="66"/>
      <c r="B105" s="62"/>
      <c r="C105" s="62"/>
      <c r="D105" s="62"/>
      <c r="E105" s="62"/>
      <c r="F105" s="62"/>
      <c r="G105" s="62"/>
      <c r="H105" s="67"/>
      <c r="I105" s="62"/>
    </row>
    <row r="106" spans="1:9" x14ac:dyDescent="0.25">
      <c r="A106" s="66"/>
      <c r="B106" s="62"/>
      <c r="C106" s="62"/>
      <c r="D106" s="62"/>
      <c r="E106" s="62"/>
      <c r="F106" s="62"/>
      <c r="G106" s="62"/>
      <c r="H106" s="67"/>
      <c r="I106" s="62"/>
    </row>
    <row r="107" spans="1:9" x14ac:dyDescent="0.25">
      <c r="A107" s="66"/>
      <c r="B107" s="62"/>
      <c r="C107" s="62"/>
      <c r="D107" s="62"/>
      <c r="E107" s="62"/>
      <c r="F107" s="62"/>
      <c r="G107" s="62"/>
      <c r="H107" s="67"/>
      <c r="I107" s="62"/>
    </row>
    <row r="108" spans="1:9" x14ac:dyDescent="0.25">
      <c r="A108" s="66"/>
      <c r="B108" s="62"/>
      <c r="C108" s="62"/>
      <c r="D108" s="62"/>
      <c r="E108" s="62"/>
      <c r="F108" s="62"/>
      <c r="G108" s="62"/>
      <c r="H108" s="67"/>
      <c r="I108" s="62"/>
    </row>
    <row r="109" spans="1:9" x14ac:dyDescent="0.25">
      <c r="A109" s="66"/>
      <c r="B109" s="62"/>
      <c r="C109" s="62"/>
      <c r="D109" s="62"/>
      <c r="E109" s="62"/>
      <c r="F109" s="62"/>
      <c r="G109" s="62"/>
      <c r="H109" s="67"/>
      <c r="I109" s="62"/>
    </row>
    <row r="110" spans="1:9" x14ac:dyDescent="0.25">
      <c r="A110" s="66"/>
      <c r="B110" s="62"/>
      <c r="C110" s="62"/>
      <c r="D110" s="62"/>
      <c r="E110" s="62"/>
      <c r="F110" s="62"/>
      <c r="G110" s="62"/>
      <c r="H110" s="67"/>
      <c r="I110" s="62"/>
    </row>
    <row r="111" spans="1:9" x14ac:dyDescent="0.25">
      <c r="A111" s="66"/>
      <c r="B111" s="62"/>
      <c r="C111" s="62"/>
      <c r="D111" s="62"/>
      <c r="E111" s="62"/>
      <c r="F111" s="62"/>
      <c r="G111" s="62"/>
      <c r="H111" s="67"/>
      <c r="I111" s="62"/>
    </row>
    <row r="112" spans="1:9" x14ac:dyDescent="0.25">
      <c r="A112" s="66"/>
      <c r="B112" s="62"/>
      <c r="C112" s="62"/>
      <c r="D112" s="62"/>
      <c r="E112" s="62"/>
      <c r="F112" s="62"/>
      <c r="G112" s="62"/>
      <c r="H112" s="67"/>
      <c r="I112" s="62"/>
    </row>
    <row r="113" spans="1:9" x14ac:dyDescent="0.25">
      <c r="A113" s="66"/>
      <c r="B113" s="62"/>
      <c r="C113" s="62"/>
      <c r="D113" s="62"/>
      <c r="E113" s="62"/>
      <c r="F113" s="62"/>
      <c r="G113" s="62"/>
      <c r="H113" s="67"/>
      <c r="I113" s="62"/>
    </row>
    <row r="114" spans="1:9" x14ac:dyDescent="0.25">
      <c r="A114" s="66"/>
      <c r="B114" s="62"/>
      <c r="C114" s="62"/>
      <c r="D114" s="62"/>
      <c r="E114" s="62"/>
      <c r="F114" s="62"/>
      <c r="G114" s="62"/>
      <c r="H114" s="67"/>
      <c r="I114" s="62"/>
    </row>
    <row r="115" spans="1:9" x14ac:dyDescent="0.25">
      <c r="A115" s="66"/>
      <c r="B115" s="62"/>
      <c r="C115" s="62"/>
      <c r="D115" s="62"/>
      <c r="E115" s="62"/>
      <c r="F115" s="62"/>
      <c r="G115" s="62"/>
      <c r="H115" s="67"/>
      <c r="I115" s="62"/>
    </row>
    <row r="116" spans="1:9" x14ac:dyDescent="0.25">
      <c r="A116" s="66"/>
      <c r="B116" s="62"/>
      <c r="C116" s="62"/>
      <c r="D116" s="62"/>
      <c r="E116" s="62"/>
      <c r="F116" s="62"/>
      <c r="G116" s="62"/>
      <c r="H116" s="67"/>
      <c r="I116" s="62"/>
    </row>
    <row r="117" spans="1:9" x14ac:dyDescent="0.25">
      <c r="A117" s="66"/>
      <c r="B117" s="62"/>
      <c r="C117" s="62"/>
      <c r="D117" s="62"/>
      <c r="E117" s="62"/>
      <c r="F117" s="62"/>
      <c r="G117" s="62"/>
      <c r="H117" s="67"/>
      <c r="I117" s="62"/>
    </row>
    <row r="118" spans="1:9" x14ac:dyDescent="0.25">
      <c r="A118" s="66"/>
      <c r="B118" s="62"/>
      <c r="C118" s="62"/>
      <c r="D118" s="62"/>
      <c r="E118" s="62"/>
      <c r="F118" s="62"/>
      <c r="G118" s="62"/>
      <c r="H118" s="67"/>
      <c r="I118" s="62"/>
    </row>
    <row r="119" spans="1:9" x14ac:dyDescent="0.25">
      <c r="A119" s="66"/>
      <c r="B119" s="62"/>
      <c r="C119" s="62"/>
      <c r="D119" s="62"/>
      <c r="E119" s="62"/>
      <c r="F119" s="62"/>
      <c r="G119" s="62"/>
      <c r="H119" s="67"/>
      <c r="I119" s="62"/>
    </row>
    <row r="120" spans="1:9" x14ac:dyDescent="0.25">
      <c r="A120" s="66"/>
      <c r="B120" s="62"/>
      <c r="C120" s="62"/>
      <c r="D120" s="62"/>
      <c r="E120" s="62"/>
      <c r="F120" s="62"/>
      <c r="G120" s="62"/>
      <c r="H120" s="67"/>
      <c r="I120" s="62"/>
    </row>
    <row r="121" spans="1:9" x14ac:dyDescent="0.25">
      <c r="A121" s="66"/>
      <c r="B121" s="62"/>
      <c r="C121" s="62"/>
      <c r="D121" s="62"/>
      <c r="E121" s="62"/>
      <c r="F121" s="62"/>
      <c r="G121" s="62"/>
      <c r="H121" s="67"/>
      <c r="I121" s="62"/>
    </row>
    <row r="122" spans="1:9" x14ac:dyDescent="0.25">
      <c r="A122" s="66"/>
      <c r="B122" s="62"/>
      <c r="C122" s="62"/>
      <c r="D122" s="62"/>
      <c r="E122" s="62"/>
      <c r="F122" s="62"/>
      <c r="G122" s="62"/>
      <c r="H122" s="67"/>
      <c r="I122" s="62"/>
    </row>
    <row r="123" spans="1:9" x14ac:dyDescent="0.25">
      <c r="A123" s="66"/>
      <c r="B123" s="62"/>
      <c r="C123" s="62"/>
      <c r="D123" s="62"/>
      <c r="E123" s="62"/>
      <c r="F123" s="62"/>
      <c r="G123" s="62"/>
      <c r="H123" s="67"/>
      <c r="I123" s="62"/>
    </row>
    <row r="124" spans="1:9" x14ac:dyDescent="0.25">
      <c r="A124" s="66"/>
      <c r="B124" s="62"/>
      <c r="C124" s="62"/>
      <c r="D124" s="62"/>
      <c r="E124" s="62"/>
      <c r="F124" s="62"/>
      <c r="G124" s="62"/>
      <c r="H124" s="67"/>
      <c r="I124" s="62"/>
    </row>
    <row r="125" spans="1:9" x14ac:dyDescent="0.25">
      <c r="A125" s="66"/>
      <c r="B125" s="62"/>
      <c r="C125" s="62"/>
      <c r="D125" s="62"/>
      <c r="E125" s="62"/>
      <c r="F125" s="62"/>
      <c r="G125" s="62"/>
      <c r="H125" s="67"/>
      <c r="I125" s="62"/>
    </row>
    <row r="126" spans="1:9" x14ac:dyDescent="0.25">
      <c r="A126" s="66"/>
      <c r="B126" s="62"/>
      <c r="C126" s="62"/>
      <c r="D126" s="62"/>
      <c r="E126" s="62"/>
      <c r="F126" s="62"/>
      <c r="G126" s="62"/>
      <c r="H126" s="67"/>
      <c r="I126" s="62"/>
    </row>
    <row r="127" spans="1:9" x14ac:dyDescent="0.25">
      <c r="A127" s="66"/>
      <c r="B127" s="62"/>
      <c r="C127" s="62"/>
      <c r="D127" s="62"/>
      <c r="E127" s="62"/>
      <c r="F127" s="62"/>
      <c r="G127" s="62"/>
      <c r="H127" s="67"/>
      <c r="I127" s="62"/>
    </row>
    <row r="128" spans="1:9" x14ac:dyDescent="0.25">
      <c r="A128" s="66"/>
      <c r="B128" s="62"/>
      <c r="C128" s="62"/>
      <c r="D128" s="62"/>
      <c r="E128" s="62"/>
      <c r="F128" s="62"/>
      <c r="G128" s="62"/>
      <c r="H128" s="67"/>
      <c r="I128" s="62"/>
    </row>
    <row r="129" spans="1:9" x14ac:dyDescent="0.25">
      <c r="A129" s="66"/>
      <c r="B129" s="62"/>
      <c r="C129" s="62"/>
      <c r="D129" s="62"/>
      <c r="E129" s="62"/>
      <c r="F129" s="62"/>
      <c r="G129" s="62"/>
      <c r="H129" s="67"/>
      <c r="I129" s="62"/>
    </row>
    <row r="130" spans="1:9" x14ac:dyDescent="0.25">
      <c r="A130" s="66"/>
      <c r="B130" s="62"/>
      <c r="C130" s="62"/>
      <c r="D130" s="62"/>
      <c r="E130" s="62"/>
      <c r="F130" s="62"/>
      <c r="G130" s="62"/>
      <c r="H130" s="67"/>
      <c r="I130" s="62"/>
    </row>
    <row r="131" spans="1:9" x14ac:dyDescent="0.25">
      <c r="A131" s="66"/>
      <c r="B131" s="62"/>
      <c r="C131" s="62"/>
      <c r="D131" s="62"/>
      <c r="E131" s="62"/>
      <c r="F131" s="62"/>
      <c r="G131" s="62"/>
      <c r="H131" s="67"/>
      <c r="I131" s="62"/>
    </row>
    <row r="132" spans="1:9" x14ac:dyDescent="0.25">
      <c r="A132" s="66"/>
      <c r="B132" s="62"/>
      <c r="C132" s="62"/>
      <c r="D132" s="62"/>
      <c r="E132" s="62"/>
      <c r="F132" s="62"/>
      <c r="G132" s="62"/>
      <c r="H132" s="67"/>
      <c r="I132" s="62"/>
    </row>
    <row r="133" spans="1:9" x14ac:dyDescent="0.25">
      <c r="A133" s="66"/>
      <c r="B133" s="62"/>
      <c r="C133" s="62"/>
      <c r="D133" s="62"/>
      <c r="E133" s="62"/>
      <c r="F133" s="62"/>
      <c r="G133" s="62"/>
      <c r="H133" s="67"/>
      <c r="I133" s="62"/>
    </row>
    <row r="134" spans="1:9" x14ac:dyDescent="0.25">
      <c r="A134" s="66"/>
      <c r="B134" s="62"/>
      <c r="C134" s="62"/>
      <c r="D134" s="62"/>
      <c r="E134" s="62"/>
      <c r="F134" s="62"/>
      <c r="G134" s="62"/>
      <c r="H134" s="67"/>
      <c r="I134" s="62"/>
    </row>
    <row r="135" spans="1:9" x14ac:dyDescent="0.25">
      <c r="A135" s="66"/>
      <c r="B135" s="62"/>
      <c r="C135" s="62"/>
      <c r="D135" s="62"/>
      <c r="E135" s="62"/>
      <c r="F135" s="62"/>
      <c r="G135" s="62"/>
      <c r="H135" s="67"/>
      <c r="I135" s="62"/>
    </row>
    <row r="136" spans="1:9" x14ac:dyDescent="0.25">
      <c r="A136" s="66"/>
      <c r="B136" s="62"/>
      <c r="C136" s="62"/>
      <c r="D136" s="62"/>
      <c r="E136" s="62"/>
      <c r="F136" s="62"/>
      <c r="G136" s="62"/>
      <c r="H136" s="67"/>
      <c r="I136" s="62"/>
    </row>
    <row r="137" spans="1:9" x14ac:dyDescent="0.25">
      <c r="A137" s="66"/>
      <c r="B137" s="62"/>
      <c r="C137" s="62"/>
      <c r="D137" s="62"/>
      <c r="E137" s="62"/>
      <c r="F137" s="62"/>
      <c r="G137" s="62"/>
      <c r="H137" s="67"/>
      <c r="I137" s="62"/>
    </row>
    <row r="138" spans="1:9" x14ac:dyDescent="0.25">
      <c r="A138" s="66"/>
      <c r="B138" s="62"/>
      <c r="C138" s="62"/>
      <c r="D138" s="62"/>
      <c r="E138" s="62"/>
      <c r="F138" s="62"/>
      <c r="G138" s="62"/>
      <c r="H138" s="67"/>
      <c r="I138" s="62"/>
    </row>
    <row r="139" spans="1:9" x14ac:dyDescent="0.25">
      <c r="A139" s="66"/>
      <c r="B139" s="62"/>
      <c r="C139" s="62"/>
      <c r="D139" s="62"/>
      <c r="E139" s="62"/>
      <c r="F139" s="62"/>
      <c r="G139" s="62"/>
      <c r="H139" s="67"/>
      <c r="I139" s="62"/>
    </row>
    <row r="140" spans="1:9" x14ac:dyDescent="0.25">
      <c r="A140" s="66"/>
      <c r="B140" s="62"/>
      <c r="C140" s="62"/>
      <c r="D140" s="62"/>
      <c r="E140" s="62"/>
      <c r="F140" s="62"/>
      <c r="G140" s="62"/>
      <c r="H140" s="67"/>
      <c r="I140" s="62"/>
    </row>
    <row r="141" spans="1:9" x14ac:dyDescent="0.25">
      <c r="A141" s="66"/>
      <c r="B141" s="62"/>
      <c r="C141" s="62"/>
      <c r="D141" s="62"/>
      <c r="E141" s="62"/>
      <c r="F141" s="62"/>
      <c r="G141" s="62"/>
      <c r="H141" s="67"/>
      <c r="I141" s="62"/>
    </row>
    <row r="142" spans="1:9" x14ac:dyDescent="0.25">
      <c r="A142" s="66"/>
      <c r="B142" s="62"/>
      <c r="C142" s="62"/>
      <c r="D142" s="62"/>
      <c r="E142" s="62"/>
      <c r="F142" s="62"/>
      <c r="G142" s="62"/>
      <c r="H142" s="67"/>
      <c r="I142" s="62"/>
    </row>
    <row r="143" spans="1:9" x14ac:dyDescent="0.25">
      <c r="A143" s="66"/>
      <c r="B143" s="62"/>
      <c r="C143" s="62"/>
      <c r="D143" s="62"/>
      <c r="E143" s="62"/>
      <c r="F143" s="62"/>
      <c r="G143" s="62"/>
      <c r="H143" s="67"/>
      <c r="I143" s="62"/>
    </row>
    <row r="144" spans="1:9" x14ac:dyDescent="0.25">
      <c r="A144" s="66"/>
      <c r="B144" s="62"/>
      <c r="C144" s="62"/>
      <c r="D144" s="62"/>
      <c r="E144" s="62"/>
      <c r="F144" s="62"/>
      <c r="G144" s="62"/>
      <c r="H144" s="67"/>
      <c r="I144" s="62"/>
    </row>
    <row r="145" spans="1:9" x14ac:dyDescent="0.25">
      <c r="A145" s="66"/>
      <c r="B145" s="62"/>
      <c r="C145" s="62"/>
      <c r="D145" s="62"/>
      <c r="E145" s="62"/>
      <c r="F145" s="62"/>
      <c r="G145" s="62"/>
      <c r="H145" s="67"/>
      <c r="I145" s="62"/>
    </row>
    <row r="146" spans="1:9" x14ac:dyDescent="0.25">
      <c r="A146" s="66"/>
      <c r="B146" s="62"/>
      <c r="C146" s="62"/>
      <c r="D146" s="62"/>
      <c r="E146" s="62"/>
      <c r="F146" s="62"/>
      <c r="G146" s="62"/>
      <c r="H146" s="67"/>
      <c r="I146" s="62"/>
    </row>
    <row r="147" spans="1:9" x14ac:dyDescent="0.25">
      <c r="A147" s="66"/>
      <c r="B147" s="62"/>
      <c r="C147" s="62"/>
      <c r="D147" s="62"/>
      <c r="E147" s="62"/>
      <c r="F147" s="62"/>
      <c r="G147" s="62"/>
      <c r="H147" s="67"/>
      <c r="I147" s="62"/>
    </row>
    <row r="148" spans="1:9" x14ac:dyDescent="0.25">
      <c r="A148" s="66"/>
      <c r="B148" s="62"/>
      <c r="C148" s="62"/>
      <c r="D148" s="62"/>
      <c r="E148" s="62"/>
      <c r="F148" s="62"/>
      <c r="G148" s="62"/>
      <c r="H148" s="67"/>
      <c r="I148" s="62"/>
    </row>
    <row r="149" spans="1:9" x14ac:dyDescent="0.25">
      <c r="A149" s="66"/>
      <c r="B149" s="62"/>
      <c r="C149" s="62"/>
      <c r="D149" s="62"/>
      <c r="E149" s="62"/>
      <c r="F149" s="62"/>
      <c r="G149" s="62"/>
      <c r="H149" s="67"/>
      <c r="I149" s="62"/>
    </row>
    <row r="150" spans="1:9" x14ac:dyDescent="0.25">
      <c r="A150" s="66"/>
      <c r="B150" s="62"/>
      <c r="C150" s="62"/>
      <c r="D150" s="62"/>
      <c r="E150" s="62"/>
      <c r="F150" s="62"/>
      <c r="G150" s="62"/>
      <c r="H150" s="67"/>
      <c r="I150" s="62"/>
    </row>
    <row r="151" spans="1:9" x14ac:dyDescent="0.25">
      <c r="A151" s="66"/>
      <c r="B151" s="62"/>
      <c r="C151" s="62"/>
      <c r="D151" s="62"/>
      <c r="E151" s="62"/>
      <c r="F151" s="62"/>
      <c r="G151" s="62"/>
      <c r="H151" s="67"/>
      <c r="I151" s="62"/>
    </row>
    <row r="152" spans="1:9" x14ac:dyDescent="0.25">
      <c r="A152" s="66"/>
      <c r="B152" s="62"/>
      <c r="C152" s="62"/>
      <c r="D152" s="62"/>
      <c r="E152" s="62"/>
      <c r="F152" s="62"/>
      <c r="G152" s="62"/>
      <c r="H152" s="67"/>
      <c r="I152" s="62"/>
    </row>
    <row r="153" spans="1:9" x14ac:dyDescent="0.25">
      <c r="A153" s="66"/>
      <c r="B153" s="62"/>
      <c r="C153" s="62"/>
      <c r="D153" s="62"/>
      <c r="E153" s="62"/>
      <c r="F153" s="62"/>
      <c r="G153" s="62"/>
      <c r="H153" s="67"/>
      <c r="I153" s="62"/>
    </row>
    <row r="154" spans="1:9" x14ac:dyDescent="0.25">
      <c r="A154" s="66"/>
      <c r="B154" s="62"/>
      <c r="C154" s="62"/>
      <c r="D154" s="62"/>
      <c r="E154" s="62"/>
      <c r="F154" s="62"/>
      <c r="G154" s="62"/>
      <c r="H154" s="67"/>
      <c r="I154" s="62"/>
    </row>
    <row r="155" spans="1:9" x14ac:dyDescent="0.25">
      <c r="A155" s="66"/>
      <c r="B155" s="62"/>
      <c r="C155" s="62"/>
      <c r="D155" s="62"/>
      <c r="E155" s="62"/>
      <c r="F155" s="62"/>
      <c r="G155" s="62"/>
      <c r="H155" s="67"/>
      <c r="I155" s="62"/>
    </row>
    <row r="156" spans="1:9" x14ac:dyDescent="0.25">
      <c r="A156" s="66"/>
      <c r="B156" s="62"/>
      <c r="C156" s="62"/>
      <c r="D156" s="62"/>
      <c r="E156" s="62"/>
      <c r="F156" s="62"/>
      <c r="G156" s="62"/>
      <c r="H156" s="67"/>
      <c r="I156" s="62"/>
    </row>
    <row r="157" spans="1:9" x14ac:dyDescent="0.25">
      <c r="A157" s="66"/>
      <c r="B157" s="62"/>
      <c r="C157" s="62"/>
      <c r="D157" s="62"/>
      <c r="E157" s="62"/>
      <c r="F157" s="62"/>
      <c r="G157" s="62"/>
      <c r="H157" s="67"/>
      <c r="I157" s="62"/>
    </row>
    <row r="158" spans="1:9" x14ac:dyDescent="0.25">
      <c r="A158" s="66"/>
      <c r="B158" s="62"/>
      <c r="C158" s="62"/>
      <c r="D158" s="62"/>
      <c r="E158" s="62"/>
      <c r="F158" s="62"/>
      <c r="G158" s="62"/>
      <c r="H158" s="67"/>
      <c r="I158" s="62"/>
    </row>
    <row r="159" spans="1:9" x14ac:dyDescent="0.25">
      <c r="A159" s="66"/>
      <c r="B159" s="62"/>
      <c r="C159" s="62"/>
      <c r="D159" s="62"/>
      <c r="E159" s="62"/>
      <c r="F159" s="62"/>
      <c r="G159" s="62"/>
      <c r="H159" s="67"/>
      <c r="I159" s="62"/>
    </row>
    <row r="160" spans="1:9" x14ac:dyDescent="0.25">
      <c r="A160" s="66"/>
      <c r="B160" s="62"/>
      <c r="C160" s="62"/>
      <c r="D160" s="62"/>
      <c r="E160" s="62"/>
      <c r="F160" s="62"/>
      <c r="G160" s="62"/>
      <c r="H160" s="67"/>
      <c r="I160" s="62"/>
    </row>
    <row r="161" spans="1:9" x14ac:dyDescent="0.25">
      <c r="A161" s="66"/>
      <c r="B161" s="62"/>
      <c r="C161" s="62"/>
      <c r="D161" s="62"/>
      <c r="E161" s="62"/>
      <c r="F161" s="62"/>
      <c r="G161" s="62"/>
      <c r="H161" s="67"/>
      <c r="I161" s="62"/>
    </row>
    <row r="162" spans="1:9" x14ac:dyDescent="0.25">
      <c r="A162" s="66"/>
      <c r="B162" s="62"/>
      <c r="C162" s="62"/>
      <c r="D162" s="62"/>
      <c r="E162" s="62"/>
      <c r="F162" s="62"/>
      <c r="G162" s="62"/>
      <c r="H162" s="67"/>
      <c r="I162" s="62"/>
    </row>
    <row r="163" spans="1:9" x14ac:dyDescent="0.25">
      <c r="A163" s="66"/>
      <c r="B163" s="62"/>
      <c r="C163" s="62"/>
      <c r="D163" s="62"/>
      <c r="E163" s="62"/>
      <c r="F163" s="62"/>
      <c r="G163" s="62"/>
      <c r="H163" s="67"/>
      <c r="I163" s="62"/>
    </row>
    <row r="164" spans="1:9" x14ac:dyDescent="0.25">
      <c r="A164" s="66"/>
      <c r="B164" s="62"/>
      <c r="C164" s="62"/>
      <c r="D164" s="62"/>
      <c r="E164" s="62"/>
      <c r="F164" s="62"/>
      <c r="G164" s="62"/>
      <c r="H164" s="67"/>
      <c r="I164" s="62"/>
    </row>
    <row r="165" spans="1:9" x14ac:dyDescent="0.25">
      <c r="A165" s="66"/>
      <c r="B165" s="62"/>
      <c r="C165" s="62"/>
      <c r="D165" s="62"/>
      <c r="E165" s="62"/>
      <c r="F165" s="62"/>
      <c r="G165" s="62"/>
      <c r="H165" s="67"/>
      <c r="I165" s="62"/>
    </row>
    <row r="166" spans="1:9" x14ac:dyDescent="0.25">
      <c r="A166" s="66"/>
      <c r="B166" s="62"/>
      <c r="C166" s="62"/>
      <c r="D166" s="62"/>
      <c r="E166" s="62"/>
      <c r="F166" s="62"/>
      <c r="G166" s="62"/>
      <c r="H166" s="67"/>
      <c r="I166" s="62"/>
    </row>
    <row r="167" spans="1:9" x14ac:dyDescent="0.25">
      <c r="A167" s="66"/>
      <c r="B167" s="62"/>
      <c r="C167" s="62"/>
      <c r="D167" s="62"/>
      <c r="E167" s="62"/>
      <c r="F167" s="62"/>
      <c r="G167" s="62"/>
      <c r="H167" s="67"/>
      <c r="I167" s="62"/>
    </row>
    <row r="168" spans="1:9" x14ac:dyDescent="0.25">
      <c r="A168" s="66"/>
      <c r="B168" s="62"/>
      <c r="C168" s="62"/>
      <c r="D168" s="62"/>
      <c r="E168" s="62"/>
      <c r="F168" s="62"/>
      <c r="G168" s="62"/>
      <c r="H168" s="67"/>
      <c r="I168" s="62"/>
    </row>
    <row r="169" spans="1:9" x14ac:dyDescent="0.25">
      <c r="A169" s="66"/>
      <c r="B169" s="62"/>
      <c r="C169" s="62"/>
      <c r="D169" s="62"/>
      <c r="E169" s="62"/>
      <c r="F169" s="62"/>
      <c r="G169" s="62"/>
      <c r="H169" s="67"/>
      <c r="I169" s="62"/>
    </row>
    <row r="170" spans="1:9" x14ac:dyDescent="0.25">
      <c r="A170" s="66"/>
      <c r="B170" s="62"/>
      <c r="C170" s="62"/>
      <c r="D170" s="62"/>
      <c r="E170" s="62"/>
      <c r="F170" s="62"/>
      <c r="G170" s="62"/>
      <c r="H170" s="67"/>
      <c r="I170" s="62"/>
    </row>
    <row r="171" spans="1:9" x14ac:dyDescent="0.25">
      <c r="A171" s="66"/>
      <c r="B171" s="62"/>
      <c r="C171" s="62"/>
      <c r="D171" s="62"/>
      <c r="E171" s="62"/>
      <c r="F171" s="62"/>
      <c r="G171" s="62"/>
      <c r="H171" s="67"/>
      <c r="I171" s="62"/>
    </row>
    <row r="172" spans="1:9" x14ac:dyDescent="0.25">
      <c r="A172" s="66"/>
      <c r="B172" s="62"/>
      <c r="C172" s="62"/>
      <c r="D172" s="62"/>
      <c r="E172" s="62"/>
      <c r="F172" s="62"/>
      <c r="G172" s="62"/>
      <c r="H172" s="67"/>
      <c r="I172" s="62"/>
    </row>
    <row r="173" spans="1:9" x14ac:dyDescent="0.25">
      <c r="A173" s="66"/>
      <c r="B173" s="62"/>
      <c r="C173" s="62"/>
      <c r="D173" s="62"/>
      <c r="E173" s="62"/>
      <c r="F173" s="62"/>
      <c r="G173" s="62"/>
      <c r="H173" s="67"/>
      <c r="I173" s="62"/>
    </row>
    <row r="174" spans="1:9" x14ac:dyDescent="0.25">
      <c r="A174" s="66"/>
      <c r="B174" s="62"/>
      <c r="C174" s="62"/>
      <c r="D174" s="62"/>
      <c r="E174" s="62"/>
      <c r="F174" s="62"/>
      <c r="G174" s="62"/>
      <c r="H174" s="67"/>
      <c r="I174" s="62"/>
    </row>
    <row r="175" spans="1:9" x14ac:dyDescent="0.25">
      <c r="A175" s="66"/>
      <c r="B175" s="62"/>
      <c r="C175" s="62"/>
      <c r="D175" s="62"/>
      <c r="E175" s="62"/>
      <c r="F175" s="62"/>
      <c r="G175" s="62"/>
      <c r="H175" s="67"/>
      <c r="I175" s="62"/>
    </row>
    <row r="176" spans="1:9" x14ac:dyDescent="0.25">
      <c r="A176" s="66"/>
      <c r="B176" s="62"/>
      <c r="C176" s="62"/>
      <c r="D176" s="62"/>
      <c r="E176" s="62"/>
      <c r="F176" s="62"/>
      <c r="G176" s="62"/>
      <c r="H176" s="67"/>
      <c r="I176" s="62"/>
    </row>
    <row r="177" spans="1:9" x14ac:dyDescent="0.25">
      <c r="A177" s="66"/>
      <c r="B177" s="62"/>
      <c r="C177" s="62"/>
      <c r="D177" s="62"/>
      <c r="E177" s="62"/>
      <c r="F177" s="62"/>
      <c r="G177" s="62"/>
      <c r="H177" s="67"/>
      <c r="I177" s="62"/>
    </row>
    <row r="178" spans="1:9" x14ac:dyDescent="0.25">
      <c r="A178" s="66"/>
      <c r="B178" s="62"/>
      <c r="C178" s="62"/>
      <c r="D178" s="62"/>
      <c r="E178" s="62"/>
      <c r="F178" s="62"/>
      <c r="G178" s="62"/>
      <c r="H178" s="67"/>
      <c r="I178" s="62"/>
    </row>
    <row r="179" spans="1:9" x14ac:dyDescent="0.25">
      <c r="A179" s="66"/>
      <c r="B179" s="62"/>
      <c r="C179" s="62"/>
      <c r="D179" s="62"/>
      <c r="E179" s="62"/>
      <c r="F179" s="62"/>
      <c r="G179" s="62"/>
      <c r="H179" s="67"/>
      <c r="I179" s="62"/>
    </row>
    <row r="180" spans="1:9" x14ac:dyDescent="0.25">
      <c r="A180" s="66"/>
      <c r="B180" s="62"/>
      <c r="C180" s="62"/>
      <c r="D180" s="62"/>
      <c r="E180" s="62"/>
      <c r="F180" s="62"/>
      <c r="G180" s="62"/>
      <c r="H180" s="67"/>
      <c r="I180" s="62"/>
    </row>
    <row r="181" spans="1:9" x14ac:dyDescent="0.25">
      <c r="A181" s="66"/>
      <c r="B181" s="62"/>
      <c r="C181" s="62"/>
      <c r="D181" s="62"/>
      <c r="E181" s="62"/>
      <c r="F181" s="62"/>
      <c r="G181" s="62"/>
      <c r="H181" s="67"/>
      <c r="I181" s="62"/>
    </row>
    <row r="182" spans="1:9" x14ac:dyDescent="0.25">
      <c r="A182" s="66"/>
      <c r="B182" s="62"/>
      <c r="C182" s="62"/>
      <c r="D182" s="62"/>
      <c r="E182" s="62"/>
      <c r="F182" s="62"/>
      <c r="G182" s="62"/>
      <c r="H182" s="67"/>
      <c r="I182" s="62"/>
    </row>
    <row r="183" spans="1:9" x14ac:dyDescent="0.25">
      <c r="A183" s="66"/>
      <c r="B183" s="62"/>
      <c r="C183" s="62"/>
      <c r="D183" s="62"/>
      <c r="E183" s="62"/>
      <c r="F183" s="62"/>
      <c r="G183" s="62"/>
      <c r="H183" s="67"/>
      <c r="I183" s="62"/>
    </row>
    <row r="184" spans="1:9" x14ac:dyDescent="0.25">
      <c r="A184" s="66"/>
      <c r="B184" s="62"/>
      <c r="C184" s="62"/>
      <c r="D184" s="62"/>
      <c r="E184" s="62"/>
      <c r="F184" s="62"/>
      <c r="G184" s="62"/>
      <c r="H184" s="67"/>
      <c r="I184" s="62"/>
    </row>
    <row r="185" spans="1:9" x14ac:dyDescent="0.25">
      <c r="A185" s="66"/>
      <c r="B185" s="62"/>
      <c r="C185" s="62"/>
      <c r="D185" s="62"/>
      <c r="E185" s="62"/>
      <c r="F185" s="62"/>
      <c r="G185" s="62"/>
      <c r="H185" s="67"/>
      <c r="I185" s="62"/>
    </row>
    <row r="186" spans="1:9" x14ac:dyDescent="0.25">
      <c r="A186" s="66"/>
      <c r="B186" s="62"/>
      <c r="C186" s="62"/>
      <c r="D186" s="62"/>
      <c r="E186" s="62"/>
      <c r="F186" s="62"/>
      <c r="G186" s="62"/>
      <c r="H186" s="67"/>
      <c r="I186" s="62"/>
    </row>
    <row r="187" spans="1:9" x14ac:dyDescent="0.25">
      <c r="A187" s="66"/>
      <c r="B187" s="62"/>
      <c r="C187" s="62"/>
      <c r="D187" s="62"/>
      <c r="E187" s="62"/>
      <c r="F187" s="62"/>
      <c r="G187" s="62"/>
      <c r="H187" s="67"/>
      <c r="I187" s="62"/>
    </row>
    <row r="188" spans="1:9" x14ac:dyDescent="0.25">
      <c r="A188" s="66"/>
      <c r="B188" s="62"/>
      <c r="C188" s="62"/>
      <c r="D188" s="62"/>
      <c r="E188" s="62"/>
      <c r="F188" s="62"/>
      <c r="G188" s="62"/>
      <c r="H188" s="67"/>
      <c r="I188" s="62"/>
    </row>
    <row r="189" spans="1:9" x14ac:dyDescent="0.25">
      <c r="A189" s="66"/>
      <c r="B189" s="62"/>
      <c r="C189" s="62"/>
      <c r="D189" s="62"/>
      <c r="E189" s="62"/>
      <c r="F189" s="62"/>
      <c r="G189" s="62"/>
      <c r="H189" s="67"/>
      <c r="I189" s="62"/>
    </row>
    <row r="190" spans="1:9" x14ac:dyDescent="0.25">
      <c r="A190" s="66"/>
      <c r="B190" s="62"/>
      <c r="C190" s="62"/>
      <c r="D190" s="62"/>
      <c r="E190" s="62"/>
      <c r="F190" s="62"/>
      <c r="G190" s="62"/>
      <c r="H190" s="67"/>
      <c r="I190" s="62"/>
    </row>
    <row r="191" spans="1:9" x14ac:dyDescent="0.25">
      <c r="A191" s="66"/>
      <c r="B191" s="62"/>
      <c r="C191" s="62"/>
      <c r="D191" s="62"/>
      <c r="E191" s="62"/>
      <c r="F191" s="62"/>
      <c r="G191" s="62"/>
      <c r="H191" s="67"/>
      <c r="I191" s="62"/>
    </row>
    <row r="192" spans="1:9" x14ac:dyDescent="0.25">
      <c r="A192" s="66"/>
      <c r="B192" s="62"/>
      <c r="C192" s="62"/>
      <c r="D192" s="62"/>
      <c r="E192" s="62"/>
      <c r="F192" s="62"/>
      <c r="G192" s="62"/>
      <c r="H192" s="67"/>
      <c r="I192" s="62"/>
    </row>
    <row r="193" spans="1:9" x14ac:dyDescent="0.25">
      <c r="A193" s="66"/>
      <c r="B193" s="62"/>
      <c r="C193" s="62"/>
      <c r="D193" s="62"/>
      <c r="E193" s="62"/>
      <c r="F193" s="62"/>
      <c r="G193" s="62"/>
      <c r="H193" s="67"/>
      <c r="I193" s="62"/>
    </row>
    <row r="194" spans="1:9" x14ac:dyDescent="0.25">
      <c r="A194" s="66"/>
      <c r="B194" s="62"/>
      <c r="C194" s="62"/>
      <c r="D194" s="62"/>
      <c r="E194" s="62"/>
      <c r="F194" s="62"/>
      <c r="G194" s="62"/>
      <c r="H194" s="67"/>
      <c r="I194" s="62"/>
    </row>
    <row r="195" spans="1:9" x14ac:dyDescent="0.25">
      <c r="A195" s="66"/>
      <c r="B195" s="62"/>
      <c r="C195" s="62"/>
      <c r="D195" s="62"/>
      <c r="E195" s="62"/>
      <c r="F195" s="62"/>
      <c r="G195" s="62"/>
      <c r="H195" s="67"/>
      <c r="I195" s="62"/>
    </row>
    <row r="196" spans="1:9" x14ac:dyDescent="0.25">
      <c r="A196" s="66"/>
      <c r="B196" s="62"/>
      <c r="C196" s="62"/>
      <c r="D196" s="62"/>
      <c r="E196" s="62"/>
      <c r="F196" s="62"/>
      <c r="G196" s="62"/>
      <c r="H196" s="67"/>
      <c r="I196" s="62"/>
    </row>
    <row r="197" spans="1:9" x14ac:dyDescent="0.25">
      <c r="A197" s="66"/>
      <c r="B197" s="62"/>
      <c r="C197" s="62"/>
      <c r="D197" s="62"/>
      <c r="E197" s="62"/>
      <c r="F197" s="62"/>
      <c r="G197" s="62"/>
      <c r="H197" s="67"/>
      <c r="I197" s="62"/>
    </row>
    <row r="198" spans="1:9" x14ac:dyDescent="0.25">
      <c r="A198" s="66"/>
      <c r="B198" s="62"/>
      <c r="C198" s="62"/>
      <c r="D198" s="62"/>
      <c r="E198" s="62"/>
      <c r="F198" s="62"/>
      <c r="G198" s="62"/>
      <c r="H198" s="67"/>
      <c r="I198" s="62"/>
    </row>
    <row r="199" spans="1:9" x14ac:dyDescent="0.25">
      <c r="A199" s="66"/>
      <c r="B199" s="62"/>
      <c r="C199" s="62"/>
      <c r="D199" s="62"/>
      <c r="E199" s="62"/>
      <c r="F199" s="62"/>
      <c r="G199" s="62"/>
      <c r="H199" s="67"/>
      <c r="I199" s="62"/>
    </row>
    <row r="200" spans="1:9" x14ac:dyDescent="0.25">
      <c r="A200" s="66"/>
      <c r="B200" s="62"/>
      <c r="C200" s="62"/>
      <c r="D200" s="62"/>
      <c r="E200" s="62"/>
      <c r="F200" s="62"/>
      <c r="G200" s="62"/>
      <c r="H200" s="67"/>
      <c r="I200" s="62"/>
    </row>
    <row r="201" spans="1:9" x14ac:dyDescent="0.25">
      <c r="A201" s="66"/>
      <c r="B201" s="62"/>
      <c r="C201" s="62"/>
      <c r="D201" s="62"/>
      <c r="E201" s="62"/>
      <c r="F201" s="62"/>
      <c r="G201" s="62"/>
      <c r="H201" s="67"/>
      <c r="I201" s="62"/>
    </row>
    <row r="202" spans="1:9" x14ac:dyDescent="0.25">
      <c r="A202" s="66"/>
      <c r="B202" s="62"/>
      <c r="C202" s="62"/>
      <c r="D202" s="62"/>
      <c r="E202" s="62"/>
      <c r="F202" s="62"/>
      <c r="G202" s="62"/>
      <c r="H202" s="67"/>
      <c r="I202" s="62"/>
    </row>
    <row r="203" spans="1:9" x14ac:dyDescent="0.25">
      <c r="A203" s="66"/>
      <c r="B203" s="62"/>
      <c r="C203" s="62"/>
      <c r="D203" s="62"/>
      <c r="E203" s="62"/>
      <c r="F203" s="62"/>
      <c r="G203" s="62"/>
      <c r="H203" s="67"/>
      <c r="I203" s="62"/>
    </row>
    <row r="204" spans="1:9" x14ac:dyDescent="0.25">
      <c r="A204" s="66"/>
      <c r="B204" s="62"/>
      <c r="C204" s="62"/>
      <c r="D204" s="62"/>
      <c r="E204" s="62"/>
      <c r="F204" s="62"/>
      <c r="G204" s="62"/>
      <c r="H204" s="67"/>
      <c r="I204" s="62"/>
    </row>
    <row r="205" spans="1:9" x14ac:dyDescent="0.25">
      <c r="A205" s="66"/>
      <c r="B205" s="62"/>
      <c r="C205" s="62"/>
      <c r="D205" s="62"/>
      <c r="E205" s="62"/>
      <c r="F205" s="62"/>
      <c r="G205" s="62"/>
      <c r="H205" s="67"/>
      <c r="I205" s="62"/>
    </row>
    <row r="206" spans="1:9" x14ac:dyDescent="0.25">
      <c r="A206" s="66"/>
      <c r="B206" s="62"/>
      <c r="C206" s="62"/>
      <c r="D206" s="62"/>
      <c r="E206" s="62"/>
      <c r="F206" s="62"/>
      <c r="G206" s="62"/>
      <c r="H206" s="67"/>
      <c r="I206" s="62"/>
    </row>
    <row r="207" spans="1:9" x14ac:dyDescent="0.25">
      <c r="A207" s="66"/>
      <c r="B207" s="62"/>
      <c r="C207" s="62"/>
      <c r="D207" s="62"/>
      <c r="E207" s="62"/>
      <c r="F207" s="62"/>
      <c r="G207" s="62"/>
      <c r="H207" s="67"/>
      <c r="I207" s="62"/>
    </row>
    <row r="208" spans="1:9" x14ac:dyDescent="0.25">
      <c r="A208" s="66"/>
      <c r="B208" s="62"/>
      <c r="C208" s="62"/>
      <c r="D208" s="62"/>
      <c r="E208" s="62"/>
      <c r="F208" s="62"/>
      <c r="G208" s="62"/>
      <c r="H208" s="67"/>
      <c r="I208" s="62"/>
    </row>
    <row r="209" spans="1:9" x14ac:dyDescent="0.25">
      <c r="A209" s="66"/>
      <c r="B209" s="62"/>
      <c r="C209" s="62"/>
      <c r="D209" s="62"/>
      <c r="E209" s="62"/>
      <c r="F209" s="62"/>
      <c r="G209" s="62"/>
      <c r="H209" s="67"/>
      <c r="I209" s="62"/>
    </row>
    <row r="210" spans="1:9" x14ac:dyDescent="0.25">
      <c r="A210" s="66"/>
      <c r="B210" s="62"/>
      <c r="C210" s="62"/>
      <c r="D210" s="62"/>
      <c r="E210" s="62"/>
      <c r="F210" s="62"/>
      <c r="G210" s="62"/>
      <c r="H210" s="67"/>
      <c r="I210" s="62"/>
    </row>
    <row r="211" spans="1:9" x14ac:dyDescent="0.25">
      <c r="A211" s="66"/>
      <c r="B211" s="62"/>
      <c r="C211" s="62"/>
      <c r="D211" s="62"/>
      <c r="E211" s="62"/>
      <c r="F211" s="62"/>
      <c r="G211" s="62"/>
      <c r="H211" s="67"/>
      <c r="I211" s="62"/>
    </row>
    <row r="212" spans="1:9" x14ac:dyDescent="0.25">
      <c r="A212" s="66"/>
      <c r="B212" s="62"/>
      <c r="C212" s="62"/>
      <c r="D212" s="62"/>
      <c r="E212" s="62"/>
      <c r="F212" s="62"/>
      <c r="G212" s="62"/>
      <c r="H212" s="67"/>
      <c r="I212" s="62"/>
    </row>
    <row r="213" spans="1:9" x14ac:dyDescent="0.25">
      <c r="A213" s="66"/>
      <c r="B213" s="62"/>
      <c r="C213" s="62"/>
      <c r="D213" s="62"/>
      <c r="E213" s="62"/>
      <c r="F213" s="62"/>
      <c r="G213" s="62"/>
      <c r="H213" s="67"/>
      <c r="I213" s="62"/>
    </row>
    <row r="214" spans="1:9" x14ac:dyDescent="0.25">
      <c r="A214" s="66"/>
      <c r="B214" s="62"/>
      <c r="C214" s="62"/>
      <c r="D214" s="62"/>
      <c r="E214" s="62"/>
      <c r="F214" s="62"/>
      <c r="G214" s="62"/>
      <c r="H214" s="67"/>
      <c r="I214" s="62"/>
    </row>
    <row r="215" spans="1:9" x14ac:dyDescent="0.25">
      <c r="A215" s="66"/>
      <c r="B215" s="62"/>
      <c r="C215" s="62"/>
      <c r="D215" s="62"/>
      <c r="E215" s="62"/>
      <c r="F215" s="62"/>
      <c r="G215" s="62"/>
      <c r="H215" s="67"/>
      <c r="I215" s="62"/>
    </row>
    <row r="216" spans="1:9" x14ac:dyDescent="0.25">
      <c r="A216" s="66"/>
      <c r="B216" s="62"/>
      <c r="C216" s="62"/>
      <c r="D216" s="62"/>
      <c r="E216" s="62"/>
      <c r="F216" s="62"/>
      <c r="G216" s="62"/>
      <c r="H216" s="67"/>
      <c r="I216" s="62"/>
    </row>
    <row r="217" spans="1:9" x14ac:dyDescent="0.25">
      <c r="A217" s="66"/>
      <c r="B217" s="62"/>
      <c r="C217" s="62"/>
      <c r="D217" s="62"/>
      <c r="E217" s="62"/>
      <c r="F217" s="62"/>
      <c r="G217" s="62"/>
      <c r="H217" s="67"/>
      <c r="I217" s="62"/>
    </row>
    <row r="218" spans="1:9" x14ac:dyDescent="0.25">
      <c r="A218" s="66"/>
      <c r="B218" s="62"/>
      <c r="C218" s="62"/>
      <c r="D218" s="62"/>
      <c r="E218" s="62"/>
      <c r="F218" s="62"/>
      <c r="G218" s="62"/>
      <c r="H218" s="67"/>
      <c r="I218" s="62"/>
    </row>
    <row r="219" spans="1:9" x14ac:dyDescent="0.25">
      <c r="A219" s="66"/>
      <c r="B219" s="62"/>
      <c r="C219" s="62"/>
      <c r="D219" s="62"/>
      <c r="E219" s="62"/>
      <c r="F219" s="62"/>
      <c r="G219" s="62"/>
      <c r="H219" s="67"/>
      <c r="I219" s="62"/>
    </row>
    <row r="220" spans="1:9" x14ac:dyDescent="0.25">
      <c r="A220" s="66"/>
      <c r="B220" s="62"/>
      <c r="C220" s="62"/>
      <c r="D220" s="62"/>
      <c r="E220" s="62"/>
      <c r="F220" s="62"/>
      <c r="G220" s="62"/>
      <c r="H220" s="67"/>
      <c r="I220" s="62"/>
    </row>
    <row r="221" spans="1:9" x14ac:dyDescent="0.25">
      <c r="A221" s="66"/>
      <c r="B221" s="62"/>
      <c r="C221" s="62"/>
      <c r="D221" s="62"/>
      <c r="E221" s="62"/>
      <c r="F221" s="62"/>
      <c r="G221" s="62"/>
      <c r="H221" s="67"/>
      <c r="I221" s="62"/>
    </row>
    <row r="222" spans="1:9" x14ac:dyDescent="0.25">
      <c r="A222" s="66"/>
      <c r="B222" s="62"/>
      <c r="C222" s="62"/>
      <c r="D222" s="62"/>
      <c r="E222" s="62"/>
      <c r="F222" s="62"/>
      <c r="G222" s="62"/>
      <c r="H222" s="67"/>
      <c r="I222" s="62"/>
    </row>
    <row r="223" spans="1:9" x14ac:dyDescent="0.25">
      <c r="A223" s="66"/>
      <c r="B223" s="62"/>
      <c r="C223" s="62"/>
      <c r="D223" s="62"/>
      <c r="E223" s="62"/>
      <c r="F223" s="62"/>
      <c r="G223" s="62"/>
      <c r="H223" s="67"/>
      <c r="I223" s="62"/>
    </row>
    <row r="224" spans="1:9" x14ac:dyDescent="0.25">
      <c r="A224" s="66"/>
      <c r="B224" s="62"/>
      <c r="C224" s="62"/>
      <c r="D224" s="62"/>
      <c r="E224" s="62"/>
      <c r="F224" s="62"/>
      <c r="G224" s="62"/>
      <c r="H224" s="67"/>
      <c r="I224" s="62"/>
    </row>
    <row r="225" spans="1:9" x14ac:dyDescent="0.25">
      <c r="A225" s="66"/>
      <c r="B225" s="62"/>
      <c r="C225" s="62"/>
      <c r="D225" s="62"/>
      <c r="E225" s="62"/>
      <c r="F225" s="62"/>
      <c r="G225" s="62"/>
      <c r="H225" s="67"/>
      <c r="I225" s="62"/>
    </row>
    <row r="226" spans="1:9" x14ac:dyDescent="0.25">
      <c r="A226" s="66"/>
      <c r="B226" s="62"/>
      <c r="C226" s="62"/>
      <c r="D226" s="62"/>
      <c r="E226" s="62"/>
      <c r="F226" s="62"/>
      <c r="G226" s="62"/>
      <c r="H226" s="67"/>
      <c r="I226" s="62"/>
    </row>
    <row r="227" spans="1:9" x14ac:dyDescent="0.25">
      <c r="A227" s="66"/>
      <c r="B227" s="62"/>
      <c r="C227" s="62"/>
      <c r="D227" s="62"/>
      <c r="E227" s="62"/>
      <c r="F227" s="62"/>
      <c r="G227" s="62"/>
      <c r="H227" s="67"/>
      <c r="I227" s="62"/>
    </row>
    <row r="228" spans="1:9" x14ac:dyDescent="0.25">
      <c r="A228" s="66"/>
      <c r="B228" s="62"/>
      <c r="C228" s="62"/>
      <c r="D228" s="62"/>
      <c r="E228" s="62"/>
      <c r="F228" s="62"/>
      <c r="G228" s="62"/>
      <c r="H228" s="67"/>
      <c r="I228" s="62"/>
    </row>
    <row r="229" spans="1:9" x14ac:dyDescent="0.25">
      <c r="A229" s="66"/>
      <c r="B229" s="62"/>
      <c r="C229" s="62"/>
      <c r="D229" s="62"/>
      <c r="E229" s="62"/>
      <c r="F229" s="62"/>
      <c r="G229" s="62"/>
      <c r="H229" s="67"/>
      <c r="I229" s="62"/>
    </row>
    <row r="230" spans="1:9" x14ac:dyDescent="0.25">
      <c r="A230" s="66"/>
      <c r="B230" s="62"/>
      <c r="C230" s="62"/>
      <c r="D230" s="62"/>
      <c r="E230" s="62"/>
      <c r="F230" s="62"/>
      <c r="G230" s="62"/>
      <c r="H230" s="67"/>
      <c r="I230" s="62"/>
    </row>
    <row r="231" spans="1:9" x14ac:dyDescent="0.25">
      <c r="A231" s="66"/>
      <c r="B231" s="62"/>
      <c r="C231" s="62"/>
      <c r="D231" s="62"/>
      <c r="E231" s="62"/>
      <c r="F231" s="62"/>
      <c r="G231" s="62"/>
      <c r="H231" s="67"/>
      <c r="I231" s="62"/>
    </row>
    <row r="232" spans="1:9" x14ac:dyDescent="0.25">
      <c r="A232" s="66"/>
      <c r="B232" s="62"/>
      <c r="C232" s="62"/>
      <c r="D232" s="62"/>
      <c r="E232" s="62"/>
      <c r="F232" s="62"/>
      <c r="G232" s="62"/>
      <c r="H232" s="67"/>
      <c r="I232" s="62"/>
    </row>
    <row r="233" spans="1:9" x14ac:dyDescent="0.25">
      <c r="A233" s="66"/>
      <c r="B233" s="62"/>
      <c r="C233" s="62"/>
      <c r="D233" s="62"/>
      <c r="E233" s="62"/>
      <c r="F233" s="62"/>
      <c r="G233" s="62"/>
      <c r="H233" s="67"/>
      <c r="I233" s="62"/>
    </row>
    <row r="234" spans="1:9" x14ac:dyDescent="0.25">
      <c r="A234" s="66"/>
      <c r="B234" s="62"/>
      <c r="C234" s="62"/>
      <c r="D234" s="62"/>
      <c r="E234" s="62"/>
      <c r="F234" s="62"/>
      <c r="G234" s="62"/>
      <c r="H234" s="67"/>
      <c r="I234" s="62"/>
    </row>
    <row r="235" spans="1:9" x14ac:dyDescent="0.25">
      <c r="A235" s="66"/>
      <c r="B235" s="62"/>
      <c r="C235" s="62"/>
      <c r="D235" s="62"/>
      <c r="E235" s="62"/>
      <c r="F235" s="62"/>
      <c r="G235" s="62"/>
      <c r="H235" s="67"/>
      <c r="I235" s="62"/>
    </row>
    <row r="236" spans="1:9" x14ac:dyDescent="0.25">
      <c r="A236" s="66"/>
      <c r="B236" s="62"/>
      <c r="C236" s="62"/>
      <c r="D236" s="62"/>
      <c r="E236" s="62"/>
      <c r="F236" s="62"/>
      <c r="G236" s="62"/>
      <c r="H236" s="67"/>
      <c r="I236" s="62"/>
    </row>
    <row r="237" spans="1:9" x14ac:dyDescent="0.25">
      <c r="A237" s="66"/>
      <c r="B237" s="62"/>
      <c r="C237" s="62"/>
      <c r="D237" s="62"/>
      <c r="E237" s="62"/>
      <c r="F237" s="62"/>
      <c r="G237" s="62"/>
      <c r="H237" s="67"/>
      <c r="I237" s="62"/>
    </row>
    <row r="238" spans="1:9" x14ac:dyDescent="0.25">
      <c r="A238" s="66"/>
      <c r="B238" s="62"/>
      <c r="C238" s="62"/>
      <c r="D238" s="62"/>
      <c r="E238" s="62"/>
      <c r="F238" s="62"/>
      <c r="G238" s="62"/>
      <c r="H238" s="67"/>
      <c r="I238" s="62"/>
    </row>
    <row r="239" spans="1:9" x14ac:dyDescent="0.25">
      <c r="A239" s="66"/>
      <c r="B239" s="62"/>
      <c r="C239" s="62"/>
      <c r="D239" s="62"/>
      <c r="E239" s="62"/>
      <c r="F239" s="62"/>
      <c r="G239" s="62"/>
      <c r="H239" s="67"/>
      <c r="I239" s="62"/>
    </row>
    <row r="240" spans="1:9" x14ac:dyDescent="0.25">
      <c r="A240" s="66"/>
      <c r="B240" s="62"/>
      <c r="C240" s="62"/>
      <c r="D240" s="62"/>
      <c r="E240" s="62"/>
      <c r="F240" s="62"/>
      <c r="G240" s="62"/>
      <c r="H240" s="67"/>
      <c r="I240" s="62"/>
    </row>
    <row r="241" spans="1:9" x14ac:dyDescent="0.25">
      <c r="A241" s="66"/>
      <c r="B241" s="62"/>
      <c r="C241" s="62"/>
      <c r="D241" s="62"/>
      <c r="E241" s="62"/>
      <c r="F241" s="62"/>
      <c r="G241" s="62"/>
      <c r="H241" s="67"/>
      <c r="I241" s="62"/>
    </row>
    <row r="242" spans="1:9" x14ac:dyDescent="0.25">
      <c r="A242" s="66"/>
      <c r="B242" s="62"/>
      <c r="C242" s="62"/>
      <c r="D242" s="62"/>
      <c r="E242" s="62"/>
      <c r="F242" s="62"/>
      <c r="G242" s="62"/>
      <c r="H242" s="67"/>
      <c r="I242" s="62"/>
    </row>
    <row r="243" spans="1:9" x14ac:dyDescent="0.25">
      <c r="A243" s="66"/>
      <c r="B243" s="62"/>
      <c r="C243" s="62"/>
      <c r="D243" s="62"/>
      <c r="E243" s="62"/>
      <c r="F243" s="62"/>
      <c r="G243" s="62"/>
      <c r="H243" s="67"/>
      <c r="I243" s="62"/>
    </row>
    <row r="244" spans="1:9" x14ac:dyDescent="0.25">
      <c r="A244" s="66"/>
      <c r="B244" s="62"/>
      <c r="C244" s="62"/>
      <c r="D244" s="62"/>
      <c r="E244" s="62"/>
      <c r="F244" s="62"/>
      <c r="G244" s="62"/>
      <c r="H244" s="67"/>
      <c r="I244" s="62"/>
    </row>
    <row r="245" spans="1:9" x14ac:dyDescent="0.25">
      <c r="A245" s="66"/>
      <c r="B245" s="62"/>
      <c r="C245" s="62"/>
      <c r="D245" s="62"/>
      <c r="E245" s="62"/>
      <c r="F245" s="62"/>
      <c r="G245" s="62"/>
      <c r="H245" s="67"/>
      <c r="I245" s="62"/>
    </row>
    <row r="246" spans="1:9" x14ac:dyDescent="0.25">
      <c r="A246" s="66"/>
      <c r="B246" s="62"/>
      <c r="C246" s="62"/>
      <c r="D246" s="62"/>
      <c r="E246" s="62"/>
      <c r="F246" s="62"/>
      <c r="G246" s="62"/>
      <c r="H246" s="67"/>
      <c r="I246" s="62"/>
    </row>
    <row r="247" spans="1:9" x14ac:dyDescent="0.25">
      <c r="A247" s="66"/>
      <c r="B247" s="62"/>
      <c r="C247" s="62"/>
      <c r="D247" s="62"/>
      <c r="E247" s="62"/>
      <c r="F247" s="62"/>
      <c r="G247" s="62"/>
      <c r="H247" s="67"/>
      <c r="I247" s="62"/>
    </row>
    <row r="248" spans="1:9" x14ac:dyDescent="0.25">
      <c r="A248" s="66"/>
      <c r="B248" s="62"/>
      <c r="C248" s="62"/>
      <c r="D248" s="62"/>
      <c r="E248" s="62"/>
      <c r="F248" s="62"/>
      <c r="G248" s="62"/>
      <c r="H248" s="67"/>
      <c r="I248" s="62"/>
    </row>
    <row r="249" spans="1:9" x14ac:dyDescent="0.25">
      <c r="A249" s="66"/>
      <c r="B249" s="62"/>
      <c r="C249" s="62"/>
      <c r="D249" s="62"/>
      <c r="E249" s="62"/>
      <c r="F249" s="62"/>
      <c r="G249" s="62"/>
      <c r="H249" s="67"/>
      <c r="I249" s="62"/>
    </row>
    <row r="250" spans="1:9" x14ac:dyDescent="0.25">
      <c r="A250" s="66"/>
      <c r="B250" s="62"/>
      <c r="C250" s="62"/>
      <c r="D250" s="62"/>
      <c r="E250" s="62"/>
      <c r="F250" s="62"/>
      <c r="G250" s="62"/>
      <c r="H250" s="67"/>
      <c r="I250" s="62"/>
    </row>
    <row r="251" spans="1:9" x14ac:dyDescent="0.25">
      <c r="A251" s="66"/>
      <c r="B251" s="62"/>
      <c r="C251" s="62"/>
      <c r="D251" s="62"/>
      <c r="E251" s="62"/>
      <c r="F251" s="62"/>
      <c r="G251" s="62"/>
      <c r="H251" s="67"/>
      <c r="I251" s="62"/>
    </row>
    <row r="252" spans="1:9" x14ac:dyDescent="0.25">
      <c r="A252" s="66"/>
      <c r="B252" s="62"/>
      <c r="C252" s="62"/>
      <c r="D252" s="62"/>
      <c r="E252" s="62"/>
      <c r="F252" s="62"/>
      <c r="G252" s="62"/>
      <c r="H252" s="67"/>
      <c r="I252" s="62"/>
    </row>
    <row r="253" spans="1:9" x14ac:dyDescent="0.25">
      <c r="A253" s="66"/>
      <c r="B253" s="62"/>
      <c r="C253" s="62"/>
      <c r="D253" s="62"/>
      <c r="E253" s="62"/>
      <c r="F253" s="62"/>
      <c r="G253" s="62"/>
      <c r="H253" s="67"/>
      <c r="I253" s="62"/>
    </row>
    <row r="254" spans="1:9" x14ac:dyDescent="0.25">
      <c r="A254" s="66"/>
      <c r="B254" s="62"/>
      <c r="C254" s="62"/>
      <c r="D254" s="62"/>
      <c r="E254" s="62"/>
      <c r="F254" s="62"/>
      <c r="G254" s="62"/>
      <c r="H254" s="67"/>
      <c r="I254" s="62"/>
    </row>
    <row r="255" spans="1:9" x14ac:dyDescent="0.25">
      <c r="A255" s="66"/>
      <c r="B255" s="62"/>
      <c r="C255" s="62"/>
      <c r="D255" s="62"/>
      <c r="E255" s="62"/>
      <c r="F255" s="62"/>
      <c r="G255" s="62"/>
      <c r="H255" s="67"/>
      <c r="I255" s="62"/>
    </row>
    <row r="256" spans="1:9" x14ac:dyDescent="0.25">
      <c r="A256" s="66"/>
      <c r="B256" s="62"/>
      <c r="C256" s="62"/>
      <c r="D256" s="62"/>
      <c r="E256" s="62"/>
      <c r="F256" s="62"/>
      <c r="G256" s="62"/>
      <c r="H256" s="67"/>
      <c r="I256" s="62"/>
    </row>
    <row r="257" spans="1:9" x14ac:dyDescent="0.25">
      <c r="A257" s="66"/>
      <c r="B257" s="62"/>
      <c r="C257" s="62"/>
      <c r="D257" s="62"/>
      <c r="E257" s="62"/>
      <c r="F257" s="62"/>
      <c r="G257" s="62"/>
      <c r="H257" s="67"/>
      <c r="I257" s="62"/>
    </row>
    <row r="258" spans="1:9" x14ac:dyDescent="0.25">
      <c r="A258" s="66"/>
      <c r="B258" s="62"/>
      <c r="C258" s="62"/>
      <c r="D258" s="62"/>
      <c r="E258" s="62"/>
      <c r="F258" s="62"/>
      <c r="G258" s="62"/>
      <c r="H258" s="67"/>
      <c r="I258" s="62"/>
    </row>
    <row r="259" spans="1:9" x14ac:dyDescent="0.25">
      <c r="A259" s="66"/>
      <c r="B259" s="62"/>
      <c r="C259" s="62"/>
      <c r="D259" s="62"/>
      <c r="E259" s="62"/>
      <c r="F259" s="62"/>
      <c r="G259" s="62"/>
      <c r="H259" s="67"/>
      <c r="I259" s="62"/>
    </row>
    <row r="260" spans="1:9" x14ac:dyDescent="0.25">
      <c r="A260" s="66"/>
      <c r="B260" s="62"/>
      <c r="C260" s="62"/>
      <c r="D260" s="62"/>
      <c r="E260" s="62"/>
      <c r="F260" s="62"/>
      <c r="G260" s="62"/>
      <c r="H260" s="67"/>
      <c r="I260" s="62"/>
    </row>
    <row r="261" spans="1:9" x14ac:dyDescent="0.25">
      <c r="A261" s="66"/>
      <c r="B261" s="62"/>
      <c r="C261" s="62"/>
      <c r="D261" s="62"/>
      <c r="E261" s="62"/>
      <c r="F261" s="62"/>
      <c r="G261" s="62"/>
      <c r="H261" s="67"/>
      <c r="I261" s="62"/>
    </row>
    <row r="262" spans="1:9" x14ac:dyDescent="0.25">
      <c r="A262" s="66"/>
      <c r="B262" s="62"/>
      <c r="C262" s="62"/>
      <c r="D262" s="62"/>
      <c r="E262" s="62"/>
      <c r="F262" s="62"/>
      <c r="G262" s="62"/>
      <c r="H262" s="67"/>
      <c r="I262" s="62"/>
    </row>
    <row r="263" spans="1:9" x14ac:dyDescent="0.25">
      <c r="A263" s="66"/>
      <c r="B263" s="62"/>
      <c r="C263" s="62"/>
      <c r="D263" s="62"/>
      <c r="E263" s="62"/>
      <c r="F263" s="62"/>
      <c r="G263" s="62"/>
      <c r="H263" s="67"/>
      <c r="I263" s="62"/>
    </row>
    <row r="264" spans="1:9" x14ac:dyDescent="0.25">
      <c r="A264" s="66"/>
      <c r="B264" s="62"/>
      <c r="C264" s="62"/>
      <c r="D264" s="62"/>
      <c r="E264" s="62"/>
      <c r="F264" s="62"/>
      <c r="G264" s="62"/>
      <c r="H264" s="67"/>
      <c r="I264" s="62"/>
    </row>
    <row r="265" spans="1:9" x14ac:dyDescent="0.25">
      <c r="A265" s="66"/>
      <c r="B265" s="62"/>
      <c r="C265" s="62"/>
      <c r="D265" s="62"/>
      <c r="E265" s="62"/>
      <c r="F265" s="62"/>
      <c r="G265" s="62"/>
      <c r="H265" s="67"/>
      <c r="I265" s="62"/>
    </row>
    <row r="266" spans="1:9" x14ac:dyDescent="0.25">
      <c r="A266" s="66"/>
      <c r="B266" s="62"/>
      <c r="C266" s="62"/>
      <c r="D266" s="62"/>
      <c r="E266" s="62"/>
      <c r="F266" s="62"/>
      <c r="G266" s="62"/>
      <c r="H266" s="67"/>
      <c r="I266" s="62"/>
    </row>
    <row r="267" spans="1:9" x14ac:dyDescent="0.25">
      <c r="A267" s="66"/>
      <c r="B267" s="62"/>
      <c r="C267" s="62"/>
      <c r="D267" s="62"/>
      <c r="E267" s="62"/>
      <c r="F267" s="62"/>
      <c r="G267" s="62"/>
      <c r="H267" s="67"/>
      <c r="I267" s="62"/>
    </row>
    <row r="268" spans="1:9" x14ac:dyDescent="0.25">
      <c r="A268" s="66"/>
      <c r="B268" s="62"/>
      <c r="C268" s="62"/>
      <c r="D268" s="62"/>
      <c r="E268" s="62"/>
      <c r="F268" s="62"/>
      <c r="G268" s="62"/>
      <c r="H268" s="67"/>
      <c r="I268" s="62"/>
    </row>
    <row r="269" spans="1:9" x14ac:dyDescent="0.25">
      <c r="A269" s="66"/>
      <c r="B269" s="62"/>
      <c r="C269" s="62"/>
      <c r="D269" s="62"/>
      <c r="E269" s="62"/>
      <c r="F269" s="62"/>
      <c r="G269" s="62"/>
      <c r="H269" s="67"/>
      <c r="I269" s="62"/>
    </row>
    <row r="270" spans="1:9" x14ac:dyDescent="0.25">
      <c r="A270" s="66"/>
      <c r="B270" s="62"/>
      <c r="C270" s="62"/>
      <c r="D270" s="62"/>
      <c r="E270" s="62"/>
      <c r="F270" s="62"/>
      <c r="G270" s="62"/>
      <c r="H270" s="67"/>
      <c r="I270" s="62"/>
    </row>
    <row r="271" spans="1:9" x14ac:dyDescent="0.25">
      <c r="A271" s="66"/>
      <c r="B271" s="62"/>
      <c r="C271" s="62"/>
      <c r="D271" s="62"/>
      <c r="E271" s="62"/>
      <c r="F271" s="62"/>
      <c r="G271" s="62"/>
      <c r="H271" s="67"/>
      <c r="I271" s="62"/>
    </row>
    <row r="272" spans="1:9" x14ac:dyDescent="0.25">
      <c r="A272" s="66"/>
      <c r="B272" s="62"/>
      <c r="C272" s="62"/>
      <c r="D272" s="62"/>
      <c r="E272" s="62"/>
      <c r="F272" s="62"/>
      <c r="G272" s="62"/>
      <c r="H272" s="67"/>
      <c r="I272" s="62"/>
    </row>
    <row r="273" spans="1:9" x14ac:dyDescent="0.25">
      <c r="A273" s="66"/>
      <c r="B273" s="62"/>
      <c r="C273" s="62"/>
      <c r="D273" s="62"/>
      <c r="E273" s="62"/>
      <c r="F273" s="62"/>
      <c r="G273" s="62"/>
      <c r="H273" s="67"/>
      <c r="I273" s="62"/>
    </row>
    <row r="274" spans="1:9" x14ac:dyDescent="0.25">
      <c r="A274" s="66"/>
      <c r="B274" s="62"/>
      <c r="C274" s="62"/>
      <c r="D274" s="62"/>
      <c r="E274" s="62"/>
      <c r="F274" s="62"/>
      <c r="G274" s="62"/>
      <c r="H274" s="67"/>
      <c r="I274" s="62"/>
    </row>
    <row r="275" spans="1:9" x14ac:dyDescent="0.25">
      <c r="A275" s="66"/>
      <c r="B275" s="62"/>
      <c r="C275" s="62"/>
      <c r="D275" s="62"/>
      <c r="E275" s="62"/>
      <c r="F275" s="62"/>
      <c r="G275" s="62"/>
      <c r="H275" s="67"/>
      <c r="I275" s="62"/>
    </row>
    <row r="276" spans="1:9" x14ac:dyDescent="0.25">
      <c r="A276" s="66"/>
      <c r="B276" s="62"/>
      <c r="C276" s="62"/>
      <c r="D276" s="62"/>
      <c r="E276" s="62"/>
      <c r="F276" s="62"/>
      <c r="G276" s="62"/>
      <c r="H276" s="67"/>
      <c r="I276" s="62"/>
    </row>
    <row r="277" spans="1:9" x14ac:dyDescent="0.25">
      <c r="A277" s="66"/>
      <c r="B277" s="62"/>
      <c r="C277" s="62"/>
      <c r="D277" s="62"/>
      <c r="E277" s="62"/>
      <c r="F277" s="62"/>
      <c r="G277" s="62"/>
      <c r="H277" s="67"/>
      <c r="I277" s="62"/>
    </row>
    <row r="278" spans="1:9" x14ac:dyDescent="0.25">
      <c r="A278" s="66"/>
      <c r="B278" s="62"/>
      <c r="C278" s="62"/>
      <c r="D278" s="62"/>
      <c r="E278" s="62"/>
      <c r="F278" s="62"/>
      <c r="G278" s="62"/>
      <c r="H278" s="67"/>
      <c r="I278" s="62"/>
    </row>
    <row r="279" spans="1:9" x14ac:dyDescent="0.25">
      <c r="A279" s="66"/>
      <c r="B279" s="62"/>
      <c r="C279" s="62"/>
      <c r="D279" s="62"/>
      <c r="E279" s="62"/>
      <c r="F279" s="62"/>
      <c r="G279" s="62"/>
      <c r="H279" s="67"/>
      <c r="I279" s="62"/>
    </row>
    <row r="280" spans="1:9" x14ac:dyDescent="0.25">
      <c r="A280" s="66"/>
      <c r="B280" s="62"/>
      <c r="C280" s="62"/>
      <c r="D280" s="62"/>
      <c r="E280" s="62"/>
      <c r="F280" s="62"/>
      <c r="G280" s="62"/>
      <c r="H280" s="67"/>
      <c r="I280" s="62"/>
    </row>
    <row r="281" spans="1:9" x14ac:dyDescent="0.25">
      <c r="A281" s="66"/>
      <c r="B281" s="62"/>
      <c r="C281" s="62"/>
      <c r="D281" s="62"/>
      <c r="E281" s="62"/>
      <c r="F281" s="62"/>
      <c r="G281" s="62"/>
      <c r="H281" s="67"/>
      <c r="I281" s="62"/>
    </row>
    <row r="282" spans="1:9" x14ac:dyDescent="0.25">
      <c r="A282" s="66"/>
      <c r="B282" s="62"/>
      <c r="C282" s="62"/>
      <c r="D282" s="62"/>
      <c r="E282" s="62"/>
      <c r="F282" s="62"/>
      <c r="G282" s="62"/>
      <c r="H282" s="67"/>
      <c r="I282" s="62"/>
    </row>
    <row r="283" spans="1:9" x14ac:dyDescent="0.25">
      <c r="A283" s="66"/>
      <c r="B283" s="62"/>
      <c r="C283" s="62"/>
      <c r="D283" s="62"/>
      <c r="E283" s="62"/>
      <c r="F283" s="62"/>
      <c r="G283" s="62"/>
      <c r="H283" s="67"/>
      <c r="I283" s="62"/>
    </row>
    <row r="284" spans="1:9" x14ac:dyDescent="0.25">
      <c r="A284" s="66"/>
      <c r="B284" s="62"/>
      <c r="C284" s="62"/>
      <c r="D284" s="62"/>
      <c r="E284" s="62"/>
      <c r="F284" s="62"/>
      <c r="G284" s="62"/>
      <c r="H284" s="67"/>
      <c r="I284" s="62"/>
    </row>
    <row r="285" spans="1:9" x14ac:dyDescent="0.25">
      <c r="A285" s="66"/>
      <c r="B285" s="62"/>
      <c r="C285" s="62"/>
      <c r="D285" s="62"/>
      <c r="E285" s="62"/>
      <c r="F285" s="62"/>
      <c r="G285" s="62"/>
      <c r="H285" s="67"/>
      <c r="I285" s="62"/>
    </row>
    <row r="286" spans="1:9" x14ac:dyDescent="0.25">
      <c r="A286" s="66"/>
      <c r="B286" s="62"/>
      <c r="C286" s="62"/>
      <c r="D286" s="62"/>
      <c r="E286" s="62"/>
      <c r="F286" s="62"/>
      <c r="G286" s="62"/>
      <c r="H286" s="67"/>
      <c r="I286" s="62"/>
    </row>
    <row r="287" spans="1:9" x14ac:dyDescent="0.25">
      <c r="A287" s="66"/>
      <c r="B287" s="62"/>
      <c r="C287" s="62"/>
      <c r="D287" s="62"/>
      <c r="E287" s="62"/>
      <c r="F287" s="62"/>
      <c r="G287" s="62"/>
      <c r="H287" s="67"/>
      <c r="I287" s="62"/>
    </row>
    <row r="288" spans="1:9" x14ac:dyDescent="0.25">
      <c r="A288" s="66"/>
      <c r="B288" s="62"/>
      <c r="C288" s="62"/>
      <c r="D288" s="62"/>
      <c r="E288" s="62"/>
      <c r="F288" s="62"/>
      <c r="G288" s="62"/>
      <c r="H288" s="67"/>
      <c r="I288" s="62"/>
    </row>
    <row r="289" spans="1:9" x14ac:dyDescent="0.25">
      <c r="A289" s="66"/>
      <c r="B289" s="62"/>
      <c r="C289" s="62"/>
      <c r="D289" s="62"/>
      <c r="E289" s="62"/>
      <c r="F289" s="62"/>
      <c r="G289" s="62"/>
      <c r="H289" s="67"/>
      <c r="I289" s="62"/>
    </row>
    <row r="290" spans="1:9" x14ac:dyDescent="0.25">
      <c r="A290" s="66"/>
      <c r="B290" s="62"/>
      <c r="C290" s="62"/>
      <c r="D290" s="62"/>
      <c r="E290" s="62"/>
      <c r="F290" s="62"/>
      <c r="G290" s="62"/>
      <c r="H290" s="67"/>
      <c r="I290" s="62"/>
    </row>
    <row r="291" spans="1:9" x14ac:dyDescent="0.25">
      <c r="A291" s="66"/>
      <c r="B291" s="62"/>
      <c r="C291" s="62"/>
      <c r="D291" s="62"/>
      <c r="E291" s="62"/>
      <c r="F291" s="62"/>
      <c r="G291" s="62"/>
      <c r="H291" s="67"/>
      <c r="I291" s="62"/>
    </row>
    <row r="292" spans="1:9" x14ac:dyDescent="0.25">
      <c r="A292" s="66"/>
      <c r="B292" s="62"/>
      <c r="C292" s="62"/>
      <c r="D292" s="62"/>
      <c r="E292" s="62"/>
      <c r="F292" s="62"/>
      <c r="G292" s="62"/>
      <c r="H292" s="67"/>
      <c r="I292" s="62"/>
    </row>
    <row r="293" spans="1:9" x14ac:dyDescent="0.25">
      <c r="A293" s="66"/>
      <c r="B293" s="62"/>
      <c r="C293" s="62"/>
      <c r="D293" s="62"/>
      <c r="E293" s="62"/>
      <c r="F293" s="62"/>
      <c r="G293" s="62"/>
      <c r="H293" s="67"/>
      <c r="I293" s="62"/>
    </row>
    <row r="294" spans="1:9" x14ac:dyDescent="0.25">
      <c r="A294" s="66"/>
      <c r="B294" s="62"/>
      <c r="C294" s="62"/>
      <c r="D294" s="62"/>
      <c r="E294" s="62"/>
      <c r="F294" s="62"/>
      <c r="G294" s="62"/>
      <c r="H294" s="67"/>
      <c r="I294" s="62"/>
    </row>
    <row r="295" spans="1:9" x14ac:dyDescent="0.25">
      <c r="A295" s="66"/>
      <c r="B295" s="62"/>
      <c r="C295" s="62"/>
      <c r="D295" s="62"/>
      <c r="E295" s="62"/>
      <c r="F295" s="62"/>
      <c r="G295" s="62"/>
      <c r="H295" s="67"/>
      <c r="I295" s="62"/>
    </row>
    <row r="296" spans="1:9" x14ac:dyDescent="0.25">
      <c r="A296" s="66"/>
      <c r="B296" s="62"/>
      <c r="C296" s="62"/>
      <c r="D296" s="62"/>
      <c r="E296" s="62"/>
      <c r="F296" s="62"/>
      <c r="G296" s="62"/>
      <c r="H296" s="67"/>
      <c r="I296" s="62"/>
    </row>
    <row r="297" spans="1:9" x14ac:dyDescent="0.25">
      <c r="A297" s="66"/>
      <c r="B297" s="62"/>
      <c r="C297" s="62"/>
      <c r="D297" s="62"/>
      <c r="E297" s="62"/>
      <c r="F297" s="62"/>
      <c r="G297" s="62"/>
      <c r="H297" s="67"/>
      <c r="I297" s="62"/>
    </row>
    <row r="298" spans="1:9" x14ac:dyDescent="0.25">
      <c r="A298" s="66"/>
      <c r="B298" s="62"/>
      <c r="C298" s="62"/>
      <c r="D298" s="62"/>
      <c r="E298" s="62"/>
      <c r="F298" s="62"/>
      <c r="G298" s="62"/>
      <c r="H298" s="67"/>
      <c r="I298" s="62"/>
    </row>
    <row r="299" spans="1:9" x14ac:dyDescent="0.25">
      <c r="A299" s="66"/>
      <c r="B299" s="62"/>
      <c r="C299" s="62"/>
      <c r="D299" s="62"/>
      <c r="E299" s="62"/>
      <c r="F299" s="62"/>
      <c r="G299" s="62"/>
      <c r="H299" s="67"/>
      <c r="I299" s="62"/>
    </row>
    <row r="300" spans="1:9" x14ac:dyDescent="0.25">
      <c r="A300" s="66"/>
      <c r="B300" s="62"/>
      <c r="C300" s="62"/>
      <c r="D300" s="62"/>
      <c r="E300" s="62"/>
      <c r="F300" s="62"/>
      <c r="G300" s="62"/>
      <c r="H300" s="67"/>
      <c r="I300" s="62"/>
    </row>
    <row r="301" spans="1:9" x14ac:dyDescent="0.25">
      <c r="A301" s="66"/>
      <c r="B301" s="62"/>
      <c r="C301" s="62"/>
      <c r="D301" s="62"/>
      <c r="E301" s="62"/>
      <c r="F301" s="62"/>
      <c r="G301" s="62"/>
      <c r="H301" s="67"/>
      <c r="I301" s="62"/>
    </row>
    <row r="302" spans="1:9" x14ac:dyDescent="0.25">
      <c r="A302" s="66"/>
      <c r="B302" s="62"/>
      <c r="C302" s="62"/>
      <c r="D302" s="62"/>
      <c r="E302" s="62"/>
      <c r="F302" s="62"/>
      <c r="G302" s="62"/>
      <c r="H302" s="67"/>
      <c r="I302" s="62"/>
    </row>
    <row r="303" spans="1:9" x14ac:dyDescent="0.25">
      <c r="A303" s="66"/>
      <c r="B303" s="62"/>
      <c r="C303" s="62"/>
      <c r="D303" s="62"/>
      <c r="E303" s="62"/>
      <c r="F303" s="62"/>
      <c r="G303" s="62"/>
      <c r="H303" s="67"/>
      <c r="I303" s="62"/>
    </row>
    <row r="304" spans="1:9" x14ac:dyDescent="0.25">
      <c r="A304" s="66"/>
      <c r="B304" s="62"/>
      <c r="C304" s="62"/>
      <c r="D304" s="62"/>
      <c r="E304" s="62"/>
      <c r="F304" s="62"/>
      <c r="G304" s="62"/>
      <c r="H304" s="67"/>
      <c r="I304" s="62"/>
    </row>
    <row r="305" spans="1:9" x14ac:dyDescent="0.25">
      <c r="A305" s="66"/>
      <c r="B305" s="62"/>
      <c r="C305" s="62"/>
      <c r="D305" s="62"/>
      <c r="E305" s="62"/>
      <c r="F305" s="62"/>
      <c r="G305" s="62"/>
      <c r="H305" s="67"/>
      <c r="I305" s="62"/>
    </row>
    <row r="306" spans="1:9" x14ac:dyDescent="0.25">
      <c r="A306" s="66"/>
      <c r="B306" s="62"/>
      <c r="C306" s="62"/>
      <c r="D306" s="62"/>
      <c r="E306" s="62"/>
      <c r="F306" s="62"/>
      <c r="G306" s="62"/>
      <c r="H306" s="67"/>
      <c r="I306" s="62"/>
    </row>
    <row r="307" spans="1:9" x14ac:dyDescent="0.25">
      <c r="A307" s="66"/>
      <c r="B307" s="62"/>
      <c r="C307" s="62"/>
      <c r="D307" s="62"/>
      <c r="E307" s="62"/>
      <c r="F307" s="62"/>
      <c r="G307" s="62"/>
      <c r="H307" s="67"/>
      <c r="I307" s="62"/>
    </row>
    <row r="308" spans="1:9" x14ac:dyDescent="0.25">
      <c r="A308" s="66"/>
      <c r="B308" s="62"/>
      <c r="C308" s="62"/>
      <c r="D308" s="62"/>
      <c r="E308" s="62"/>
      <c r="F308" s="62"/>
      <c r="G308" s="62"/>
      <c r="H308" s="67"/>
      <c r="I308" s="62"/>
    </row>
    <row r="309" spans="1:9" x14ac:dyDescent="0.25">
      <c r="A309" s="66"/>
      <c r="B309" s="62"/>
      <c r="C309" s="62"/>
      <c r="D309" s="62"/>
      <c r="E309" s="62"/>
      <c r="F309" s="62"/>
      <c r="G309" s="62"/>
      <c r="H309" s="67"/>
      <c r="I309" s="62"/>
    </row>
    <row r="310" spans="1:9" x14ac:dyDescent="0.25">
      <c r="A310" s="66"/>
      <c r="B310" s="62"/>
      <c r="C310" s="62"/>
      <c r="D310" s="62"/>
      <c r="E310" s="62"/>
      <c r="F310" s="62"/>
      <c r="G310" s="62"/>
      <c r="H310" s="67"/>
      <c r="I310" s="62"/>
    </row>
    <row r="311" spans="1:9" x14ac:dyDescent="0.25">
      <c r="A311" s="66"/>
      <c r="B311" s="62"/>
      <c r="C311" s="62"/>
      <c r="D311" s="62"/>
      <c r="E311" s="62"/>
      <c r="F311" s="62"/>
      <c r="G311" s="62"/>
      <c r="H311" s="67"/>
      <c r="I311" s="62"/>
    </row>
    <row r="312" spans="1:9" x14ac:dyDescent="0.25">
      <c r="A312" s="66"/>
      <c r="B312" s="62"/>
      <c r="C312" s="62"/>
      <c r="D312" s="62"/>
      <c r="E312" s="62"/>
      <c r="F312" s="62"/>
      <c r="G312" s="62"/>
      <c r="H312" s="67"/>
      <c r="I312" s="62"/>
    </row>
    <row r="313" spans="1:9" x14ac:dyDescent="0.25">
      <c r="A313" s="66"/>
      <c r="B313" s="62"/>
      <c r="C313" s="62"/>
      <c r="D313" s="62"/>
      <c r="E313" s="62"/>
      <c r="F313" s="62"/>
      <c r="G313" s="62"/>
      <c r="H313" s="67"/>
      <c r="I313" s="62"/>
    </row>
    <row r="314" spans="1:9" x14ac:dyDescent="0.25">
      <c r="A314" s="66"/>
      <c r="B314" s="62"/>
      <c r="C314" s="62"/>
      <c r="D314" s="62"/>
      <c r="E314" s="62"/>
      <c r="F314" s="62"/>
      <c r="G314" s="62"/>
      <c r="H314" s="67"/>
      <c r="I314" s="62"/>
    </row>
    <row r="315" spans="1:9" x14ac:dyDescent="0.25">
      <c r="A315" s="66"/>
      <c r="B315" s="62"/>
      <c r="C315" s="62"/>
      <c r="D315" s="62"/>
      <c r="E315" s="62"/>
      <c r="F315" s="62"/>
      <c r="G315" s="62"/>
      <c r="H315" s="67"/>
      <c r="I315" s="62"/>
    </row>
    <row r="316" spans="1:9" x14ac:dyDescent="0.25">
      <c r="A316" s="66"/>
      <c r="B316" s="62"/>
      <c r="C316" s="62"/>
      <c r="D316" s="62"/>
      <c r="E316" s="62"/>
      <c r="F316" s="62"/>
      <c r="G316" s="62"/>
      <c r="H316" s="67"/>
      <c r="I316" s="62"/>
    </row>
    <row r="317" spans="1:9" x14ac:dyDescent="0.25">
      <c r="A317" s="66"/>
      <c r="B317" s="62"/>
      <c r="C317" s="62"/>
      <c r="D317" s="62"/>
      <c r="E317" s="62"/>
      <c r="F317" s="62"/>
      <c r="G317" s="62"/>
      <c r="H317" s="67"/>
      <c r="I317" s="62"/>
    </row>
    <row r="318" spans="1:9" x14ac:dyDescent="0.25">
      <c r="A318" s="66"/>
      <c r="B318" s="62"/>
      <c r="C318" s="62"/>
      <c r="D318" s="62"/>
      <c r="E318" s="62"/>
      <c r="F318" s="62"/>
      <c r="G318" s="62"/>
      <c r="H318" s="67"/>
      <c r="I318" s="62"/>
    </row>
    <row r="319" spans="1:9" x14ac:dyDescent="0.25">
      <c r="A319" s="66"/>
      <c r="B319" s="62"/>
      <c r="C319" s="62"/>
      <c r="D319" s="62"/>
      <c r="E319" s="62"/>
      <c r="F319" s="62"/>
      <c r="G319" s="62"/>
      <c r="H319" s="67"/>
      <c r="I319" s="62"/>
    </row>
    <row r="320" spans="1:9" x14ac:dyDescent="0.25">
      <c r="A320" s="66"/>
      <c r="B320" s="62"/>
      <c r="C320" s="62"/>
      <c r="D320" s="62"/>
      <c r="E320" s="62"/>
      <c r="F320" s="62"/>
      <c r="G320" s="62"/>
      <c r="H320" s="67"/>
      <c r="I320" s="62"/>
    </row>
    <row r="321" spans="1:9" x14ac:dyDescent="0.25">
      <c r="A321" s="66"/>
      <c r="B321" s="62"/>
      <c r="C321" s="62"/>
      <c r="D321" s="62"/>
      <c r="E321" s="62"/>
      <c r="F321" s="62"/>
      <c r="G321" s="62"/>
      <c r="H321" s="67"/>
      <c r="I321" s="62"/>
    </row>
    <row r="322" spans="1:9" x14ac:dyDescent="0.25">
      <c r="A322" s="66"/>
      <c r="B322" s="62"/>
      <c r="C322" s="62"/>
      <c r="D322" s="62"/>
      <c r="E322" s="62"/>
      <c r="F322" s="62"/>
      <c r="G322" s="62"/>
      <c r="H322" s="67"/>
      <c r="I322" s="62"/>
    </row>
    <row r="323" spans="1:9" x14ac:dyDescent="0.25">
      <c r="A323" s="66"/>
      <c r="B323" s="62"/>
      <c r="C323" s="62"/>
      <c r="D323" s="62"/>
      <c r="E323" s="62"/>
      <c r="F323" s="62"/>
      <c r="G323" s="62"/>
      <c r="H323" s="67"/>
      <c r="I323" s="62"/>
    </row>
    <row r="324" spans="1:9" x14ac:dyDescent="0.25">
      <c r="A324" s="66"/>
      <c r="B324" s="62"/>
      <c r="C324" s="62"/>
      <c r="D324" s="62"/>
      <c r="E324" s="62"/>
      <c r="F324" s="62"/>
      <c r="G324" s="62"/>
      <c r="H324" s="67"/>
      <c r="I324" s="62"/>
    </row>
    <row r="325" spans="1:9" x14ac:dyDescent="0.25">
      <c r="A325" s="66"/>
      <c r="B325" s="62"/>
      <c r="C325" s="62"/>
      <c r="D325" s="62"/>
      <c r="E325" s="62"/>
      <c r="F325" s="62"/>
      <c r="G325" s="62"/>
      <c r="H325" s="67"/>
      <c r="I325" s="62"/>
    </row>
    <row r="326" spans="1:9" x14ac:dyDescent="0.25">
      <c r="A326" s="66"/>
      <c r="B326" s="62"/>
      <c r="C326" s="62"/>
      <c r="D326" s="62"/>
      <c r="E326" s="62"/>
      <c r="F326" s="62"/>
      <c r="G326" s="62"/>
      <c r="H326" s="67"/>
      <c r="I326" s="62"/>
    </row>
    <row r="327" spans="1:9" x14ac:dyDescent="0.25">
      <c r="A327" s="66"/>
      <c r="B327" s="62"/>
      <c r="C327" s="62"/>
      <c r="D327" s="62"/>
      <c r="E327" s="62"/>
      <c r="F327" s="62"/>
      <c r="G327" s="62"/>
      <c r="H327" s="67"/>
      <c r="I327" s="62"/>
    </row>
    <row r="328" spans="1:9" x14ac:dyDescent="0.25">
      <c r="A328" s="66"/>
      <c r="B328" s="62"/>
      <c r="C328" s="62"/>
      <c r="D328" s="62"/>
      <c r="E328" s="62"/>
      <c r="F328" s="62"/>
      <c r="G328" s="62"/>
      <c r="H328" s="67"/>
      <c r="I328" s="62"/>
    </row>
    <row r="329" spans="1:9" x14ac:dyDescent="0.25">
      <c r="A329" s="66"/>
      <c r="B329" s="62"/>
      <c r="C329" s="62"/>
      <c r="D329" s="62"/>
      <c r="E329" s="62"/>
      <c r="F329" s="62"/>
      <c r="G329" s="62"/>
      <c r="H329" s="67"/>
      <c r="I329" s="62"/>
    </row>
    <row r="330" spans="1:9" x14ac:dyDescent="0.25">
      <c r="A330" s="66"/>
      <c r="B330" s="62"/>
      <c r="C330" s="62"/>
      <c r="D330" s="62"/>
      <c r="E330" s="62"/>
      <c r="F330" s="62"/>
      <c r="G330" s="62"/>
      <c r="H330" s="67"/>
      <c r="I330" s="62"/>
    </row>
    <row r="331" spans="1:9" x14ac:dyDescent="0.25">
      <c r="A331" s="66"/>
      <c r="B331" s="62"/>
      <c r="C331" s="62"/>
      <c r="D331" s="62"/>
      <c r="E331" s="62"/>
      <c r="F331" s="62"/>
      <c r="G331" s="62"/>
      <c r="H331" s="67"/>
      <c r="I331" s="62"/>
    </row>
    <row r="332" spans="1:9" x14ac:dyDescent="0.25">
      <c r="A332" s="66"/>
      <c r="B332" s="62"/>
      <c r="C332" s="62"/>
      <c r="D332" s="62"/>
      <c r="E332" s="62"/>
      <c r="F332" s="62"/>
      <c r="G332" s="62"/>
      <c r="H332" s="67"/>
      <c r="I332" s="62"/>
    </row>
    <row r="333" spans="1:9" x14ac:dyDescent="0.25">
      <c r="A333" s="66"/>
      <c r="B333" s="62"/>
      <c r="C333" s="62"/>
      <c r="D333" s="62"/>
      <c r="E333" s="62"/>
      <c r="F333" s="62"/>
      <c r="G333" s="62"/>
      <c r="H333" s="67"/>
      <c r="I333" s="62"/>
    </row>
    <row r="334" spans="1:9" x14ac:dyDescent="0.25">
      <c r="A334" s="66"/>
      <c r="B334" s="62"/>
      <c r="C334" s="62"/>
      <c r="D334" s="62"/>
      <c r="E334" s="62"/>
      <c r="F334" s="62"/>
      <c r="G334" s="62"/>
      <c r="H334" s="67"/>
      <c r="I334" s="62"/>
    </row>
    <row r="335" spans="1:9" x14ac:dyDescent="0.25">
      <c r="A335" s="66"/>
      <c r="B335" s="62"/>
      <c r="C335" s="62"/>
      <c r="D335" s="62"/>
      <c r="E335" s="62"/>
      <c r="F335" s="62"/>
      <c r="G335" s="62"/>
      <c r="H335" s="67"/>
      <c r="I335" s="62"/>
    </row>
    <row r="336" spans="1:9" x14ac:dyDescent="0.25">
      <c r="A336" s="66"/>
      <c r="B336" s="62"/>
      <c r="C336" s="62"/>
      <c r="D336" s="62"/>
      <c r="E336" s="62"/>
      <c r="F336" s="62"/>
      <c r="G336" s="62"/>
      <c r="H336" s="67"/>
      <c r="I336" s="62"/>
    </row>
    <row r="337" spans="1:9" x14ac:dyDescent="0.25">
      <c r="A337" s="66"/>
      <c r="B337" s="62"/>
      <c r="C337" s="62"/>
      <c r="D337" s="62"/>
      <c r="E337" s="62"/>
      <c r="F337" s="62"/>
      <c r="G337" s="62"/>
      <c r="H337" s="67"/>
      <c r="I337" s="62"/>
    </row>
    <row r="338" spans="1:9" x14ac:dyDescent="0.25">
      <c r="A338" s="66"/>
      <c r="B338" s="62"/>
      <c r="C338" s="62"/>
      <c r="D338" s="62"/>
      <c r="E338" s="62"/>
      <c r="F338" s="62"/>
      <c r="G338" s="62"/>
      <c r="H338" s="67"/>
      <c r="I338" s="62"/>
    </row>
    <row r="339" spans="1:9" x14ac:dyDescent="0.25">
      <c r="A339" s="66"/>
      <c r="B339" s="62"/>
      <c r="C339" s="62"/>
      <c r="D339" s="62"/>
      <c r="E339" s="62"/>
      <c r="F339" s="62"/>
      <c r="G339" s="62"/>
      <c r="H339" s="67"/>
      <c r="I339" s="62"/>
    </row>
    <row r="340" spans="1:9" x14ac:dyDescent="0.25">
      <c r="A340" s="66"/>
      <c r="B340" s="62"/>
      <c r="C340" s="62"/>
      <c r="D340" s="62"/>
      <c r="E340" s="62"/>
      <c r="F340" s="62"/>
      <c r="G340" s="62"/>
      <c r="H340" s="67"/>
      <c r="I340" s="62"/>
    </row>
    <row r="341" spans="1:9" x14ac:dyDescent="0.25">
      <c r="A341" s="66"/>
      <c r="B341" s="62"/>
      <c r="C341" s="62"/>
      <c r="D341" s="62"/>
      <c r="E341" s="62"/>
      <c r="F341" s="62"/>
      <c r="G341" s="62"/>
      <c r="H341" s="67"/>
      <c r="I341" s="62"/>
    </row>
    <row r="342" spans="1:9" x14ac:dyDescent="0.25">
      <c r="A342" s="66"/>
      <c r="B342" s="62"/>
      <c r="C342" s="62"/>
      <c r="D342" s="62"/>
      <c r="E342" s="62"/>
      <c r="F342" s="62"/>
      <c r="G342" s="62"/>
      <c r="H342" s="67"/>
      <c r="I342" s="62"/>
    </row>
    <row r="343" spans="1:9" x14ac:dyDescent="0.25">
      <c r="A343" s="66"/>
      <c r="B343" s="62"/>
      <c r="C343" s="62"/>
      <c r="D343" s="62"/>
      <c r="E343" s="62"/>
      <c r="F343" s="62"/>
      <c r="G343" s="62"/>
      <c r="H343" s="67"/>
      <c r="I343" s="62"/>
    </row>
    <row r="344" spans="1:9" x14ac:dyDescent="0.25">
      <c r="A344" s="66"/>
      <c r="B344" s="62"/>
      <c r="C344" s="62"/>
      <c r="D344" s="62"/>
      <c r="E344" s="62"/>
      <c r="F344" s="62"/>
      <c r="G344" s="62"/>
      <c r="H344" s="67"/>
      <c r="I344" s="62"/>
    </row>
    <row r="345" spans="1:9" x14ac:dyDescent="0.25">
      <c r="A345" s="66"/>
      <c r="B345" s="62"/>
      <c r="C345" s="62"/>
      <c r="D345" s="62"/>
      <c r="E345" s="62"/>
      <c r="F345" s="62"/>
      <c r="G345" s="62"/>
      <c r="H345" s="67"/>
      <c r="I345" s="62"/>
    </row>
    <row r="346" spans="1:9" x14ac:dyDescent="0.25">
      <c r="A346" s="66"/>
      <c r="B346" s="62"/>
      <c r="C346" s="62"/>
      <c r="D346" s="62"/>
      <c r="E346" s="62"/>
      <c r="F346" s="62"/>
      <c r="G346" s="62"/>
      <c r="H346" s="67"/>
      <c r="I346" s="62"/>
    </row>
    <row r="347" spans="1:9" x14ac:dyDescent="0.25">
      <c r="A347" s="66"/>
      <c r="B347" s="62"/>
      <c r="C347" s="62"/>
      <c r="D347" s="62"/>
      <c r="E347" s="62"/>
      <c r="F347" s="62"/>
      <c r="G347" s="62"/>
      <c r="H347" s="67"/>
      <c r="I347" s="62"/>
    </row>
    <row r="348" spans="1:9" x14ac:dyDescent="0.25">
      <c r="A348" s="66"/>
      <c r="B348" s="62"/>
      <c r="C348" s="62"/>
      <c r="D348" s="62"/>
      <c r="E348" s="62"/>
      <c r="F348" s="62"/>
      <c r="G348" s="62"/>
      <c r="H348" s="67"/>
      <c r="I348" s="62"/>
    </row>
    <row r="349" spans="1:9" x14ac:dyDescent="0.25">
      <c r="A349" s="66"/>
      <c r="B349" s="62"/>
      <c r="C349" s="62"/>
      <c r="D349" s="62"/>
      <c r="E349" s="62"/>
      <c r="F349" s="62"/>
      <c r="G349" s="62"/>
      <c r="H349" s="67"/>
      <c r="I349" s="62"/>
    </row>
    <row r="350" spans="1:9" x14ac:dyDescent="0.25">
      <c r="A350" s="66"/>
      <c r="B350" s="62"/>
      <c r="C350" s="62"/>
      <c r="D350" s="62"/>
      <c r="E350" s="62"/>
      <c r="F350" s="62"/>
      <c r="G350" s="62"/>
      <c r="H350" s="67"/>
      <c r="I350" s="62"/>
    </row>
    <row r="351" spans="1:9" x14ac:dyDescent="0.25">
      <c r="A351" s="66"/>
      <c r="B351" s="62"/>
      <c r="C351" s="62"/>
      <c r="D351" s="62"/>
      <c r="E351" s="62"/>
      <c r="F351" s="62"/>
      <c r="G351" s="62"/>
      <c r="H351" s="67"/>
      <c r="I351" s="62"/>
    </row>
    <row r="352" spans="1:9" x14ac:dyDescent="0.25">
      <c r="A352" s="66"/>
      <c r="B352" s="62"/>
      <c r="C352" s="62"/>
      <c r="D352" s="62"/>
      <c r="E352" s="62"/>
      <c r="F352" s="62"/>
      <c r="G352" s="62"/>
      <c r="H352" s="67"/>
      <c r="I352" s="62"/>
    </row>
    <row r="353" spans="1:9" x14ac:dyDescent="0.25">
      <c r="A353" s="66"/>
      <c r="B353" s="62"/>
      <c r="C353" s="62"/>
      <c r="D353" s="62"/>
      <c r="E353" s="62"/>
      <c r="F353" s="62"/>
      <c r="G353" s="62"/>
      <c r="H353" s="67"/>
      <c r="I353" s="62"/>
    </row>
    <row r="354" spans="1:9" x14ac:dyDescent="0.25">
      <c r="A354" s="66"/>
      <c r="B354" s="62"/>
      <c r="C354" s="62"/>
      <c r="D354" s="62"/>
      <c r="E354" s="62"/>
      <c r="F354" s="62"/>
      <c r="G354" s="62"/>
      <c r="H354" s="67"/>
      <c r="I354" s="62"/>
    </row>
    <row r="355" spans="1:9" x14ac:dyDescent="0.25">
      <c r="A355" s="66"/>
      <c r="B355" s="62"/>
      <c r="C355" s="62"/>
      <c r="D355" s="62"/>
      <c r="E355" s="62"/>
      <c r="F355" s="62"/>
      <c r="G355" s="62"/>
      <c r="H355" s="67"/>
      <c r="I355" s="62"/>
    </row>
    <row r="356" spans="1:9" x14ac:dyDescent="0.25">
      <c r="A356" s="66"/>
      <c r="B356" s="62"/>
      <c r="C356" s="62"/>
      <c r="D356" s="62"/>
      <c r="E356" s="62"/>
      <c r="F356" s="62"/>
      <c r="G356" s="62"/>
      <c r="H356" s="67"/>
      <c r="I356" s="62"/>
    </row>
    <row r="357" spans="1:9" x14ac:dyDescent="0.25">
      <c r="A357" s="66"/>
      <c r="B357" s="62"/>
      <c r="C357" s="62"/>
      <c r="D357" s="62"/>
      <c r="E357" s="62"/>
      <c r="F357" s="62"/>
      <c r="G357" s="62"/>
      <c r="H357" s="67"/>
      <c r="I357" s="62"/>
    </row>
    <row r="358" spans="1:9" x14ac:dyDescent="0.25">
      <c r="A358" s="66"/>
      <c r="B358" s="62"/>
      <c r="C358" s="62"/>
      <c r="D358" s="62"/>
      <c r="E358" s="62"/>
      <c r="F358" s="62"/>
      <c r="G358" s="62"/>
      <c r="H358" s="67"/>
      <c r="I358" s="62"/>
    </row>
    <row r="359" spans="1:9" x14ac:dyDescent="0.25">
      <c r="A359" s="66"/>
      <c r="B359" s="62"/>
      <c r="C359" s="62"/>
      <c r="D359" s="62"/>
      <c r="E359" s="62"/>
      <c r="F359" s="62"/>
      <c r="G359" s="62"/>
      <c r="H359" s="67"/>
      <c r="I359" s="62"/>
    </row>
    <row r="360" spans="1:9" x14ac:dyDescent="0.25">
      <c r="A360" s="66"/>
      <c r="B360" s="62"/>
      <c r="C360" s="62"/>
      <c r="D360" s="62"/>
      <c r="E360" s="62"/>
      <c r="F360" s="62"/>
      <c r="G360" s="62"/>
      <c r="H360" s="67"/>
      <c r="I360" s="62"/>
    </row>
    <row r="361" spans="1:9" x14ac:dyDescent="0.25">
      <c r="A361" s="66"/>
      <c r="B361" s="62"/>
      <c r="C361" s="62"/>
      <c r="D361" s="62"/>
      <c r="E361" s="62"/>
      <c r="F361" s="62"/>
      <c r="G361" s="62"/>
      <c r="H361" s="67"/>
      <c r="I361" s="62"/>
    </row>
    <row r="362" spans="1:9" x14ac:dyDescent="0.25">
      <c r="A362" s="66"/>
      <c r="B362" s="62"/>
      <c r="C362" s="62"/>
      <c r="D362" s="62"/>
      <c r="E362" s="62"/>
      <c r="F362" s="62"/>
      <c r="G362" s="62"/>
      <c r="H362" s="67"/>
      <c r="I362" s="62"/>
    </row>
    <row r="363" spans="1:9" x14ac:dyDescent="0.25">
      <c r="A363" s="66"/>
      <c r="B363" s="62"/>
      <c r="C363" s="62"/>
      <c r="D363" s="62"/>
      <c r="E363" s="62"/>
      <c r="F363" s="62"/>
      <c r="G363" s="62"/>
      <c r="H363" s="67"/>
      <c r="I363" s="62"/>
    </row>
    <row r="364" spans="1:9" x14ac:dyDescent="0.25">
      <c r="A364" s="66"/>
      <c r="B364" s="62"/>
      <c r="C364" s="62"/>
      <c r="D364" s="62"/>
      <c r="E364" s="62"/>
      <c r="F364" s="62"/>
      <c r="G364" s="62"/>
      <c r="H364" s="67"/>
      <c r="I364" s="62"/>
    </row>
    <row r="365" spans="1:9" x14ac:dyDescent="0.25">
      <c r="A365" s="66"/>
      <c r="B365" s="62"/>
      <c r="C365" s="62"/>
      <c r="D365" s="62"/>
      <c r="E365" s="62"/>
      <c r="F365" s="62"/>
      <c r="G365" s="62"/>
      <c r="H365" s="67"/>
      <c r="I365" s="62"/>
    </row>
    <row r="366" spans="1:9" x14ac:dyDescent="0.25">
      <c r="A366" s="66"/>
      <c r="B366" s="62"/>
      <c r="C366" s="62"/>
      <c r="D366" s="62"/>
      <c r="E366" s="62"/>
      <c r="F366" s="62"/>
      <c r="G366" s="62"/>
      <c r="H366" s="67"/>
      <c r="I366" s="62"/>
    </row>
    <row r="367" spans="1:9" x14ac:dyDescent="0.25">
      <c r="A367" s="66"/>
      <c r="B367" s="62"/>
      <c r="C367" s="62"/>
      <c r="D367" s="62"/>
      <c r="E367" s="62"/>
      <c r="F367" s="62"/>
      <c r="G367" s="62"/>
      <c r="H367" s="67"/>
      <c r="I367" s="62"/>
    </row>
    <row r="368" spans="1:9" x14ac:dyDescent="0.25">
      <c r="A368" s="66"/>
      <c r="B368" s="62"/>
      <c r="C368" s="62"/>
      <c r="D368" s="62"/>
      <c r="E368" s="62"/>
      <c r="F368" s="62"/>
      <c r="G368" s="62"/>
      <c r="H368" s="67"/>
      <c r="I368" s="62"/>
    </row>
    <row r="369" spans="1:9" x14ac:dyDescent="0.25">
      <c r="A369" s="66"/>
      <c r="B369" s="62"/>
      <c r="C369" s="62"/>
      <c r="D369" s="62"/>
      <c r="E369" s="62"/>
      <c r="F369" s="62"/>
      <c r="G369" s="62"/>
      <c r="H369" s="67"/>
      <c r="I369" s="62"/>
    </row>
    <row r="370" spans="1:9" x14ac:dyDescent="0.25">
      <c r="A370" s="66"/>
      <c r="B370" s="62"/>
      <c r="C370" s="62"/>
      <c r="D370" s="62"/>
      <c r="E370" s="62"/>
      <c r="F370" s="62"/>
      <c r="G370" s="62"/>
      <c r="H370" s="67"/>
      <c r="I370" s="62"/>
    </row>
    <row r="371" spans="1:9" x14ac:dyDescent="0.25">
      <c r="A371" s="66"/>
      <c r="B371" s="62"/>
      <c r="C371" s="62"/>
      <c r="D371" s="62"/>
      <c r="E371" s="62"/>
      <c r="F371" s="62"/>
      <c r="G371" s="62"/>
      <c r="H371" s="67"/>
      <c r="I371" s="62"/>
    </row>
    <row r="372" spans="1:9" x14ac:dyDescent="0.25">
      <c r="A372" s="66"/>
      <c r="B372" s="62"/>
      <c r="C372" s="62"/>
      <c r="D372" s="62"/>
      <c r="E372" s="62"/>
      <c r="F372" s="62"/>
      <c r="G372" s="62"/>
      <c r="H372" s="67"/>
      <c r="I372" s="62"/>
    </row>
    <row r="373" spans="1:9" x14ac:dyDescent="0.25">
      <c r="A373" s="66"/>
      <c r="B373" s="62"/>
      <c r="C373" s="62"/>
      <c r="D373" s="62"/>
      <c r="E373" s="62"/>
      <c r="F373" s="62"/>
      <c r="G373" s="62"/>
      <c r="H373" s="67"/>
      <c r="I373" s="62"/>
    </row>
    <row r="374" spans="1:9" x14ac:dyDescent="0.25">
      <c r="A374" s="66"/>
      <c r="B374" s="62"/>
      <c r="C374" s="62"/>
      <c r="D374" s="62"/>
      <c r="E374" s="62"/>
      <c r="F374" s="62"/>
      <c r="G374" s="62"/>
      <c r="H374" s="67"/>
      <c r="I374" s="62"/>
    </row>
    <row r="375" spans="1:9" x14ac:dyDescent="0.25">
      <c r="A375" s="66"/>
      <c r="B375" s="62"/>
      <c r="C375" s="62"/>
      <c r="D375" s="62"/>
      <c r="E375" s="62"/>
      <c r="F375" s="62"/>
      <c r="G375" s="62"/>
      <c r="H375" s="67"/>
      <c r="I375" s="62"/>
    </row>
    <row r="376" spans="1:9" x14ac:dyDescent="0.25">
      <c r="A376" s="66"/>
      <c r="B376" s="62"/>
      <c r="C376" s="62"/>
      <c r="D376" s="62"/>
      <c r="E376" s="62"/>
      <c r="F376" s="62"/>
      <c r="G376" s="62"/>
      <c r="H376" s="67"/>
      <c r="I376" s="62"/>
    </row>
    <row r="377" spans="1:9" x14ac:dyDescent="0.25">
      <c r="A377" s="66"/>
      <c r="B377" s="62"/>
      <c r="C377" s="62"/>
      <c r="D377" s="62"/>
      <c r="E377" s="62"/>
      <c r="F377" s="62"/>
      <c r="G377" s="62"/>
      <c r="H377" s="67"/>
      <c r="I377" s="62"/>
    </row>
    <row r="378" spans="1:9" x14ac:dyDescent="0.25">
      <c r="A378" s="66"/>
      <c r="B378" s="62"/>
      <c r="C378" s="62"/>
      <c r="D378" s="62"/>
      <c r="E378" s="62"/>
      <c r="F378" s="62"/>
      <c r="G378" s="62"/>
      <c r="H378" s="67"/>
      <c r="I378" s="62"/>
    </row>
    <row r="379" spans="1:9" x14ac:dyDescent="0.25">
      <c r="A379" s="66"/>
      <c r="B379" s="62"/>
      <c r="C379" s="62"/>
      <c r="D379" s="62"/>
      <c r="E379" s="62"/>
      <c r="F379" s="62"/>
      <c r="G379" s="62"/>
      <c r="H379" s="67"/>
      <c r="I379" s="62"/>
    </row>
    <row r="380" spans="1:9" x14ac:dyDescent="0.25">
      <c r="A380" s="66"/>
      <c r="B380" s="62"/>
      <c r="C380" s="62"/>
      <c r="D380" s="62"/>
      <c r="E380" s="62"/>
      <c r="F380" s="62"/>
      <c r="G380" s="62"/>
      <c r="H380" s="67"/>
      <c r="I380" s="62"/>
    </row>
    <row r="381" spans="1:9" x14ac:dyDescent="0.25">
      <c r="A381" s="66"/>
      <c r="B381" s="62"/>
      <c r="C381" s="62"/>
      <c r="D381" s="62"/>
      <c r="E381" s="62"/>
      <c r="F381" s="62"/>
      <c r="G381" s="62"/>
      <c r="H381" s="67"/>
      <c r="I381" s="62"/>
    </row>
    <row r="382" spans="1:9" x14ac:dyDescent="0.25">
      <c r="A382" s="66"/>
      <c r="B382" s="62"/>
      <c r="C382" s="62"/>
      <c r="D382" s="62"/>
      <c r="E382" s="62"/>
      <c r="F382" s="62"/>
      <c r="G382" s="62"/>
      <c r="H382" s="67"/>
      <c r="I382" s="62"/>
    </row>
    <row r="383" spans="1:9" x14ac:dyDescent="0.25">
      <c r="A383" s="66"/>
      <c r="B383" s="62"/>
      <c r="C383" s="62"/>
      <c r="D383" s="62"/>
      <c r="E383" s="62"/>
      <c r="F383" s="62"/>
      <c r="G383" s="62"/>
      <c r="H383" s="67"/>
      <c r="I383" s="62"/>
    </row>
    <row r="384" spans="1:9" x14ac:dyDescent="0.25">
      <c r="A384" s="66"/>
      <c r="B384" s="62"/>
      <c r="C384" s="62"/>
      <c r="D384" s="62"/>
      <c r="E384" s="62"/>
      <c r="F384" s="62"/>
      <c r="G384" s="62"/>
      <c r="H384" s="67"/>
      <c r="I384" s="62"/>
    </row>
    <row r="385" spans="1:9" x14ac:dyDescent="0.25">
      <c r="A385" s="66"/>
      <c r="B385" s="62"/>
      <c r="C385" s="62"/>
      <c r="D385" s="62"/>
      <c r="E385" s="62"/>
      <c r="F385" s="62"/>
      <c r="G385" s="62"/>
      <c r="H385" s="67"/>
      <c r="I385" s="62"/>
    </row>
    <row r="386" spans="1:9" x14ac:dyDescent="0.25">
      <c r="A386" s="66"/>
      <c r="B386" s="62"/>
      <c r="C386" s="62"/>
      <c r="D386" s="62"/>
      <c r="E386" s="62"/>
      <c r="F386" s="62"/>
      <c r="G386" s="62"/>
      <c r="H386" s="67"/>
      <c r="I386" s="62"/>
    </row>
    <row r="387" spans="1:9" x14ac:dyDescent="0.25">
      <c r="A387" s="66"/>
      <c r="B387" s="62"/>
      <c r="C387" s="62"/>
      <c r="D387" s="62"/>
      <c r="E387" s="62"/>
      <c r="F387" s="62"/>
      <c r="G387" s="62"/>
      <c r="H387" s="67"/>
      <c r="I387" s="62"/>
    </row>
    <row r="388" spans="1:9" x14ac:dyDescent="0.25">
      <c r="A388" s="66"/>
      <c r="B388" s="62"/>
      <c r="C388" s="62"/>
      <c r="D388" s="62"/>
      <c r="E388" s="62"/>
      <c r="F388" s="62"/>
      <c r="G388" s="62"/>
      <c r="H388" s="67"/>
      <c r="I388" s="62"/>
    </row>
    <row r="389" spans="1:9" x14ac:dyDescent="0.25">
      <c r="A389" s="66"/>
      <c r="B389" s="62"/>
      <c r="C389" s="62"/>
      <c r="D389" s="62"/>
      <c r="E389" s="62"/>
      <c r="F389" s="62"/>
      <c r="G389" s="62"/>
      <c r="H389" s="67"/>
      <c r="I389" s="62"/>
    </row>
    <row r="390" spans="1:9" x14ac:dyDescent="0.25">
      <c r="A390" s="66"/>
      <c r="B390" s="62"/>
      <c r="C390" s="62"/>
      <c r="D390" s="62"/>
      <c r="E390" s="62"/>
      <c r="F390" s="62"/>
      <c r="G390" s="62"/>
      <c r="H390" s="67"/>
      <c r="I390" s="62"/>
    </row>
    <row r="391" spans="1:9" x14ac:dyDescent="0.25">
      <c r="A391" s="66"/>
      <c r="B391" s="62"/>
      <c r="C391" s="62"/>
      <c r="D391" s="62"/>
      <c r="E391" s="62"/>
      <c r="F391" s="62"/>
      <c r="G391" s="62"/>
      <c r="H391" s="67"/>
      <c r="I391" s="62"/>
    </row>
    <row r="392" spans="1:9" x14ac:dyDescent="0.25">
      <c r="A392" s="66"/>
      <c r="B392" s="62"/>
      <c r="C392" s="62"/>
      <c r="D392" s="62"/>
      <c r="E392" s="62"/>
      <c r="F392" s="62"/>
      <c r="G392" s="62"/>
      <c r="H392" s="67"/>
      <c r="I392" s="62"/>
    </row>
    <row r="393" spans="1:9" x14ac:dyDescent="0.25">
      <c r="A393" s="66"/>
      <c r="B393" s="62"/>
      <c r="C393" s="62"/>
      <c r="D393" s="62"/>
      <c r="E393" s="62"/>
      <c r="F393" s="62"/>
      <c r="G393" s="62"/>
      <c r="H393" s="67"/>
      <c r="I393" s="62"/>
    </row>
    <row r="394" spans="1:9" x14ac:dyDescent="0.25">
      <c r="A394" s="66"/>
      <c r="B394" s="62"/>
      <c r="C394" s="62"/>
      <c r="D394" s="62"/>
      <c r="E394" s="62"/>
      <c r="F394" s="62"/>
      <c r="G394" s="62"/>
      <c r="H394" s="67"/>
      <c r="I394" s="62"/>
    </row>
    <row r="395" spans="1:9" x14ac:dyDescent="0.25">
      <c r="A395" s="66"/>
      <c r="B395" s="62"/>
      <c r="C395" s="62"/>
      <c r="D395" s="62"/>
      <c r="E395" s="62"/>
      <c r="F395" s="62"/>
      <c r="G395" s="62"/>
      <c r="H395" s="67"/>
      <c r="I395" s="62"/>
    </row>
    <row r="396" spans="1:9" x14ac:dyDescent="0.25">
      <c r="A396" s="66"/>
      <c r="B396" s="62"/>
      <c r="C396" s="62"/>
      <c r="D396" s="62"/>
      <c r="E396" s="62"/>
      <c r="F396" s="62"/>
      <c r="G396" s="62"/>
      <c r="H396" s="67"/>
      <c r="I396" s="62"/>
    </row>
    <row r="397" spans="1:9" x14ac:dyDescent="0.25">
      <c r="A397" s="66"/>
      <c r="B397" s="62"/>
      <c r="C397" s="62"/>
      <c r="D397" s="62"/>
      <c r="E397" s="62"/>
      <c r="F397" s="62"/>
      <c r="G397" s="62"/>
      <c r="H397" s="67"/>
      <c r="I397" s="62"/>
    </row>
    <row r="398" spans="1:9" x14ac:dyDescent="0.25">
      <c r="A398" s="66"/>
      <c r="B398" s="62"/>
      <c r="C398" s="62"/>
      <c r="D398" s="62"/>
      <c r="E398" s="62"/>
      <c r="F398" s="62"/>
      <c r="G398" s="62"/>
      <c r="H398" s="67"/>
      <c r="I398" s="62"/>
    </row>
    <row r="399" spans="1:9" x14ac:dyDescent="0.25">
      <c r="A399" s="66"/>
      <c r="B399" s="62"/>
      <c r="C399" s="62"/>
      <c r="D399" s="62"/>
      <c r="E399" s="62"/>
      <c r="F399" s="62"/>
      <c r="G399" s="62"/>
      <c r="H399" s="67"/>
      <c r="I399" s="62"/>
    </row>
    <row r="400" spans="1:9" x14ac:dyDescent="0.25">
      <c r="A400" s="66"/>
      <c r="B400" s="62"/>
      <c r="C400" s="62"/>
      <c r="D400" s="62"/>
      <c r="E400" s="62"/>
      <c r="F400" s="62"/>
      <c r="G400" s="62"/>
      <c r="H400" s="67"/>
      <c r="I400" s="62"/>
    </row>
    <row r="401" spans="1:9" x14ac:dyDescent="0.25">
      <c r="A401" s="66"/>
      <c r="B401" s="62"/>
      <c r="C401" s="62"/>
      <c r="D401" s="62"/>
      <c r="E401" s="62"/>
      <c r="F401" s="62"/>
      <c r="G401" s="62"/>
      <c r="H401" s="67"/>
      <c r="I401" s="62"/>
    </row>
    <row r="402" spans="1:9" x14ac:dyDescent="0.25">
      <c r="A402" s="66"/>
      <c r="B402" s="62"/>
      <c r="C402" s="62"/>
      <c r="D402" s="62"/>
      <c r="E402" s="62"/>
      <c r="F402" s="62"/>
      <c r="G402" s="62"/>
      <c r="H402" s="67"/>
      <c r="I402" s="62"/>
    </row>
    <row r="403" spans="1:9" x14ac:dyDescent="0.25">
      <c r="A403" s="66"/>
      <c r="B403" s="62"/>
      <c r="C403" s="62"/>
      <c r="D403" s="62"/>
      <c r="E403" s="62"/>
      <c r="F403" s="62"/>
      <c r="G403" s="62"/>
      <c r="H403" s="67"/>
      <c r="I403" s="62"/>
    </row>
    <row r="404" spans="1:9" x14ac:dyDescent="0.25">
      <c r="A404" s="66"/>
      <c r="B404" s="62"/>
      <c r="C404" s="62"/>
      <c r="D404" s="62"/>
      <c r="E404" s="62"/>
      <c r="F404" s="62"/>
      <c r="G404" s="62"/>
      <c r="H404" s="67"/>
      <c r="I404" s="62"/>
    </row>
    <row r="405" spans="1:9" x14ac:dyDescent="0.25">
      <c r="A405" s="66"/>
      <c r="B405" s="62"/>
      <c r="C405" s="62"/>
      <c r="D405" s="62"/>
      <c r="E405" s="62"/>
      <c r="F405" s="62"/>
      <c r="G405" s="62"/>
      <c r="H405" s="67"/>
      <c r="I405" s="62"/>
    </row>
    <row r="406" spans="1:9" x14ac:dyDescent="0.25">
      <c r="A406" s="66"/>
      <c r="B406" s="62"/>
      <c r="C406" s="62"/>
      <c r="D406" s="62"/>
      <c r="E406" s="62"/>
      <c r="F406" s="62"/>
      <c r="G406" s="62"/>
      <c r="H406" s="67"/>
      <c r="I406" s="62"/>
    </row>
    <row r="407" spans="1:9" x14ac:dyDescent="0.25">
      <c r="A407" s="66"/>
      <c r="B407" s="62"/>
      <c r="C407" s="62"/>
      <c r="D407" s="62"/>
      <c r="E407" s="62"/>
      <c r="F407" s="62"/>
      <c r="G407" s="62"/>
      <c r="H407" s="67"/>
      <c r="I407" s="62"/>
    </row>
    <row r="408" spans="1:9" x14ac:dyDescent="0.25">
      <c r="A408" s="66"/>
      <c r="B408" s="62"/>
      <c r="C408" s="62"/>
      <c r="D408" s="62"/>
      <c r="E408" s="62"/>
      <c r="F408" s="62"/>
      <c r="G408" s="62"/>
      <c r="H408" s="67"/>
      <c r="I408" s="62"/>
    </row>
    <row r="409" spans="1:9" x14ac:dyDescent="0.25">
      <c r="A409" s="66"/>
      <c r="B409" s="62"/>
      <c r="C409" s="62"/>
      <c r="D409" s="62"/>
      <c r="E409" s="62"/>
      <c r="F409" s="62"/>
      <c r="G409" s="62"/>
      <c r="H409" s="67"/>
      <c r="I409" s="62"/>
    </row>
    <row r="410" spans="1:9" x14ac:dyDescent="0.25">
      <c r="A410" s="66"/>
      <c r="B410" s="62"/>
      <c r="C410" s="62"/>
      <c r="D410" s="62"/>
      <c r="E410" s="62"/>
      <c r="F410" s="62"/>
      <c r="G410" s="62"/>
      <c r="H410" s="67"/>
      <c r="I410" s="62"/>
    </row>
    <row r="411" spans="1:9" x14ac:dyDescent="0.25">
      <c r="A411" s="66"/>
      <c r="B411" s="62"/>
      <c r="C411" s="62"/>
      <c r="D411" s="62"/>
      <c r="E411" s="62"/>
      <c r="F411" s="62"/>
      <c r="G411" s="62"/>
      <c r="H411" s="67"/>
      <c r="I411" s="62"/>
    </row>
    <row r="412" spans="1:9" x14ac:dyDescent="0.25">
      <c r="A412" s="66"/>
      <c r="B412" s="62"/>
      <c r="C412" s="62"/>
      <c r="D412" s="62"/>
      <c r="E412" s="62"/>
      <c r="F412" s="62"/>
      <c r="G412" s="62"/>
      <c r="H412" s="67"/>
      <c r="I412" s="62"/>
    </row>
    <row r="413" spans="1:9" x14ac:dyDescent="0.25">
      <c r="A413" s="66"/>
      <c r="B413" s="62"/>
      <c r="C413" s="62"/>
      <c r="D413" s="62"/>
      <c r="E413" s="62"/>
      <c r="F413" s="62"/>
      <c r="G413" s="62"/>
      <c r="H413" s="67"/>
      <c r="I413" s="62"/>
    </row>
    <row r="414" spans="1:9" x14ac:dyDescent="0.25">
      <c r="A414" s="66"/>
      <c r="B414" s="62"/>
      <c r="C414" s="62"/>
      <c r="D414" s="62"/>
      <c r="E414" s="62"/>
      <c r="F414" s="62"/>
      <c r="G414" s="62"/>
      <c r="H414" s="67"/>
      <c r="I414" s="62"/>
    </row>
    <row r="415" spans="1:9" x14ac:dyDescent="0.25">
      <c r="A415" s="66"/>
      <c r="B415" s="62"/>
      <c r="C415" s="62"/>
      <c r="D415" s="62"/>
      <c r="E415" s="62"/>
      <c r="F415" s="62"/>
      <c r="G415" s="62"/>
      <c r="H415" s="67"/>
      <c r="I415" s="62"/>
    </row>
    <row r="416" spans="1:9" x14ac:dyDescent="0.25">
      <c r="A416" s="66"/>
      <c r="B416" s="62"/>
      <c r="C416" s="62"/>
      <c r="D416" s="62"/>
      <c r="E416" s="62"/>
      <c r="F416" s="62"/>
      <c r="G416" s="62"/>
      <c r="H416" s="67"/>
      <c r="I416" s="62"/>
    </row>
    <row r="417" spans="1:9" x14ac:dyDescent="0.25">
      <c r="A417" s="66"/>
      <c r="B417" s="62"/>
      <c r="C417" s="62"/>
      <c r="D417" s="62"/>
      <c r="E417" s="62"/>
      <c r="F417" s="62"/>
      <c r="G417" s="62"/>
      <c r="H417" s="67"/>
      <c r="I417" s="62"/>
    </row>
    <row r="418" spans="1:9" x14ac:dyDescent="0.25">
      <c r="A418" s="66"/>
      <c r="B418" s="62"/>
      <c r="C418" s="62"/>
      <c r="D418" s="62"/>
      <c r="E418" s="62"/>
      <c r="F418" s="62"/>
      <c r="G418" s="62"/>
      <c r="H418" s="67"/>
      <c r="I418" s="62"/>
    </row>
    <row r="419" spans="1:9" x14ac:dyDescent="0.25">
      <c r="A419" s="66"/>
      <c r="B419" s="62"/>
      <c r="C419" s="62"/>
      <c r="D419" s="62"/>
      <c r="E419" s="62"/>
      <c r="F419" s="62"/>
      <c r="G419" s="62"/>
      <c r="H419" s="67"/>
      <c r="I419" s="62"/>
    </row>
    <row r="420" spans="1:9" x14ac:dyDescent="0.25">
      <c r="A420" s="66"/>
      <c r="B420" s="62"/>
      <c r="C420" s="62"/>
      <c r="D420" s="62"/>
      <c r="E420" s="62"/>
      <c r="F420" s="62"/>
      <c r="G420" s="62"/>
      <c r="H420" s="67"/>
      <c r="I420" s="62"/>
    </row>
    <row r="421" spans="1:9" x14ac:dyDescent="0.25">
      <c r="A421" s="66"/>
      <c r="B421" s="62"/>
      <c r="C421" s="62"/>
      <c r="D421" s="62"/>
      <c r="E421" s="62"/>
      <c r="F421" s="62"/>
      <c r="G421" s="62"/>
      <c r="H421" s="67"/>
      <c r="I421" s="62"/>
    </row>
    <row r="422" spans="1:9" x14ac:dyDescent="0.25">
      <c r="A422" s="66"/>
      <c r="B422" s="62"/>
      <c r="C422" s="62"/>
      <c r="D422" s="62"/>
      <c r="E422" s="62"/>
      <c r="F422" s="62"/>
      <c r="G422" s="62"/>
      <c r="H422" s="67"/>
      <c r="I422" s="62"/>
    </row>
    <row r="423" spans="1:9" x14ac:dyDescent="0.25">
      <c r="A423" s="66"/>
      <c r="B423" s="62"/>
      <c r="C423" s="62"/>
      <c r="D423" s="62"/>
      <c r="E423" s="62"/>
      <c r="F423" s="62"/>
      <c r="G423" s="62"/>
      <c r="H423" s="67"/>
      <c r="I423" s="62"/>
    </row>
    <row r="424" spans="1:9" x14ac:dyDescent="0.25">
      <c r="A424" s="66"/>
      <c r="B424" s="62"/>
      <c r="C424" s="62"/>
      <c r="D424" s="62"/>
      <c r="E424" s="62"/>
      <c r="F424" s="62"/>
      <c r="G424" s="62"/>
      <c r="H424" s="67"/>
      <c r="I424" s="62"/>
    </row>
    <row r="425" spans="1:9" x14ac:dyDescent="0.25">
      <c r="A425" s="66"/>
      <c r="B425" s="62"/>
      <c r="C425" s="62"/>
      <c r="D425" s="62"/>
      <c r="E425" s="62"/>
      <c r="F425" s="62"/>
      <c r="G425" s="62"/>
      <c r="H425" s="67"/>
      <c r="I425" s="62"/>
    </row>
    <row r="426" spans="1:9" x14ac:dyDescent="0.25">
      <c r="A426" s="66"/>
      <c r="B426" s="62"/>
      <c r="C426" s="62"/>
      <c r="D426" s="62"/>
      <c r="E426" s="62"/>
      <c r="F426" s="62"/>
      <c r="G426" s="62"/>
      <c r="H426" s="67"/>
      <c r="I426" s="62"/>
    </row>
    <row r="427" spans="1:9" x14ac:dyDescent="0.25">
      <c r="A427" s="66"/>
      <c r="B427" s="62"/>
      <c r="C427" s="62"/>
      <c r="D427" s="62"/>
      <c r="E427" s="62"/>
      <c r="F427" s="62"/>
      <c r="G427" s="62"/>
      <c r="H427" s="67"/>
      <c r="I427" s="62"/>
    </row>
    <row r="428" spans="1:9" x14ac:dyDescent="0.25">
      <c r="A428" s="66"/>
      <c r="B428" s="62"/>
      <c r="C428" s="62"/>
      <c r="D428" s="62"/>
      <c r="E428" s="62"/>
      <c r="F428" s="62"/>
      <c r="G428" s="62"/>
      <c r="H428" s="67"/>
      <c r="I428" s="62"/>
    </row>
    <row r="429" spans="1:9" x14ac:dyDescent="0.25">
      <c r="A429" s="66"/>
      <c r="B429" s="62"/>
      <c r="C429" s="62"/>
      <c r="D429" s="62"/>
      <c r="E429" s="62"/>
      <c r="F429" s="62"/>
      <c r="G429" s="62"/>
      <c r="H429" s="67"/>
      <c r="I429" s="62"/>
    </row>
    <row r="430" spans="1:9" x14ac:dyDescent="0.25">
      <c r="A430" s="66"/>
      <c r="B430" s="62"/>
      <c r="C430" s="62"/>
      <c r="D430" s="62"/>
      <c r="E430" s="62"/>
      <c r="F430" s="62"/>
      <c r="G430" s="62"/>
      <c r="H430" s="67"/>
      <c r="I430" s="62"/>
    </row>
    <row r="431" spans="1:9" x14ac:dyDescent="0.25">
      <c r="A431" s="66"/>
      <c r="B431" s="62"/>
      <c r="C431" s="62"/>
      <c r="D431" s="62"/>
      <c r="E431" s="62"/>
      <c r="F431" s="62"/>
      <c r="G431" s="62"/>
      <c r="H431" s="67"/>
      <c r="I431" s="62"/>
    </row>
    <row r="432" spans="1:9" x14ac:dyDescent="0.25">
      <c r="A432" s="66"/>
      <c r="B432" s="62"/>
      <c r="C432" s="62"/>
      <c r="D432" s="62"/>
      <c r="E432" s="62"/>
      <c r="F432" s="62"/>
      <c r="G432" s="62"/>
      <c r="H432" s="67"/>
      <c r="I432" s="62"/>
    </row>
    <row r="433" spans="1:9" x14ac:dyDescent="0.25">
      <c r="A433" s="66"/>
      <c r="B433" s="62"/>
      <c r="C433" s="62"/>
      <c r="D433" s="62"/>
      <c r="E433" s="62"/>
      <c r="F433" s="62"/>
      <c r="G433" s="62"/>
      <c r="H433" s="67"/>
      <c r="I433" s="62"/>
    </row>
    <row r="434" spans="1:9" x14ac:dyDescent="0.25">
      <c r="A434" s="66"/>
      <c r="B434" s="62"/>
      <c r="C434" s="62"/>
      <c r="D434" s="62"/>
      <c r="E434" s="62"/>
      <c r="F434" s="62"/>
      <c r="G434" s="62"/>
      <c r="H434" s="67"/>
      <c r="I434" s="62"/>
    </row>
    <row r="435" spans="1:9" x14ac:dyDescent="0.25">
      <c r="A435" s="66"/>
      <c r="B435" s="62"/>
      <c r="C435" s="62"/>
      <c r="D435" s="62"/>
      <c r="E435" s="62"/>
      <c r="F435" s="62"/>
      <c r="G435" s="62"/>
      <c r="H435" s="67"/>
      <c r="I435" s="62"/>
    </row>
  </sheetData>
  <sortState xmlns:xlrd2="http://schemas.microsoft.com/office/spreadsheetml/2017/richdata2" ref="A2:G31">
    <sortCondition ref="A31"/>
  </sortState>
  <phoneticPr fontId="20" type="noConversion"/>
  <hyperlinks>
    <hyperlink ref="I2" r:id="rId1" xr:uid="{2A9F12DD-69F5-4533-8826-A44326213614}"/>
    <hyperlink ref="I27" r:id="rId2" xr:uid="{B39ABA3C-FA05-4ADB-9824-650C404C8803}"/>
    <hyperlink ref="I26" r:id="rId3" xr:uid="{1D28AF11-6A1C-4A4E-A569-C96A779E0887}"/>
    <hyperlink ref="I11" r:id="rId4" xr:uid="{D001E528-8363-45B9-9522-DC5456E48B79}"/>
    <hyperlink ref="I16" r:id="rId5" display="https://tools.sig.systems/site/details/335" xr:uid="{AA09145A-6BA9-4169-BCCB-30DD4169186A}"/>
    <hyperlink ref="I34" r:id="rId6" display="https://tools.sig.systems/site/details/335" xr:uid="{2A995CA7-4583-4F88-AB82-837D8B563BB0}"/>
    <hyperlink ref="I10" r:id="rId7" xr:uid="{6814AB23-DC7F-4718-A9AC-C2E191A2BBB3}"/>
    <hyperlink ref="I23" r:id="rId8" xr:uid="{BDE9C4CF-8A68-4B2E-9A47-EF54840DCFC9}"/>
    <hyperlink ref="I36" r:id="rId9" xr:uid="{F6C2694C-04D8-4299-B6DB-070F39BAABBA}"/>
    <hyperlink ref="I61" r:id="rId10" xr:uid="{70921EFF-638A-41E8-9857-9D516872978D}"/>
    <hyperlink ref="I14" r:id="rId11" xr:uid="{78CDC9FD-DDCE-4CD2-B3BC-3F3BE94AE509}"/>
    <hyperlink ref="I57" r:id="rId12" xr:uid="{E9E7C7DD-D4F2-4660-B98A-68E1D831D53C}"/>
    <hyperlink ref="I18" r:id="rId13" xr:uid="{2C74DD9D-3643-48B3-BF7D-5622F04279B7}"/>
    <hyperlink ref="I25" r:id="rId14" xr:uid="{E8EDE10D-CB55-4696-87CB-AABD2B73D1F4}"/>
    <hyperlink ref="I33" r:id="rId15" xr:uid="{A5B73F85-F8C7-4479-8284-B7C30B6D8978}"/>
    <hyperlink ref="I29" r:id="rId16" xr:uid="{C1BDE308-77AC-4453-8FAC-D225D5830680}"/>
    <hyperlink ref="I21" r:id="rId17" xr:uid="{1BD72111-6AD4-4CD4-9B9A-D99962992D5A}"/>
    <hyperlink ref="I20" r:id="rId18" xr:uid="{DA4B8E30-C1EC-4B25-8575-30C27795E012}"/>
    <hyperlink ref="I24" r:id="rId19" xr:uid="{AA37BC6B-739E-4CF4-98A8-34D7EF205C6D}"/>
    <hyperlink ref="I17" r:id="rId20" xr:uid="{F314DA53-984E-422A-ADD3-613446852B42}"/>
    <hyperlink ref="I22" r:id="rId21" xr:uid="{222C71D7-9731-4263-A175-06DBCF25AC37}"/>
    <hyperlink ref="I32" r:id="rId22" xr:uid="{F7262B91-006E-4687-B068-E8668762B392}"/>
    <hyperlink ref="I3" r:id="rId23" xr:uid="{C4BE20A3-283B-4488-9012-017DBFDCE7FD}"/>
    <hyperlink ref="I5" r:id="rId24" xr:uid="{45CD2877-D158-4281-8265-148CA20149CD}"/>
    <hyperlink ref="I4" r:id="rId25" xr:uid="{B7F91261-D123-44FC-A629-345BC6786B55}"/>
    <hyperlink ref="I6" r:id="rId26" xr:uid="{C722DBD4-CC01-4286-A0AA-27242E00E758}"/>
    <hyperlink ref="I7" r:id="rId27" xr:uid="{B4A00E14-EFED-4082-A89E-CBE83B7841FB}"/>
    <hyperlink ref="I8" r:id="rId28" xr:uid="{CF325BAE-118B-49A9-9FB6-A9B90861F090}"/>
    <hyperlink ref="I13" r:id="rId29" xr:uid="{59AD0802-CBD9-4450-AFD2-385E196D8512}"/>
    <hyperlink ref="I64" r:id="rId30" xr:uid="{503E0CE2-8663-4D6F-AD61-76634DD9E423}"/>
    <hyperlink ref="I63" r:id="rId31" xr:uid="{40A5FAD2-A699-46F7-A75B-79D9917F0372}"/>
    <hyperlink ref="I62" r:id="rId32" xr:uid="{6089B0C2-21D8-458A-BA6D-AAE744D5B7B7}"/>
    <hyperlink ref="I60" r:id="rId33" xr:uid="{DA723956-A089-441F-BF04-869B6BCE2DFD}"/>
    <hyperlink ref="I59" r:id="rId34" xr:uid="{5303A6F6-2A02-49B4-B4F4-F20494CCE689}"/>
    <hyperlink ref="I58" r:id="rId35" xr:uid="{52D1B181-A481-4508-9A50-EF3FCBF39C1A}"/>
    <hyperlink ref="I56" r:id="rId36" xr:uid="{EC1B596A-C06F-4135-8744-3955C2591C15}"/>
    <hyperlink ref="I9" r:id="rId37" xr:uid="{C5A6C149-3157-4269-98EA-B6497374AB7F}"/>
    <hyperlink ref="I65" r:id="rId38" xr:uid="{CF7F11EA-6E60-4D07-A9BD-F2F927393E01}"/>
  </hyperlinks>
  <pageMargins left="0.7" right="0.7" top="0.75" bottom="0.75" header="0.3" footer="0.3"/>
  <pageSetup scale="35" fitToHeight="0" orientation="portrait" r:id="rId39"/>
  <tableParts count="1">
    <tablePart r:id="rId4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A501"/>
  <sheetViews>
    <sheetView showGridLines="0" zoomScale="80" zoomScaleNormal="80" zoomScaleSheetLayoutView="100" zoomScalePageLayoutView="55" workbookViewId="0">
      <selection activeCell="M64" sqref="M64"/>
    </sheetView>
  </sheetViews>
  <sheetFormatPr defaultColWidth="0" defaultRowHeight="15" zeroHeight="1" outlineLevelCol="1" x14ac:dyDescent="0.25"/>
  <cols>
    <col min="1" max="1" width="14.42578125" bestFit="1" customWidth="1"/>
    <col min="2" max="2" width="17.5703125" style="3" bestFit="1" customWidth="1"/>
    <col min="3" max="3" width="57.85546875" style="3" customWidth="1"/>
    <col min="4" max="4" width="23.7109375" style="3" hidden="1" customWidth="1"/>
    <col min="5" max="5" width="23.140625" style="3" customWidth="1"/>
    <col min="6" max="6" width="15.28515625" style="3" bestFit="1" customWidth="1"/>
    <col min="7" max="7" width="17.85546875" customWidth="1"/>
    <col min="8" max="8" width="47.7109375" hidden="1" customWidth="1"/>
    <col min="9" max="9" width="39.140625" hidden="1" customWidth="1"/>
    <col min="10" max="10" width="42.5703125" customWidth="1"/>
    <col min="11" max="11" width="8.85546875" customWidth="1"/>
    <col min="12" max="12" width="20.140625" bestFit="1" customWidth="1"/>
    <col min="13" max="13" width="12" hidden="1" customWidth="1"/>
    <col min="14" max="14" width="12" customWidth="1"/>
    <col min="15" max="15" width="12" hidden="1" customWidth="1"/>
    <col min="16" max="16" width="3.5703125" hidden="1" customWidth="1"/>
    <col min="17" max="17" width="15.85546875" hidden="1" customWidth="1"/>
    <col min="18" max="18" width="51.7109375" hidden="1" customWidth="1"/>
    <col min="19" max="19" width="13.85546875" style="3" hidden="1" customWidth="1"/>
    <col min="20" max="20" width="14.5703125" style="3" hidden="1" customWidth="1"/>
    <col min="21" max="21" width="15.140625" style="3" hidden="1" customWidth="1"/>
    <col min="22" max="22" width="55.7109375" style="3" hidden="1" customWidth="1" outlineLevel="1"/>
    <col min="23" max="23" width="7.85546875" style="3" hidden="1" customWidth="1" collapsed="1"/>
    <col min="24" max="24" width="14.5703125" style="3" hidden="1" customWidth="1"/>
    <col min="25" max="25" width="8.85546875" hidden="1" customWidth="1"/>
    <col min="26" max="27" width="0" hidden="1" customWidth="1"/>
    <col min="28" max="16384" width="11.5703125" hidden="1"/>
  </cols>
  <sheetData>
    <row r="1" spans="1:24" ht="19.5" x14ac:dyDescent="0.3">
      <c r="A1" s="89" t="s">
        <v>89</v>
      </c>
      <c r="B1" s="90"/>
      <c r="C1" s="90"/>
      <c r="F1" s="20"/>
      <c r="M1" s="10" t="s">
        <v>45</v>
      </c>
      <c r="Q1" s="5"/>
      <c r="R1" s="5"/>
      <c r="V1" s="17" t="s">
        <v>61</v>
      </c>
    </row>
    <row r="2" spans="1:24" ht="19.5" x14ac:dyDescent="0.3">
      <c r="B2"/>
      <c r="C2" s="1"/>
      <c r="F2" s="19"/>
      <c r="Q2" s="5"/>
      <c r="R2" s="5"/>
      <c r="V2" s="105" t="s">
        <v>27</v>
      </c>
    </row>
    <row r="3" spans="1:24" ht="18.75" x14ac:dyDescent="0.3">
      <c r="B3"/>
      <c r="C3" s="1"/>
      <c r="G3" s="6" t="s">
        <v>60</v>
      </c>
      <c r="I3" s="52" t="s">
        <v>27</v>
      </c>
      <c r="J3" s="3" t="s">
        <v>100</v>
      </c>
      <c r="S3"/>
      <c r="T3"/>
      <c r="V3" s="104" t="s">
        <v>374</v>
      </c>
      <c r="X3"/>
    </row>
    <row r="4" spans="1:24" x14ac:dyDescent="0.25">
      <c r="B4"/>
      <c r="C4" s="1"/>
      <c r="G4" s="3"/>
      <c r="S4"/>
      <c r="T4"/>
      <c r="V4" s="104" t="s">
        <v>376</v>
      </c>
      <c r="X4"/>
    </row>
    <row r="5" spans="1:24" ht="18.75" x14ac:dyDescent="0.3">
      <c r="B5"/>
      <c r="C5" s="1"/>
      <c r="G5" s="82" t="s">
        <v>57</v>
      </c>
      <c r="I5" s="52" t="s">
        <v>56</v>
      </c>
      <c r="J5" s="6" t="str">
        <f>+I5</f>
        <v xml:space="preserve"> Station</v>
      </c>
      <c r="S5"/>
      <c r="T5"/>
      <c r="V5" s="104" t="s">
        <v>380</v>
      </c>
      <c r="X5"/>
    </row>
    <row r="6" spans="1:24" ht="18.75" x14ac:dyDescent="0.3">
      <c r="B6"/>
      <c r="C6" s="1"/>
      <c r="G6" s="87"/>
      <c r="I6" s="97">
        <v>33</v>
      </c>
      <c r="J6" s="16">
        <f>I6</f>
        <v>33</v>
      </c>
      <c r="V6" s="104" t="s">
        <v>385</v>
      </c>
    </row>
    <row r="7" spans="1:24" x14ac:dyDescent="0.25">
      <c r="B7"/>
      <c r="C7" s="1"/>
      <c r="F7"/>
      <c r="I7" s="3"/>
      <c r="V7" s="104" t="s">
        <v>382</v>
      </c>
    </row>
    <row r="8" spans="1:24" x14ac:dyDescent="0.25">
      <c r="B8"/>
      <c r="C8" s="1"/>
      <c r="F8"/>
      <c r="V8" s="104" t="s">
        <v>119</v>
      </c>
    </row>
    <row r="9" spans="1:24" x14ac:dyDescent="0.25">
      <c r="B9"/>
      <c r="C9" s="1"/>
      <c r="F9"/>
      <c r="V9" s="104" t="s">
        <v>18</v>
      </c>
    </row>
    <row r="10" spans="1:24" x14ac:dyDescent="0.25">
      <c r="F10"/>
      <c r="V10" s="104" t="s">
        <v>455</v>
      </c>
    </row>
    <row r="11" spans="1:24" x14ac:dyDescent="0.25">
      <c r="B11"/>
      <c r="F11"/>
      <c r="G11" s="3" t="str">
        <f>+IF(D11="","",IFERROR(IF(#REF!="#N/D","Log Out",""),"Log Out"))</f>
        <v/>
      </c>
      <c r="V11" s="104" t="s">
        <v>253</v>
      </c>
    </row>
    <row r="12" spans="1:24" ht="18.75" x14ac:dyDescent="0.3">
      <c r="A12" s="2" t="s">
        <v>79</v>
      </c>
      <c r="B12" s="2" t="s">
        <v>80</v>
      </c>
      <c r="C12" s="2" t="s">
        <v>81</v>
      </c>
      <c r="D12"/>
      <c r="E12"/>
      <c r="F12"/>
      <c r="S12"/>
      <c r="T12"/>
      <c r="U12"/>
      <c r="V12" s="104" t="s">
        <v>127</v>
      </c>
      <c r="W12"/>
      <c r="X12"/>
    </row>
    <row r="13" spans="1:24" ht="18.75" x14ac:dyDescent="0.3">
      <c r="A13" s="38" t="s">
        <v>75</v>
      </c>
      <c r="B13" s="38">
        <v>1</v>
      </c>
      <c r="C13" s="60">
        <v>4</v>
      </c>
      <c r="D13" s="58">
        <v>5</v>
      </c>
      <c r="E13" s="58">
        <v>6</v>
      </c>
      <c r="F13" s="58">
        <v>7</v>
      </c>
      <c r="G13" s="58">
        <v>1</v>
      </c>
      <c r="H13" s="58">
        <v>2</v>
      </c>
      <c r="I13" s="58">
        <v>3</v>
      </c>
      <c r="J13" s="58">
        <v>8</v>
      </c>
      <c r="K13" s="58">
        <v>9</v>
      </c>
      <c r="L13" s="59" t="s">
        <v>431</v>
      </c>
      <c r="S13"/>
      <c r="T13"/>
      <c r="U13"/>
      <c r="V13" s="104" t="s">
        <v>387</v>
      </c>
      <c r="W13"/>
      <c r="X13"/>
    </row>
    <row r="14" spans="1:24" x14ac:dyDescent="0.25">
      <c r="B14"/>
      <c r="C14" s="1"/>
      <c r="F14"/>
      <c r="Q14" s="21"/>
      <c r="S14"/>
      <c r="T14"/>
      <c r="U14"/>
      <c r="V14" s="104" t="s">
        <v>234</v>
      </c>
      <c r="W14"/>
      <c r="X14"/>
    </row>
    <row r="15" spans="1:24" ht="19.5" x14ac:dyDescent="0.3">
      <c r="A15" s="12" t="s">
        <v>25</v>
      </c>
      <c r="B15" s="10" t="s">
        <v>26</v>
      </c>
      <c r="C15" s="13" t="s">
        <v>50</v>
      </c>
      <c r="D15" s="14" t="s">
        <v>55</v>
      </c>
      <c r="E15" s="26" t="s">
        <v>82</v>
      </c>
      <c r="F15" s="91" t="s">
        <v>1</v>
      </c>
      <c r="G15" s="92"/>
      <c r="H15" s="10" t="s">
        <v>26</v>
      </c>
      <c r="I15" s="13" t="s">
        <v>50</v>
      </c>
      <c r="J15" s="15" t="s">
        <v>30</v>
      </c>
      <c r="K15" s="15" t="s">
        <v>54</v>
      </c>
      <c r="L15" s="10" t="s">
        <v>28</v>
      </c>
      <c r="M15" t="s">
        <v>59</v>
      </c>
      <c r="S15"/>
      <c r="T15" s="11"/>
      <c r="U15" s="23"/>
      <c r="V15"/>
      <c r="W15"/>
      <c r="X15"/>
    </row>
    <row r="16" spans="1:24" ht="18.75" x14ac:dyDescent="0.3">
      <c r="A16" s="27" t="s">
        <v>75</v>
      </c>
      <c r="B16" s="41" t="s">
        <v>0</v>
      </c>
      <c r="C16" s="25" t="s">
        <v>13</v>
      </c>
      <c r="D16" s="94">
        <v>1</v>
      </c>
      <c r="E16" s="3" t="str">
        <f>IFERROR(VLOOKUP(C16&amp;'H.A. Dynamic Split'!$C$13,'Flat Base'!A2:C559,3,0),"")</f>
        <v/>
      </c>
      <c r="F16" s="28" t="str">
        <f>IFERROR(HYPERLINK(VLOOKUP(C16,'Flat Base'!D:I,3,0),"SIG TOOLS"),"")</f>
        <v/>
      </c>
      <c r="G16" s="28" t="str">
        <f>IFERROR(HYPERLINK(VLOOKUP(C16,'Flat Base'!D:J,4,0),"SITE MAP"),"")</f>
        <v/>
      </c>
      <c r="H16" s="25" t="s">
        <v>0</v>
      </c>
      <c r="I16" s="25" t="s">
        <v>13</v>
      </c>
      <c r="J16" s="9" t="s">
        <v>3</v>
      </c>
      <c r="K16" s="9" t="s">
        <v>5</v>
      </c>
      <c r="L16" s="9" t="s">
        <v>3</v>
      </c>
      <c r="M16" s="93">
        <v>1</v>
      </c>
      <c r="N16" s="24"/>
      <c r="O16" s="24"/>
      <c r="S16"/>
      <c r="T16" s="7"/>
      <c r="U16" s="22"/>
      <c r="V16"/>
      <c r="W16"/>
      <c r="X16"/>
    </row>
    <row r="17" spans="1:24" ht="18.75" x14ac:dyDescent="0.3">
      <c r="A17" s="27"/>
      <c r="B17" s="44"/>
      <c r="C17" s="25" t="s">
        <v>100</v>
      </c>
      <c r="D17" s="94">
        <v>1</v>
      </c>
      <c r="E17" s="3">
        <f>IFERROR(VLOOKUP(C17&amp;'H.A. Dynamic Split'!$C$13,'Flat Base'!A2:C559,3,0),"")</f>
        <v>3</v>
      </c>
      <c r="F17" s="28" t="str">
        <f>IFERROR(HYPERLINK(VLOOKUP(C17,'Flat Base'!D:I,3,0),"SIG TOOLS"),"")</f>
        <v>SIG TOOLS</v>
      </c>
      <c r="G17" s="28" t="str">
        <f>IFERROR(HYPERLINK(VLOOKUP(C17,'Flat Base'!D:J,4,0),"SITE MAP"),"")</f>
        <v>SITE MAP</v>
      </c>
      <c r="H17" s="25"/>
      <c r="I17" t="s">
        <v>100</v>
      </c>
      <c r="J17" s="9" t="s">
        <v>3</v>
      </c>
      <c r="K17" s="18" t="s">
        <v>2</v>
      </c>
      <c r="L17" s="9" t="s">
        <v>3</v>
      </c>
      <c r="M17" s="95">
        <v>1</v>
      </c>
      <c r="N17" s="24"/>
      <c r="O17" s="24"/>
      <c r="S17"/>
      <c r="T17" s="7"/>
      <c r="U17" s="7"/>
      <c r="V17"/>
      <c r="W17"/>
      <c r="X17"/>
    </row>
    <row r="18" spans="1:24" ht="18.75" x14ac:dyDescent="0.3">
      <c r="A18" s="27"/>
      <c r="B18" s="44"/>
      <c r="C18" s="25" t="s">
        <v>101</v>
      </c>
      <c r="D18" s="94">
        <v>1</v>
      </c>
      <c r="E18" s="9" t="str">
        <f>IFERROR(VLOOKUP(C18&amp;'H.A. Dynamic Split'!$C$13,'Flat Base'!A3:C8,3,0),"")</f>
        <v/>
      </c>
      <c r="F18" s="28" t="str">
        <f>IFERROR(HYPERLINK(VLOOKUP(C18,'Flat Base'!D:I,3,0),"SIG TOOLS"),"")</f>
        <v/>
      </c>
      <c r="G18" s="28" t="str">
        <f>IFERROR(HYPERLINK(VLOOKUP(C18,'Flat Base'!D:J,4,0),"SITE MAP"),"")</f>
        <v/>
      </c>
      <c r="H18" s="25"/>
      <c r="I18" t="s">
        <v>101</v>
      </c>
      <c r="J18" s="9" t="s">
        <v>3</v>
      </c>
      <c r="K18" s="18" t="s">
        <v>2</v>
      </c>
      <c r="L18" s="9" t="s">
        <v>3</v>
      </c>
      <c r="M18" s="95">
        <v>1</v>
      </c>
      <c r="S18"/>
      <c r="T18" s="7"/>
      <c r="U18" s="7"/>
      <c r="V18"/>
      <c r="W18"/>
      <c r="X18"/>
    </row>
    <row r="19" spans="1:24" ht="18.75" x14ac:dyDescent="0.3">
      <c r="A19" s="27"/>
      <c r="B19" s="39"/>
      <c r="C19" s="25" t="s">
        <v>110</v>
      </c>
      <c r="D19" s="94">
        <v>1</v>
      </c>
      <c r="E19" s="9" t="str">
        <f>IFERROR(VLOOKUP(C19&amp;'H.A. Dynamic Split'!$C$13,'Flat Base'!A4:C8,3,0),"")</f>
        <v/>
      </c>
      <c r="F19" s="28" t="str">
        <f>IFERROR(HYPERLINK(VLOOKUP(C19,'Flat Base'!D:I,3,0),"SIG TOOLS"),"")</f>
        <v/>
      </c>
      <c r="G19" s="28" t="str">
        <f>IFERROR(HYPERLINK(VLOOKUP(C19,'Flat Base'!D:J,4,0),"SITE MAP"),"")</f>
        <v/>
      </c>
      <c r="H19" s="25"/>
      <c r="I19" t="s">
        <v>110</v>
      </c>
      <c r="J19" s="9" t="s">
        <v>3</v>
      </c>
      <c r="K19" s="18" t="s">
        <v>2</v>
      </c>
      <c r="L19" s="9" t="s">
        <v>3</v>
      </c>
      <c r="M19" s="95">
        <v>1</v>
      </c>
      <c r="S19"/>
      <c r="T19" s="7"/>
      <c r="U19" s="22"/>
      <c r="V19"/>
      <c r="W19"/>
      <c r="X19"/>
    </row>
    <row r="20" spans="1:24" ht="18.75" x14ac:dyDescent="0.3">
      <c r="A20" s="27"/>
      <c r="B20" s="29" t="s">
        <v>63</v>
      </c>
      <c r="C20" s="25" t="s">
        <v>39</v>
      </c>
      <c r="D20" s="94">
        <v>1</v>
      </c>
      <c r="E20" s="9" t="str">
        <f>IFERROR(VLOOKUP(C20&amp;'H.A. Dynamic Split'!$C$13,'Flat Base'!A5:C8,3,0),"")</f>
        <v/>
      </c>
      <c r="F20" s="28" t="str">
        <f>IFERROR(HYPERLINK(VLOOKUP(C20,'Flat Base'!D:I,3,0),"SIG TOOLS"),"")</f>
        <v/>
      </c>
      <c r="G20" s="28" t="str">
        <f>IFERROR(HYPERLINK(VLOOKUP(C20,'Flat Base'!D:J,4,0),"SITE MAP"),"")</f>
        <v/>
      </c>
      <c r="H20" s="25" t="s">
        <v>63</v>
      </c>
      <c r="I20" s="25" t="s">
        <v>39</v>
      </c>
      <c r="J20" s="9" t="s">
        <v>72</v>
      </c>
      <c r="K20" s="18" t="s">
        <v>2</v>
      </c>
      <c r="L20" s="9" t="s">
        <v>3</v>
      </c>
      <c r="M20" s="95">
        <v>1</v>
      </c>
      <c r="S20"/>
      <c r="T20" s="7"/>
      <c r="U20" s="7"/>
      <c r="V20"/>
      <c r="W20"/>
      <c r="X20"/>
    </row>
    <row r="21" spans="1:24" ht="18.75" x14ac:dyDescent="0.3">
      <c r="A21" s="27"/>
      <c r="B21" s="30"/>
      <c r="C21" s="25" t="s">
        <v>95</v>
      </c>
      <c r="D21" s="94">
        <v>1</v>
      </c>
      <c r="E21" s="9" t="str">
        <f>IFERROR(VLOOKUP(C21&amp;'H.A. Dynamic Split'!$C$13,'Flat Base'!A6:C8,3,0),"")</f>
        <v/>
      </c>
      <c r="F21" s="28" t="str">
        <f>IFERROR(HYPERLINK(VLOOKUP(C21,'Flat Base'!D:I,3,0),"SIG TOOLS"),"")</f>
        <v/>
      </c>
      <c r="G21" s="28" t="str">
        <f>IFERROR(HYPERLINK(VLOOKUP(C21,'Flat Base'!D:J,4,0),"SITE MAP"),"")</f>
        <v/>
      </c>
      <c r="H21" s="25"/>
      <c r="I21" t="s">
        <v>95</v>
      </c>
      <c r="J21" s="9" t="s">
        <v>72</v>
      </c>
      <c r="K21" s="18" t="s">
        <v>2</v>
      </c>
      <c r="L21" s="9" t="s">
        <v>69</v>
      </c>
      <c r="M21" s="95">
        <v>1</v>
      </c>
      <c r="S21"/>
      <c r="T21" s="7"/>
      <c r="U21" s="7"/>
      <c r="V21"/>
      <c r="W21"/>
      <c r="X21"/>
    </row>
    <row r="22" spans="1:24" ht="18.75" x14ac:dyDescent="0.3">
      <c r="A22" s="27"/>
      <c r="B22" s="30" t="s">
        <v>65</v>
      </c>
      <c r="C22" s="25" t="s">
        <v>20</v>
      </c>
      <c r="D22" s="94">
        <v>1</v>
      </c>
      <c r="E22" s="9" t="str">
        <f>IFERROR(VLOOKUP(C22&amp;'H.A. Dynamic Split'!$C$13,'Flat Base'!A7:C8,3,0),"")</f>
        <v/>
      </c>
      <c r="F22" s="28" t="str">
        <f>IFERROR(HYPERLINK(VLOOKUP(C22,'Flat Base'!D:I,3,0),"SIG TOOLS"),"")</f>
        <v/>
      </c>
      <c r="G22" s="28" t="str">
        <f>IFERROR(HYPERLINK(VLOOKUP(C22,'Flat Base'!D:J,4,0),"SITE MAP"),"")</f>
        <v/>
      </c>
      <c r="H22" s="25" t="s">
        <v>65</v>
      </c>
      <c r="I22" s="25" t="s">
        <v>20</v>
      </c>
      <c r="J22" s="9" t="s">
        <v>70</v>
      </c>
      <c r="K22" s="9" t="s">
        <v>4</v>
      </c>
      <c r="L22" s="9" t="s">
        <v>3</v>
      </c>
      <c r="M22" s="93">
        <v>1</v>
      </c>
      <c r="S22"/>
      <c r="T22" s="7"/>
      <c r="U22" s="7"/>
      <c r="V22"/>
      <c r="W22"/>
      <c r="X22"/>
    </row>
    <row r="23" spans="1:24" ht="18.75" x14ac:dyDescent="0.3">
      <c r="A23" s="27"/>
      <c r="B23" s="43" t="s">
        <v>66</v>
      </c>
      <c r="C23" s="25" t="s">
        <v>17</v>
      </c>
      <c r="D23" s="94">
        <v>1</v>
      </c>
      <c r="E23" s="9" t="str">
        <f>IFERROR(VLOOKUP(C23&amp;'H.A. Dynamic Split'!$C$13,'Flat Base'!A8:C8,3,0),"")</f>
        <v/>
      </c>
      <c r="F23" s="28" t="str">
        <f>IFERROR(HYPERLINK(VLOOKUP(C23,'Flat Base'!D:I,3,0),"SIG TOOLS"),"")</f>
        <v/>
      </c>
      <c r="G23" s="28" t="str">
        <f>IFERROR(HYPERLINK(VLOOKUP(C23,'Flat Base'!D:J,4,0),"SITE MAP"),"")</f>
        <v/>
      </c>
      <c r="H23" s="25" t="s">
        <v>66</v>
      </c>
      <c r="I23" t="s">
        <v>17</v>
      </c>
      <c r="J23" s="9" t="s">
        <v>70</v>
      </c>
      <c r="K23" s="9" t="s">
        <v>4</v>
      </c>
      <c r="L23" s="9" t="s">
        <v>3</v>
      </c>
      <c r="M23" s="93">
        <v>1</v>
      </c>
      <c r="S23"/>
      <c r="T23" s="7"/>
      <c r="U23" s="7"/>
      <c r="V23"/>
      <c r="W23" s="7"/>
      <c r="X23" s="7"/>
    </row>
    <row r="24" spans="1:24" ht="18.75" x14ac:dyDescent="0.3">
      <c r="A24" s="27"/>
      <c r="B24" s="40"/>
      <c r="C24" s="25" t="s">
        <v>42</v>
      </c>
      <c r="D24" s="94">
        <v>1</v>
      </c>
      <c r="E24" s="9" t="str">
        <f>IFERROR(VLOOKUP(C24&amp;'H.A. Dynamic Split'!$C$13,'Flat Base'!#REF!,3,0),"")</f>
        <v/>
      </c>
      <c r="F24" s="28" t="str">
        <f>IFERROR(HYPERLINK(VLOOKUP(C24,'Flat Base'!D:I,3,0),"SIG TOOLS"),"")</f>
        <v/>
      </c>
      <c r="G24" s="28" t="str">
        <f>IFERROR(HYPERLINK(VLOOKUP(C24,'Flat Base'!D:J,4,0),"SITE MAP"),"")</f>
        <v/>
      </c>
      <c r="H24" s="25"/>
      <c r="I24" t="s">
        <v>42</v>
      </c>
      <c r="J24" s="9" t="s">
        <v>70</v>
      </c>
      <c r="K24" s="9" t="s">
        <v>4</v>
      </c>
      <c r="L24" s="9" t="s">
        <v>3</v>
      </c>
      <c r="M24" s="93">
        <v>1</v>
      </c>
      <c r="S24"/>
      <c r="T24" s="7"/>
      <c r="U24" s="22"/>
      <c r="V24"/>
      <c r="W24" s="7"/>
      <c r="X24" s="7"/>
    </row>
    <row r="25" spans="1:24" ht="18.75" x14ac:dyDescent="0.3">
      <c r="A25" s="27"/>
      <c r="B25" s="30" t="s">
        <v>67</v>
      </c>
      <c r="C25" s="25" t="s">
        <v>32</v>
      </c>
      <c r="D25" s="94">
        <v>1</v>
      </c>
      <c r="E25" s="9" t="str">
        <f>IFERROR(VLOOKUP(C25&amp;'H.A. Dynamic Split'!$C$13,'Flat Base'!#REF!,3,0),"")</f>
        <v/>
      </c>
      <c r="F25" s="28" t="str">
        <f>IFERROR(HYPERLINK(VLOOKUP(C25,'Flat Base'!D:I,3,0),"SIG TOOLS"),"")</f>
        <v/>
      </c>
      <c r="G25" s="28" t="str">
        <f>IFERROR(HYPERLINK(VLOOKUP(C25,'Flat Base'!D:J,4,0),"SITE MAP"),"")</f>
        <v/>
      </c>
      <c r="H25" s="25" t="s">
        <v>67</v>
      </c>
      <c r="I25" s="25" t="s">
        <v>32</v>
      </c>
      <c r="J25" s="96" t="s">
        <v>73</v>
      </c>
      <c r="K25" s="9" t="s">
        <v>5</v>
      </c>
      <c r="L25" s="9" t="s">
        <v>3</v>
      </c>
      <c r="M25" s="93">
        <v>1</v>
      </c>
      <c r="S25"/>
      <c r="T25" s="7"/>
      <c r="U25" s="22"/>
      <c r="V25"/>
      <c r="W25" s="7"/>
      <c r="X25" s="7"/>
    </row>
    <row r="26" spans="1:24" ht="18.75" x14ac:dyDescent="0.3">
      <c r="B26"/>
      <c r="C26"/>
      <c r="D26"/>
      <c r="E26" s="9" t="str">
        <f>IFERROR(VLOOKUP(C26&amp;'H.A. Dynamic Split'!$C$13,'Flat Base'!#REF!,3,0),"")</f>
        <v/>
      </c>
      <c r="F26" s="28" t="str">
        <f>IFERROR(HYPERLINK(VLOOKUP(C26,'Flat Base'!D:I,3,0),"SIG TOOLS"),"")</f>
        <v/>
      </c>
      <c r="G26" s="28" t="str">
        <f>IFERROR(HYPERLINK(VLOOKUP(C26,'Flat Base'!D:J,4,0),"SITE MAP"),"")</f>
        <v/>
      </c>
      <c r="S26"/>
      <c r="T26" s="7"/>
      <c r="U26" s="7"/>
      <c r="V26"/>
      <c r="W26" s="7"/>
      <c r="X26" s="7"/>
    </row>
    <row r="27" spans="1:24" ht="18.75" x14ac:dyDescent="0.3">
      <c r="B27"/>
      <c r="C27"/>
      <c r="D27"/>
      <c r="E27" s="9" t="str">
        <f>IFERROR(VLOOKUP(C27&amp;'H.A. Dynamic Split'!$C$13,'Flat Base'!#REF!,3,0),"")</f>
        <v/>
      </c>
      <c r="F27" s="28" t="str">
        <f>IFERROR(HYPERLINK(VLOOKUP(C27,'Flat Base'!D:I,3,0),"SIG TOOLS"),"")</f>
        <v/>
      </c>
      <c r="G27" s="28" t="str">
        <f>IFERROR(HYPERLINK(VLOOKUP(C27,'Flat Base'!D:J,4,0),"SITE MAP"),"")</f>
        <v/>
      </c>
      <c r="L27" s="9"/>
      <c r="S27"/>
      <c r="T27" s="7"/>
      <c r="U27" s="7"/>
      <c r="V27"/>
      <c r="W27" s="7"/>
      <c r="X27" s="7"/>
    </row>
    <row r="28" spans="1:24" ht="18.75" x14ac:dyDescent="0.3">
      <c r="B28"/>
      <c r="C28"/>
      <c r="D28"/>
      <c r="E28" s="9" t="str">
        <f>IFERROR(VLOOKUP(C28&amp;'H.A. Dynamic Split'!$C$13,'Flat Base'!#REF!,3,0),"")</f>
        <v/>
      </c>
      <c r="F28" s="28" t="str">
        <f>IFERROR(HYPERLINK(VLOOKUP(C28,'Flat Base'!D:I,3,0),"SIG TOOLS"),"")</f>
        <v/>
      </c>
      <c r="G28" s="28" t="str">
        <f>IFERROR(HYPERLINK(VLOOKUP(C28,'Flat Base'!D:J,4,0),"SITE MAP"),"")</f>
        <v/>
      </c>
      <c r="S28"/>
      <c r="T28" s="7"/>
      <c r="U28" s="7"/>
      <c r="V28"/>
      <c r="W28" s="7"/>
      <c r="X28" s="7"/>
    </row>
    <row r="29" spans="1:24" ht="18.75" x14ac:dyDescent="0.3">
      <c r="B29"/>
      <c r="C29"/>
      <c r="D29"/>
      <c r="E29" s="9" t="str">
        <f>IFERROR(VLOOKUP(C29&amp;'H.A. Dynamic Split'!$C$13,'Flat Base'!#REF!,3,0),"")</f>
        <v/>
      </c>
      <c r="F29" s="28" t="str">
        <f>IFERROR(HYPERLINK(VLOOKUP(C29,'Flat Base'!D:I,3,0),"SIG TOOLS"),"")</f>
        <v/>
      </c>
      <c r="G29" s="28" t="str">
        <f>IFERROR(HYPERLINK(VLOOKUP(C29,'Flat Base'!D:J,4,0),"SITE MAP"),"")</f>
        <v/>
      </c>
      <c r="S29"/>
      <c r="T29" s="7"/>
      <c r="U29" s="7"/>
      <c r="V29"/>
      <c r="W29" s="7"/>
      <c r="X29" s="7"/>
    </row>
    <row r="30" spans="1:24" ht="18.75" x14ac:dyDescent="0.3">
      <c r="B30"/>
      <c r="C30"/>
      <c r="D30"/>
      <c r="E30" s="9" t="str">
        <f>IFERROR(VLOOKUP(C30&amp;'H.A. Dynamic Split'!$C$13,'Flat Base'!#REF!,3,0),"")</f>
        <v/>
      </c>
      <c r="F30" s="28" t="str">
        <f>IFERROR(HYPERLINK(VLOOKUP(C30,'Flat Base'!D:I,3,0),"SIG TOOLS"),"")</f>
        <v/>
      </c>
      <c r="G30" s="28" t="str">
        <f>IFERROR(HYPERLINK(VLOOKUP(C30,'Flat Base'!D:J,4,0),"SITE MAP"),"")</f>
        <v/>
      </c>
      <c r="S30"/>
      <c r="T30" s="7"/>
      <c r="U30" s="7"/>
      <c r="V30"/>
      <c r="W30" s="7"/>
      <c r="X30" s="7"/>
    </row>
    <row r="31" spans="1:24" ht="18.75" x14ac:dyDescent="0.3">
      <c r="B31"/>
      <c r="C31"/>
      <c r="D31"/>
      <c r="E31" s="9" t="str">
        <f>IFERROR(VLOOKUP(C31&amp;'H.A. Dynamic Split'!$C$13,'Flat Base'!#REF!,3,0),"")</f>
        <v/>
      </c>
      <c r="F31" s="28" t="str">
        <f>IFERROR(HYPERLINK(VLOOKUP(C31,'Flat Base'!D:I,3,0),"SIG TOOLS"),"")</f>
        <v/>
      </c>
      <c r="G31" s="28" t="str">
        <f>IFERROR(HYPERLINK(VLOOKUP(C31,'Flat Base'!D:J,4,0),"SITE MAP"),"")</f>
        <v/>
      </c>
      <c r="S31"/>
      <c r="T31" s="7"/>
      <c r="U31" s="7"/>
      <c r="V31"/>
      <c r="W31" s="7"/>
      <c r="X31" s="7"/>
    </row>
    <row r="32" spans="1:24" ht="18.75" x14ac:dyDescent="0.3">
      <c r="B32"/>
      <c r="C32"/>
      <c r="D32"/>
      <c r="E32" s="9" t="str">
        <f>IFERROR(VLOOKUP(C32&amp;'H.A. Dynamic Split'!$C$13,'Flat Base'!#REF!,3,0),"")</f>
        <v/>
      </c>
      <c r="F32" s="28" t="str">
        <f>IFERROR(HYPERLINK(VLOOKUP(C32,'Flat Base'!D:I,3,0),"SIG TOOLS"),"")</f>
        <v/>
      </c>
      <c r="G32" s="28" t="str">
        <f>IFERROR(HYPERLINK(VLOOKUP(C32,'Flat Base'!D:J,4,0),"SITE MAP"),"")</f>
        <v/>
      </c>
      <c r="S32"/>
      <c r="T32" s="7"/>
      <c r="U32" s="7"/>
      <c r="V32"/>
      <c r="W32" s="7"/>
      <c r="X32" s="7"/>
    </row>
    <row r="33" spans="2:24" ht="18.75" x14ac:dyDescent="0.3">
      <c r="B33"/>
      <c r="C33"/>
      <c r="D33"/>
      <c r="E33" s="9" t="str">
        <f>IFERROR(VLOOKUP(C33&amp;'H.A. Dynamic Split'!$C$13,'Flat Base'!#REF!,3,0),"")</f>
        <v/>
      </c>
      <c r="F33" s="28" t="str">
        <f>IFERROR(HYPERLINK(VLOOKUP(C33,'Flat Base'!D:I,3,0),"SIG TOOLS"),"")</f>
        <v/>
      </c>
      <c r="G33" s="28" t="str">
        <f>IFERROR(HYPERLINK(VLOOKUP(C33,'Flat Base'!D:J,4,0),"SITE MAP"),"")</f>
        <v/>
      </c>
      <c r="S33"/>
      <c r="T33" s="7"/>
      <c r="U33" s="7"/>
      <c r="V33"/>
      <c r="W33" s="7"/>
      <c r="X33" s="7"/>
    </row>
    <row r="34" spans="2:24" ht="18.75" x14ac:dyDescent="0.3">
      <c r="B34"/>
      <c r="C34"/>
      <c r="D34"/>
      <c r="E34" s="9" t="str">
        <f>IFERROR(VLOOKUP(C34&amp;'H.A. Dynamic Split'!$C$13,'Flat Base'!#REF!,3,0),"")</f>
        <v/>
      </c>
      <c r="F34" s="28" t="str">
        <f>IFERROR(HYPERLINK(VLOOKUP(C34,'Flat Base'!D:I,3,0),"SIG TOOLS"),"")</f>
        <v/>
      </c>
      <c r="G34" s="28" t="str">
        <f>IFERROR(HYPERLINK(VLOOKUP(C34,'Flat Base'!D:J,4,0),"SITE MAP"),"")</f>
        <v/>
      </c>
      <c r="S34"/>
      <c r="T34" s="7"/>
      <c r="U34" s="7"/>
      <c r="V34"/>
      <c r="W34" s="7"/>
      <c r="X34" s="7"/>
    </row>
    <row r="35" spans="2:24" ht="18.75" x14ac:dyDescent="0.3">
      <c r="B35"/>
      <c r="C35"/>
      <c r="D35"/>
      <c r="E35" s="9" t="str">
        <f>IFERROR(VLOOKUP(C35&amp;'H.A. Dynamic Split'!$C$13,'Flat Base'!#REF!,3,0),"")</f>
        <v/>
      </c>
      <c r="F35" s="28" t="str">
        <f>IFERROR(HYPERLINK(VLOOKUP(C35,'Flat Base'!D:I,3,0),"SIG TOOLS"),"")</f>
        <v/>
      </c>
      <c r="G35" s="28" t="str">
        <f>IFERROR(HYPERLINK(VLOOKUP(C35,'Flat Base'!D:J,4,0),"SITE MAP"),"")</f>
        <v/>
      </c>
      <c r="S35"/>
      <c r="T35" s="7"/>
      <c r="U35" s="7"/>
      <c r="V35"/>
      <c r="W35" s="7"/>
      <c r="X35" s="7"/>
    </row>
    <row r="36" spans="2:24" ht="18.75" x14ac:dyDescent="0.3">
      <c r="B36"/>
      <c r="C36"/>
      <c r="D36"/>
      <c r="E36" s="9" t="str">
        <f>IFERROR(VLOOKUP(C36&amp;'H.A. Dynamic Split'!$C$13,'Flat Base'!#REF!,3,0),"")</f>
        <v/>
      </c>
      <c r="F36" s="28" t="str">
        <f>IFERROR(HYPERLINK(VLOOKUP(C36,'Flat Base'!D:I,3,0),"SIG TOOLS"),"")</f>
        <v/>
      </c>
      <c r="G36" s="28" t="str">
        <f>IFERROR(HYPERLINK(VLOOKUP(C36,'Flat Base'!D:J,4,0),"SITE MAP"),"")</f>
        <v/>
      </c>
      <c r="S36"/>
      <c r="T36" s="7"/>
      <c r="U36" s="7"/>
      <c r="V36"/>
      <c r="W36" s="7"/>
      <c r="X36" s="7"/>
    </row>
    <row r="37" spans="2:24" ht="18.75" x14ac:dyDescent="0.3">
      <c r="B37"/>
      <c r="C37"/>
      <c r="D37"/>
      <c r="E37" s="9" t="str">
        <f>IFERROR(VLOOKUP(C37&amp;'H.A. Dynamic Split'!$C$13,'Flat Base'!#REF!,3,0),"")</f>
        <v/>
      </c>
      <c r="F37" s="28" t="str">
        <f>IFERROR(HYPERLINK(VLOOKUP(C37,'Flat Base'!D:I,3,0),"SIG TOOLS"),"")</f>
        <v/>
      </c>
      <c r="G37" s="28" t="str">
        <f>IFERROR(HYPERLINK(VLOOKUP(C37,'Flat Base'!D:J,4,0),"SITE MAP"),"")</f>
        <v/>
      </c>
      <c r="S37"/>
      <c r="T37" s="7"/>
      <c r="U37" s="7"/>
      <c r="V37"/>
      <c r="W37" s="7"/>
      <c r="X37" s="7"/>
    </row>
    <row r="38" spans="2:24" ht="18.75" x14ac:dyDescent="0.3">
      <c r="B38"/>
      <c r="C38"/>
      <c r="D38"/>
      <c r="E38" s="9" t="str">
        <f>IFERROR(VLOOKUP(C38&amp;'H.A. Dynamic Split'!$C$13,'Flat Base'!#REF!,3,0),"")</f>
        <v/>
      </c>
      <c r="F38" s="28" t="str">
        <f>IFERROR(HYPERLINK(VLOOKUP(C38,'Flat Base'!D:I,3,0),"SIG TOOLS"),"")</f>
        <v/>
      </c>
      <c r="G38" s="28" t="str">
        <f>IFERROR(HYPERLINK(VLOOKUP(C38,'Flat Base'!D:J,4,0),"SITE MAP"),"")</f>
        <v/>
      </c>
      <c r="S38"/>
      <c r="T38" s="7"/>
      <c r="U38" s="7"/>
      <c r="V38"/>
      <c r="W38" s="7"/>
      <c r="X38" s="7"/>
    </row>
    <row r="39" spans="2:24" ht="18.75" x14ac:dyDescent="0.3">
      <c r="B39"/>
      <c r="C39"/>
      <c r="D39"/>
      <c r="E39" s="3" t="str">
        <f>IFERROR(VLOOKUP(C39&amp;'H.A. Dynamic Split'!$C$13,'Flat Base'!#REF!,3,0),"")</f>
        <v/>
      </c>
      <c r="F39" s="8" t="str">
        <f>IFERROR(HYPERLINK(VLOOKUP(C39,'Flat Base'!D:I,3,0),"SIG TOOLS"),"")</f>
        <v/>
      </c>
      <c r="G39" s="8" t="str">
        <f>IFERROR(HYPERLINK(VLOOKUP(C39,'Flat Base'!D:J,4,0),"SITE MAP"),"")</f>
        <v/>
      </c>
      <c r="S39"/>
      <c r="T39" s="7"/>
      <c r="U39" s="7"/>
      <c r="V39"/>
      <c r="W39" s="7"/>
      <c r="X39" s="7"/>
    </row>
    <row r="40" spans="2:24" ht="18.75" x14ac:dyDescent="0.3">
      <c r="B40"/>
      <c r="C40"/>
      <c r="D40"/>
      <c r="E40" t="str">
        <f>IFERROR(VLOOKUP(C40&amp;'H.A. Dynamic Split'!$C$13,'Flat Base'!#REF!,3,0),"")</f>
        <v/>
      </c>
      <c r="F40" s="8" t="str">
        <f>IFERROR(HYPERLINK(VLOOKUP(C40,'Flat Base'!D:I,3,0),"SIG TOOLS"),"")</f>
        <v/>
      </c>
      <c r="G40" s="8" t="str">
        <f>IFERROR(HYPERLINK(VLOOKUP(C40,'Flat Base'!D:J,4,0),"SITE MAP"),"")</f>
        <v/>
      </c>
      <c r="S40"/>
      <c r="T40" s="7"/>
      <c r="U40" s="7"/>
      <c r="V40"/>
      <c r="W40" s="7"/>
      <c r="X40" s="7"/>
    </row>
    <row r="41" spans="2:24" ht="18.75" x14ac:dyDescent="0.3">
      <c r="B41"/>
      <c r="C41"/>
      <c r="D41"/>
      <c r="E41"/>
      <c r="F41" s="8" t="str">
        <f>IFERROR(HYPERLINK(VLOOKUP(C41,'Flat Base'!D:I,3,0),"SIG TOOLS"),"")</f>
        <v/>
      </c>
      <c r="G41" s="8" t="str">
        <f>IFERROR(HYPERLINK(VLOOKUP(C41,'Flat Base'!D:J,4,0),"SITE MAP"),"")</f>
        <v/>
      </c>
      <c r="S41"/>
      <c r="T41" s="7"/>
      <c r="U41" s="7"/>
      <c r="V41"/>
      <c r="W41" s="7"/>
      <c r="X41" s="7"/>
    </row>
    <row r="42" spans="2:24" ht="18.75" x14ac:dyDescent="0.3">
      <c r="B42"/>
      <c r="C42"/>
      <c r="D42"/>
      <c r="E42"/>
      <c r="F42" s="8" t="str">
        <f>IFERROR(HYPERLINK(VLOOKUP(C42,'Flat Base'!D:I,3,0),"SIG TOOLS"),"")</f>
        <v/>
      </c>
      <c r="G42" s="8" t="str">
        <f>IFERROR(HYPERLINK(VLOOKUP(C42,'Flat Base'!D:J,4,0),"SITE MAP"),"")</f>
        <v/>
      </c>
      <c r="S42"/>
      <c r="T42" s="7"/>
      <c r="U42" s="7"/>
      <c r="V42"/>
      <c r="W42" s="7"/>
      <c r="X42" s="7"/>
    </row>
    <row r="43" spans="2:24" ht="18.75" x14ac:dyDescent="0.3">
      <c r="B43"/>
      <c r="C43"/>
      <c r="D43"/>
      <c r="E43"/>
      <c r="F43" s="8" t="str">
        <f>IFERROR(HYPERLINK(VLOOKUP(C43,'Flat Base'!D:I,3,0),"SIG TOOLS"),"")</f>
        <v/>
      </c>
      <c r="G43" s="8" t="str">
        <f>IFERROR(HYPERLINK(VLOOKUP(C43,'Flat Base'!D:J,4,0),"SITE MAP"),"")</f>
        <v/>
      </c>
      <c r="S43"/>
      <c r="T43" s="7"/>
      <c r="U43" s="7"/>
      <c r="V43"/>
      <c r="W43" s="7"/>
      <c r="X43" s="7"/>
    </row>
    <row r="44" spans="2:24" ht="18.75" x14ac:dyDescent="0.3">
      <c r="B44"/>
      <c r="C44"/>
      <c r="D44"/>
      <c r="E44"/>
      <c r="F44" s="8" t="str">
        <f>IFERROR(HYPERLINK(VLOOKUP(C44,'Flat Base'!D:I,3,0),"SIG TOOLS"),"")</f>
        <v/>
      </c>
      <c r="G44" s="8" t="str">
        <f>IFERROR(HYPERLINK(VLOOKUP(C44,'Flat Base'!D:J,4,0),"SITE MAP"),"")</f>
        <v/>
      </c>
      <c r="S44"/>
      <c r="T44" s="7"/>
      <c r="U44" s="7"/>
      <c r="V44"/>
      <c r="W44" s="7"/>
      <c r="X44" s="7"/>
    </row>
    <row r="45" spans="2:24" ht="18.75" x14ac:dyDescent="0.3">
      <c r="B45"/>
      <c r="C45"/>
      <c r="D45"/>
      <c r="E45"/>
      <c r="F45" s="8" t="str">
        <f>IFERROR(HYPERLINK(VLOOKUP(C45,'Flat Base'!D:I,3,0),"SIG TOOLS"),"")</f>
        <v/>
      </c>
      <c r="G45" s="8" t="str">
        <f>IFERROR(HYPERLINK(VLOOKUP(C45,'Flat Base'!D:J,4,0),"SITE MAP"),"")</f>
        <v/>
      </c>
      <c r="S45"/>
      <c r="T45" s="7"/>
      <c r="U45" s="7"/>
      <c r="V45"/>
      <c r="W45" s="7"/>
      <c r="X45" s="7"/>
    </row>
    <row r="46" spans="2:24" ht="18.75" hidden="1" x14ac:dyDescent="0.3">
      <c r="B46"/>
      <c r="C46"/>
      <c r="D46"/>
      <c r="E46"/>
      <c r="F46" s="8" t="str">
        <f>IFERROR(HYPERLINK(VLOOKUP(C46,'Flat Base'!D:I,3,0),"SIG TOOLS"),"")</f>
        <v/>
      </c>
      <c r="G46" s="8" t="str">
        <f>IFERROR(HYPERLINK(VLOOKUP(C46,'Flat Base'!D:J,4,0),"SITE MAP"),"")</f>
        <v/>
      </c>
      <c r="S46"/>
      <c r="T46" s="7"/>
      <c r="U46" s="7"/>
      <c r="V46"/>
      <c r="W46" s="7"/>
      <c r="X46" s="7"/>
    </row>
    <row r="47" spans="2:24" ht="18.75" hidden="1" x14ac:dyDescent="0.3">
      <c r="B47"/>
      <c r="C47"/>
      <c r="D47"/>
      <c r="E47"/>
      <c r="F47" s="8" t="str">
        <f>IFERROR(HYPERLINK(VLOOKUP(C47,'Flat Base'!D:I,3,0),"SIG TOOLS"),"")</f>
        <v/>
      </c>
      <c r="G47" s="8" t="str">
        <f>IFERROR(HYPERLINK(VLOOKUP(C47,'Flat Base'!D:J,4,0),"SITE MAP"),"")</f>
        <v/>
      </c>
      <c r="S47"/>
      <c r="T47" s="7"/>
      <c r="U47" s="7"/>
      <c r="V47"/>
      <c r="W47" s="7"/>
      <c r="X47" s="7"/>
    </row>
    <row r="48" spans="2:24" ht="18.75" hidden="1" x14ac:dyDescent="0.3">
      <c r="B48"/>
      <c r="C48"/>
      <c r="D48"/>
      <c r="E48"/>
      <c r="F48" s="8" t="str">
        <f>IFERROR(HYPERLINK(VLOOKUP(C48,'Flat Base'!D:I,3,0),"SIG TOOLS"),"")</f>
        <v/>
      </c>
      <c r="G48" s="8" t="str">
        <f>IFERROR(HYPERLINK(VLOOKUP(C48,'Flat Base'!D:J,4,0),"SITE MAP"),"")</f>
        <v/>
      </c>
      <c r="S48"/>
      <c r="T48" s="7"/>
      <c r="U48" s="7"/>
      <c r="V48"/>
      <c r="W48" s="7"/>
      <c r="X48" s="7"/>
    </row>
    <row r="49" spans="2:24" ht="18.75" hidden="1" x14ac:dyDescent="0.3">
      <c r="B49"/>
      <c r="C49"/>
      <c r="D49"/>
      <c r="E49"/>
      <c r="F49" s="8" t="str">
        <f>IFERROR(HYPERLINK(VLOOKUP(C49,'Flat Base'!D:I,3,0),"SIG TOOLS"),"")</f>
        <v/>
      </c>
      <c r="G49" s="8" t="str">
        <f>IFERROR(HYPERLINK(VLOOKUP(C49,'Flat Base'!D:J,4,0),"SITE MAP"),"")</f>
        <v/>
      </c>
      <c r="S49"/>
      <c r="T49" s="7"/>
      <c r="U49" s="7"/>
      <c r="V49"/>
      <c r="W49" s="7"/>
      <c r="X49" s="7"/>
    </row>
    <row r="50" spans="2:24" ht="18.75" hidden="1" x14ac:dyDescent="0.3">
      <c r="B50"/>
      <c r="C50"/>
      <c r="D50"/>
      <c r="E50"/>
      <c r="F50" s="8" t="str">
        <f>IFERROR(HYPERLINK(VLOOKUP(C50,'Flat Base'!D:I,3,0),"SIG TOOLS"),"")</f>
        <v/>
      </c>
      <c r="G50" s="8" t="str">
        <f>IFERROR(HYPERLINK(VLOOKUP(C50,'Flat Base'!D:J,4,0),"SITE MAP"),"")</f>
        <v/>
      </c>
      <c r="S50"/>
      <c r="T50" s="7"/>
      <c r="U50" s="7"/>
      <c r="V50"/>
      <c r="W50" s="7"/>
      <c r="X50" s="7"/>
    </row>
    <row r="51" spans="2:24" ht="18.75" hidden="1" x14ac:dyDescent="0.3">
      <c r="B51"/>
      <c r="C51"/>
      <c r="D51"/>
      <c r="E51"/>
      <c r="F51" s="8" t="str">
        <f>IFERROR(HYPERLINK(VLOOKUP(C51,'Flat Base'!D:I,3,0),"SIG TOOLS"),"")</f>
        <v/>
      </c>
      <c r="G51" s="8" t="str">
        <f>IFERROR(HYPERLINK(VLOOKUP(C51,'Flat Base'!D:J,4,0),"SITE MAP"),"")</f>
        <v/>
      </c>
      <c r="S51"/>
      <c r="T51" s="7"/>
      <c r="U51" s="7"/>
      <c r="V51"/>
      <c r="W51" s="7"/>
      <c r="X51" s="7"/>
    </row>
    <row r="52" spans="2:24" ht="18.75" hidden="1" x14ac:dyDescent="0.3">
      <c r="B52"/>
      <c r="C52"/>
      <c r="D52"/>
      <c r="E52"/>
      <c r="F52" s="8" t="str">
        <f>IFERROR(HYPERLINK(VLOOKUP(C52,'Flat Base'!D:I,3,0),"SIG TOOLS"),"")</f>
        <v/>
      </c>
      <c r="G52" s="8" t="str">
        <f>IFERROR(HYPERLINK(VLOOKUP(C52,'Flat Base'!D:J,4,0),"SITE MAP"),"")</f>
        <v/>
      </c>
      <c r="S52"/>
      <c r="T52" s="7"/>
      <c r="U52" s="7"/>
      <c r="V52"/>
      <c r="W52" s="7"/>
      <c r="X52" s="7"/>
    </row>
    <row r="53" spans="2:24" ht="18.75" hidden="1" x14ac:dyDescent="0.3">
      <c r="B53"/>
      <c r="C53"/>
      <c r="D53"/>
      <c r="E53"/>
      <c r="F53" s="8" t="str">
        <f>IFERROR(HYPERLINK(VLOOKUP(C53,'Flat Base'!D:I,3,0),"SIG TOOLS"),"")</f>
        <v/>
      </c>
      <c r="G53" s="8" t="str">
        <f>IFERROR(HYPERLINK(VLOOKUP(C53,'Flat Base'!D:J,4,0),"SITE MAP"),"")</f>
        <v/>
      </c>
      <c r="S53"/>
      <c r="T53" s="7"/>
      <c r="U53" s="7"/>
      <c r="V53"/>
      <c r="W53" s="7"/>
      <c r="X53" s="7"/>
    </row>
    <row r="54" spans="2:24" ht="18.75" hidden="1" x14ac:dyDescent="0.3">
      <c r="B54"/>
      <c r="C54"/>
      <c r="D54"/>
      <c r="E54"/>
      <c r="F54" s="8" t="str">
        <f>IFERROR(HYPERLINK(VLOOKUP(C54,'Flat Base'!D:I,3,0),"SIG TOOLS"),"")</f>
        <v/>
      </c>
      <c r="G54" s="8" t="str">
        <f>IFERROR(HYPERLINK(VLOOKUP(C54,'Flat Base'!D:J,4,0),"SITE MAP"),"")</f>
        <v/>
      </c>
      <c r="S54"/>
      <c r="T54" s="7"/>
      <c r="U54" s="7"/>
      <c r="V54"/>
      <c r="W54" s="7"/>
      <c r="X54" s="7"/>
    </row>
    <row r="55" spans="2:24" ht="18.75" hidden="1" x14ac:dyDescent="0.3">
      <c r="B55"/>
      <c r="C55"/>
      <c r="D55"/>
      <c r="E55"/>
      <c r="F55" s="8" t="str">
        <f>IFERROR(HYPERLINK(VLOOKUP(C55,'Flat Base'!D:I,3,0),"SIG TOOLS"),"")</f>
        <v/>
      </c>
      <c r="G55" s="8" t="str">
        <f>IFERROR(HYPERLINK(VLOOKUP(C55,'Flat Base'!D:J,4,0),"SITE MAP"),"")</f>
        <v/>
      </c>
      <c r="S55"/>
      <c r="T55" s="7"/>
      <c r="U55" s="7"/>
      <c r="V55"/>
      <c r="W55" s="7"/>
      <c r="X55" s="7"/>
    </row>
    <row r="56" spans="2:24" ht="18.75" hidden="1" x14ac:dyDescent="0.3">
      <c r="B56"/>
      <c r="C56"/>
      <c r="D56"/>
      <c r="E56"/>
      <c r="F56" s="8" t="str">
        <f>IFERROR(HYPERLINK(VLOOKUP(C56,'Flat Base'!D:I,3,0),"SIG TOOLS"),"")</f>
        <v/>
      </c>
      <c r="G56" s="8" t="str">
        <f>IFERROR(HYPERLINK(VLOOKUP(C56,'Flat Base'!D:J,4,0),"SITE MAP"),"")</f>
        <v/>
      </c>
      <c r="S56"/>
      <c r="T56" s="7"/>
      <c r="U56" s="7"/>
      <c r="V56"/>
      <c r="W56" s="7"/>
      <c r="X56" s="7"/>
    </row>
    <row r="57" spans="2:24" ht="18.75" hidden="1" x14ac:dyDescent="0.3">
      <c r="B57"/>
      <c r="C57"/>
      <c r="D57"/>
      <c r="E57"/>
      <c r="F57" s="8" t="str">
        <f>IFERROR(HYPERLINK(VLOOKUP(C57,'Flat Base'!D:I,3,0),"SIG TOOLS"),"")</f>
        <v/>
      </c>
      <c r="G57" s="8" t="str">
        <f>IFERROR(HYPERLINK(VLOOKUP(C57,'Flat Base'!D:J,4,0),"SITE MAP"),"")</f>
        <v/>
      </c>
      <c r="S57"/>
      <c r="T57" s="7"/>
      <c r="U57" s="7"/>
      <c r="V57"/>
      <c r="W57" s="7"/>
      <c r="X57" s="7"/>
    </row>
    <row r="58" spans="2:24" ht="18.75" hidden="1" x14ac:dyDescent="0.3">
      <c r="B58"/>
      <c r="C58"/>
      <c r="D58"/>
      <c r="E58"/>
      <c r="F58" s="8" t="str">
        <f>IFERROR(HYPERLINK(VLOOKUP(C58,'Flat Base'!D:I,3,0),"SIG TOOLS"),"")</f>
        <v/>
      </c>
      <c r="G58" s="8" t="str">
        <f>IFERROR(HYPERLINK(VLOOKUP(C58,'Flat Base'!D:J,4,0),"SITE MAP"),"")</f>
        <v/>
      </c>
      <c r="S58"/>
      <c r="T58" s="7"/>
      <c r="U58" s="7"/>
      <c r="V58"/>
      <c r="W58" s="7"/>
      <c r="X58" s="7"/>
    </row>
    <row r="59" spans="2:24" ht="18.75" hidden="1" x14ac:dyDescent="0.3">
      <c r="B59"/>
      <c r="C59"/>
      <c r="D59"/>
      <c r="E59"/>
      <c r="F59" s="8" t="str">
        <f>IFERROR(HYPERLINK(VLOOKUP(C59,'Flat Base'!D:I,3,0),"SIG TOOLS"),"")</f>
        <v/>
      </c>
      <c r="G59" s="8" t="str">
        <f>IFERROR(HYPERLINK(VLOOKUP(C59,'Flat Base'!D:J,4,0),"SITE MAP"),"")</f>
        <v/>
      </c>
      <c r="S59"/>
      <c r="T59" s="7"/>
      <c r="U59" s="7"/>
      <c r="V59"/>
      <c r="W59" s="7"/>
      <c r="X59" s="7"/>
    </row>
    <row r="60" spans="2:24" ht="18.75" hidden="1" x14ac:dyDescent="0.3">
      <c r="B60"/>
      <c r="C60"/>
      <c r="D60"/>
      <c r="E60"/>
      <c r="F60" s="8" t="str">
        <f>IFERROR(HYPERLINK(VLOOKUP(C60,'Flat Base'!D:I,3,0),"SIG TOOLS"),"")</f>
        <v/>
      </c>
      <c r="G60" s="8" t="str">
        <f>IFERROR(HYPERLINK(VLOOKUP(C60,'Flat Base'!D:J,4,0),"SITE MAP"),"")</f>
        <v/>
      </c>
      <c r="S60"/>
      <c r="T60" s="7"/>
      <c r="U60" s="7"/>
      <c r="V60"/>
      <c r="W60" s="7"/>
      <c r="X60" s="7"/>
    </row>
    <row r="61" spans="2:24" ht="18.75" hidden="1" x14ac:dyDescent="0.3">
      <c r="B61"/>
      <c r="C61"/>
      <c r="D61"/>
      <c r="E61"/>
      <c r="F61" s="8" t="str">
        <f>IFERROR(HYPERLINK(VLOOKUP(C61,'Flat Base'!D:I,3,0),"SIG TOOLS"),"")</f>
        <v/>
      </c>
      <c r="G61" s="8" t="str">
        <f>IFERROR(HYPERLINK(VLOOKUP(C61,'Flat Base'!D:J,4,0),"SITE MAP"),"")</f>
        <v/>
      </c>
      <c r="S61"/>
      <c r="T61" s="7"/>
      <c r="U61" s="7"/>
      <c r="V61"/>
      <c r="W61" s="7"/>
      <c r="X61" s="7"/>
    </row>
    <row r="62" spans="2:24" ht="18.75" hidden="1" x14ac:dyDescent="0.3">
      <c r="B62"/>
      <c r="C62"/>
      <c r="D62"/>
      <c r="E62"/>
      <c r="F62" s="8" t="str">
        <f>IFERROR(HYPERLINK(VLOOKUP(C62,'Flat Base'!D:I,3,0),"SIG TOOLS"),"")</f>
        <v/>
      </c>
      <c r="G62" s="8" t="str">
        <f>IFERROR(HYPERLINK(VLOOKUP(C62,'Flat Base'!D:J,4,0),"SITE MAP"),"")</f>
        <v/>
      </c>
      <c r="S62"/>
      <c r="T62" s="7"/>
      <c r="U62" s="7"/>
      <c r="V62"/>
      <c r="W62" s="7"/>
      <c r="X62" s="7"/>
    </row>
    <row r="63" spans="2:24" ht="18.75" hidden="1" x14ac:dyDescent="0.3">
      <c r="B63"/>
      <c r="C63"/>
      <c r="D63"/>
      <c r="E63"/>
      <c r="F63" s="8" t="str">
        <f>IFERROR(HYPERLINK(VLOOKUP(C63,'Flat Base'!D:I,3,0),"SIG TOOLS"),"")</f>
        <v/>
      </c>
      <c r="G63" s="8" t="str">
        <f>IFERROR(HYPERLINK(VLOOKUP(C63,'Flat Base'!D:J,4,0),"SITE MAP"),"")</f>
        <v/>
      </c>
      <c r="S63"/>
      <c r="T63" s="7"/>
      <c r="U63" s="7"/>
      <c r="V63"/>
      <c r="W63" s="7"/>
      <c r="X63" s="7"/>
    </row>
    <row r="64" spans="2:24" ht="18.75" hidden="1" x14ac:dyDescent="0.3">
      <c r="B64"/>
      <c r="C64"/>
      <c r="D64"/>
      <c r="E64"/>
      <c r="F64" s="8" t="str">
        <f>IFERROR(HYPERLINK(VLOOKUP(C64,'Flat Base'!D:I,3,0),"SIG TOOLS"),"")</f>
        <v/>
      </c>
      <c r="G64" s="8" t="str">
        <f>IFERROR(HYPERLINK(VLOOKUP(C64,'Flat Base'!D:J,4,0),"SITE MAP"),"")</f>
        <v/>
      </c>
      <c r="S64"/>
      <c r="T64" s="7"/>
      <c r="U64" s="7"/>
      <c r="V64"/>
      <c r="W64" s="7"/>
      <c r="X64" s="7"/>
    </row>
    <row r="65" spans="2:24" ht="18.75" hidden="1" x14ac:dyDescent="0.3">
      <c r="B65"/>
      <c r="C65"/>
      <c r="D65"/>
      <c r="E65"/>
      <c r="F65" s="8" t="str">
        <f>IFERROR(HYPERLINK(VLOOKUP(C65,'Flat Base'!D:I,3,0),"SIG TOOLS"),"")</f>
        <v/>
      </c>
      <c r="G65" s="8" t="str">
        <f>IFERROR(HYPERLINK(VLOOKUP(C65,'Flat Base'!D:J,4,0),"SITE MAP"),"")</f>
        <v/>
      </c>
      <c r="S65"/>
      <c r="T65" s="7"/>
      <c r="U65" s="7"/>
      <c r="V65"/>
      <c r="W65" s="7"/>
      <c r="X65" s="7"/>
    </row>
    <row r="66" spans="2:24" ht="18.75" hidden="1" x14ac:dyDescent="0.3">
      <c r="B66"/>
      <c r="C66"/>
      <c r="D66"/>
      <c r="E66"/>
      <c r="F66" s="8" t="str">
        <f>IFERROR(HYPERLINK(VLOOKUP(C66,'Flat Base'!D:I,3,0),"SIG TOOLS"),"")</f>
        <v/>
      </c>
      <c r="G66" s="8" t="str">
        <f>IFERROR(HYPERLINK(VLOOKUP(C66,'Flat Base'!D:J,4,0),"SITE MAP"),"")</f>
        <v/>
      </c>
      <c r="S66"/>
      <c r="T66" s="7"/>
      <c r="U66" s="7"/>
      <c r="V66"/>
      <c r="W66" s="7"/>
      <c r="X66" s="7"/>
    </row>
    <row r="67" spans="2:24" ht="18.75" hidden="1" x14ac:dyDescent="0.3">
      <c r="B67"/>
      <c r="C67"/>
      <c r="D67"/>
      <c r="E67"/>
      <c r="F67" s="8" t="str">
        <f>IFERROR(HYPERLINK(VLOOKUP(C67,'Flat Base'!D:I,3,0),"SIG TOOLS"),"")</f>
        <v/>
      </c>
      <c r="G67" s="8" t="str">
        <f>IFERROR(HYPERLINK(VLOOKUP(C67,'Flat Base'!D:J,4,0),"SITE MAP"),"")</f>
        <v/>
      </c>
      <c r="S67"/>
      <c r="T67" s="7"/>
      <c r="U67" s="7"/>
      <c r="V67"/>
      <c r="W67" s="7"/>
      <c r="X67" s="7"/>
    </row>
    <row r="68" spans="2:24" ht="18.75" hidden="1" x14ac:dyDescent="0.3">
      <c r="B68"/>
      <c r="C68"/>
      <c r="D68"/>
      <c r="E68"/>
      <c r="F68" s="8" t="str">
        <f>IFERROR(HYPERLINK(VLOOKUP(C68,'Flat Base'!D:I,3,0),"SIG TOOLS"),"")</f>
        <v/>
      </c>
      <c r="G68" s="8" t="str">
        <f>IFERROR(HYPERLINK(VLOOKUP(C68,'Flat Base'!D:J,4,0),"SITE MAP"),"")</f>
        <v/>
      </c>
      <c r="S68"/>
      <c r="T68" s="7"/>
      <c r="U68" s="7"/>
      <c r="V68"/>
      <c r="W68" s="7"/>
      <c r="X68" s="7"/>
    </row>
    <row r="69" spans="2:24" ht="18.75" hidden="1" x14ac:dyDescent="0.3">
      <c r="B69"/>
      <c r="C69"/>
      <c r="D69"/>
      <c r="E69"/>
      <c r="F69" s="8" t="str">
        <f>IFERROR(HYPERLINK(VLOOKUP(C69,'Flat Base'!D:I,3,0),"SIG TOOLS"),"")</f>
        <v/>
      </c>
      <c r="G69" s="8" t="str">
        <f>IFERROR(HYPERLINK(VLOOKUP(C69,'Flat Base'!D:J,4,0),"SITE MAP"),"")</f>
        <v/>
      </c>
      <c r="S69"/>
      <c r="T69" s="7"/>
      <c r="U69" s="7"/>
      <c r="V69"/>
      <c r="W69" s="7"/>
      <c r="X69" s="7"/>
    </row>
    <row r="70" spans="2:24" ht="18.75" hidden="1" x14ac:dyDescent="0.3">
      <c r="B70"/>
      <c r="C70"/>
      <c r="D70"/>
      <c r="E70"/>
      <c r="F70" s="8" t="str">
        <f>IFERROR(HYPERLINK(VLOOKUP(C70,'Flat Base'!D:I,3,0),"SIG TOOLS"),"")</f>
        <v/>
      </c>
      <c r="G70" s="8" t="str">
        <f>IFERROR(HYPERLINK(VLOOKUP(C70,'Flat Base'!D:J,4,0),"SITE MAP"),"")</f>
        <v/>
      </c>
      <c r="S70"/>
      <c r="T70" s="7"/>
      <c r="U70" s="7"/>
      <c r="V70"/>
      <c r="W70" s="7"/>
      <c r="X70" s="7"/>
    </row>
    <row r="71" spans="2:24" ht="18.75" hidden="1" x14ac:dyDescent="0.3">
      <c r="B71"/>
      <c r="C71"/>
      <c r="D71"/>
      <c r="E71"/>
      <c r="F71" s="8" t="str">
        <f>IFERROR(HYPERLINK(VLOOKUP(C71,'Flat Base'!D:I,3,0),"SIG TOOLS"),"")</f>
        <v/>
      </c>
      <c r="G71" s="8" t="str">
        <f>IFERROR(HYPERLINK(VLOOKUP(C71,'Flat Base'!D:J,4,0),"SITE MAP"),"")</f>
        <v/>
      </c>
      <c r="S71"/>
      <c r="T71" s="7"/>
      <c r="U71" s="7"/>
      <c r="V71"/>
      <c r="W71" s="7"/>
      <c r="X71" s="7"/>
    </row>
    <row r="72" spans="2:24" ht="18.75" hidden="1" x14ac:dyDescent="0.3">
      <c r="B72"/>
      <c r="C72"/>
      <c r="D72"/>
      <c r="E72"/>
      <c r="F72" s="8" t="str">
        <f>IFERROR(HYPERLINK(VLOOKUP(C72,'Flat Base'!D:I,3,0),"SIG TOOLS"),"")</f>
        <v/>
      </c>
      <c r="G72" s="8" t="str">
        <f>IFERROR(HYPERLINK(VLOOKUP(C72,'Flat Base'!D:J,4,0),"SITE MAP"),"")</f>
        <v/>
      </c>
      <c r="S72"/>
      <c r="T72" s="7"/>
      <c r="U72" s="7"/>
      <c r="V72"/>
      <c r="W72" s="7"/>
      <c r="X72" s="7"/>
    </row>
    <row r="73" spans="2:24" ht="18.75" hidden="1" x14ac:dyDescent="0.3">
      <c r="B73"/>
      <c r="C73"/>
      <c r="D73"/>
      <c r="E73"/>
      <c r="F73"/>
      <c r="G73" s="3"/>
      <c r="S73"/>
      <c r="T73" s="7"/>
      <c r="U73" s="7"/>
      <c r="V73"/>
      <c r="W73" s="7"/>
      <c r="X73" s="7"/>
    </row>
    <row r="74" spans="2:24" ht="18.75" hidden="1" x14ac:dyDescent="0.3">
      <c r="B74"/>
      <c r="C74"/>
      <c r="D74"/>
      <c r="E74"/>
      <c r="F74"/>
      <c r="G74" s="3"/>
      <c r="S74"/>
      <c r="T74" s="7"/>
      <c r="U74" s="7"/>
      <c r="V74"/>
      <c r="W74" s="7"/>
      <c r="X74" s="7"/>
    </row>
    <row r="75" spans="2:24" ht="18.75" hidden="1" x14ac:dyDescent="0.3">
      <c r="B75"/>
      <c r="C75"/>
      <c r="D75"/>
      <c r="E75"/>
      <c r="F75"/>
      <c r="G75" s="3"/>
      <c r="S75"/>
      <c r="T75" s="7"/>
      <c r="U75" s="7"/>
      <c r="V75"/>
      <c r="W75" s="7"/>
      <c r="X75" s="7"/>
    </row>
    <row r="76" spans="2:24" ht="18.75" hidden="1" x14ac:dyDescent="0.3">
      <c r="B76"/>
      <c r="C76"/>
      <c r="D76"/>
      <c r="E76"/>
      <c r="F76"/>
      <c r="G76" s="3"/>
      <c r="S76"/>
      <c r="T76" s="7"/>
      <c r="U76" s="7"/>
      <c r="V76"/>
      <c r="W76" s="7"/>
      <c r="X76" s="7"/>
    </row>
    <row r="499" spans="5:5" hidden="1" x14ac:dyDescent="0.25">
      <c r="E499" t="str">
        <f>IFERROR(VLOOKUP(C499&amp;'H.A. Dynamic Split'!$C$13,'Flat Base'!#REF!,3,0),"")</f>
        <v/>
      </c>
    </row>
    <row r="500" spans="5:5" hidden="1" x14ac:dyDescent="0.25">
      <c r="E500" t="str">
        <f>IFERROR(VLOOKUP(C500&amp;'H.A. Dynamic Split'!$C$13,'Flat Base'!#REF!,3,0),"")</f>
        <v/>
      </c>
    </row>
    <row r="501" spans="5:5" hidden="1" x14ac:dyDescent="0.25">
      <c r="E501" t="str">
        <f>IFERROR(VLOOKUP(C501&amp;'H.A. Dynamic Split'!$C$13,'Flat Base'!#REF!,3,0),"")</f>
        <v/>
      </c>
    </row>
  </sheetData>
  <sheetProtection formatCells="0" formatColumns="0" autoFilter="0" pivotTables="0"/>
  <autoFilter ref="A15:M501" xr:uid="{00000000-0001-0000-0000-000000000000}">
    <filterColumn colId="5" showButton="0"/>
  </autoFilter>
  <mergeCells count="3">
    <mergeCell ref="A1:C1"/>
    <mergeCell ref="F15:G15"/>
    <mergeCell ref="G5:G6"/>
  </mergeCells>
  <conditionalFormatting sqref="C16:C19">
    <cfRule type="expression" dxfId="12" priority="17">
      <formula>$C$16</formula>
    </cfRule>
  </conditionalFormatting>
  <conditionalFormatting sqref="C16:C6288 T33:X239">
    <cfRule type="endsWith" dxfId="11" priority="29" operator="endsWith" text="(NO TOURS)">
      <formula>RIGHT(C16,LEN("(NO TOURS)"))="(NO TOURS)"</formula>
    </cfRule>
  </conditionalFormatting>
  <conditionalFormatting sqref="G11 G36:G6288">
    <cfRule type="cellIs" dxfId="10" priority="46" operator="equal">
      <formula>"Log Out"</formula>
    </cfRule>
  </conditionalFormatting>
  <conditionalFormatting sqref="J16:J35">
    <cfRule type="endsWith" dxfId="9" priority="4" operator="endsWith" text="(NO SPEAKERS)">
      <formula>RIGHT(J16,LEN("(NO SPEAKERS)"))="(NO SPEAKERS)"</formula>
    </cfRule>
    <cfRule type="endsWith" dxfId="8" priority="5" operator="endsWith" text="(NO TOURS)">
      <formula>RIGHT(J16,LEN("(NO TOURS)"))="(NO TOURS)"</formula>
    </cfRule>
  </conditionalFormatting>
  <conditionalFormatting sqref="Q33:Q242 Q243:R246 Q247:S312">
    <cfRule type="endsWith" dxfId="7" priority="18" operator="endsWith" text="(NO SPEAKERS)">
      <formula>RIGHT(Q33,LEN("(NO SPEAKERS)"))="(NO SPEAKERS)"</formula>
    </cfRule>
    <cfRule type="endsWith" dxfId="6" priority="19" operator="endsWith" text="(NO TOURS)">
      <formula>RIGHT(Q33,LEN("(NO TOURS)"))="(NO TOURS)"</formula>
    </cfRule>
  </conditionalFormatting>
  <conditionalFormatting sqref="T11:X11 T15:V22 U15:U28 T16:T76 T23:X239">
    <cfRule type="cellIs" dxfId="5" priority="13" operator="equal">
      <formula>"Log In"</formula>
    </cfRule>
    <cfRule type="endsWith" dxfId="4" priority="14" operator="endsWith" text="(NO SPEAKERS)">
      <formula>RIGHT(T11,LEN("(NO SPEAKERS)"))="(NO SPEAKERS)"</formula>
    </cfRule>
    <cfRule type="endsWith" dxfId="3" priority="15" operator="endsWith" text="(NO TOURS)">
      <formula>RIGHT(T11,LEN("(NO TOURS)"))="(NO TOURS)"</formula>
    </cfRule>
  </conditionalFormatting>
  <conditionalFormatting sqref="T33:X72">
    <cfRule type="cellIs" dxfId="2" priority="16" operator="equal">
      <formula>"Log In"</formula>
    </cfRule>
  </conditionalFormatting>
  <conditionalFormatting sqref="T33:X239 C16:C6288">
    <cfRule type="endsWith" dxfId="1" priority="27" operator="endsWith" text="(NO SPEAKERS)">
      <formula>RIGHT(C16,LEN("(NO SPEAKERS)"))="(NO SPEAKERS)"</formula>
    </cfRule>
  </conditionalFormatting>
  <pageMargins left="0.7" right="0.7" top="0.75" bottom="0.75" header="0.3" footer="0.3"/>
  <pageSetup scale="29" orientation="portrait" r:id="rId8"/>
  <drawing r:id="rId9"/>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6B7FB-92D3-4082-BFE8-08D0B72055F4}">
  <sheetPr codeName="Sheet4"/>
  <dimension ref="A1:H87"/>
  <sheetViews>
    <sheetView zoomScaleNormal="100" workbookViewId="0">
      <selection activeCell="I20" sqref="I20:J20"/>
    </sheetView>
  </sheetViews>
  <sheetFormatPr defaultColWidth="11.5703125" defaultRowHeight="15" x14ac:dyDescent="0.25"/>
  <cols>
    <col min="5" max="5" width="44.7109375" bestFit="1" customWidth="1"/>
    <col min="6" max="6" width="12.140625" bestFit="1" customWidth="1"/>
    <col min="7" max="7" width="16.140625" bestFit="1" customWidth="1"/>
    <col min="8" max="8" width="16" customWidth="1"/>
  </cols>
  <sheetData>
    <row r="1" spans="1:8" x14ac:dyDescent="0.25">
      <c r="H1" t="s">
        <v>51</v>
      </c>
    </row>
    <row r="2" spans="1:8" x14ac:dyDescent="0.25">
      <c r="A2" t="s">
        <v>25</v>
      </c>
      <c r="B2" t="s">
        <v>29</v>
      </c>
      <c r="C2" t="s">
        <v>26</v>
      </c>
      <c r="D2" t="s">
        <v>54</v>
      </c>
      <c r="E2" t="s">
        <v>27</v>
      </c>
      <c r="F2" t="s">
        <v>30</v>
      </c>
      <c r="G2" t="s">
        <v>28</v>
      </c>
      <c r="H2" t="s">
        <v>53</v>
      </c>
    </row>
    <row r="3" spans="1:8" x14ac:dyDescent="0.25">
      <c r="A3" t="s">
        <v>75</v>
      </c>
      <c r="B3">
        <v>1</v>
      </c>
      <c r="C3" t="s">
        <v>63</v>
      </c>
      <c r="D3" t="s">
        <v>2</v>
      </c>
      <c r="E3" t="s">
        <v>39</v>
      </c>
      <c r="F3" t="s">
        <v>72</v>
      </c>
      <c r="G3" t="s">
        <v>3</v>
      </c>
    </row>
    <row r="4" spans="1:8" x14ac:dyDescent="0.25">
      <c r="A4" t="s">
        <v>76</v>
      </c>
      <c r="B4">
        <v>1</v>
      </c>
      <c r="C4" t="s">
        <v>63</v>
      </c>
      <c r="D4" t="s">
        <v>2</v>
      </c>
      <c r="E4" t="s">
        <v>39</v>
      </c>
      <c r="F4" t="s">
        <v>72</v>
      </c>
      <c r="G4" t="s">
        <v>3</v>
      </c>
    </row>
    <row r="5" spans="1:8" x14ac:dyDescent="0.25">
      <c r="A5" t="s">
        <v>77</v>
      </c>
      <c r="B5">
        <v>1</v>
      </c>
      <c r="C5" t="s">
        <v>63</v>
      </c>
      <c r="D5" t="s">
        <v>2</v>
      </c>
      <c r="E5" t="s">
        <v>39</v>
      </c>
      <c r="F5" t="s">
        <v>72</v>
      </c>
      <c r="G5" t="s">
        <v>3</v>
      </c>
    </row>
    <row r="6" spans="1:8" x14ac:dyDescent="0.25">
      <c r="A6" t="s">
        <v>78</v>
      </c>
      <c r="B6">
        <v>1</v>
      </c>
      <c r="C6" t="s">
        <v>63</v>
      </c>
      <c r="D6" t="s">
        <v>2</v>
      </c>
      <c r="E6" t="s">
        <v>39</v>
      </c>
      <c r="F6" t="s">
        <v>72</v>
      </c>
      <c r="G6" t="s">
        <v>3</v>
      </c>
    </row>
    <row r="7" spans="1:8" x14ac:dyDescent="0.25">
      <c r="A7" t="s">
        <v>78</v>
      </c>
      <c r="B7">
        <v>4</v>
      </c>
      <c r="C7" t="s">
        <v>63</v>
      </c>
      <c r="D7" t="s">
        <v>2</v>
      </c>
      <c r="E7" t="s">
        <v>11</v>
      </c>
      <c r="F7" t="s">
        <v>72</v>
      </c>
      <c r="G7" t="s">
        <v>68</v>
      </c>
    </row>
    <row r="8" spans="1:8" x14ac:dyDescent="0.25">
      <c r="A8" t="s">
        <v>76</v>
      </c>
      <c r="B8">
        <v>1</v>
      </c>
      <c r="C8" t="s">
        <v>63</v>
      </c>
      <c r="D8" t="s">
        <v>2</v>
      </c>
      <c r="E8" t="s">
        <v>22</v>
      </c>
      <c r="F8" t="s">
        <v>72</v>
      </c>
      <c r="G8" t="s">
        <v>68</v>
      </c>
    </row>
    <row r="9" spans="1:8" x14ac:dyDescent="0.25">
      <c r="A9" t="s">
        <v>77</v>
      </c>
      <c r="B9">
        <v>1</v>
      </c>
      <c r="C9" t="s">
        <v>63</v>
      </c>
      <c r="D9" t="s">
        <v>2</v>
      </c>
      <c r="E9" t="s">
        <v>22</v>
      </c>
      <c r="F9" t="s">
        <v>72</v>
      </c>
      <c r="G9" t="s">
        <v>68</v>
      </c>
    </row>
    <row r="10" spans="1:8" x14ac:dyDescent="0.25">
      <c r="A10" t="s">
        <v>78</v>
      </c>
      <c r="B10">
        <v>1</v>
      </c>
      <c r="C10" t="s">
        <v>63</v>
      </c>
      <c r="D10" t="s">
        <v>2</v>
      </c>
      <c r="E10" t="s">
        <v>22</v>
      </c>
      <c r="F10" t="s">
        <v>72</v>
      </c>
      <c r="G10" t="s">
        <v>68</v>
      </c>
    </row>
    <row r="11" spans="1:8" x14ac:dyDescent="0.25">
      <c r="A11" t="s">
        <v>78</v>
      </c>
      <c r="B11">
        <v>4</v>
      </c>
      <c r="C11" t="s">
        <v>63</v>
      </c>
      <c r="D11" t="s">
        <v>2</v>
      </c>
      <c r="E11" t="s">
        <v>37</v>
      </c>
      <c r="F11" t="s">
        <v>72</v>
      </c>
      <c r="G11" t="s">
        <v>3</v>
      </c>
    </row>
    <row r="12" spans="1:8" x14ac:dyDescent="0.25">
      <c r="A12" t="s">
        <v>77</v>
      </c>
      <c r="B12">
        <v>2</v>
      </c>
      <c r="C12" t="s">
        <v>63</v>
      </c>
      <c r="D12" t="s">
        <v>2</v>
      </c>
      <c r="E12" t="s">
        <v>12</v>
      </c>
      <c r="F12" t="s">
        <v>72</v>
      </c>
      <c r="G12" t="s">
        <v>3</v>
      </c>
    </row>
    <row r="13" spans="1:8" x14ac:dyDescent="0.25">
      <c r="A13" t="s">
        <v>78</v>
      </c>
      <c r="B13">
        <v>2</v>
      </c>
      <c r="C13" t="s">
        <v>63</v>
      </c>
      <c r="D13" t="s">
        <v>2</v>
      </c>
      <c r="E13" t="s">
        <v>12</v>
      </c>
      <c r="F13" t="s">
        <v>72</v>
      </c>
      <c r="G13" t="s">
        <v>3</v>
      </c>
    </row>
    <row r="14" spans="1:8" x14ac:dyDescent="0.25">
      <c r="A14" t="s">
        <v>75</v>
      </c>
      <c r="B14">
        <v>1</v>
      </c>
      <c r="C14" t="s">
        <v>63</v>
      </c>
      <c r="D14" t="s">
        <v>2</v>
      </c>
      <c r="E14" t="s">
        <v>95</v>
      </c>
      <c r="F14" t="s">
        <v>72</v>
      </c>
      <c r="G14" t="s">
        <v>69</v>
      </c>
    </row>
    <row r="15" spans="1:8" x14ac:dyDescent="0.25">
      <c r="A15" t="s">
        <v>76</v>
      </c>
      <c r="B15">
        <v>1</v>
      </c>
      <c r="C15" t="s">
        <v>63</v>
      </c>
      <c r="D15" t="s">
        <v>2</v>
      </c>
      <c r="E15" t="s">
        <v>95</v>
      </c>
      <c r="F15" t="s">
        <v>72</v>
      </c>
      <c r="G15" t="s">
        <v>69</v>
      </c>
    </row>
    <row r="16" spans="1:8" x14ac:dyDescent="0.25">
      <c r="A16" t="s">
        <v>77</v>
      </c>
      <c r="B16">
        <v>1</v>
      </c>
      <c r="C16" t="s">
        <v>63</v>
      </c>
      <c r="D16" t="s">
        <v>2</v>
      </c>
      <c r="E16" t="s">
        <v>95</v>
      </c>
      <c r="F16" t="s">
        <v>72</v>
      </c>
      <c r="G16" t="s">
        <v>69</v>
      </c>
    </row>
    <row r="17" spans="1:7" x14ac:dyDescent="0.25">
      <c r="A17" t="s">
        <v>78</v>
      </c>
      <c r="B17">
        <v>1</v>
      </c>
      <c r="C17" t="s">
        <v>63</v>
      </c>
      <c r="D17" t="s">
        <v>2</v>
      </c>
      <c r="E17" t="s">
        <v>95</v>
      </c>
      <c r="F17" t="s">
        <v>72</v>
      </c>
      <c r="G17" t="s">
        <v>69</v>
      </c>
    </row>
    <row r="18" spans="1:7" x14ac:dyDescent="0.25">
      <c r="A18" t="s">
        <v>77</v>
      </c>
      <c r="B18">
        <v>3</v>
      </c>
      <c r="C18" t="s">
        <v>63</v>
      </c>
      <c r="D18" t="s">
        <v>2</v>
      </c>
      <c r="E18" t="s">
        <v>16</v>
      </c>
      <c r="F18" t="s">
        <v>72</v>
      </c>
      <c r="G18" t="s">
        <v>3</v>
      </c>
    </row>
    <row r="19" spans="1:7" x14ac:dyDescent="0.25">
      <c r="A19" t="s">
        <v>78</v>
      </c>
      <c r="B19">
        <v>3</v>
      </c>
      <c r="C19" t="s">
        <v>63</v>
      </c>
      <c r="D19" t="s">
        <v>2</v>
      </c>
      <c r="E19" t="s">
        <v>16</v>
      </c>
      <c r="F19" t="s">
        <v>72</v>
      </c>
      <c r="G19" t="s">
        <v>3</v>
      </c>
    </row>
    <row r="20" spans="1:7" x14ac:dyDescent="0.25">
      <c r="A20" t="s">
        <v>77</v>
      </c>
      <c r="B20">
        <v>2</v>
      </c>
      <c r="C20" t="s">
        <v>62</v>
      </c>
      <c r="D20" t="s">
        <v>2</v>
      </c>
      <c r="E20" t="s">
        <v>36</v>
      </c>
      <c r="F20" t="s">
        <v>72</v>
      </c>
      <c r="G20" t="s">
        <v>3</v>
      </c>
    </row>
    <row r="21" spans="1:7" x14ac:dyDescent="0.25">
      <c r="A21" t="s">
        <v>78</v>
      </c>
      <c r="B21">
        <v>2</v>
      </c>
      <c r="C21" t="s">
        <v>62</v>
      </c>
      <c r="D21" t="s">
        <v>2</v>
      </c>
      <c r="E21" t="s">
        <v>36</v>
      </c>
      <c r="F21" t="s">
        <v>72</v>
      </c>
      <c r="G21" t="s">
        <v>3</v>
      </c>
    </row>
    <row r="22" spans="1:7" x14ac:dyDescent="0.25">
      <c r="A22" t="s">
        <v>78</v>
      </c>
      <c r="B22">
        <v>4</v>
      </c>
      <c r="C22" t="s">
        <v>62</v>
      </c>
      <c r="D22" t="s">
        <v>2</v>
      </c>
      <c r="E22" t="s">
        <v>38</v>
      </c>
      <c r="F22" t="s">
        <v>72</v>
      </c>
      <c r="G22" t="s">
        <v>3</v>
      </c>
    </row>
    <row r="23" spans="1:7" x14ac:dyDescent="0.25">
      <c r="A23" t="s">
        <v>76</v>
      </c>
      <c r="B23">
        <v>2</v>
      </c>
      <c r="C23" t="s">
        <v>62</v>
      </c>
      <c r="D23" t="s">
        <v>2</v>
      </c>
      <c r="E23" t="s">
        <v>48</v>
      </c>
      <c r="F23" t="s">
        <v>72</v>
      </c>
      <c r="G23" t="s">
        <v>3</v>
      </c>
    </row>
    <row r="24" spans="1:7" x14ac:dyDescent="0.25">
      <c r="A24" t="s">
        <v>77</v>
      </c>
      <c r="B24">
        <v>2</v>
      </c>
      <c r="C24" t="s">
        <v>62</v>
      </c>
      <c r="D24" t="s">
        <v>2</v>
      </c>
      <c r="E24" t="s">
        <v>48</v>
      </c>
      <c r="F24" t="s">
        <v>72</v>
      </c>
      <c r="G24" t="s">
        <v>3</v>
      </c>
    </row>
    <row r="25" spans="1:7" x14ac:dyDescent="0.25">
      <c r="A25" t="s">
        <v>78</v>
      </c>
      <c r="B25">
        <v>2</v>
      </c>
      <c r="C25" t="s">
        <v>62</v>
      </c>
      <c r="D25" t="s">
        <v>2</v>
      </c>
      <c r="E25" t="s">
        <v>48</v>
      </c>
      <c r="F25" t="s">
        <v>72</v>
      </c>
      <c r="G25" t="s">
        <v>3</v>
      </c>
    </row>
    <row r="26" spans="1:7" x14ac:dyDescent="0.25">
      <c r="A26" t="s">
        <v>77</v>
      </c>
      <c r="B26">
        <v>3</v>
      </c>
      <c r="C26" t="s">
        <v>63</v>
      </c>
      <c r="D26" t="s">
        <v>2</v>
      </c>
      <c r="E26" t="s">
        <v>23</v>
      </c>
      <c r="F26" t="s">
        <v>72</v>
      </c>
      <c r="G26" t="s">
        <v>69</v>
      </c>
    </row>
    <row r="27" spans="1:7" x14ac:dyDescent="0.25">
      <c r="A27" t="s">
        <v>78</v>
      </c>
      <c r="B27">
        <v>3</v>
      </c>
      <c r="C27" t="s">
        <v>63</v>
      </c>
      <c r="D27" t="s">
        <v>2</v>
      </c>
      <c r="E27" t="s">
        <v>23</v>
      </c>
      <c r="F27" t="s">
        <v>72</v>
      </c>
      <c r="G27" t="s">
        <v>69</v>
      </c>
    </row>
    <row r="28" spans="1:7" x14ac:dyDescent="0.25">
      <c r="A28" t="s">
        <v>78</v>
      </c>
      <c r="B28">
        <v>4</v>
      </c>
      <c r="C28" t="s">
        <v>63</v>
      </c>
      <c r="D28" t="s">
        <v>2</v>
      </c>
      <c r="E28" t="s">
        <v>21</v>
      </c>
      <c r="F28" t="s">
        <v>72</v>
      </c>
      <c r="G28" t="s">
        <v>3</v>
      </c>
    </row>
    <row r="29" spans="1:7" x14ac:dyDescent="0.25">
      <c r="A29" t="s">
        <v>76</v>
      </c>
      <c r="B29">
        <v>2</v>
      </c>
      <c r="C29" t="s">
        <v>65</v>
      </c>
      <c r="D29" t="s">
        <v>4</v>
      </c>
      <c r="E29" t="s">
        <v>43</v>
      </c>
      <c r="F29" t="s">
        <v>70</v>
      </c>
      <c r="G29" t="s">
        <v>3</v>
      </c>
    </row>
    <row r="30" spans="1:7" x14ac:dyDescent="0.25">
      <c r="A30" t="s">
        <v>77</v>
      </c>
      <c r="B30">
        <v>2</v>
      </c>
      <c r="C30" t="s">
        <v>65</v>
      </c>
      <c r="D30" t="s">
        <v>4</v>
      </c>
      <c r="E30" t="s">
        <v>43</v>
      </c>
      <c r="F30" t="s">
        <v>70</v>
      </c>
      <c r="G30" t="s">
        <v>3</v>
      </c>
    </row>
    <row r="31" spans="1:7" x14ac:dyDescent="0.25">
      <c r="A31" t="s">
        <v>78</v>
      </c>
      <c r="B31">
        <v>2</v>
      </c>
      <c r="C31" t="s">
        <v>65</v>
      </c>
      <c r="D31" t="s">
        <v>4</v>
      </c>
      <c r="E31" t="s">
        <v>43</v>
      </c>
      <c r="F31" t="s">
        <v>70</v>
      </c>
      <c r="G31" t="s">
        <v>3</v>
      </c>
    </row>
    <row r="32" spans="1:7" x14ac:dyDescent="0.25">
      <c r="A32" t="s">
        <v>76</v>
      </c>
      <c r="B32">
        <v>2</v>
      </c>
      <c r="C32" t="s">
        <v>65</v>
      </c>
      <c r="D32" t="s">
        <v>4</v>
      </c>
      <c r="E32" t="s">
        <v>7</v>
      </c>
      <c r="F32" t="s">
        <v>70</v>
      </c>
      <c r="G32" t="s">
        <v>3</v>
      </c>
    </row>
    <row r="33" spans="1:7" x14ac:dyDescent="0.25">
      <c r="A33" t="s">
        <v>77</v>
      </c>
      <c r="B33">
        <v>2</v>
      </c>
      <c r="C33" t="s">
        <v>65</v>
      </c>
      <c r="D33" t="s">
        <v>4</v>
      </c>
      <c r="E33" t="s">
        <v>7</v>
      </c>
      <c r="F33" t="s">
        <v>70</v>
      </c>
      <c r="G33" t="s">
        <v>3</v>
      </c>
    </row>
    <row r="34" spans="1:7" x14ac:dyDescent="0.25">
      <c r="A34" t="s">
        <v>78</v>
      </c>
      <c r="B34">
        <v>2</v>
      </c>
      <c r="C34" t="s">
        <v>65</v>
      </c>
      <c r="D34" t="s">
        <v>4</v>
      </c>
      <c r="E34" t="s">
        <v>7</v>
      </c>
      <c r="F34" t="s">
        <v>70</v>
      </c>
      <c r="G34" t="s">
        <v>3</v>
      </c>
    </row>
    <row r="35" spans="1:7" x14ac:dyDescent="0.25">
      <c r="A35" t="s">
        <v>76</v>
      </c>
      <c r="B35">
        <v>2</v>
      </c>
      <c r="C35" t="s">
        <v>65</v>
      </c>
      <c r="D35" t="s">
        <v>4</v>
      </c>
      <c r="E35" t="s">
        <v>8</v>
      </c>
      <c r="F35" t="s">
        <v>70</v>
      </c>
      <c r="G35" t="s">
        <v>3</v>
      </c>
    </row>
    <row r="36" spans="1:7" x14ac:dyDescent="0.25">
      <c r="A36" t="s">
        <v>77</v>
      </c>
      <c r="B36">
        <v>2</v>
      </c>
      <c r="C36" t="s">
        <v>65</v>
      </c>
      <c r="D36" t="s">
        <v>4</v>
      </c>
      <c r="E36" t="s">
        <v>8</v>
      </c>
      <c r="F36" t="s">
        <v>70</v>
      </c>
      <c r="G36" t="s">
        <v>3</v>
      </c>
    </row>
    <row r="37" spans="1:7" x14ac:dyDescent="0.25">
      <c r="A37" t="s">
        <v>78</v>
      </c>
      <c r="B37">
        <v>2</v>
      </c>
      <c r="C37" t="s">
        <v>65</v>
      </c>
      <c r="D37" t="s">
        <v>4</v>
      </c>
      <c r="E37" t="s">
        <v>8</v>
      </c>
      <c r="F37" t="s">
        <v>70</v>
      </c>
      <c r="G37" t="s">
        <v>3</v>
      </c>
    </row>
    <row r="38" spans="1:7" x14ac:dyDescent="0.25">
      <c r="A38" t="s">
        <v>76</v>
      </c>
      <c r="B38">
        <v>1</v>
      </c>
      <c r="C38" t="s">
        <v>65</v>
      </c>
      <c r="D38" t="s">
        <v>4</v>
      </c>
      <c r="E38" t="s">
        <v>46</v>
      </c>
      <c r="F38" t="s">
        <v>70</v>
      </c>
      <c r="G38" t="s">
        <v>3</v>
      </c>
    </row>
    <row r="39" spans="1:7" x14ac:dyDescent="0.25">
      <c r="A39" t="s">
        <v>77</v>
      </c>
      <c r="B39">
        <v>1</v>
      </c>
      <c r="C39" t="s">
        <v>65</v>
      </c>
      <c r="D39" t="s">
        <v>4</v>
      </c>
      <c r="E39" t="s">
        <v>46</v>
      </c>
      <c r="F39" t="s">
        <v>70</v>
      </c>
      <c r="G39" t="s">
        <v>3</v>
      </c>
    </row>
    <row r="40" spans="1:7" x14ac:dyDescent="0.25">
      <c r="A40" t="s">
        <v>78</v>
      </c>
      <c r="B40">
        <v>1</v>
      </c>
      <c r="C40" t="s">
        <v>65</v>
      </c>
      <c r="D40" t="s">
        <v>4</v>
      </c>
      <c r="E40" t="s">
        <v>46</v>
      </c>
      <c r="F40" t="s">
        <v>70</v>
      </c>
      <c r="G40" t="s">
        <v>3</v>
      </c>
    </row>
    <row r="41" spans="1:7" x14ac:dyDescent="0.25">
      <c r="A41" t="s">
        <v>76</v>
      </c>
      <c r="B41">
        <v>1</v>
      </c>
      <c r="C41" t="s">
        <v>65</v>
      </c>
      <c r="D41" t="s">
        <v>4</v>
      </c>
      <c r="E41" t="s">
        <v>41</v>
      </c>
      <c r="F41" t="s">
        <v>70</v>
      </c>
      <c r="G41" t="s">
        <v>3</v>
      </c>
    </row>
    <row r="42" spans="1:7" x14ac:dyDescent="0.25">
      <c r="A42" t="s">
        <v>77</v>
      </c>
      <c r="B42">
        <v>2</v>
      </c>
      <c r="C42" t="s">
        <v>65</v>
      </c>
      <c r="D42" t="s">
        <v>4</v>
      </c>
      <c r="E42" t="s">
        <v>99</v>
      </c>
      <c r="F42" t="s">
        <v>70</v>
      </c>
      <c r="G42" t="s">
        <v>3</v>
      </c>
    </row>
    <row r="43" spans="1:7" x14ac:dyDescent="0.25">
      <c r="A43" t="s">
        <v>78</v>
      </c>
      <c r="B43">
        <v>2</v>
      </c>
      <c r="C43" t="s">
        <v>65</v>
      </c>
      <c r="D43" t="s">
        <v>4</v>
      </c>
      <c r="E43" t="s">
        <v>99</v>
      </c>
      <c r="F43" t="s">
        <v>70</v>
      </c>
      <c r="G43" t="s">
        <v>3</v>
      </c>
    </row>
    <row r="44" spans="1:7" x14ac:dyDescent="0.25">
      <c r="A44" t="s">
        <v>78</v>
      </c>
      <c r="B44">
        <v>4</v>
      </c>
      <c r="C44" t="s">
        <v>65</v>
      </c>
      <c r="D44" t="s">
        <v>4</v>
      </c>
      <c r="E44" t="s">
        <v>49</v>
      </c>
      <c r="F44" t="s">
        <v>70</v>
      </c>
      <c r="G44" t="s">
        <v>3</v>
      </c>
    </row>
    <row r="45" spans="1:7" x14ac:dyDescent="0.25">
      <c r="A45" t="s">
        <v>78</v>
      </c>
      <c r="B45">
        <v>4</v>
      </c>
      <c r="C45" t="s">
        <v>65</v>
      </c>
      <c r="D45" t="s">
        <v>4</v>
      </c>
      <c r="E45" t="s">
        <v>19</v>
      </c>
      <c r="F45" t="s">
        <v>70</v>
      </c>
      <c r="G45" t="s">
        <v>3</v>
      </c>
    </row>
    <row r="46" spans="1:7" x14ac:dyDescent="0.25">
      <c r="A46" t="s">
        <v>77</v>
      </c>
      <c r="B46">
        <v>2</v>
      </c>
      <c r="C46" t="s">
        <v>65</v>
      </c>
      <c r="D46" t="s">
        <v>4</v>
      </c>
      <c r="E46" t="s">
        <v>18</v>
      </c>
      <c r="F46" t="s">
        <v>70</v>
      </c>
      <c r="G46" t="s">
        <v>3</v>
      </c>
    </row>
    <row r="47" spans="1:7" x14ac:dyDescent="0.25">
      <c r="A47" t="s">
        <v>78</v>
      </c>
      <c r="B47">
        <v>2</v>
      </c>
      <c r="C47" t="s">
        <v>65</v>
      </c>
      <c r="D47" t="s">
        <v>4</v>
      </c>
      <c r="E47" t="s">
        <v>18</v>
      </c>
      <c r="F47" t="s">
        <v>70</v>
      </c>
      <c r="G47" t="s">
        <v>3</v>
      </c>
    </row>
    <row r="48" spans="1:7" x14ac:dyDescent="0.25">
      <c r="A48" t="s">
        <v>75</v>
      </c>
      <c r="B48">
        <v>1</v>
      </c>
      <c r="C48" t="s">
        <v>66</v>
      </c>
      <c r="D48" t="s">
        <v>4</v>
      </c>
      <c r="E48" t="s">
        <v>17</v>
      </c>
      <c r="F48" t="s">
        <v>70</v>
      </c>
      <c r="G48" t="s">
        <v>3</v>
      </c>
    </row>
    <row r="49" spans="1:7" x14ac:dyDescent="0.25">
      <c r="A49" t="s">
        <v>75</v>
      </c>
      <c r="B49">
        <v>1</v>
      </c>
      <c r="C49" t="s">
        <v>66</v>
      </c>
      <c r="D49" t="s">
        <v>4</v>
      </c>
      <c r="E49" t="s">
        <v>42</v>
      </c>
      <c r="F49" t="s">
        <v>70</v>
      </c>
      <c r="G49" t="s">
        <v>3</v>
      </c>
    </row>
    <row r="50" spans="1:7" x14ac:dyDescent="0.25">
      <c r="A50" t="s">
        <v>78</v>
      </c>
      <c r="B50">
        <v>4</v>
      </c>
      <c r="C50" t="s">
        <v>65</v>
      </c>
      <c r="D50" t="s">
        <v>4</v>
      </c>
      <c r="E50" t="s">
        <v>47</v>
      </c>
      <c r="F50" t="s">
        <v>70</v>
      </c>
      <c r="G50" t="s">
        <v>3</v>
      </c>
    </row>
    <row r="51" spans="1:7" x14ac:dyDescent="0.25">
      <c r="A51" t="s">
        <v>77</v>
      </c>
      <c r="B51">
        <v>3</v>
      </c>
      <c r="C51" t="s">
        <v>65</v>
      </c>
      <c r="D51" t="s">
        <v>4</v>
      </c>
      <c r="E51" t="s">
        <v>15</v>
      </c>
      <c r="F51" t="s">
        <v>70</v>
      </c>
      <c r="G51" t="s">
        <v>3</v>
      </c>
    </row>
    <row r="52" spans="1:7" x14ac:dyDescent="0.25">
      <c r="A52" t="s">
        <v>78</v>
      </c>
      <c r="B52">
        <v>3</v>
      </c>
      <c r="C52" t="s">
        <v>65</v>
      </c>
      <c r="D52" t="s">
        <v>4</v>
      </c>
      <c r="E52" t="s">
        <v>15</v>
      </c>
      <c r="F52" t="s">
        <v>70</v>
      </c>
      <c r="G52" t="s">
        <v>3</v>
      </c>
    </row>
    <row r="53" spans="1:7" x14ac:dyDescent="0.25">
      <c r="A53" t="s">
        <v>76</v>
      </c>
      <c r="B53">
        <v>2</v>
      </c>
      <c r="C53" s="21" t="s">
        <v>65</v>
      </c>
      <c r="D53" t="s">
        <v>4</v>
      </c>
      <c r="E53" t="s">
        <v>20</v>
      </c>
      <c r="F53" t="s">
        <v>70</v>
      </c>
      <c r="G53" t="s">
        <v>3</v>
      </c>
    </row>
    <row r="54" spans="1:7" x14ac:dyDescent="0.25">
      <c r="A54" t="s">
        <v>77</v>
      </c>
      <c r="B54">
        <v>2</v>
      </c>
      <c r="C54" s="21" t="s">
        <v>65</v>
      </c>
      <c r="D54" t="s">
        <v>4</v>
      </c>
      <c r="E54" t="s">
        <v>20</v>
      </c>
      <c r="F54" t="s">
        <v>70</v>
      </c>
      <c r="G54" t="s">
        <v>3</v>
      </c>
    </row>
    <row r="55" spans="1:7" x14ac:dyDescent="0.25">
      <c r="A55" t="s">
        <v>78</v>
      </c>
      <c r="B55">
        <v>2</v>
      </c>
      <c r="C55" s="21" t="s">
        <v>65</v>
      </c>
      <c r="D55" t="s">
        <v>4</v>
      </c>
      <c r="E55" t="s">
        <v>20</v>
      </c>
      <c r="F55" t="s">
        <v>70</v>
      </c>
      <c r="G55" t="s">
        <v>3</v>
      </c>
    </row>
    <row r="56" spans="1:7" x14ac:dyDescent="0.25">
      <c r="A56" t="s">
        <v>75</v>
      </c>
      <c r="B56">
        <v>1</v>
      </c>
      <c r="C56" s="21" t="s">
        <v>65</v>
      </c>
      <c r="D56" t="s">
        <v>4</v>
      </c>
      <c r="E56" t="s">
        <v>20</v>
      </c>
      <c r="F56" t="s">
        <v>70</v>
      </c>
      <c r="G56" t="s">
        <v>3</v>
      </c>
    </row>
    <row r="57" spans="1:7" x14ac:dyDescent="0.25">
      <c r="A57" t="s">
        <v>78</v>
      </c>
      <c r="B57">
        <v>4</v>
      </c>
      <c r="C57" t="s">
        <v>65</v>
      </c>
      <c r="D57" t="s">
        <v>4</v>
      </c>
      <c r="E57" t="s">
        <v>24</v>
      </c>
      <c r="F57" t="s">
        <v>70</v>
      </c>
      <c r="G57" t="s">
        <v>3</v>
      </c>
    </row>
    <row r="58" spans="1:7" x14ac:dyDescent="0.25">
      <c r="A58" t="s">
        <v>78</v>
      </c>
      <c r="B58">
        <v>4</v>
      </c>
      <c r="C58" t="s">
        <v>63</v>
      </c>
      <c r="D58" t="s">
        <v>2</v>
      </c>
      <c r="E58" t="s">
        <v>34</v>
      </c>
      <c r="F58" s="21" t="s">
        <v>70</v>
      </c>
      <c r="G58" t="s">
        <v>73</v>
      </c>
    </row>
    <row r="59" spans="1:7" x14ac:dyDescent="0.25">
      <c r="A59" t="s">
        <v>78</v>
      </c>
      <c r="B59">
        <v>4</v>
      </c>
      <c r="C59" t="s">
        <v>64</v>
      </c>
      <c r="D59" t="s">
        <v>5</v>
      </c>
      <c r="E59" t="s">
        <v>33</v>
      </c>
      <c r="F59" t="s">
        <v>73</v>
      </c>
      <c r="G59" t="s">
        <v>3</v>
      </c>
    </row>
    <row r="60" spans="1:7" x14ac:dyDescent="0.25">
      <c r="A60" t="s">
        <v>77</v>
      </c>
      <c r="B60">
        <v>1</v>
      </c>
      <c r="C60" s="35" t="s">
        <v>66</v>
      </c>
      <c r="D60" t="s">
        <v>5</v>
      </c>
      <c r="E60" t="s">
        <v>9</v>
      </c>
      <c r="F60" t="s">
        <v>73</v>
      </c>
      <c r="G60" t="s">
        <v>3</v>
      </c>
    </row>
    <row r="61" spans="1:7" x14ac:dyDescent="0.25">
      <c r="A61" t="s">
        <v>78</v>
      </c>
      <c r="B61">
        <v>1</v>
      </c>
      <c r="C61" s="35" t="s">
        <v>66</v>
      </c>
      <c r="D61" t="s">
        <v>5</v>
      </c>
      <c r="E61" t="s">
        <v>9</v>
      </c>
      <c r="F61" t="s">
        <v>73</v>
      </c>
      <c r="G61" t="s">
        <v>3</v>
      </c>
    </row>
    <row r="62" spans="1:7" x14ac:dyDescent="0.25">
      <c r="A62" t="s">
        <v>77</v>
      </c>
      <c r="B62">
        <v>2</v>
      </c>
      <c r="C62" t="s">
        <v>66</v>
      </c>
      <c r="D62" t="s">
        <v>5</v>
      </c>
      <c r="E62" t="s">
        <v>40</v>
      </c>
      <c r="F62" t="s">
        <v>73</v>
      </c>
      <c r="G62" t="s">
        <v>3</v>
      </c>
    </row>
    <row r="63" spans="1:7" x14ac:dyDescent="0.25">
      <c r="A63" t="s">
        <v>78</v>
      </c>
      <c r="B63">
        <v>2</v>
      </c>
      <c r="C63" t="s">
        <v>66</v>
      </c>
      <c r="D63" t="s">
        <v>5</v>
      </c>
      <c r="E63" t="s">
        <v>40</v>
      </c>
      <c r="F63" t="s">
        <v>73</v>
      </c>
      <c r="G63" t="s">
        <v>3</v>
      </c>
    </row>
    <row r="64" spans="1:7" x14ac:dyDescent="0.25">
      <c r="A64" t="s">
        <v>75</v>
      </c>
      <c r="B64">
        <v>1</v>
      </c>
      <c r="C64" t="s">
        <v>67</v>
      </c>
      <c r="D64" t="s">
        <v>5</v>
      </c>
      <c r="E64" t="s">
        <v>32</v>
      </c>
      <c r="F64" t="s">
        <v>73</v>
      </c>
      <c r="G64" t="s">
        <v>3</v>
      </c>
    </row>
    <row r="65" spans="1:7" x14ac:dyDescent="0.25">
      <c r="A65" t="s">
        <v>76</v>
      </c>
      <c r="B65">
        <v>1</v>
      </c>
      <c r="C65" t="s">
        <v>67</v>
      </c>
      <c r="D65" t="s">
        <v>5</v>
      </c>
      <c r="E65" t="s">
        <v>32</v>
      </c>
      <c r="F65" t="s">
        <v>73</v>
      </c>
      <c r="G65" t="s">
        <v>3</v>
      </c>
    </row>
    <row r="66" spans="1:7" x14ac:dyDescent="0.25">
      <c r="A66" t="s">
        <v>77</v>
      </c>
      <c r="B66">
        <v>1</v>
      </c>
      <c r="C66" t="s">
        <v>67</v>
      </c>
      <c r="D66" t="s">
        <v>5</v>
      </c>
      <c r="E66" t="s">
        <v>32</v>
      </c>
      <c r="F66" t="s">
        <v>73</v>
      </c>
      <c r="G66" t="s">
        <v>3</v>
      </c>
    </row>
    <row r="67" spans="1:7" x14ac:dyDescent="0.25">
      <c r="A67" t="s">
        <v>78</v>
      </c>
      <c r="B67">
        <v>1</v>
      </c>
      <c r="C67" t="s">
        <v>67</v>
      </c>
      <c r="D67" t="s">
        <v>5</v>
      </c>
      <c r="E67" t="s">
        <v>32</v>
      </c>
      <c r="F67" t="s">
        <v>73</v>
      </c>
      <c r="G67" t="s">
        <v>3</v>
      </c>
    </row>
    <row r="68" spans="1:7" x14ac:dyDescent="0.25">
      <c r="A68" t="s">
        <v>78</v>
      </c>
      <c r="B68">
        <v>4</v>
      </c>
      <c r="C68" t="s">
        <v>67</v>
      </c>
      <c r="D68" t="s">
        <v>5</v>
      </c>
      <c r="E68" t="s">
        <v>35</v>
      </c>
      <c r="F68" t="s">
        <v>73</v>
      </c>
      <c r="G68" t="s">
        <v>3</v>
      </c>
    </row>
    <row r="69" spans="1:7" x14ac:dyDescent="0.25">
      <c r="A69" t="s">
        <v>77</v>
      </c>
      <c r="B69">
        <v>3</v>
      </c>
      <c r="C69" t="s">
        <v>67</v>
      </c>
      <c r="D69" t="s">
        <v>6</v>
      </c>
      <c r="E69" t="s">
        <v>10</v>
      </c>
      <c r="F69" t="s">
        <v>74</v>
      </c>
      <c r="G69" t="s">
        <v>3</v>
      </c>
    </row>
    <row r="70" spans="1:7" x14ac:dyDescent="0.25">
      <c r="A70" t="s">
        <v>78</v>
      </c>
      <c r="B70">
        <v>3</v>
      </c>
      <c r="C70" t="s">
        <v>67</v>
      </c>
      <c r="D70" t="s">
        <v>6</v>
      </c>
      <c r="E70" t="s">
        <v>10</v>
      </c>
      <c r="F70" t="s">
        <v>74</v>
      </c>
      <c r="G70" t="s">
        <v>3</v>
      </c>
    </row>
    <row r="71" spans="1:7" x14ac:dyDescent="0.25">
      <c r="A71" t="s">
        <v>77</v>
      </c>
      <c r="B71">
        <v>1</v>
      </c>
      <c r="C71" t="s">
        <v>67</v>
      </c>
      <c r="D71" t="s">
        <v>6</v>
      </c>
      <c r="E71" t="s">
        <v>14</v>
      </c>
      <c r="F71" t="s">
        <v>74</v>
      </c>
      <c r="G71" t="s">
        <v>3</v>
      </c>
    </row>
    <row r="72" spans="1:7" x14ac:dyDescent="0.25">
      <c r="A72" t="s">
        <v>78</v>
      </c>
      <c r="B72">
        <v>1</v>
      </c>
      <c r="C72" t="s">
        <v>67</v>
      </c>
      <c r="D72" t="s">
        <v>6</v>
      </c>
      <c r="E72" t="s">
        <v>14</v>
      </c>
      <c r="F72" t="s">
        <v>74</v>
      </c>
      <c r="G72" t="s">
        <v>3</v>
      </c>
    </row>
    <row r="73" spans="1:7" x14ac:dyDescent="0.25">
      <c r="A73" t="s">
        <v>75</v>
      </c>
      <c r="B73">
        <v>1</v>
      </c>
      <c r="C73" t="s">
        <v>0</v>
      </c>
      <c r="D73" t="s">
        <v>5</v>
      </c>
      <c r="E73" t="s">
        <v>13</v>
      </c>
      <c r="F73" t="s">
        <v>3</v>
      </c>
      <c r="G73" t="s">
        <v>3</v>
      </c>
    </row>
    <row r="74" spans="1:7" x14ac:dyDescent="0.25">
      <c r="A74" t="s">
        <v>76</v>
      </c>
      <c r="B74">
        <v>2</v>
      </c>
      <c r="C74" t="s">
        <v>0</v>
      </c>
      <c r="D74" t="s">
        <v>6</v>
      </c>
      <c r="E74" t="s">
        <v>13</v>
      </c>
      <c r="F74" t="s">
        <v>3</v>
      </c>
      <c r="G74" t="s">
        <v>3</v>
      </c>
    </row>
    <row r="75" spans="1:7" x14ac:dyDescent="0.25">
      <c r="A75" t="s">
        <v>77</v>
      </c>
      <c r="B75">
        <v>2</v>
      </c>
      <c r="C75" t="s">
        <v>0</v>
      </c>
      <c r="D75" t="s">
        <v>6</v>
      </c>
      <c r="E75" t="s">
        <v>13</v>
      </c>
      <c r="F75" t="s">
        <v>3</v>
      </c>
      <c r="G75" t="s">
        <v>3</v>
      </c>
    </row>
    <row r="76" spans="1:7" x14ac:dyDescent="0.25">
      <c r="A76" t="s">
        <v>78</v>
      </c>
      <c r="B76">
        <v>2</v>
      </c>
      <c r="C76" t="s">
        <v>0</v>
      </c>
      <c r="D76" t="s">
        <v>6</v>
      </c>
      <c r="E76" t="s">
        <v>13</v>
      </c>
      <c r="F76" t="s">
        <v>3</v>
      </c>
      <c r="G76" t="s">
        <v>3</v>
      </c>
    </row>
    <row r="77" spans="1:7" x14ac:dyDescent="0.25">
      <c r="A77" t="s">
        <v>75</v>
      </c>
      <c r="B77">
        <v>1</v>
      </c>
      <c r="C77" t="s">
        <v>0</v>
      </c>
      <c r="D77" t="s">
        <v>2</v>
      </c>
      <c r="E77" t="s">
        <v>100</v>
      </c>
      <c r="F77" t="s">
        <v>3</v>
      </c>
      <c r="G77" t="s">
        <v>3</v>
      </c>
    </row>
    <row r="78" spans="1:7" x14ac:dyDescent="0.25">
      <c r="A78" t="s">
        <v>76</v>
      </c>
      <c r="B78">
        <v>1</v>
      </c>
      <c r="C78" t="s">
        <v>0</v>
      </c>
      <c r="D78" t="s">
        <v>2</v>
      </c>
      <c r="E78" t="s">
        <v>100</v>
      </c>
      <c r="F78" t="s">
        <v>3</v>
      </c>
      <c r="G78" t="s">
        <v>3</v>
      </c>
    </row>
    <row r="79" spans="1:7" x14ac:dyDescent="0.25">
      <c r="A79" t="s">
        <v>77</v>
      </c>
      <c r="B79">
        <v>1</v>
      </c>
      <c r="C79" t="s">
        <v>0</v>
      </c>
      <c r="D79" t="s">
        <v>2</v>
      </c>
      <c r="E79" t="s">
        <v>100</v>
      </c>
      <c r="F79" t="s">
        <v>3</v>
      </c>
      <c r="G79" t="s">
        <v>3</v>
      </c>
    </row>
    <row r="80" spans="1:7" x14ac:dyDescent="0.25">
      <c r="A80" t="s">
        <v>78</v>
      </c>
      <c r="B80">
        <v>1</v>
      </c>
      <c r="C80" t="s">
        <v>0</v>
      </c>
      <c r="D80" t="s">
        <v>2</v>
      </c>
      <c r="E80" t="s">
        <v>100</v>
      </c>
      <c r="F80" t="s">
        <v>3</v>
      </c>
      <c r="G80" t="s">
        <v>3</v>
      </c>
    </row>
    <row r="81" spans="1:7" x14ac:dyDescent="0.25">
      <c r="A81" t="s">
        <v>75</v>
      </c>
      <c r="B81">
        <v>1</v>
      </c>
      <c r="C81" t="s">
        <v>0</v>
      </c>
      <c r="D81" t="s">
        <v>2</v>
      </c>
      <c r="E81" t="s">
        <v>101</v>
      </c>
      <c r="F81" t="s">
        <v>3</v>
      </c>
      <c r="G81" t="s">
        <v>3</v>
      </c>
    </row>
    <row r="82" spans="1:7" x14ac:dyDescent="0.25">
      <c r="A82" t="s">
        <v>76</v>
      </c>
      <c r="B82">
        <v>1</v>
      </c>
      <c r="C82" t="s">
        <v>0</v>
      </c>
      <c r="D82" t="s">
        <v>2</v>
      </c>
      <c r="E82" t="s">
        <v>101</v>
      </c>
      <c r="F82" t="s">
        <v>3</v>
      </c>
      <c r="G82" t="s">
        <v>3</v>
      </c>
    </row>
    <row r="83" spans="1:7" x14ac:dyDescent="0.25">
      <c r="A83" t="s">
        <v>77</v>
      </c>
      <c r="B83">
        <v>1</v>
      </c>
      <c r="C83" t="s">
        <v>0</v>
      </c>
      <c r="D83" t="s">
        <v>2</v>
      </c>
      <c r="E83" t="s">
        <v>101</v>
      </c>
      <c r="F83" t="s">
        <v>3</v>
      </c>
      <c r="G83" t="s">
        <v>3</v>
      </c>
    </row>
    <row r="84" spans="1:7" x14ac:dyDescent="0.25">
      <c r="A84" t="s">
        <v>78</v>
      </c>
      <c r="B84">
        <v>1</v>
      </c>
      <c r="C84" t="s">
        <v>0</v>
      </c>
      <c r="D84" t="s">
        <v>2</v>
      </c>
      <c r="E84" t="s">
        <v>101</v>
      </c>
      <c r="F84" t="s">
        <v>3</v>
      </c>
      <c r="G84" t="s">
        <v>3</v>
      </c>
    </row>
    <row r="85" spans="1:7" x14ac:dyDescent="0.25">
      <c r="A85" t="s">
        <v>75</v>
      </c>
      <c r="B85">
        <v>1</v>
      </c>
      <c r="C85" t="s">
        <v>0</v>
      </c>
      <c r="D85" t="s">
        <v>2</v>
      </c>
      <c r="E85" t="s">
        <v>110</v>
      </c>
      <c r="F85" t="s">
        <v>3</v>
      </c>
      <c r="G85" t="s">
        <v>3</v>
      </c>
    </row>
    <row r="86" spans="1:7" x14ac:dyDescent="0.25">
      <c r="A86" t="s">
        <v>76</v>
      </c>
      <c r="B86">
        <v>2</v>
      </c>
      <c r="C86" t="s">
        <v>0</v>
      </c>
      <c r="D86" t="s">
        <v>2</v>
      </c>
      <c r="E86" t="s">
        <v>110</v>
      </c>
      <c r="F86" t="s">
        <v>3</v>
      </c>
      <c r="G86" t="s">
        <v>3</v>
      </c>
    </row>
    <row r="87" spans="1:7" x14ac:dyDescent="0.25">
      <c r="A87" t="s">
        <v>77</v>
      </c>
      <c r="B87">
        <v>3</v>
      </c>
      <c r="C87" t="s">
        <v>0</v>
      </c>
      <c r="D87" t="s">
        <v>2</v>
      </c>
      <c r="E87" t="s">
        <v>110</v>
      </c>
      <c r="F87" t="s">
        <v>3</v>
      </c>
      <c r="G87" t="s">
        <v>3</v>
      </c>
    </row>
  </sheetData>
  <conditionalFormatting sqref="E57:E68 E12:E23">
    <cfRule type="duplicateValues" dxfId="0" priority="52"/>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Dynamic Split</vt:lpstr>
      <vt:lpstr>Cambio de Split</vt:lpstr>
      <vt:lpstr>Maestra</vt:lpstr>
      <vt:lpstr>Flat Base</vt:lpstr>
      <vt:lpstr>Important Info!</vt:lpstr>
      <vt:lpstr>H.A. Dynamic Split</vt:lpstr>
      <vt:lpstr> (H.A.) Flat Base</vt:lpstr>
      <vt:lpstr>'Dynamic Split'!Print_Area</vt:lpstr>
      <vt:lpstr>'H.A. Dynamic Split'!Print_Area</vt:lpstr>
    </vt:vector>
  </TitlesOfParts>
  <Company>Luffi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Luffi</dc:creator>
  <cp:lastModifiedBy>Wendy Heredia</cp:lastModifiedBy>
  <cp:lastPrinted>2023-06-08T02:50:00Z</cp:lastPrinted>
  <dcterms:created xsi:type="dcterms:W3CDTF">2023-04-11T21:33:52Z</dcterms:created>
  <dcterms:modified xsi:type="dcterms:W3CDTF">2025-10-24T10:43:05Z</dcterms:modified>
</cp:coreProperties>
</file>