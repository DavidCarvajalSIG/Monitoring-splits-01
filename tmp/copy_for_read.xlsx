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3.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defaultThemeVersion="124226"/>
  <mc:AlternateContent xmlns:mc="http://schemas.openxmlformats.org/markup-compatibility/2006">
    <mc:Choice Requires="x15">
      <x15ac:absPath xmlns:x15ac="http://schemas.microsoft.com/office/spreadsheetml/2010/11/ac" url="\\192.168.7.12\Data SIG\Central Station SLC-COLOMBIA\3. DST Monitoring Split Colombia\2. Luxriot - Monitoring Split\"/>
    </mc:Choice>
  </mc:AlternateContent>
  <xr:revisionPtr revIDLastSave="0" documentId="13_ncr:1_{01D2359F-DAF9-4A26-A5D5-94092D7C4F7D}" xr6:coauthVersionLast="47" xr6:coauthVersionMax="47" xr10:uidLastSave="{00000000-0000-0000-0000-000000000000}"/>
  <workbookProtection workbookAlgorithmName="SHA-512" workbookHashValue="9efuaQUxMMdHxBKZiRE9eItADfrT46LMmLJnfdNk2G7PwzbcRUNH8y1RTCf2ExpmzRnSa1AHSj+PeIaSx+RmTw==" workbookSaltValue="MA36BrhQOuVIf0eSyz3l6A==" workbookSpinCount="100000" lockStructure="1"/>
  <bookViews>
    <workbookView xWindow="28680" yWindow="-120" windowWidth="29040" windowHeight="15720" xr2:uid="{00000000-000D-0000-FFFF-FFFF00000000}"/>
  </bookViews>
  <sheets>
    <sheet name="Dynamic Split" sheetId="15" r:id="rId1"/>
    <sheet name="Cambio de Split" sheetId="20" state="hidden" r:id="rId2"/>
    <sheet name="Maestra" sheetId="19" state="hidden" r:id="rId3"/>
    <sheet name="Flat Base" sheetId="11" state="hidden" r:id="rId4"/>
    <sheet name="Important Info!" sheetId="21" state="hidden" r:id="rId5"/>
    <sheet name="H.A. Dynamic Split" sheetId="4" state="hidden" r:id="rId6"/>
    <sheet name=" (H.A.) Flat Base" sheetId="12" state="hidden" r:id="rId7"/>
  </sheets>
  <definedNames>
    <definedName name="_xlnm._FilterDatabase" localSheetId="0" hidden="1">'Dynamic Split'!$G$1:$AD$6291</definedName>
    <definedName name="_xlnm._FilterDatabase" localSheetId="3" hidden="1">'Flat Base'!$A$1:$A$575</definedName>
    <definedName name="_xlnm._FilterDatabase" localSheetId="5" hidden="1">'H.A. Dynamic Split'!$A$15:$M$501</definedName>
    <definedName name="_xlnm._FilterDatabase" localSheetId="4" hidden="1">'Important Info!'!$A$1:$G$1</definedName>
    <definedName name="_xlnm.Print_Area" localSheetId="0">'Dynamic Split'!$A$1:$AG$80</definedName>
    <definedName name="_xlnm.Print_Area" localSheetId="5">'H.A. Dynamic Split'!$A$1:$Y$76</definedName>
    <definedName name="SegmentaciónDeDatos_Split">#N/A</definedName>
    <definedName name="SegmentaciónDeDatos_Split1">#N/A</definedName>
    <definedName name="SegmentaciónDeDatos_Split11">#N/A</definedName>
    <definedName name="SegmentaciónDeDatos_Split2">#N/A</definedName>
    <definedName name="SegmentaciónDeDatos_Station">#N/A</definedName>
    <definedName name="SegmentaciónDeDatos_Station1">#N/A</definedName>
    <definedName name="SegmentaciónDeDatos_Station11">#N/A</definedName>
  </definedNames>
  <calcPr calcId="191029" iterateDelta="1E-4"/>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15" l="1"/>
  <c r="H31" i="15"/>
  <c r="H32" i="15"/>
  <c r="H33" i="15"/>
  <c r="H34" i="15"/>
  <c r="H35" i="15"/>
  <c r="H36" i="15"/>
  <c r="H37" i="15"/>
  <c r="H38" i="15"/>
  <c r="H39" i="15"/>
  <c r="H40" i="15"/>
  <c r="H41" i="15"/>
  <c r="H42" i="15"/>
  <c r="H43" i="15"/>
  <c r="H44" i="15"/>
  <c r="H45" i="15"/>
  <c r="H46" i="15"/>
  <c r="H47" i="15"/>
  <c r="H48" i="15"/>
  <c r="H49" i="15"/>
  <c r="H50" i="15"/>
  <c r="H51" i="15"/>
  <c r="H52" i="15"/>
  <c r="H53" i="15"/>
  <c r="H54" i="15"/>
  <c r="H55" i="15"/>
  <c r="H56" i="15"/>
  <c r="H57" i="15"/>
  <c r="H58" i="15"/>
  <c r="H59" i="15"/>
  <c r="H60" i="15"/>
  <c r="H61" i="15"/>
  <c r="H62" i="15"/>
  <c r="H63" i="15"/>
  <c r="H64" i="15"/>
  <c r="H65" i="15"/>
  <c r="H66" i="15"/>
  <c r="H67" i="15"/>
  <c r="H68" i="15"/>
  <c r="H69" i="15"/>
  <c r="H70" i="15"/>
  <c r="H71" i="15"/>
  <c r="H72" i="15"/>
  <c r="H73" i="15"/>
  <c r="H74" i="15"/>
  <c r="H75" i="15"/>
  <c r="H76" i="15"/>
  <c r="H77" i="15"/>
  <c r="I3" i="11"/>
  <c r="I4" i="11"/>
  <c r="I5" i="11"/>
  <c r="I6" i="11"/>
  <c r="I7" i="11"/>
  <c r="I8" i="11"/>
  <c r="I9" i="11"/>
  <c r="I10" i="11"/>
  <c r="I11" i="11"/>
  <c r="I12" i="11"/>
  <c r="I13" i="11"/>
  <c r="I14" i="11"/>
  <c r="H23" i="15" s="1"/>
  <c r="I15" i="11"/>
  <c r="I16" i="11"/>
  <c r="I17" i="11"/>
  <c r="I18" i="11"/>
  <c r="I19" i="11"/>
  <c r="I20" i="11"/>
  <c r="I21" i="11"/>
  <c r="H25" i="15" s="1"/>
  <c r="I22" i="11"/>
  <c r="I23" i="11"/>
  <c r="I24" i="11"/>
  <c r="H24" i="15" s="1"/>
  <c r="I25" i="11"/>
  <c r="H22" i="15" s="1"/>
  <c r="I26" i="11"/>
  <c r="I27" i="11"/>
  <c r="I28" i="11"/>
  <c r="I29" i="11"/>
  <c r="H28" i="15" s="1"/>
  <c r="I30" i="11"/>
  <c r="H27" i="15" s="1"/>
  <c r="I31" i="11"/>
  <c r="I32" i="11"/>
  <c r="I33" i="11"/>
  <c r="I34" i="11"/>
  <c r="I35" i="11"/>
  <c r="I36" i="11"/>
  <c r="I37" i="11"/>
  <c r="I38" i="11"/>
  <c r="I39" i="11"/>
  <c r="H29" i="15" s="1"/>
  <c r="I40" i="11"/>
  <c r="I41" i="11"/>
  <c r="I42" i="11"/>
  <c r="I43" i="11"/>
  <c r="I44" i="11"/>
  <c r="I45" i="11"/>
  <c r="I46" i="11"/>
  <c r="I47" i="11"/>
  <c r="H21" i="15" s="1"/>
  <c r="I48" i="11"/>
  <c r="I49" i="11"/>
  <c r="I50" i="11"/>
  <c r="I51" i="11"/>
  <c r="I52" i="11"/>
  <c r="I53" i="11"/>
  <c r="I54" i="11"/>
  <c r="I55" i="11"/>
  <c r="I56" i="11"/>
  <c r="H20" i="15" s="1"/>
  <c r="I57" i="11"/>
  <c r="I58" i="11"/>
  <c r="I59" i="11"/>
  <c r="I60" i="11"/>
  <c r="H19" i="15" s="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H26" i="15" s="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2" i="11"/>
  <c r="E541" i="11"/>
  <c r="F541" i="11"/>
  <c r="G541" i="11"/>
  <c r="J541" i="11"/>
  <c r="L541" i="11"/>
  <c r="M541" i="11"/>
  <c r="N541" i="11"/>
  <c r="O541" i="11"/>
  <c r="P541" i="11"/>
  <c r="Q541" i="11"/>
  <c r="E542" i="11"/>
  <c r="F542" i="11"/>
  <c r="G542" i="11"/>
  <c r="J542" i="11"/>
  <c r="L542" i="11"/>
  <c r="M542" i="11"/>
  <c r="N542" i="11"/>
  <c r="O542" i="11"/>
  <c r="P542" i="11"/>
  <c r="Q542" i="11"/>
  <c r="E543" i="11"/>
  <c r="F543" i="11"/>
  <c r="G543" i="11"/>
  <c r="J543" i="11"/>
  <c r="L543" i="11"/>
  <c r="M543" i="11"/>
  <c r="N543" i="11"/>
  <c r="O543" i="11"/>
  <c r="P543" i="11"/>
  <c r="Q543" i="11"/>
  <c r="E544" i="11"/>
  <c r="F544" i="11"/>
  <c r="G544" i="11"/>
  <c r="J544" i="11"/>
  <c r="L544" i="11"/>
  <c r="M544" i="11"/>
  <c r="N544" i="11"/>
  <c r="O544" i="11"/>
  <c r="P544" i="11"/>
  <c r="Q544" i="11"/>
  <c r="E545" i="11"/>
  <c r="F545" i="11"/>
  <c r="G545" i="11"/>
  <c r="J545" i="11"/>
  <c r="L545" i="11"/>
  <c r="M545" i="11"/>
  <c r="N545" i="11"/>
  <c r="O545" i="11"/>
  <c r="P545" i="11"/>
  <c r="Q545" i="11"/>
  <c r="E546" i="11"/>
  <c r="F546" i="11"/>
  <c r="G546" i="11"/>
  <c r="J546" i="11"/>
  <c r="L546" i="11"/>
  <c r="M546" i="11"/>
  <c r="N546" i="11"/>
  <c r="O546" i="11"/>
  <c r="P546" i="11"/>
  <c r="Q546" i="11"/>
  <c r="E547" i="11"/>
  <c r="F547" i="11"/>
  <c r="G547" i="11"/>
  <c r="J547" i="11"/>
  <c r="L547" i="11"/>
  <c r="M547" i="11"/>
  <c r="N547" i="11"/>
  <c r="O547" i="11"/>
  <c r="P547" i="11"/>
  <c r="Q547" i="11"/>
  <c r="E548" i="11"/>
  <c r="F548" i="11"/>
  <c r="G548" i="11"/>
  <c r="J548" i="11"/>
  <c r="L548" i="11"/>
  <c r="M548" i="11"/>
  <c r="N548" i="11"/>
  <c r="O548" i="11"/>
  <c r="P548" i="11"/>
  <c r="Q548" i="11"/>
  <c r="E549" i="11"/>
  <c r="F549" i="11"/>
  <c r="G549" i="11"/>
  <c r="J549" i="11"/>
  <c r="L549" i="11"/>
  <c r="M549" i="11"/>
  <c r="N549" i="11"/>
  <c r="O549" i="11"/>
  <c r="P549" i="11"/>
  <c r="Q549" i="11"/>
  <c r="E550" i="11"/>
  <c r="F550" i="11"/>
  <c r="G550" i="11"/>
  <c r="J550" i="11"/>
  <c r="L550" i="11"/>
  <c r="M550" i="11"/>
  <c r="N550" i="11"/>
  <c r="O550" i="11"/>
  <c r="P550" i="11"/>
  <c r="Q550" i="11"/>
  <c r="E551" i="11"/>
  <c r="F551" i="11"/>
  <c r="G551" i="11"/>
  <c r="J551" i="11"/>
  <c r="L551" i="11"/>
  <c r="M551" i="11"/>
  <c r="N551" i="11"/>
  <c r="O551" i="11"/>
  <c r="P551" i="11"/>
  <c r="Q551" i="11"/>
  <c r="E552" i="11"/>
  <c r="F552" i="11"/>
  <c r="G552" i="11"/>
  <c r="J552" i="11"/>
  <c r="L552" i="11"/>
  <c r="M552" i="11"/>
  <c r="N552" i="11"/>
  <c r="O552" i="11"/>
  <c r="P552" i="11"/>
  <c r="Q552" i="11"/>
  <c r="E553" i="11"/>
  <c r="F553" i="11"/>
  <c r="G553" i="11"/>
  <c r="J553" i="11"/>
  <c r="L553" i="11"/>
  <c r="M553" i="11"/>
  <c r="N553" i="11"/>
  <c r="O553" i="11"/>
  <c r="P553" i="11"/>
  <c r="Q553" i="11"/>
  <c r="E554" i="11"/>
  <c r="F554" i="11"/>
  <c r="G554" i="11"/>
  <c r="J554" i="11"/>
  <c r="L554" i="11"/>
  <c r="M554" i="11"/>
  <c r="N554" i="11"/>
  <c r="O554" i="11"/>
  <c r="P554" i="11"/>
  <c r="Q554" i="11"/>
  <c r="E555" i="11"/>
  <c r="F555" i="11"/>
  <c r="G555" i="11"/>
  <c r="J555" i="11"/>
  <c r="L555" i="11"/>
  <c r="M555" i="11"/>
  <c r="N555" i="11"/>
  <c r="O555" i="11"/>
  <c r="P555" i="11"/>
  <c r="Q555" i="11"/>
  <c r="E556" i="11"/>
  <c r="F556" i="11"/>
  <c r="G556" i="11"/>
  <c r="J556" i="11"/>
  <c r="L556" i="11"/>
  <c r="M556" i="11"/>
  <c r="N556" i="11"/>
  <c r="O556" i="11"/>
  <c r="P556" i="11"/>
  <c r="Q556" i="11"/>
  <c r="E557" i="11"/>
  <c r="F557" i="11"/>
  <c r="G557" i="11"/>
  <c r="J557" i="11"/>
  <c r="L557" i="11"/>
  <c r="M557" i="11"/>
  <c r="N557" i="11"/>
  <c r="O557" i="11"/>
  <c r="P557" i="11"/>
  <c r="Q557" i="11"/>
  <c r="E558" i="11"/>
  <c r="F558" i="11"/>
  <c r="G558" i="11"/>
  <c r="J558" i="11"/>
  <c r="L558" i="11"/>
  <c r="M558" i="11"/>
  <c r="N558" i="11"/>
  <c r="O558" i="11"/>
  <c r="P558" i="11"/>
  <c r="Q558" i="11"/>
  <c r="E559" i="11"/>
  <c r="F559" i="11"/>
  <c r="G559" i="11"/>
  <c r="J559" i="11"/>
  <c r="L559" i="11"/>
  <c r="M559" i="11"/>
  <c r="N559" i="11"/>
  <c r="O559" i="11"/>
  <c r="P559" i="11"/>
  <c r="Q559" i="11"/>
  <c r="E560" i="11"/>
  <c r="F560" i="11"/>
  <c r="G560" i="11"/>
  <c r="J560" i="11"/>
  <c r="L560" i="11"/>
  <c r="M560" i="11"/>
  <c r="N560" i="11"/>
  <c r="O560" i="11"/>
  <c r="P560" i="11"/>
  <c r="Q560" i="11"/>
  <c r="E561" i="11"/>
  <c r="F561" i="11"/>
  <c r="G561" i="11"/>
  <c r="J561" i="11"/>
  <c r="L561" i="11"/>
  <c r="M561" i="11"/>
  <c r="N561" i="11"/>
  <c r="O561" i="11"/>
  <c r="P561" i="11"/>
  <c r="Q561" i="11"/>
  <c r="E562" i="11"/>
  <c r="F562" i="11"/>
  <c r="G562" i="11"/>
  <c r="J562" i="11"/>
  <c r="L562" i="11"/>
  <c r="M562" i="11"/>
  <c r="N562" i="11"/>
  <c r="O562" i="11"/>
  <c r="P562" i="11"/>
  <c r="Q562" i="11"/>
  <c r="E563" i="11"/>
  <c r="F563" i="11"/>
  <c r="G563" i="11"/>
  <c r="J563" i="11"/>
  <c r="L563" i="11"/>
  <c r="M563" i="11"/>
  <c r="N563" i="11"/>
  <c r="O563" i="11"/>
  <c r="P563" i="11"/>
  <c r="Q563" i="11"/>
  <c r="E564" i="11"/>
  <c r="F564" i="11"/>
  <c r="G564" i="11"/>
  <c r="J564" i="11"/>
  <c r="L564" i="11"/>
  <c r="M564" i="11"/>
  <c r="N564" i="11"/>
  <c r="O564" i="11"/>
  <c r="P564" i="11"/>
  <c r="Q564" i="11"/>
  <c r="E565" i="11"/>
  <c r="F565" i="11"/>
  <c r="G565" i="11"/>
  <c r="J565" i="11"/>
  <c r="L565" i="11"/>
  <c r="M565" i="11"/>
  <c r="N565" i="11"/>
  <c r="O565" i="11"/>
  <c r="P565" i="11"/>
  <c r="Q565" i="11"/>
  <c r="E566" i="11"/>
  <c r="F566" i="11"/>
  <c r="G566" i="11"/>
  <c r="J566" i="11"/>
  <c r="L566" i="11"/>
  <c r="M566" i="11"/>
  <c r="N566" i="11"/>
  <c r="O566" i="11"/>
  <c r="P566" i="11"/>
  <c r="Q566" i="11"/>
  <c r="E567" i="11"/>
  <c r="F567" i="11"/>
  <c r="G567" i="11"/>
  <c r="J567" i="11"/>
  <c r="L567" i="11"/>
  <c r="M567" i="11"/>
  <c r="N567" i="11"/>
  <c r="O567" i="11"/>
  <c r="P567" i="11"/>
  <c r="Q567" i="11"/>
  <c r="E568" i="11"/>
  <c r="F568" i="11"/>
  <c r="G568" i="11"/>
  <c r="J568" i="11"/>
  <c r="L568" i="11"/>
  <c r="M568" i="11"/>
  <c r="N568" i="11"/>
  <c r="O568" i="11"/>
  <c r="P568" i="11"/>
  <c r="Q568" i="11"/>
  <c r="E569" i="11"/>
  <c r="F569" i="11"/>
  <c r="G569" i="11"/>
  <c r="J569" i="11"/>
  <c r="L569" i="11"/>
  <c r="M569" i="11"/>
  <c r="N569" i="11"/>
  <c r="O569" i="11"/>
  <c r="P569" i="11"/>
  <c r="Q569" i="11"/>
  <c r="E570" i="11"/>
  <c r="F570" i="11"/>
  <c r="G570" i="11"/>
  <c r="J570" i="11"/>
  <c r="L570" i="11"/>
  <c r="M570" i="11"/>
  <c r="N570" i="11"/>
  <c r="O570" i="11"/>
  <c r="P570" i="11"/>
  <c r="Q570" i="11"/>
  <c r="E571" i="11"/>
  <c r="F571" i="11"/>
  <c r="G571" i="11"/>
  <c r="J571" i="11"/>
  <c r="L571" i="11"/>
  <c r="M571" i="11"/>
  <c r="N571" i="11"/>
  <c r="O571" i="11"/>
  <c r="P571" i="11"/>
  <c r="Q571" i="11"/>
  <c r="E572" i="11"/>
  <c r="F572" i="11"/>
  <c r="G572" i="11"/>
  <c r="J572" i="11"/>
  <c r="L572" i="11"/>
  <c r="M572" i="11"/>
  <c r="N572" i="11"/>
  <c r="O572" i="11"/>
  <c r="P572" i="11"/>
  <c r="Q572" i="11"/>
  <c r="E573" i="11"/>
  <c r="F573" i="11"/>
  <c r="G573" i="11"/>
  <c r="J573" i="11"/>
  <c r="L573" i="11"/>
  <c r="M573" i="11"/>
  <c r="N573" i="11"/>
  <c r="O573" i="11"/>
  <c r="P573" i="11"/>
  <c r="Q573" i="11"/>
  <c r="E574" i="11"/>
  <c r="F574" i="11"/>
  <c r="G574" i="11"/>
  <c r="J574" i="11"/>
  <c r="L574" i="11"/>
  <c r="M574" i="11"/>
  <c r="N574" i="11"/>
  <c r="O574" i="11"/>
  <c r="P574" i="11"/>
  <c r="Q574" i="11"/>
  <c r="E575" i="11"/>
  <c r="F575" i="11"/>
  <c r="G575" i="11"/>
  <c r="J575" i="11"/>
  <c r="L575" i="11"/>
  <c r="M575" i="11"/>
  <c r="N575" i="11"/>
  <c r="O575" i="11"/>
  <c r="P575" i="11"/>
  <c r="Q575" i="11"/>
  <c r="J523" i="11"/>
  <c r="J522" i="11"/>
  <c r="J521" i="11"/>
  <c r="J520" i="11"/>
  <c r="J519" i="11"/>
  <c r="J518" i="11"/>
  <c r="J517" i="11"/>
  <c r="J516" i="11"/>
  <c r="J515" i="11"/>
  <c r="G523" i="11"/>
  <c r="F523" i="11"/>
  <c r="E523" i="11"/>
  <c r="G522" i="11"/>
  <c r="F522" i="11"/>
  <c r="E522" i="11"/>
  <c r="G521" i="11"/>
  <c r="F521" i="11"/>
  <c r="E521" i="11"/>
  <c r="G520" i="11"/>
  <c r="F520" i="11"/>
  <c r="E520" i="11"/>
  <c r="G519" i="11"/>
  <c r="F519" i="11"/>
  <c r="E519" i="11"/>
  <c r="G518" i="11"/>
  <c r="F518" i="11"/>
  <c r="E518" i="11"/>
  <c r="G517" i="11"/>
  <c r="F517" i="11"/>
  <c r="E517" i="11"/>
  <c r="G516" i="11"/>
  <c r="F516" i="11"/>
  <c r="E516" i="11"/>
  <c r="G515" i="11"/>
  <c r="F515" i="11"/>
  <c r="E515" i="11"/>
  <c r="A518" i="11"/>
  <c r="L518" i="11"/>
  <c r="M518" i="11"/>
  <c r="N518" i="11"/>
  <c r="O518" i="11"/>
  <c r="P518" i="11"/>
  <c r="Q518" i="11"/>
  <c r="J466" i="11"/>
  <c r="G466" i="11"/>
  <c r="F466" i="11"/>
  <c r="E466" i="11"/>
  <c r="A466" i="11"/>
  <c r="L466" i="11"/>
  <c r="M466" i="11"/>
  <c r="N466" i="11"/>
  <c r="O466" i="11"/>
  <c r="P466" i="11"/>
  <c r="Q466" i="11"/>
  <c r="J357" i="11"/>
  <c r="G357" i="11"/>
  <c r="F357" i="11"/>
  <c r="E357" i="11"/>
  <c r="A357" i="11"/>
  <c r="L357" i="11"/>
  <c r="M357" i="11"/>
  <c r="N357" i="11"/>
  <c r="O357" i="11"/>
  <c r="P357" i="11"/>
  <c r="Q357" i="11"/>
  <c r="J298" i="11"/>
  <c r="G298" i="11"/>
  <c r="F298" i="11"/>
  <c r="E298" i="11"/>
  <c r="A298" i="11"/>
  <c r="L298" i="11"/>
  <c r="M298" i="11"/>
  <c r="N298" i="11"/>
  <c r="O298" i="11"/>
  <c r="P298" i="11"/>
  <c r="Q298" i="11"/>
  <c r="J240" i="11"/>
  <c r="H240" i="11"/>
  <c r="G240" i="11"/>
  <c r="F240" i="11"/>
  <c r="E240" i="11"/>
  <c r="A240" i="11"/>
  <c r="L240" i="11"/>
  <c r="M240" i="11"/>
  <c r="N240" i="11"/>
  <c r="O240" i="11"/>
  <c r="P240" i="11"/>
  <c r="Q240" i="11"/>
  <c r="J181" i="11"/>
  <c r="H181" i="11"/>
  <c r="G181" i="11"/>
  <c r="F181" i="11"/>
  <c r="E181" i="11"/>
  <c r="A181" i="11"/>
  <c r="L181" i="11"/>
  <c r="M181" i="11"/>
  <c r="N181" i="11"/>
  <c r="O181" i="11"/>
  <c r="P181" i="11"/>
  <c r="Q181" i="11"/>
  <c r="J122" i="11"/>
  <c r="H122" i="11"/>
  <c r="G122" i="11"/>
  <c r="F122" i="11"/>
  <c r="E122" i="11"/>
  <c r="A122" i="11"/>
  <c r="L122" i="11"/>
  <c r="M122" i="11"/>
  <c r="N122" i="11"/>
  <c r="O122" i="11"/>
  <c r="P122" i="11"/>
  <c r="Q122" i="11"/>
  <c r="J62" i="11"/>
  <c r="H62" i="11"/>
  <c r="G62" i="11"/>
  <c r="F62" i="11"/>
  <c r="E62" i="11"/>
  <c r="A62" i="11"/>
  <c r="L62" i="11"/>
  <c r="M62" i="11"/>
  <c r="N62" i="11"/>
  <c r="O62" i="11"/>
  <c r="P62" i="11"/>
  <c r="Q62" i="11"/>
  <c r="J9" i="11"/>
  <c r="H9" i="11"/>
  <c r="G9" i="11"/>
  <c r="F9" i="11"/>
  <c r="E9" i="11"/>
  <c r="A9" i="11"/>
  <c r="L9" i="11"/>
  <c r="M9" i="11"/>
  <c r="N9" i="11"/>
  <c r="O9" i="11"/>
  <c r="P9" i="11"/>
  <c r="Q9" i="11"/>
  <c r="L3" i="11"/>
  <c r="M3" i="11"/>
  <c r="N3" i="11"/>
  <c r="O3" i="11"/>
  <c r="P3" i="11"/>
  <c r="Q3" i="11"/>
  <c r="L4" i="11"/>
  <c r="M4" i="11"/>
  <c r="N4" i="11"/>
  <c r="O4" i="11"/>
  <c r="P4" i="11"/>
  <c r="Q4" i="11"/>
  <c r="L5" i="11"/>
  <c r="M5" i="11"/>
  <c r="N5" i="11"/>
  <c r="O5" i="11"/>
  <c r="P5" i="11"/>
  <c r="Q5" i="11"/>
  <c r="L6" i="11"/>
  <c r="M6" i="11"/>
  <c r="N6" i="11"/>
  <c r="O6" i="11"/>
  <c r="P6" i="11"/>
  <c r="Q6" i="11"/>
  <c r="L7" i="11"/>
  <c r="M7" i="11"/>
  <c r="N7" i="11"/>
  <c r="O7" i="11"/>
  <c r="P7" i="11"/>
  <c r="Q7" i="11"/>
  <c r="L8" i="11"/>
  <c r="M8" i="11"/>
  <c r="N8" i="11"/>
  <c r="O8" i="11"/>
  <c r="P8" i="11"/>
  <c r="Q8" i="11"/>
  <c r="L10" i="11"/>
  <c r="M10" i="11"/>
  <c r="N10" i="11"/>
  <c r="O10" i="11"/>
  <c r="P10" i="11"/>
  <c r="Q10" i="11"/>
  <c r="L11" i="11"/>
  <c r="M11" i="11"/>
  <c r="N11" i="11"/>
  <c r="O11" i="11"/>
  <c r="P11" i="11"/>
  <c r="Q11" i="11"/>
  <c r="L12" i="11"/>
  <c r="M12" i="11"/>
  <c r="N12" i="11"/>
  <c r="O12" i="11"/>
  <c r="P12" i="11"/>
  <c r="Q12" i="11"/>
  <c r="L13" i="11"/>
  <c r="M13" i="11"/>
  <c r="N13" i="11"/>
  <c r="O13" i="11"/>
  <c r="P13" i="11"/>
  <c r="Q13" i="11"/>
  <c r="L14" i="11"/>
  <c r="M14" i="11"/>
  <c r="N14" i="11"/>
  <c r="O14" i="11"/>
  <c r="P14" i="11"/>
  <c r="Q14" i="11"/>
  <c r="L15" i="11"/>
  <c r="M15" i="11"/>
  <c r="N15" i="11"/>
  <c r="O15" i="11"/>
  <c r="P15" i="11"/>
  <c r="Q15" i="11"/>
  <c r="L16" i="11"/>
  <c r="M16" i="11"/>
  <c r="N16" i="11"/>
  <c r="O16" i="11"/>
  <c r="P16" i="11"/>
  <c r="Q16" i="11"/>
  <c r="L17" i="11"/>
  <c r="M17" i="11"/>
  <c r="N17" i="11"/>
  <c r="O17" i="11"/>
  <c r="P17" i="11"/>
  <c r="Q17" i="11"/>
  <c r="L18" i="11"/>
  <c r="M18" i="11"/>
  <c r="N18" i="11"/>
  <c r="O18" i="11"/>
  <c r="P18" i="11"/>
  <c r="Q18" i="11"/>
  <c r="L19" i="11"/>
  <c r="M19" i="11"/>
  <c r="N19" i="11"/>
  <c r="O19" i="11"/>
  <c r="P19" i="11"/>
  <c r="Q19" i="11"/>
  <c r="L20" i="11"/>
  <c r="M20" i="11"/>
  <c r="N20" i="11"/>
  <c r="O20" i="11"/>
  <c r="P20" i="11"/>
  <c r="Q20" i="11"/>
  <c r="L21" i="11"/>
  <c r="M21" i="11"/>
  <c r="N21" i="11"/>
  <c r="O21" i="11"/>
  <c r="P21" i="11"/>
  <c r="Q21" i="11"/>
  <c r="L22" i="11"/>
  <c r="M22" i="11"/>
  <c r="N22" i="11"/>
  <c r="O22" i="11"/>
  <c r="P22" i="11"/>
  <c r="Q22" i="11"/>
  <c r="L23" i="11"/>
  <c r="M23" i="11"/>
  <c r="N23" i="11"/>
  <c r="O23" i="11"/>
  <c r="P23" i="11"/>
  <c r="Q23" i="11"/>
  <c r="L24" i="11"/>
  <c r="M24" i="11"/>
  <c r="N24" i="11"/>
  <c r="O24" i="11"/>
  <c r="P24" i="11"/>
  <c r="Q24" i="11"/>
  <c r="L25" i="11"/>
  <c r="M25" i="11"/>
  <c r="N25" i="11"/>
  <c r="O25" i="11"/>
  <c r="P25" i="11"/>
  <c r="Q25" i="11"/>
  <c r="L26" i="11"/>
  <c r="M26" i="11"/>
  <c r="N26" i="11"/>
  <c r="O26" i="11"/>
  <c r="P26" i="11"/>
  <c r="Q26" i="11"/>
  <c r="L27" i="11"/>
  <c r="M27" i="11"/>
  <c r="N27" i="11"/>
  <c r="O27" i="11"/>
  <c r="P27" i="11"/>
  <c r="Q27" i="11"/>
  <c r="L28" i="11"/>
  <c r="M28" i="11"/>
  <c r="N28" i="11"/>
  <c r="O28" i="11"/>
  <c r="P28" i="11"/>
  <c r="Q28" i="11"/>
  <c r="L29" i="11"/>
  <c r="M29" i="11"/>
  <c r="N29" i="11"/>
  <c r="O29" i="11"/>
  <c r="P29" i="11"/>
  <c r="Q29" i="11"/>
  <c r="L30" i="11"/>
  <c r="M30" i="11"/>
  <c r="N30" i="11"/>
  <c r="O30" i="11"/>
  <c r="P30" i="11"/>
  <c r="Q30" i="11"/>
  <c r="L31" i="11"/>
  <c r="M31" i="11"/>
  <c r="N31" i="11"/>
  <c r="O31" i="11"/>
  <c r="P31" i="11"/>
  <c r="Q31" i="11"/>
  <c r="L32" i="11"/>
  <c r="M32" i="11"/>
  <c r="N32" i="11"/>
  <c r="O32" i="11"/>
  <c r="P32" i="11"/>
  <c r="Q32" i="11"/>
  <c r="L33" i="11"/>
  <c r="M33" i="11"/>
  <c r="N33" i="11"/>
  <c r="O33" i="11"/>
  <c r="P33" i="11"/>
  <c r="Q33" i="11"/>
  <c r="L34" i="11"/>
  <c r="M34" i="11"/>
  <c r="N34" i="11"/>
  <c r="O34" i="11"/>
  <c r="P34" i="11"/>
  <c r="Q34" i="11"/>
  <c r="L35" i="11"/>
  <c r="M35" i="11"/>
  <c r="N35" i="11"/>
  <c r="O35" i="11"/>
  <c r="P35" i="11"/>
  <c r="Q35" i="11"/>
  <c r="L36" i="11"/>
  <c r="M36" i="11"/>
  <c r="N36" i="11"/>
  <c r="O36" i="11"/>
  <c r="P36" i="11"/>
  <c r="Q36" i="11"/>
  <c r="L37" i="11"/>
  <c r="M37" i="11"/>
  <c r="N37" i="11"/>
  <c r="O37" i="11"/>
  <c r="P37" i="11"/>
  <c r="Q37" i="11"/>
  <c r="L38" i="11"/>
  <c r="M38" i="11"/>
  <c r="N38" i="11"/>
  <c r="O38" i="11"/>
  <c r="P38" i="11"/>
  <c r="Q38" i="11"/>
  <c r="L39" i="11"/>
  <c r="M39" i="11"/>
  <c r="N39" i="11"/>
  <c r="O39" i="11"/>
  <c r="P39" i="11"/>
  <c r="Q39" i="11"/>
  <c r="L40" i="11"/>
  <c r="M40" i="11"/>
  <c r="N40" i="11"/>
  <c r="O40" i="11"/>
  <c r="P40" i="11"/>
  <c r="Q40" i="11"/>
  <c r="L41" i="11"/>
  <c r="M41" i="11"/>
  <c r="N41" i="11"/>
  <c r="O41" i="11"/>
  <c r="P41" i="11"/>
  <c r="Q41" i="11"/>
  <c r="L42" i="11"/>
  <c r="M42" i="11"/>
  <c r="N42" i="11"/>
  <c r="O42" i="11"/>
  <c r="P42" i="11"/>
  <c r="Q42" i="11"/>
  <c r="L43" i="11"/>
  <c r="M43" i="11"/>
  <c r="N43" i="11"/>
  <c r="O43" i="11"/>
  <c r="P43" i="11"/>
  <c r="Q43" i="11"/>
  <c r="L44" i="11"/>
  <c r="M44" i="11"/>
  <c r="N44" i="11"/>
  <c r="O44" i="11"/>
  <c r="P44" i="11"/>
  <c r="Q44" i="11"/>
  <c r="L45" i="11"/>
  <c r="M45" i="11"/>
  <c r="N45" i="11"/>
  <c r="O45" i="11"/>
  <c r="P45" i="11"/>
  <c r="Q45" i="11"/>
  <c r="L46" i="11"/>
  <c r="M46" i="11"/>
  <c r="N46" i="11"/>
  <c r="O46" i="11"/>
  <c r="P46" i="11"/>
  <c r="Q46" i="11"/>
  <c r="L47" i="11"/>
  <c r="M47" i="11"/>
  <c r="N47" i="11"/>
  <c r="O47" i="11"/>
  <c r="P47" i="11"/>
  <c r="Q47" i="11"/>
  <c r="L48" i="11"/>
  <c r="M48" i="11"/>
  <c r="N48" i="11"/>
  <c r="O48" i="11"/>
  <c r="P48" i="11"/>
  <c r="Q48" i="11"/>
  <c r="L49" i="11"/>
  <c r="M49" i="11"/>
  <c r="N49" i="11"/>
  <c r="O49" i="11"/>
  <c r="P49" i="11"/>
  <c r="Q49" i="11"/>
  <c r="L50" i="11"/>
  <c r="M50" i="11"/>
  <c r="N50" i="11"/>
  <c r="O50" i="11"/>
  <c r="P50" i="11"/>
  <c r="Q50" i="11"/>
  <c r="L51" i="11"/>
  <c r="M51" i="11"/>
  <c r="N51" i="11"/>
  <c r="O51" i="11"/>
  <c r="P51" i="11"/>
  <c r="Q51" i="11"/>
  <c r="L52" i="11"/>
  <c r="M52" i="11"/>
  <c r="N52" i="11"/>
  <c r="O52" i="11"/>
  <c r="P52" i="11"/>
  <c r="Q52" i="11"/>
  <c r="L53" i="11"/>
  <c r="M53" i="11"/>
  <c r="N53" i="11"/>
  <c r="O53" i="11"/>
  <c r="P53" i="11"/>
  <c r="Q53" i="11"/>
  <c r="L54" i="11"/>
  <c r="M54" i="11"/>
  <c r="N54" i="11"/>
  <c r="O54" i="11"/>
  <c r="P54" i="11"/>
  <c r="Q54" i="11"/>
  <c r="L55" i="11"/>
  <c r="M55" i="11"/>
  <c r="N55" i="11"/>
  <c r="O55" i="11"/>
  <c r="P55" i="11"/>
  <c r="Q55" i="11"/>
  <c r="L56" i="11"/>
  <c r="M56" i="11"/>
  <c r="N56" i="11"/>
  <c r="O56" i="11"/>
  <c r="P56" i="11"/>
  <c r="Q56" i="11"/>
  <c r="L57" i="11"/>
  <c r="M57" i="11"/>
  <c r="N57" i="11"/>
  <c r="O57" i="11"/>
  <c r="P57" i="11"/>
  <c r="Q57" i="11"/>
  <c r="L58" i="11"/>
  <c r="M58" i="11"/>
  <c r="N58" i="11"/>
  <c r="O58" i="11"/>
  <c r="P58" i="11"/>
  <c r="Q58" i="11"/>
  <c r="L59" i="11"/>
  <c r="M59" i="11"/>
  <c r="N59" i="11"/>
  <c r="O59" i="11"/>
  <c r="P59" i="11"/>
  <c r="Q59" i="11"/>
  <c r="L60" i="11"/>
  <c r="M60" i="11"/>
  <c r="N60" i="11"/>
  <c r="O60" i="11"/>
  <c r="P60" i="11"/>
  <c r="Q60" i="11"/>
  <c r="L61" i="11"/>
  <c r="M61" i="11"/>
  <c r="N61" i="11"/>
  <c r="O61" i="11"/>
  <c r="P61" i="11"/>
  <c r="Q61" i="11"/>
  <c r="L63" i="11"/>
  <c r="M63" i="11"/>
  <c r="N63" i="11"/>
  <c r="O63" i="11"/>
  <c r="P63" i="11"/>
  <c r="Q63" i="11"/>
  <c r="L64" i="11"/>
  <c r="M64" i="11"/>
  <c r="N64" i="11"/>
  <c r="O64" i="11"/>
  <c r="P64" i="11"/>
  <c r="Q64" i="11"/>
  <c r="L65" i="11"/>
  <c r="M65" i="11"/>
  <c r="N65" i="11"/>
  <c r="O65" i="11"/>
  <c r="P65" i="11"/>
  <c r="Q65" i="11"/>
  <c r="L66" i="11"/>
  <c r="M66" i="11"/>
  <c r="N66" i="11"/>
  <c r="O66" i="11"/>
  <c r="P66" i="11"/>
  <c r="Q66" i="11"/>
  <c r="L67" i="11"/>
  <c r="M67" i="11"/>
  <c r="N67" i="11"/>
  <c r="O67" i="11"/>
  <c r="P67" i="11"/>
  <c r="Q67" i="11"/>
  <c r="L68" i="11"/>
  <c r="M68" i="11"/>
  <c r="N68" i="11"/>
  <c r="O68" i="11"/>
  <c r="P68" i="11"/>
  <c r="Q68" i="11"/>
  <c r="L69" i="11"/>
  <c r="M69" i="11"/>
  <c r="N69" i="11"/>
  <c r="O69" i="11"/>
  <c r="P69" i="11"/>
  <c r="Q69" i="11"/>
  <c r="L70" i="11"/>
  <c r="M70" i="11"/>
  <c r="N70" i="11"/>
  <c r="O70" i="11"/>
  <c r="P70" i="11"/>
  <c r="Q70" i="11"/>
  <c r="L71" i="11"/>
  <c r="M71" i="11"/>
  <c r="N71" i="11"/>
  <c r="O71" i="11"/>
  <c r="P71" i="11"/>
  <c r="Q71" i="11"/>
  <c r="L72" i="11"/>
  <c r="M72" i="11"/>
  <c r="N72" i="11"/>
  <c r="O72" i="11"/>
  <c r="P72" i="11"/>
  <c r="Q72" i="11"/>
  <c r="L73" i="11"/>
  <c r="M73" i="11"/>
  <c r="N73" i="11"/>
  <c r="O73" i="11"/>
  <c r="P73" i="11"/>
  <c r="Q73" i="11"/>
  <c r="L74" i="11"/>
  <c r="M74" i="11"/>
  <c r="N74" i="11"/>
  <c r="O74" i="11"/>
  <c r="P74" i="11"/>
  <c r="Q74" i="11"/>
  <c r="L75" i="11"/>
  <c r="M75" i="11"/>
  <c r="N75" i="11"/>
  <c r="O75" i="11"/>
  <c r="P75" i="11"/>
  <c r="Q75" i="11"/>
  <c r="L76" i="11"/>
  <c r="M76" i="11"/>
  <c r="N76" i="11"/>
  <c r="O76" i="11"/>
  <c r="P76" i="11"/>
  <c r="Q76" i="11"/>
  <c r="L77" i="11"/>
  <c r="M77" i="11"/>
  <c r="N77" i="11"/>
  <c r="O77" i="11"/>
  <c r="P77" i="11"/>
  <c r="Q77" i="11"/>
  <c r="L78" i="11"/>
  <c r="M78" i="11"/>
  <c r="N78" i="11"/>
  <c r="O78" i="11"/>
  <c r="P78" i="11"/>
  <c r="Q78" i="11"/>
  <c r="L79" i="11"/>
  <c r="M79" i="11"/>
  <c r="N79" i="11"/>
  <c r="O79" i="11"/>
  <c r="P79" i="11"/>
  <c r="Q79" i="11"/>
  <c r="L80" i="11"/>
  <c r="M80" i="11"/>
  <c r="N80" i="11"/>
  <c r="O80" i="11"/>
  <c r="P80" i="11"/>
  <c r="Q80" i="11"/>
  <c r="L81" i="11"/>
  <c r="M81" i="11"/>
  <c r="N81" i="11"/>
  <c r="O81" i="11"/>
  <c r="P81" i="11"/>
  <c r="Q81" i="11"/>
  <c r="L82" i="11"/>
  <c r="M82" i="11"/>
  <c r="N82" i="11"/>
  <c r="O82" i="11"/>
  <c r="P82" i="11"/>
  <c r="Q82" i="11"/>
  <c r="L83" i="11"/>
  <c r="M83" i="11"/>
  <c r="N83" i="11"/>
  <c r="O83" i="11"/>
  <c r="P83" i="11"/>
  <c r="Q83" i="11"/>
  <c r="L84" i="11"/>
  <c r="M84" i="11"/>
  <c r="N84" i="11"/>
  <c r="O84" i="11"/>
  <c r="P84" i="11"/>
  <c r="Q84" i="11"/>
  <c r="L85" i="11"/>
  <c r="M85" i="11"/>
  <c r="N85" i="11"/>
  <c r="O85" i="11"/>
  <c r="P85" i="11"/>
  <c r="Q85" i="11"/>
  <c r="L86" i="11"/>
  <c r="M86" i="11"/>
  <c r="N86" i="11"/>
  <c r="O86" i="11"/>
  <c r="P86" i="11"/>
  <c r="Q86" i="11"/>
  <c r="L87" i="11"/>
  <c r="M87" i="11"/>
  <c r="N87" i="11"/>
  <c r="O87" i="11"/>
  <c r="P87" i="11"/>
  <c r="Q87" i="11"/>
  <c r="L88" i="11"/>
  <c r="M88" i="11"/>
  <c r="N88" i="11"/>
  <c r="O88" i="11"/>
  <c r="P88" i="11"/>
  <c r="Q88" i="11"/>
  <c r="L89" i="11"/>
  <c r="M89" i="11"/>
  <c r="N89" i="11"/>
  <c r="O89" i="11"/>
  <c r="P89" i="11"/>
  <c r="Q89" i="11"/>
  <c r="L90" i="11"/>
  <c r="M90" i="11"/>
  <c r="N90" i="11"/>
  <c r="O90" i="11"/>
  <c r="P90" i="11"/>
  <c r="Q90" i="11"/>
  <c r="L91" i="11"/>
  <c r="M91" i="11"/>
  <c r="N91" i="11"/>
  <c r="O91" i="11"/>
  <c r="P91" i="11"/>
  <c r="Q91" i="11"/>
  <c r="L92" i="11"/>
  <c r="M92" i="11"/>
  <c r="N92" i="11"/>
  <c r="O92" i="11"/>
  <c r="P92" i="11"/>
  <c r="Q92" i="11"/>
  <c r="L93" i="11"/>
  <c r="M93" i="11"/>
  <c r="N93" i="11"/>
  <c r="O93" i="11"/>
  <c r="P93" i="11"/>
  <c r="Q93" i="11"/>
  <c r="L94" i="11"/>
  <c r="M94" i="11"/>
  <c r="N94" i="11"/>
  <c r="O94" i="11"/>
  <c r="P94" i="11"/>
  <c r="Q94" i="11"/>
  <c r="L95" i="11"/>
  <c r="M95" i="11"/>
  <c r="N95" i="11"/>
  <c r="O95" i="11"/>
  <c r="P95" i="11"/>
  <c r="Q95" i="11"/>
  <c r="L96" i="11"/>
  <c r="M96" i="11"/>
  <c r="N96" i="11"/>
  <c r="O96" i="11"/>
  <c r="P96" i="11"/>
  <c r="Q96" i="11"/>
  <c r="L97" i="11"/>
  <c r="M97" i="11"/>
  <c r="N97" i="11"/>
  <c r="O97" i="11"/>
  <c r="P97" i="11"/>
  <c r="Q97" i="11"/>
  <c r="L98" i="11"/>
  <c r="M98" i="11"/>
  <c r="N98" i="11"/>
  <c r="O98" i="11"/>
  <c r="P98" i="11"/>
  <c r="Q98" i="11"/>
  <c r="L99" i="11"/>
  <c r="M99" i="11"/>
  <c r="N99" i="11"/>
  <c r="O99" i="11"/>
  <c r="P99" i="11"/>
  <c r="Q99" i="11"/>
  <c r="L100" i="11"/>
  <c r="M100" i="11"/>
  <c r="N100" i="11"/>
  <c r="O100" i="11"/>
  <c r="P100" i="11"/>
  <c r="Q100" i="11"/>
  <c r="L101" i="11"/>
  <c r="M101" i="11"/>
  <c r="N101" i="11"/>
  <c r="O101" i="11"/>
  <c r="P101" i="11"/>
  <c r="Q101" i="11"/>
  <c r="L102" i="11"/>
  <c r="M102" i="11"/>
  <c r="N102" i="11"/>
  <c r="O102" i="11"/>
  <c r="P102" i="11"/>
  <c r="Q102" i="11"/>
  <c r="L103" i="11"/>
  <c r="M103" i="11"/>
  <c r="N103" i="11"/>
  <c r="O103" i="11"/>
  <c r="P103" i="11"/>
  <c r="Q103" i="11"/>
  <c r="L104" i="11"/>
  <c r="M104" i="11"/>
  <c r="N104" i="11"/>
  <c r="O104" i="11"/>
  <c r="P104" i="11"/>
  <c r="Q104" i="11"/>
  <c r="L105" i="11"/>
  <c r="M105" i="11"/>
  <c r="N105" i="11"/>
  <c r="O105" i="11"/>
  <c r="P105" i="11"/>
  <c r="Q105" i="11"/>
  <c r="L106" i="11"/>
  <c r="M106" i="11"/>
  <c r="N106" i="11"/>
  <c r="O106" i="11"/>
  <c r="P106" i="11"/>
  <c r="Q106" i="11"/>
  <c r="L107" i="11"/>
  <c r="M107" i="11"/>
  <c r="N107" i="11"/>
  <c r="O107" i="11"/>
  <c r="P107" i="11"/>
  <c r="Q107" i="11"/>
  <c r="L108" i="11"/>
  <c r="M108" i="11"/>
  <c r="N108" i="11"/>
  <c r="O108" i="11"/>
  <c r="P108" i="11"/>
  <c r="Q108" i="11"/>
  <c r="L109" i="11"/>
  <c r="M109" i="11"/>
  <c r="N109" i="11"/>
  <c r="O109" i="11"/>
  <c r="P109" i="11"/>
  <c r="Q109" i="11"/>
  <c r="L110" i="11"/>
  <c r="M110" i="11"/>
  <c r="N110" i="11"/>
  <c r="O110" i="11"/>
  <c r="P110" i="11"/>
  <c r="Q110" i="11"/>
  <c r="L111" i="11"/>
  <c r="M111" i="11"/>
  <c r="N111" i="11"/>
  <c r="O111" i="11"/>
  <c r="P111" i="11"/>
  <c r="Q111" i="11"/>
  <c r="L112" i="11"/>
  <c r="M112" i="11"/>
  <c r="N112" i="11"/>
  <c r="O112" i="11"/>
  <c r="P112" i="11"/>
  <c r="Q112" i="11"/>
  <c r="L113" i="11"/>
  <c r="M113" i="11"/>
  <c r="N113" i="11"/>
  <c r="O113" i="11"/>
  <c r="P113" i="11"/>
  <c r="Q113" i="11"/>
  <c r="L114" i="11"/>
  <c r="M114" i="11"/>
  <c r="N114" i="11"/>
  <c r="O114" i="11"/>
  <c r="P114" i="11"/>
  <c r="Q114" i="11"/>
  <c r="L115" i="11"/>
  <c r="M115" i="11"/>
  <c r="N115" i="11"/>
  <c r="O115" i="11"/>
  <c r="P115" i="11"/>
  <c r="Q115" i="11"/>
  <c r="L116" i="11"/>
  <c r="M116" i="11"/>
  <c r="N116" i="11"/>
  <c r="O116" i="11"/>
  <c r="P116" i="11"/>
  <c r="Q116" i="11"/>
  <c r="L117" i="11"/>
  <c r="M117" i="11"/>
  <c r="N117" i="11"/>
  <c r="O117" i="11"/>
  <c r="P117" i="11"/>
  <c r="Q117" i="11"/>
  <c r="L118" i="11"/>
  <c r="M118" i="11"/>
  <c r="N118" i="11"/>
  <c r="O118" i="11"/>
  <c r="P118" i="11"/>
  <c r="Q118" i="11"/>
  <c r="L119" i="11"/>
  <c r="M119" i="11"/>
  <c r="N119" i="11"/>
  <c r="O119" i="11"/>
  <c r="P119" i="11"/>
  <c r="Q119" i="11"/>
  <c r="L120" i="11"/>
  <c r="M120" i="11"/>
  <c r="N120" i="11"/>
  <c r="O120" i="11"/>
  <c r="P120" i="11"/>
  <c r="Q120" i="11"/>
  <c r="L121" i="11"/>
  <c r="M121" i="11"/>
  <c r="N121" i="11"/>
  <c r="O121" i="11"/>
  <c r="P121" i="11"/>
  <c r="Q121" i="11"/>
  <c r="L123" i="11"/>
  <c r="M123" i="11"/>
  <c r="N123" i="11"/>
  <c r="O123" i="11"/>
  <c r="P123" i="11"/>
  <c r="Q123" i="11"/>
  <c r="L124" i="11"/>
  <c r="M124" i="11"/>
  <c r="N124" i="11"/>
  <c r="O124" i="11"/>
  <c r="P124" i="11"/>
  <c r="Q124" i="11"/>
  <c r="L125" i="11"/>
  <c r="M125" i="11"/>
  <c r="N125" i="11"/>
  <c r="O125" i="11"/>
  <c r="P125" i="11"/>
  <c r="Q125" i="11"/>
  <c r="L126" i="11"/>
  <c r="M126" i="11"/>
  <c r="N126" i="11"/>
  <c r="O126" i="11"/>
  <c r="P126" i="11"/>
  <c r="Q126" i="11"/>
  <c r="L127" i="11"/>
  <c r="M127" i="11"/>
  <c r="N127" i="11"/>
  <c r="O127" i="11"/>
  <c r="P127" i="11"/>
  <c r="Q127" i="11"/>
  <c r="L128" i="11"/>
  <c r="M128" i="11"/>
  <c r="N128" i="11"/>
  <c r="O128" i="11"/>
  <c r="P128" i="11"/>
  <c r="Q128" i="11"/>
  <c r="L129" i="11"/>
  <c r="M129" i="11"/>
  <c r="N129" i="11"/>
  <c r="O129" i="11"/>
  <c r="P129" i="11"/>
  <c r="Q129" i="11"/>
  <c r="L130" i="11"/>
  <c r="M130" i="11"/>
  <c r="N130" i="11"/>
  <c r="O130" i="11"/>
  <c r="P130" i="11"/>
  <c r="Q130" i="11"/>
  <c r="L131" i="11"/>
  <c r="M131" i="11"/>
  <c r="N131" i="11"/>
  <c r="O131" i="11"/>
  <c r="P131" i="11"/>
  <c r="Q131" i="11"/>
  <c r="L132" i="11"/>
  <c r="M132" i="11"/>
  <c r="N132" i="11"/>
  <c r="O132" i="11"/>
  <c r="P132" i="11"/>
  <c r="Q132" i="11"/>
  <c r="L133" i="11"/>
  <c r="M133" i="11"/>
  <c r="N133" i="11"/>
  <c r="O133" i="11"/>
  <c r="P133" i="11"/>
  <c r="Q133" i="11"/>
  <c r="L134" i="11"/>
  <c r="M134" i="11"/>
  <c r="N134" i="11"/>
  <c r="O134" i="11"/>
  <c r="P134" i="11"/>
  <c r="Q134" i="11"/>
  <c r="L135" i="11"/>
  <c r="M135" i="11"/>
  <c r="N135" i="11"/>
  <c r="O135" i="11"/>
  <c r="P135" i="11"/>
  <c r="Q135" i="11"/>
  <c r="L136" i="11"/>
  <c r="M136" i="11"/>
  <c r="N136" i="11"/>
  <c r="O136" i="11"/>
  <c r="P136" i="11"/>
  <c r="Q136" i="11"/>
  <c r="L137" i="11"/>
  <c r="M137" i="11"/>
  <c r="N137" i="11"/>
  <c r="O137" i="11"/>
  <c r="P137" i="11"/>
  <c r="Q137" i="11"/>
  <c r="L138" i="11"/>
  <c r="M138" i="11"/>
  <c r="N138" i="11"/>
  <c r="O138" i="11"/>
  <c r="P138" i="11"/>
  <c r="Q138" i="11"/>
  <c r="L139" i="11"/>
  <c r="M139" i="11"/>
  <c r="N139" i="11"/>
  <c r="O139" i="11"/>
  <c r="P139" i="11"/>
  <c r="Q139" i="11"/>
  <c r="L140" i="11"/>
  <c r="M140" i="11"/>
  <c r="N140" i="11"/>
  <c r="O140" i="11"/>
  <c r="P140" i="11"/>
  <c r="Q140" i="11"/>
  <c r="L141" i="11"/>
  <c r="M141" i="11"/>
  <c r="N141" i="11"/>
  <c r="O141" i="11"/>
  <c r="P141" i="11"/>
  <c r="Q141" i="11"/>
  <c r="L142" i="11"/>
  <c r="M142" i="11"/>
  <c r="N142" i="11"/>
  <c r="O142" i="11"/>
  <c r="P142" i="11"/>
  <c r="Q142" i="11"/>
  <c r="L143" i="11"/>
  <c r="M143" i="11"/>
  <c r="N143" i="11"/>
  <c r="O143" i="11"/>
  <c r="P143" i="11"/>
  <c r="Q143" i="11"/>
  <c r="L144" i="11"/>
  <c r="M144" i="11"/>
  <c r="N144" i="11"/>
  <c r="O144" i="11"/>
  <c r="P144" i="11"/>
  <c r="Q144" i="11"/>
  <c r="L145" i="11"/>
  <c r="M145" i="11"/>
  <c r="N145" i="11"/>
  <c r="O145" i="11"/>
  <c r="P145" i="11"/>
  <c r="Q145" i="11"/>
  <c r="L146" i="11"/>
  <c r="M146" i="11"/>
  <c r="N146" i="11"/>
  <c r="O146" i="11"/>
  <c r="P146" i="11"/>
  <c r="Q146" i="11"/>
  <c r="L147" i="11"/>
  <c r="M147" i="11"/>
  <c r="N147" i="11"/>
  <c r="O147" i="11"/>
  <c r="P147" i="11"/>
  <c r="Q147" i="11"/>
  <c r="L148" i="11"/>
  <c r="M148" i="11"/>
  <c r="N148" i="11"/>
  <c r="O148" i="11"/>
  <c r="P148" i="11"/>
  <c r="Q148" i="11"/>
  <c r="L149" i="11"/>
  <c r="M149" i="11"/>
  <c r="N149" i="11"/>
  <c r="O149" i="11"/>
  <c r="P149" i="11"/>
  <c r="Q149" i="11"/>
  <c r="L150" i="11"/>
  <c r="M150" i="11"/>
  <c r="N150" i="11"/>
  <c r="O150" i="11"/>
  <c r="P150" i="11"/>
  <c r="Q150" i="11"/>
  <c r="L151" i="11"/>
  <c r="M151" i="11"/>
  <c r="N151" i="11"/>
  <c r="O151" i="11"/>
  <c r="P151" i="11"/>
  <c r="Q151" i="11"/>
  <c r="L152" i="11"/>
  <c r="M152" i="11"/>
  <c r="N152" i="11"/>
  <c r="O152" i="11"/>
  <c r="P152" i="11"/>
  <c r="Q152" i="11"/>
  <c r="L153" i="11"/>
  <c r="M153" i="11"/>
  <c r="N153" i="11"/>
  <c r="O153" i="11"/>
  <c r="P153" i="11"/>
  <c r="Q153" i="11"/>
  <c r="L154" i="11"/>
  <c r="M154" i="11"/>
  <c r="N154" i="11"/>
  <c r="O154" i="11"/>
  <c r="P154" i="11"/>
  <c r="Q154" i="11"/>
  <c r="L155" i="11"/>
  <c r="M155" i="11"/>
  <c r="N155" i="11"/>
  <c r="O155" i="11"/>
  <c r="P155" i="11"/>
  <c r="Q155" i="11"/>
  <c r="L156" i="11"/>
  <c r="M156" i="11"/>
  <c r="N156" i="11"/>
  <c r="O156" i="11"/>
  <c r="P156" i="11"/>
  <c r="Q156" i="11"/>
  <c r="L157" i="11"/>
  <c r="M157" i="11"/>
  <c r="N157" i="11"/>
  <c r="O157" i="11"/>
  <c r="P157" i="11"/>
  <c r="Q157" i="11"/>
  <c r="L158" i="11"/>
  <c r="M158" i="11"/>
  <c r="N158" i="11"/>
  <c r="O158" i="11"/>
  <c r="P158" i="11"/>
  <c r="Q158" i="11"/>
  <c r="L159" i="11"/>
  <c r="M159" i="11"/>
  <c r="N159" i="11"/>
  <c r="O159" i="11"/>
  <c r="P159" i="11"/>
  <c r="Q159" i="11"/>
  <c r="L160" i="11"/>
  <c r="M160" i="11"/>
  <c r="N160" i="11"/>
  <c r="O160" i="11"/>
  <c r="P160" i="11"/>
  <c r="Q160" i="11"/>
  <c r="L161" i="11"/>
  <c r="M161" i="11"/>
  <c r="N161" i="11"/>
  <c r="O161" i="11"/>
  <c r="P161" i="11"/>
  <c r="Q161" i="11"/>
  <c r="L162" i="11"/>
  <c r="M162" i="11"/>
  <c r="N162" i="11"/>
  <c r="O162" i="11"/>
  <c r="P162" i="11"/>
  <c r="Q162" i="11"/>
  <c r="L163" i="11"/>
  <c r="M163" i="11"/>
  <c r="N163" i="11"/>
  <c r="O163" i="11"/>
  <c r="P163" i="11"/>
  <c r="Q163" i="11"/>
  <c r="L164" i="11"/>
  <c r="M164" i="11"/>
  <c r="N164" i="11"/>
  <c r="O164" i="11"/>
  <c r="P164" i="11"/>
  <c r="Q164" i="11"/>
  <c r="L165" i="11"/>
  <c r="M165" i="11"/>
  <c r="N165" i="11"/>
  <c r="O165" i="11"/>
  <c r="P165" i="11"/>
  <c r="Q165" i="11"/>
  <c r="L166" i="11"/>
  <c r="M166" i="11"/>
  <c r="N166" i="11"/>
  <c r="O166" i="11"/>
  <c r="P166" i="11"/>
  <c r="Q166" i="11"/>
  <c r="L167" i="11"/>
  <c r="M167" i="11"/>
  <c r="N167" i="11"/>
  <c r="O167" i="11"/>
  <c r="P167" i="11"/>
  <c r="Q167" i="11"/>
  <c r="L168" i="11"/>
  <c r="M168" i="11"/>
  <c r="N168" i="11"/>
  <c r="O168" i="11"/>
  <c r="P168" i="11"/>
  <c r="Q168" i="11"/>
  <c r="L169" i="11"/>
  <c r="M169" i="11"/>
  <c r="N169" i="11"/>
  <c r="O169" i="11"/>
  <c r="P169" i="11"/>
  <c r="Q169" i="11"/>
  <c r="L170" i="11"/>
  <c r="M170" i="11"/>
  <c r="N170" i="11"/>
  <c r="O170" i="11"/>
  <c r="P170" i="11"/>
  <c r="Q170" i="11"/>
  <c r="L171" i="11"/>
  <c r="M171" i="11"/>
  <c r="N171" i="11"/>
  <c r="O171" i="11"/>
  <c r="P171" i="11"/>
  <c r="Q171" i="11"/>
  <c r="L172" i="11"/>
  <c r="M172" i="11"/>
  <c r="N172" i="11"/>
  <c r="O172" i="11"/>
  <c r="P172" i="11"/>
  <c r="Q172" i="11"/>
  <c r="L173" i="11"/>
  <c r="M173" i="11"/>
  <c r="N173" i="11"/>
  <c r="O173" i="11"/>
  <c r="P173" i="11"/>
  <c r="Q173" i="11"/>
  <c r="L174" i="11"/>
  <c r="M174" i="11"/>
  <c r="N174" i="11"/>
  <c r="O174" i="11"/>
  <c r="P174" i="11"/>
  <c r="Q174" i="11"/>
  <c r="L175" i="11"/>
  <c r="M175" i="11"/>
  <c r="N175" i="11"/>
  <c r="O175" i="11"/>
  <c r="P175" i="11"/>
  <c r="Q175" i="11"/>
  <c r="L176" i="11"/>
  <c r="M176" i="11"/>
  <c r="N176" i="11"/>
  <c r="O176" i="11"/>
  <c r="P176" i="11"/>
  <c r="Q176" i="11"/>
  <c r="L177" i="11"/>
  <c r="M177" i="11"/>
  <c r="N177" i="11"/>
  <c r="O177" i="11"/>
  <c r="P177" i="11"/>
  <c r="Q177" i="11"/>
  <c r="L178" i="11"/>
  <c r="M178" i="11"/>
  <c r="N178" i="11"/>
  <c r="O178" i="11"/>
  <c r="P178" i="11"/>
  <c r="Q178" i="11"/>
  <c r="L179" i="11"/>
  <c r="M179" i="11"/>
  <c r="N179" i="11"/>
  <c r="O179" i="11"/>
  <c r="P179" i="11"/>
  <c r="Q179" i="11"/>
  <c r="L180" i="11"/>
  <c r="M180" i="11"/>
  <c r="N180" i="11"/>
  <c r="O180" i="11"/>
  <c r="P180" i="11"/>
  <c r="Q180" i="11"/>
  <c r="L182" i="11"/>
  <c r="M182" i="11"/>
  <c r="N182" i="11"/>
  <c r="O182" i="11"/>
  <c r="P182" i="11"/>
  <c r="Q182" i="11"/>
  <c r="L183" i="11"/>
  <c r="M183" i="11"/>
  <c r="N183" i="11"/>
  <c r="O183" i="11"/>
  <c r="P183" i="11"/>
  <c r="Q183" i="11"/>
  <c r="L184" i="11"/>
  <c r="M184" i="11"/>
  <c r="N184" i="11"/>
  <c r="O184" i="11"/>
  <c r="P184" i="11"/>
  <c r="Q184" i="11"/>
  <c r="L185" i="11"/>
  <c r="M185" i="11"/>
  <c r="N185" i="11"/>
  <c r="O185" i="11"/>
  <c r="P185" i="11"/>
  <c r="Q185" i="11"/>
  <c r="L186" i="11"/>
  <c r="M186" i="11"/>
  <c r="N186" i="11"/>
  <c r="O186" i="11"/>
  <c r="P186" i="11"/>
  <c r="Q186" i="11"/>
  <c r="L187" i="11"/>
  <c r="M187" i="11"/>
  <c r="N187" i="11"/>
  <c r="O187" i="11"/>
  <c r="P187" i="11"/>
  <c r="Q187" i="11"/>
  <c r="L188" i="11"/>
  <c r="M188" i="11"/>
  <c r="N188" i="11"/>
  <c r="O188" i="11"/>
  <c r="P188" i="11"/>
  <c r="Q188" i="11"/>
  <c r="L189" i="11"/>
  <c r="M189" i="11"/>
  <c r="N189" i="11"/>
  <c r="O189" i="11"/>
  <c r="P189" i="11"/>
  <c r="Q189" i="11"/>
  <c r="L190" i="11"/>
  <c r="M190" i="11"/>
  <c r="N190" i="11"/>
  <c r="O190" i="11"/>
  <c r="P190" i="11"/>
  <c r="Q190" i="11"/>
  <c r="L191" i="11"/>
  <c r="M191" i="11"/>
  <c r="N191" i="11"/>
  <c r="O191" i="11"/>
  <c r="P191" i="11"/>
  <c r="Q191" i="11"/>
  <c r="L192" i="11"/>
  <c r="M192" i="11"/>
  <c r="N192" i="11"/>
  <c r="O192" i="11"/>
  <c r="P192" i="11"/>
  <c r="Q192" i="11"/>
  <c r="L193" i="11"/>
  <c r="M193" i="11"/>
  <c r="N193" i="11"/>
  <c r="O193" i="11"/>
  <c r="P193" i="11"/>
  <c r="Q193" i="11"/>
  <c r="L194" i="11"/>
  <c r="M194" i="11"/>
  <c r="N194" i="11"/>
  <c r="O194" i="11"/>
  <c r="P194" i="11"/>
  <c r="Q194" i="11"/>
  <c r="L195" i="11"/>
  <c r="M195" i="11"/>
  <c r="N195" i="11"/>
  <c r="O195" i="11"/>
  <c r="P195" i="11"/>
  <c r="Q195" i="11"/>
  <c r="L196" i="11"/>
  <c r="M196" i="11"/>
  <c r="N196" i="11"/>
  <c r="O196" i="11"/>
  <c r="P196" i="11"/>
  <c r="Q196" i="11"/>
  <c r="L197" i="11"/>
  <c r="M197" i="11"/>
  <c r="N197" i="11"/>
  <c r="O197" i="11"/>
  <c r="P197" i="11"/>
  <c r="Q197" i="11"/>
  <c r="L198" i="11"/>
  <c r="M198" i="11"/>
  <c r="N198" i="11"/>
  <c r="O198" i="11"/>
  <c r="P198" i="11"/>
  <c r="Q198" i="11"/>
  <c r="L199" i="11"/>
  <c r="M199" i="11"/>
  <c r="N199" i="11"/>
  <c r="O199" i="11"/>
  <c r="P199" i="11"/>
  <c r="Q199" i="11"/>
  <c r="L200" i="11"/>
  <c r="M200" i="11"/>
  <c r="N200" i="11"/>
  <c r="O200" i="11"/>
  <c r="P200" i="11"/>
  <c r="Q200" i="11"/>
  <c r="L201" i="11"/>
  <c r="M201" i="11"/>
  <c r="N201" i="11"/>
  <c r="O201" i="11"/>
  <c r="P201" i="11"/>
  <c r="Q201" i="11"/>
  <c r="L202" i="11"/>
  <c r="M202" i="11"/>
  <c r="N202" i="11"/>
  <c r="O202" i="11"/>
  <c r="P202" i="11"/>
  <c r="Q202" i="11"/>
  <c r="L203" i="11"/>
  <c r="M203" i="11"/>
  <c r="N203" i="11"/>
  <c r="O203" i="11"/>
  <c r="P203" i="11"/>
  <c r="Q203" i="11"/>
  <c r="L204" i="11"/>
  <c r="M204" i="11"/>
  <c r="N204" i="11"/>
  <c r="O204" i="11"/>
  <c r="P204" i="11"/>
  <c r="Q204" i="11"/>
  <c r="L205" i="11"/>
  <c r="M205" i="11"/>
  <c r="N205" i="11"/>
  <c r="O205" i="11"/>
  <c r="P205" i="11"/>
  <c r="Q205" i="11"/>
  <c r="L206" i="11"/>
  <c r="M206" i="11"/>
  <c r="N206" i="11"/>
  <c r="O206" i="11"/>
  <c r="P206" i="11"/>
  <c r="Q206" i="11"/>
  <c r="L207" i="11"/>
  <c r="M207" i="11"/>
  <c r="N207" i="11"/>
  <c r="O207" i="11"/>
  <c r="P207" i="11"/>
  <c r="Q207" i="11"/>
  <c r="L208" i="11"/>
  <c r="M208" i="11"/>
  <c r="N208" i="11"/>
  <c r="O208" i="11"/>
  <c r="P208" i="11"/>
  <c r="Q208" i="11"/>
  <c r="L209" i="11"/>
  <c r="M209" i="11"/>
  <c r="N209" i="11"/>
  <c r="O209" i="11"/>
  <c r="P209" i="11"/>
  <c r="Q209" i="11"/>
  <c r="L210" i="11"/>
  <c r="M210" i="11"/>
  <c r="N210" i="11"/>
  <c r="O210" i="11"/>
  <c r="P210" i="11"/>
  <c r="Q210" i="11"/>
  <c r="L211" i="11"/>
  <c r="M211" i="11"/>
  <c r="N211" i="11"/>
  <c r="O211" i="11"/>
  <c r="P211" i="11"/>
  <c r="Q211" i="11"/>
  <c r="L212" i="11"/>
  <c r="M212" i="11"/>
  <c r="N212" i="11"/>
  <c r="O212" i="11"/>
  <c r="P212" i="11"/>
  <c r="Q212" i="11"/>
  <c r="L213" i="11"/>
  <c r="M213" i="11"/>
  <c r="N213" i="11"/>
  <c r="O213" i="11"/>
  <c r="P213" i="11"/>
  <c r="Q213" i="11"/>
  <c r="L214" i="11"/>
  <c r="M214" i="11"/>
  <c r="N214" i="11"/>
  <c r="O214" i="11"/>
  <c r="P214" i="11"/>
  <c r="Q214" i="11"/>
  <c r="L215" i="11"/>
  <c r="M215" i="11"/>
  <c r="N215" i="11"/>
  <c r="O215" i="11"/>
  <c r="P215" i="11"/>
  <c r="Q215" i="11"/>
  <c r="L216" i="11"/>
  <c r="M216" i="11"/>
  <c r="N216" i="11"/>
  <c r="O216" i="11"/>
  <c r="P216" i="11"/>
  <c r="Q216" i="11"/>
  <c r="L217" i="11"/>
  <c r="M217" i="11"/>
  <c r="N217" i="11"/>
  <c r="O217" i="11"/>
  <c r="P217" i="11"/>
  <c r="Q217" i="11"/>
  <c r="L218" i="11"/>
  <c r="M218" i="11"/>
  <c r="N218" i="11"/>
  <c r="O218" i="11"/>
  <c r="P218" i="11"/>
  <c r="Q218" i="11"/>
  <c r="L219" i="11"/>
  <c r="M219" i="11"/>
  <c r="N219" i="11"/>
  <c r="O219" i="11"/>
  <c r="P219" i="11"/>
  <c r="Q219" i="11"/>
  <c r="L220" i="11"/>
  <c r="M220" i="11"/>
  <c r="N220" i="11"/>
  <c r="O220" i="11"/>
  <c r="P220" i="11"/>
  <c r="Q220" i="11"/>
  <c r="L221" i="11"/>
  <c r="M221" i="11"/>
  <c r="N221" i="11"/>
  <c r="O221" i="11"/>
  <c r="P221" i="11"/>
  <c r="Q221" i="11"/>
  <c r="L222" i="11"/>
  <c r="M222" i="11"/>
  <c r="N222" i="11"/>
  <c r="O222" i="11"/>
  <c r="P222" i="11"/>
  <c r="Q222" i="11"/>
  <c r="L223" i="11"/>
  <c r="M223" i="11"/>
  <c r="N223" i="11"/>
  <c r="O223" i="11"/>
  <c r="P223" i="11"/>
  <c r="Q223" i="11"/>
  <c r="L224" i="11"/>
  <c r="M224" i="11"/>
  <c r="N224" i="11"/>
  <c r="O224" i="11"/>
  <c r="P224" i="11"/>
  <c r="Q224" i="11"/>
  <c r="L225" i="11"/>
  <c r="M225" i="11"/>
  <c r="N225" i="11"/>
  <c r="O225" i="11"/>
  <c r="P225" i="11"/>
  <c r="Q225" i="11"/>
  <c r="L226" i="11"/>
  <c r="M226" i="11"/>
  <c r="N226" i="11"/>
  <c r="O226" i="11"/>
  <c r="P226" i="11"/>
  <c r="Q226" i="11"/>
  <c r="L227" i="11"/>
  <c r="M227" i="11"/>
  <c r="N227" i="11"/>
  <c r="O227" i="11"/>
  <c r="P227" i="11"/>
  <c r="Q227" i="11"/>
  <c r="L228" i="11"/>
  <c r="M228" i="11"/>
  <c r="N228" i="11"/>
  <c r="O228" i="11"/>
  <c r="P228" i="11"/>
  <c r="Q228" i="11"/>
  <c r="L229" i="11"/>
  <c r="M229" i="11"/>
  <c r="N229" i="11"/>
  <c r="O229" i="11"/>
  <c r="P229" i="11"/>
  <c r="Q229" i="11"/>
  <c r="L230" i="11"/>
  <c r="M230" i="11"/>
  <c r="N230" i="11"/>
  <c r="O230" i="11"/>
  <c r="P230" i="11"/>
  <c r="Q230" i="11"/>
  <c r="L231" i="11"/>
  <c r="M231" i="11"/>
  <c r="N231" i="11"/>
  <c r="O231" i="11"/>
  <c r="P231" i="11"/>
  <c r="Q231" i="11"/>
  <c r="L232" i="11"/>
  <c r="M232" i="11"/>
  <c r="N232" i="11"/>
  <c r="O232" i="11"/>
  <c r="P232" i="11"/>
  <c r="Q232" i="11"/>
  <c r="L233" i="11"/>
  <c r="M233" i="11"/>
  <c r="N233" i="11"/>
  <c r="O233" i="11"/>
  <c r="P233" i="11"/>
  <c r="Q233" i="11"/>
  <c r="L234" i="11"/>
  <c r="M234" i="11"/>
  <c r="N234" i="11"/>
  <c r="O234" i="11"/>
  <c r="P234" i="11"/>
  <c r="Q234" i="11"/>
  <c r="L235" i="11"/>
  <c r="M235" i="11"/>
  <c r="N235" i="11"/>
  <c r="O235" i="11"/>
  <c r="P235" i="11"/>
  <c r="Q235" i="11"/>
  <c r="L236" i="11"/>
  <c r="M236" i="11"/>
  <c r="N236" i="11"/>
  <c r="O236" i="11"/>
  <c r="P236" i="11"/>
  <c r="Q236" i="11"/>
  <c r="L237" i="11"/>
  <c r="M237" i="11"/>
  <c r="N237" i="11"/>
  <c r="O237" i="11"/>
  <c r="P237" i="11"/>
  <c r="Q237" i="11"/>
  <c r="L238" i="11"/>
  <c r="M238" i="11"/>
  <c r="N238" i="11"/>
  <c r="O238" i="11"/>
  <c r="P238" i="11"/>
  <c r="Q238" i="11"/>
  <c r="L239" i="11"/>
  <c r="M239" i="11"/>
  <c r="N239" i="11"/>
  <c r="O239" i="11"/>
  <c r="P239" i="11"/>
  <c r="Q239" i="11"/>
  <c r="L241" i="11"/>
  <c r="M241" i="11"/>
  <c r="N241" i="11"/>
  <c r="O241" i="11"/>
  <c r="P241" i="11"/>
  <c r="Q241" i="11"/>
  <c r="L242" i="11"/>
  <c r="M242" i="11"/>
  <c r="N242" i="11"/>
  <c r="O242" i="11"/>
  <c r="P242" i="11"/>
  <c r="Q242" i="11"/>
  <c r="L243" i="11"/>
  <c r="M243" i="11"/>
  <c r="N243" i="11"/>
  <c r="O243" i="11"/>
  <c r="P243" i="11"/>
  <c r="Q243" i="11"/>
  <c r="L244" i="11"/>
  <c r="M244" i="11"/>
  <c r="N244" i="11"/>
  <c r="O244" i="11"/>
  <c r="P244" i="11"/>
  <c r="Q244" i="11"/>
  <c r="L245" i="11"/>
  <c r="M245" i="11"/>
  <c r="N245" i="11"/>
  <c r="O245" i="11"/>
  <c r="P245" i="11"/>
  <c r="Q245" i="11"/>
  <c r="L246" i="11"/>
  <c r="M246" i="11"/>
  <c r="N246" i="11"/>
  <c r="O246" i="11"/>
  <c r="P246" i="11"/>
  <c r="Q246" i="11"/>
  <c r="L247" i="11"/>
  <c r="M247" i="11"/>
  <c r="N247" i="11"/>
  <c r="O247" i="11"/>
  <c r="P247" i="11"/>
  <c r="Q247" i="11"/>
  <c r="L248" i="11"/>
  <c r="M248" i="11"/>
  <c r="N248" i="11"/>
  <c r="O248" i="11"/>
  <c r="P248" i="11"/>
  <c r="Q248" i="11"/>
  <c r="L249" i="11"/>
  <c r="M249" i="11"/>
  <c r="N249" i="11"/>
  <c r="O249" i="11"/>
  <c r="P249" i="11"/>
  <c r="Q249" i="11"/>
  <c r="L250" i="11"/>
  <c r="M250" i="11"/>
  <c r="N250" i="11"/>
  <c r="O250" i="11"/>
  <c r="P250" i="11"/>
  <c r="Q250" i="11"/>
  <c r="L251" i="11"/>
  <c r="M251" i="11"/>
  <c r="N251" i="11"/>
  <c r="O251" i="11"/>
  <c r="P251" i="11"/>
  <c r="Q251" i="11"/>
  <c r="L252" i="11"/>
  <c r="M252" i="11"/>
  <c r="N252" i="11"/>
  <c r="O252" i="11"/>
  <c r="P252" i="11"/>
  <c r="Q252" i="11"/>
  <c r="L253" i="11"/>
  <c r="M253" i="11"/>
  <c r="N253" i="11"/>
  <c r="O253" i="11"/>
  <c r="P253" i="11"/>
  <c r="Q253" i="11"/>
  <c r="L254" i="11"/>
  <c r="M254" i="11"/>
  <c r="N254" i="11"/>
  <c r="O254" i="11"/>
  <c r="P254" i="11"/>
  <c r="Q254" i="11"/>
  <c r="L255" i="11"/>
  <c r="M255" i="11"/>
  <c r="N255" i="11"/>
  <c r="O255" i="11"/>
  <c r="P255" i="11"/>
  <c r="Q255" i="11"/>
  <c r="L256" i="11"/>
  <c r="M256" i="11"/>
  <c r="N256" i="11"/>
  <c r="O256" i="11"/>
  <c r="P256" i="11"/>
  <c r="Q256" i="11"/>
  <c r="L257" i="11"/>
  <c r="M257" i="11"/>
  <c r="N257" i="11"/>
  <c r="O257" i="11"/>
  <c r="P257" i="11"/>
  <c r="Q257" i="11"/>
  <c r="L258" i="11"/>
  <c r="M258" i="11"/>
  <c r="N258" i="11"/>
  <c r="O258" i="11"/>
  <c r="P258" i="11"/>
  <c r="Q258" i="11"/>
  <c r="L259" i="11"/>
  <c r="M259" i="11"/>
  <c r="N259" i="11"/>
  <c r="O259" i="11"/>
  <c r="P259" i="11"/>
  <c r="Q259" i="11"/>
  <c r="L260" i="11"/>
  <c r="M260" i="11"/>
  <c r="N260" i="11"/>
  <c r="O260" i="11"/>
  <c r="P260" i="11"/>
  <c r="Q260" i="11"/>
  <c r="L261" i="11"/>
  <c r="M261" i="11"/>
  <c r="N261" i="11"/>
  <c r="O261" i="11"/>
  <c r="P261" i="11"/>
  <c r="Q261" i="11"/>
  <c r="L262" i="11"/>
  <c r="M262" i="11"/>
  <c r="N262" i="11"/>
  <c r="O262" i="11"/>
  <c r="P262" i="11"/>
  <c r="Q262" i="11"/>
  <c r="L263" i="11"/>
  <c r="M263" i="11"/>
  <c r="N263" i="11"/>
  <c r="O263" i="11"/>
  <c r="P263" i="11"/>
  <c r="Q263" i="11"/>
  <c r="L264" i="11"/>
  <c r="M264" i="11"/>
  <c r="N264" i="11"/>
  <c r="O264" i="11"/>
  <c r="P264" i="11"/>
  <c r="Q264" i="11"/>
  <c r="L265" i="11"/>
  <c r="M265" i="11"/>
  <c r="N265" i="11"/>
  <c r="O265" i="11"/>
  <c r="P265" i="11"/>
  <c r="Q265" i="11"/>
  <c r="L266" i="11"/>
  <c r="M266" i="11"/>
  <c r="N266" i="11"/>
  <c r="O266" i="11"/>
  <c r="P266" i="11"/>
  <c r="Q266" i="11"/>
  <c r="L267" i="11"/>
  <c r="M267" i="11"/>
  <c r="N267" i="11"/>
  <c r="O267" i="11"/>
  <c r="P267" i="11"/>
  <c r="Q267" i="11"/>
  <c r="L268" i="11"/>
  <c r="M268" i="11"/>
  <c r="N268" i="11"/>
  <c r="O268" i="11"/>
  <c r="P268" i="11"/>
  <c r="Q268" i="11"/>
  <c r="L269" i="11"/>
  <c r="M269" i="11"/>
  <c r="N269" i="11"/>
  <c r="O269" i="11"/>
  <c r="P269" i="11"/>
  <c r="Q269" i="11"/>
  <c r="L270" i="11"/>
  <c r="M270" i="11"/>
  <c r="N270" i="11"/>
  <c r="O270" i="11"/>
  <c r="P270" i="11"/>
  <c r="Q270" i="11"/>
  <c r="L271" i="11"/>
  <c r="M271" i="11"/>
  <c r="N271" i="11"/>
  <c r="O271" i="11"/>
  <c r="P271" i="11"/>
  <c r="Q271" i="11"/>
  <c r="L272" i="11"/>
  <c r="M272" i="11"/>
  <c r="N272" i="11"/>
  <c r="O272" i="11"/>
  <c r="P272" i="11"/>
  <c r="Q272" i="11"/>
  <c r="L273" i="11"/>
  <c r="M273" i="11"/>
  <c r="N273" i="11"/>
  <c r="O273" i="11"/>
  <c r="P273" i="11"/>
  <c r="Q273" i="11"/>
  <c r="L274" i="11"/>
  <c r="M274" i="11"/>
  <c r="N274" i="11"/>
  <c r="O274" i="11"/>
  <c r="P274" i="11"/>
  <c r="Q274" i="11"/>
  <c r="L275" i="11"/>
  <c r="M275" i="11"/>
  <c r="N275" i="11"/>
  <c r="O275" i="11"/>
  <c r="P275" i="11"/>
  <c r="Q275" i="11"/>
  <c r="L276" i="11"/>
  <c r="M276" i="11"/>
  <c r="N276" i="11"/>
  <c r="O276" i="11"/>
  <c r="P276" i="11"/>
  <c r="Q276" i="11"/>
  <c r="L277" i="11"/>
  <c r="M277" i="11"/>
  <c r="N277" i="11"/>
  <c r="O277" i="11"/>
  <c r="P277" i="11"/>
  <c r="Q277" i="11"/>
  <c r="L278" i="11"/>
  <c r="M278" i="11"/>
  <c r="N278" i="11"/>
  <c r="O278" i="11"/>
  <c r="P278" i="11"/>
  <c r="Q278" i="11"/>
  <c r="L279" i="11"/>
  <c r="M279" i="11"/>
  <c r="N279" i="11"/>
  <c r="O279" i="11"/>
  <c r="P279" i="11"/>
  <c r="Q279" i="11"/>
  <c r="L280" i="11"/>
  <c r="M280" i="11"/>
  <c r="N280" i="11"/>
  <c r="O280" i="11"/>
  <c r="P280" i="11"/>
  <c r="Q280" i="11"/>
  <c r="L281" i="11"/>
  <c r="M281" i="11"/>
  <c r="N281" i="11"/>
  <c r="O281" i="11"/>
  <c r="P281" i="11"/>
  <c r="Q281" i="11"/>
  <c r="L282" i="11"/>
  <c r="M282" i="11"/>
  <c r="N282" i="11"/>
  <c r="O282" i="11"/>
  <c r="P282" i="11"/>
  <c r="Q282" i="11"/>
  <c r="L283" i="11"/>
  <c r="M283" i="11"/>
  <c r="N283" i="11"/>
  <c r="O283" i="11"/>
  <c r="P283" i="11"/>
  <c r="Q283" i="11"/>
  <c r="L284" i="11"/>
  <c r="M284" i="11"/>
  <c r="N284" i="11"/>
  <c r="O284" i="11"/>
  <c r="P284" i="11"/>
  <c r="Q284" i="11"/>
  <c r="L285" i="11"/>
  <c r="M285" i="11"/>
  <c r="N285" i="11"/>
  <c r="O285" i="11"/>
  <c r="P285" i="11"/>
  <c r="Q285" i="11"/>
  <c r="L286" i="11"/>
  <c r="M286" i="11"/>
  <c r="N286" i="11"/>
  <c r="O286" i="11"/>
  <c r="P286" i="11"/>
  <c r="Q286" i="11"/>
  <c r="L287" i="11"/>
  <c r="M287" i="11"/>
  <c r="N287" i="11"/>
  <c r="O287" i="11"/>
  <c r="P287" i="11"/>
  <c r="Q287" i="11"/>
  <c r="L288" i="11"/>
  <c r="M288" i="11"/>
  <c r="N288" i="11"/>
  <c r="O288" i="11"/>
  <c r="P288" i="11"/>
  <c r="Q288" i="11"/>
  <c r="L289" i="11"/>
  <c r="M289" i="11"/>
  <c r="N289" i="11"/>
  <c r="O289" i="11"/>
  <c r="P289" i="11"/>
  <c r="Q289" i="11"/>
  <c r="L290" i="11"/>
  <c r="M290" i="11"/>
  <c r="N290" i="11"/>
  <c r="O290" i="11"/>
  <c r="P290" i="11"/>
  <c r="Q290" i="11"/>
  <c r="L291" i="11"/>
  <c r="M291" i="11"/>
  <c r="N291" i="11"/>
  <c r="O291" i="11"/>
  <c r="P291" i="11"/>
  <c r="Q291" i="11"/>
  <c r="L292" i="11"/>
  <c r="M292" i="11"/>
  <c r="N292" i="11"/>
  <c r="O292" i="11"/>
  <c r="P292" i="11"/>
  <c r="Q292" i="11"/>
  <c r="L293" i="11"/>
  <c r="M293" i="11"/>
  <c r="N293" i="11"/>
  <c r="O293" i="11"/>
  <c r="P293" i="11"/>
  <c r="Q293" i="11"/>
  <c r="L294" i="11"/>
  <c r="M294" i="11"/>
  <c r="N294" i="11"/>
  <c r="O294" i="11"/>
  <c r="P294" i="11"/>
  <c r="Q294" i="11"/>
  <c r="L295" i="11"/>
  <c r="M295" i="11"/>
  <c r="N295" i="11"/>
  <c r="O295" i="11"/>
  <c r="P295" i="11"/>
  <c r="Q295" i="11"/>
  <c r="L296" i="11"/>
  <c r="M296" i="11"/>
  <c r="N296" i="11"/>
  <c r="O296" i="11"/>
  <c r="P296" i="11"/>
  <c r="Q296" i="11"/>
  <c r="L297" i="11"/>
  <c r="M297" i="11"/>
  <c r="N297" i="11"/>
  <c r="O297" i="11"/>
  <c r="P297" i="11"/>
  <c r="Q297" i="11"/>
  <c r="L299" i="11"/>
  <c r="M299" i="11"/>
  <c r="N299" i="11"/>
  <c r="O299" i="11"/>
  <c r="P299" i="11"/>
  <c r="Q299" i="11"/>
  <c r="L300" i="11"/>
  <c r="M300" i="11"/>
  <c r="N300" i="11"/>
  <c r="O300" i="11"/>
  <c r="P300" i="11"/>
  <c r="Q300" i="11"/>
  <c r="L301" i="11"/>
  <c r="M301" i="11"/>
  <c r="N301" i="11"/>
  <c r="O301" i="11"/>
  <c r="P301" i="11"/>
  <c r="Q301" i="11"/>
  <c r="L302" i="11"/>
  <c r="M302" i="11"/>
  <c r="N302" i="11"/>
  <c r="O302" i="11"/>
  <c r="P302" i="11"/>
  <c r="Q302" i="11"/>
  <c r="L303" i="11"/>
  <c r="M303" i="11"/>
  <c r="N303" i="11"/>
  <c r="O303" i="11"/>
  <c r="P303" i="11"/>
  <c r="Q303" i="11"/>
  <c r="L304" i="11"/>
  <c r="M304" i="11"/>
  <c r="N304" i="11"/>
  <c r="O304" i="11"/>
  <c r="P304" i="11"/>
  <c r="Q304" i="11"/>
  <c r="L305" i="11"/>
  <c r="M305" i="11"/>
  <c r="N305" i="11"/>
  <c r="O305" i="11"/>
  <c r="P305" i="11"/>
  <c r="Q305" i="11"/>
  <c r="L306" i="11"/>
  <c r="M306" i="11"/>
  <c r="N306" i="11"/>
  <c r="O306" i="11"/>
  <c r="P306" i="11"/>
  <c r="Q306" i="11"/>
  <c r="L307" i="11"/>
  <c r="M307" i="11"/>
  <c r="N307" i="11"/>
  <c r="O307" i="11"/>
  <c r="P307" i="11"/>
  <c r="Q307" i="11"/>
  <c r="L308" i="11"/>
  <c r="M308" i="11"/>
  <c r="N308" i="11"/>
  <c r="O308" i="11"/>
  <c r="P308" i="11"/>
  <c r="Q308" i="11"/>
  <c r="L309" i="11"/>
  <c r="M309" i="11"/>
  <c r="N309" i="11"/>
  <c r="O309" i="11"/>
  <c r="P309" i="11"/>
  <c r="Q309" i="11"/>
  <c r="L310" i="11"/>
  <c r="M310" i="11"/>
  <c r="N310" i="11"/>
  <c r="O310" i="11"/>
  <c r="P310" i="11"/>
  <c r="Q310" i="11"/>
  <c r="L311" i="11"/>
  <c r="M311" i="11"/>
  <c r="N311" i="11"/>
  <c r="O311" i="11"/>
  <c r="P311" i="11"/>
  <c r="Q311" i="11"/>
  <c r="L312" i="11"/>
  <c r="M312" i="11"/>
  <c r="N312" i="11"/>
  <c r="O312" i="11"/>
  <c r="P312" i="11"/>
  <c r="Q312" i="11"/>
  <c r="L313" i="11"/>
  <c r="M313" i="11"/>
  <c r="N313" i="11"/>
  <c r="O313" i="11"/>
  <c r="P313" i="11"/>
  <c r="Q313" i="11"/>
  <c r="L314" i="11"/>
  <c r="M314" i="11"/>
  <c r="N314" i="11"/>
  <c r="O314" i="11"/>
  <c r="P314" i="11"/>
  <c r="Q314" i="11"/>
  <c r="L315" i="11"/>
  <c r="M315" i="11"/>
  <c r="N315" i="11"/>
  <c r="O315" i="11"/>
  <c r="P315" i="11"/>
  <c r="Q315" i="11"/>
  <c r="L316" i="11"/>
  <c r="M316" i="11"/>
  <c r="N316" i="11"/>
  <c r="O316" i="11"/>
  <c r="P316" i="11"/>
  <c r="Q316" i="11"/>
  <c r="L317" i="11"/>
  <c r="M317" i="11"/>
  <c r="N317" i="11"/>
  <c r="O317" i="11"/>
  <c r="P317" i="11"/>
  <c r="Q317" i="11"/>
  <c r="L318" i="11"/>
  <c r="M318" i="11"/>
  <c r="N318" i="11"/>
  <c r="O318" i="11"/>
  <c r="P318" i="11"/>
  <c r="Q318" i="11"/>
  <c r="L319" i="11"/>
  <c r="M319" i="11"/>
  <c r="N319" i="11"/>
  <c r="O319" i="11"/>
  <c r="P319" i="11"/>
  <c r="Q319" i="11"/>
  <c r="L320" i="11"/>
  <c r="M320" i="11"/>
  <c r="N320" i="11"/>
  <c r="O320" i="11"/>
  <c r="P320" i="11"/>
  <c r="Q320" i="11"/>
  <c r="L321" i="11"/>
  <c r="M321" i="11"/>
  <c r="N321" i="11"/>
  <c r="O321" i="11"/>
  <c r="P321" i="11"/>
  <c r="Q321" i="11"/>
  <c r="L322" i="11"/>
  <c r="M322" i="11"/>
  <c r="N322" i="11"/>
  <c r="O322" i="11"/>
  <c r="P322" i="11"/>
  <c r="Q322" i="11"/>
  <c r="L323" i="11"/>
  <c r="M323" i="11"/>
  <c r="N323" i="11"/>
  <c r="O323" i="11"/>
  <c r="P323" i="11"/>
  <c r="Q323" i="11"/>
  <c r="L324" i="11"/>
  <c r="M324" i="11"/>
  <c r="N324" i="11"/>
  <c r="O324" i="11"/>
  <c r="P324" i="11"/>
  <c r="Q324" i="11"/>
  <c r="L325" i="11"/>
  <c r="M325" i="11"/>
  <c r="N325" i="11"/>
  <c r="O325" i="11"/>
  <c r="P325" i="11"/>
  <c r="Q325" i="11"/>
  <c r="L326" i="11"/>
  <c r="M326" i="11"/>
  <c r="N326" i="11"/>
  <c r="O326" i="11"/>
  <c r="P326" i="11"/>
  <c r="Q326" i="11"/>
  <c r="L327" i="11"/>
  <c r="M327" i="11"/>
  <c r="N327" i="11"/>
  <c r="O327" i="11"/>
  <c r="P327" i="11"/>
  <c r="Q327" i="11"/>
  <c r="L328" i="11"/>
  <c r="M328" i="11"/>
  <c r="N328" i="11"/>
  <c r="O328" i="11"/>
  <c r="P328" i="11"/>
  <c r="Q328" i="11"/>
  <c r="L329" i="11"/>
  <c r="M329" i="11"/>
  <c r="N329" i="11"/>
  <c r="O329" i="11"/>
  <c r="P329" i="11"/>
  <c r="Q329" i="11"/>
  <c r="L330" i="11"/>
  <c r="M330" i="11"/>
  <c r="N330" i="11"/>
  <c r="O330" i="11"/>
  <c r="P330" i="11"/>
  <c r="Q330" i="11"/>
  <c r="L331" i="11"/>
  <c r="M331" i="11"/>
  <c r="N331" i="11"/>
  <c r="O331" i="11"/>
  <c r="P331" i="11"/>
  <c r="Q331" i="11"/>
  <c r="L332" i="11"/>
  <c r="M332" i="11"/>
  <c r="N332" i="11"/>
  <c r="O332" i="11"/>
  <c r="P332" i="11"/>
  <c r="Q332" i="11"/>
  <c r="L333" i="11"/>
  <c r="M333" i="11"/>
  <c r="N333" i="11"/>
  <c r="O333" i="11"/>
  <c r="P333" i="11"/>
  <c r="Q333" i="11"/>
  <c r="L334" i="11"/>
  <c r="M334" i="11"/>
  <c r="N334" i="11"/>
  <c r="O334" i="11"/>
  <c r="P334" i="11"/>
  <c r="Q334" i="11"/>
  <c r="L335" i="11"/>
  <c r="M335" i="11"/>
  <c r="N335" i="11"/>
  <c r="O335" i="11"/>
  <c r="P335" i="11"/>
  <c r="Q335" i="11"/>
  <c r="L336" i="11"/>
  <c r="M336" i="11"/>
  <c r="N336" i="11"/>
  <c r="O336" i="11"/>
  <c r="P336" i="11"/>
  <c r="Q336" i="11"/>
  <c r="L337" i="11"/>
  <c r="M337" i="11"/>
  <c r="N337" i="11"/>
  <c r="O337" i="11"/>
  <c r="P337" i="11"/>
  <c r="Q337" i="11"/>
  <c r="L338" i="11"/>
  <c r="M338" i="11"/>
  <c r="N338" i="11"/>
  <c r="O338" i="11"/>
  <c r="P338" i="11"/>
  <c r="Q338" i="11"/>
  <c r="L339" i="11"/>
  <c r="M339" i="11"/>
  <c r="N339" i="11"/>
  <c r="O339" i="11"/>
  <c r="P339" i="11"/>
  <c r="Q339" i="11"/>
  <c r="L340" i="11"/>
  <c r="M340" i="11"/>
  <c r="N340" i="11"/>
  <c r="O340" i="11"/>
  <c r="P340" i="11"/>
  <c r="Q340" i="11"/>
  <c r="L341" i="11"/>
  <c r="M341" i="11"/>
  <c r="N341" i="11"/>
  <c r="O341" i="11"/>
  <c r="P341" i="11"/>
  <c r="Q341" i="11"/>
  <c r="L342" i="11"/>
  <c r="M342" i="11"/>
  <c r="N342" i="11"/>
  <c r="O342" i="11"/>
  <c r="P342" i="11"/>
  <c r="Q342" i="11"/>
  <c r="L343" i="11"/>
  <c r="M343" i="11"/>
  <c r="N343" i="11"/>
  <c r="O343" i="11"/>
  <c r="P343" i="11"/>
  <c r="Q343" i="11"/>
  <c r="L344" i="11"/>
  <c r="M344" i="11"/>
  <c r="N344" i="11"/>
  <c r="O344" i="11"/>
  <c r="P344" i="11"/>
  <c r="Q344" i="11"/>
  <c r="L345" i="11"/>
  <c r="M345" i="11"/>
  <c r="N345" i="11"/>
  <c r="O345" i="11"/>
  <c r="P345" i="11"/>
  <c r="Q345" i="11"/>
  <c r="L346" i="11"/>
  <c r="M346" i="11"/>
  <c r="N346" i="11"/>
  <c r="O346" i="11"/>
  <c r="P346" i="11"/>
  <c r="Q346" i="11"/>
  <c r="L347" i="11"/>
  <c r="M347" i="11"/>
  <c r="N347" i="11"/>
  <c r="O347" i="11"/>
  <c r="P347" i="11"/>
  <c r="Q347" i="11"/>
  <c r="L348" i="11"/>
  <c r="M348" i="11"/>
  <c r="N348" i="11"/>
  <c r="O348" i="11"/>
  <c r="P348" i="11"/>
  <c r="Q348" i="11"/>
  <c r="L349" i="11"/>
  <c r="M349" i="11"/>
  <c r="N349" i="11"/>
  <c r="O349" i="11"/>
  <c r="P349" i="11"/>
  <c r="Q349" i="11"/>
  <c r="L350" i="11"/>
  <c r="M350" i="11"/>
  <c r="N350" i="11"/>
  <c r="O350" i="11"/>
  <c r="P350" i="11"/>
  <c r="Q350" i="11"/>
  <c r="L351" i="11"/>
  <c r="M351" i="11"/>
  <c r="N351" i="11"/>
  <c r="O351" i="11"/>
  <c r="P351" i="11"/>
  <c r="Q351" i="11"/>
  <c r="L352" i="11"/>
  <c r="M352" i="11"/>
  <c r="N352" i="11"/>
  <c r="O352" i="11"/>
  <c r="P352" i="11"/>
  <c r="Q352" i="11"/>
  <c r="L353" i="11"/>
  <c r="M353" i="11"/>
  <c r="N353" i="11"/>
  <c r="O353" i="11"/>
  <c r="P353" i="11"/>
  <c r="Q353" i="11"/>
  <c r="L354" i="11"/>
  <c r="M354" i="11"/>
  <c r="N354" i="11"/>
  <c r="O354" i="11"/>
  <c r="P354" i="11"/>
  <c r="Q354" i="11"/>
  <c r="L355" i="11"/>
  <c r="M355" i="11"/>
  <c r="N355" i="11"/>
  <c r="O355" i="11"/>
  <c r="P355" i="11"/>
  <c r="Q355" i="11"/>
  <c r="L356" i="11"/>
  <c r="M356" i="11"/>
  <c r="N356" i="11"/>
  <c r="O356" i="11"/>
  <c r="P356" i="11"/>
  <c r="Q356" i="11"/>
  <c r="L358" i="11"/>
  <c r="M358" i="11"/>
  <c r="N358" i="11"/>
  <c r="O358" i="11"/>
  <c r="P358" i="11"/>
  <c r="Q358" i="11"/>
  <c r="L359" i="11"/>
  <c r="M359" i="11"/>
  <c r="N359" i="11"/>
  <c r="O359" i="11"/>
  <c r="P359" i="11"/>
  <c r="Q359" i="11"/>
  <c r="L360" i="11"/>
  <c r="M360" i="11"/>
  <c r="N360" i="11"/>
  <c r="O360" i="11"/>
  <c r="P360" i="11"/>
  <c r="Q360" i="11"/>
  <c r="L361" i="11"/>
  <c r="M361" i="11"/>
  <c r="N361" i="11"/>
  <c r="O361" i="11"/>
  <c r="P361" i="11"/>
  <c r="Q361" i="11"/>
  <c r="L362" i="11"/>
  <c r="M362" i="11"/>
  <c r="N362" i="11"/>
  <c r="O362" i="11"/>
  <c r="P362" i="11"/>
  <c r="Q362" i="11"/>
  <c r="L363" i="11"/>
  <c r="M363" i="11"/>
  <c r="N363" i="11"/>
  <c r="O363" i="11"/>
  <c r="P363" i="11"/>
  <c r="Q363" i="11"/>
  <c r="L364" i="11"/>
  <c r="M364" i="11"/>
  <c r="N364" i="11"/>
  <c r="O364" i="11"/>
  <c r="P364" i="11"/>
  <c r="Q364" i="11"/>
  <c r="L365" i="11"/>
  <c r="M365" i="11"/>
  <c r="N365" i="11"/>
  <c r="O365" i="11"/>
  <c r="P365" i="11"/>
  <c r="Q365" i="11"/>
  <c r="L366" i="11"/>
  <c r="M366" i="11"/>
  <c r="N366" i="11"/>
  <c r="O366" i="11"/>
  <c r="P366" i="11"/>
  <c r="Q366" i="11"/>
  <c r="L367" i="11"/>
  <c r="M367" i="11"/>
  <c r="N367" i="11"/>
  <c r="O367" i="11"/>
  <c r="P367" i="11"/>
  <c r="Q367" i="11"/>
  <c r="L368" i="11"/>
  <c r="M368" i="11"/>
  <c r="N368" i="11"/>
  <c r="O368" i="11"/>
  <c r="P368" i="11"/>
  <c r="Q368" i="11"/>
  <c r="L369" i="11"/>
  <c r="M369" i="11"/>
  <c r="N369" i="11"/>
  <c r="O369" i="11"/>
  <c r="P369" i="11"/>
  <c r="Q369" i="11"/>
  <c r="L370" i="11"/>
  <c r="M370" i="11"/>
  <c r="N370" i="11"/>
  <c r="O370" i="11"/>
  <c r="P370" i="11"/>
  <c r="Q370" i="11"/>
  <c r="L371" i="11"/>
  <c r="M371" i="11"/>
  <c r="N371" i="11"/>
  <c r="O371" i="11"/>
  <c r="P371" i="11"/>
  <c r="Q371" i="11"/>
  <c r="L372" i="11"/>
  <c r="M372" i="11"/>
  <c r="N372" i="11"/>
  <c r="O372" i="11"/>
  <c r="P372" i="11"/>
  <c r="Q372" i="11"/>
  <c r="L373" i="11"/>
  <c r="M373" i="11"/>
  <c r="N373" i="11"/>
  <c r="O373" i="11"/>
  <c r="P373" i="11"/>
  <c r="Q373" i="11"/>
  <c r="L374" i="11"/>
  <c r="M374" i="11"/>
  <c r="N374" i="11"/>
  <c r="O374" i="11"/>
  <c r="P374" i="11"/>
  <c r="Q374" i="11"/>
  <c r="L375" i="11"/>
  <c r="M375" i="11"/>
  <c r="N375" i="11"/>
  <c r="O375" i="11"/>
  <c r="P375" i="11"/>
  <c r="Q375" i="11"/>
  <c r="L376" i="11"/>
  <c r="M376" i="11"/>
  <c r="N376" i="11"/>
  <c r="O376" i="11"/>
  <c r="P376" i="11"/>
  <c r="Q376" i="11"/>
  <c r="L377" i="11"/>
  <c r="M377" i="11"/>
  <c r="N377" i="11"/>
  <c r="O377" i="11"/>
  <c r="P377" i="11"/>
  <c r="Q377" i="11"/>
  <c r="L378" i="11"/>
  <c r="M378" i="11"/>
  <c r="N378" i="11"/>
  <c r="O378" i="11"/>
  <c r="P378" i="11"/>
  <c r="Q378" i="11"/>
  <c r="L379" i="11"/>
  <c r="M379" i="11"/>
  <c r="N379" i="11"/>
  <c r="O379" i="11"/>
  <c r="P379" i="11"/>
  <c r="Q379" i="11"/>
  <c r="L380" i="11"/>
  <c r="M380" i="11"/>
  <c r="N380" i="11"/>
  <c r="O380" i="11"/>
  <c r="P380" i="11"/>
  <c r="Q380" i="11"/>
  <c r="L381" i="11"/>
  <c r="M381" i="11"/>
  <c r="N381" i="11"/>
  <c r="O381" i="11"/>
  <c r="P381" i="11"/>
  <c r="Q381" i="11"/>
  <c r="L382" i="11"/>
  <c r="M382" i="11"/>
  <c r="N382" i="11"/>
  <c r="O382" i="11"/>
  <c r="P382" i="11"/>
  <c r="Q382" i="11"/>
  <c r="L383" i="11"/>
  <c r="M383" i="11"/>
  <c r="N383" i="11"/>
  <c r="O383" i="11"/>
  <c r="P383" i="11"/>
  <c r="Q383" i="11"/>
  <c r="L384" i="11"/>
  <c r="M384" i="11"/>
  <c r="N384" i="11"/>
  <c r="O384" i="11"/>
  <c r="P384" i="11"/>
  <c r="Q384" i="11"/>
  <c r="L385" i="11"/>
  <c r="M385" i="11"/>
  <c r="N385" i="11"/>
  <c r="O385" i="11"/>
  <c r="P385" i="11"/>
  <c r="Q385" i="11"/>
  <c r="L386" i="11"/>
  <c r="M386" i="11"/>
  <c r="N386" i="11"/>
  <c r="O386" i="11"/>
  <c r="P386" i="11"/>
  <c r="Q386" i="11"/>
  <c r="L387" i="11"/>
  <c r="M387" i="11"/>
  <c r="N387" i="11"/>
  <c r="O387" i="11"/>
  <c r="P387" i="11"/>
  <c r="Q387" i="11"/>
  <c r="L388" i="11"/>
  <c r="M388" i="11"/>
  <c r="N388" i="11"/>
  <c r="O388" i="11"/>
  <c r="P388" i="11"/>
  <c r="Q388" i="11"/>
  <c r="L389" i="11"/>
  <c r="M389" i="11"/>
  <c r="N389" i="11"/>
  <c r="O389" i="11"/>
  <c r="P389" i="11"/>
  <c r="Q389" i="11"/>
  <c r="L390" i="11"/>
  <c r="M390" i="11"/>
  <c r="N390" i="11"/>
  <c r="O390" i="11"/>
  <c r="P390" i="11"/>
  <c r="Q390" i="11"/>
  <c r="L391" i="11"/>
  <c r="M391" i="11"/>
  <c r="N391" i="11"/>
  <c r="O391" i="11"/>
  <c r="P391" i="11"/>
  <c r="Q391" i="11"/>
  <c r="L392" i="11"/>
  <c r="M392" i="11"/>
  <c r="N392" i="11"/>
  <c r="O392" i="11"/>
  <c r="P392" i="11"/>
  <c r="Q392" i="11"/>
  <c r="L393" i="11"/>
  <c r="M393" i="11"/>
  <c r="N393" i="11"/>
  <c r="O393" i="11"/>
  <c r="P393" i="11"/>
  <c r="Q393" i="11"/>
  <c r="L394" i="11"/>
  <c r="M394" i="11"/>
  <c r="N394" i="11"/>
  <c r="O394" i="11"/>
  <c r="P394" i="11"/>
  <c r="Q394" i="11"/>
  <c r="L395" i="11"/>
  <c r="M395" i="11"/>
  <c r="N395" i="11"/>
  <c r="O395" i="11"/>
  <c r="P395" i="11"/>
  <c r="Q395" i="11"/>
  <c r="L396" i="11"/>
  <c r="M396" i="11"/>
  <c r="N396" i="11"/>
  <c r="O396" i="11"/>
  <c r="P396" i="11"/>
  <c r="Q396" i="11"/>
  <c r="L397" i="11"/>
  <c r="M397" i="11"/>
  <c r="N397" i="11"/>
  <c r="O397" i="11"/>
  <c r="P397" i="11"/>
  <c r="Q397" i="11"/>
  <c r="L398" i="11"/>
  <c r="M398" i="11"/>
  <c r="N398" i="11"/>
  <c r="O398" i="11"/>
  <c r="P398" i="11"/>
  <c r="Q398" i="11"/>
  <c r="L399" i="11"/>
  <c r="M399" i="11"/>
  <c r="N399" i="11"/>
  <c r="O399" i="11"/>
  <c r="P399" i="11"/>
  <c r="Q399" i="11"/>
  <c r="L400" i="11"/>
  <c r="M400" i="11"/>
  <c r="N400" i="11"/>
  <c r="O400" i="11"/>
  <c r="P400" i="11"/>
  <c r="Q400" i="11"/>
  <c r="L401" i="11"/>
  <c r="M401" i="11"/>
  <c r="N401" i="11"/>
  <c r="O401" i="11"/>
  <c r="P401" i="11"/>
  <c r="Q401" i="11"/>
  <c r="L402" i="11"/>
  <c r="M402" i="11"/>
  <c r="N402" i="11"/>
  <c r="O402" i="11"/>
  <c r="P402" i="11"/>
  <c r="Q402" i="11"/>
  <c r="L403" i="11"/>
  <c r="M403" i="11"/>
  <c r="N403" i="11"/>
  <c r="O403" i="11"/>
  <c r="P403" i="11"/>
  <c r="Q403" i="11"/>
  <c r="L404" i="11"/>
  <c r="M404" i="11"/>
  <c r="N404" i="11"/>
  <c r="O404" i="11"/>
  <c r="P404" i="11"/>
  <c r="Q404" i="11"/>
  <c r="L405" i="11"/>
  <c r="M405" i="11"/>
  <c r="N405" i="11"/>
  <c r="O405" i="11"/>
  <c r="P405" i="11"/>
  <c r="Q405" i="11"/>
  <c r="L406" i="11"/>
  <c r="M406" i="11"/>
  <c r="N406" i="11"/>
  <c r="O406" i="11"/>
  <c r="P406" i="11"/>
  <c r="Q406" i="11"/>
  <c r="L407" i="11"/>
  <c r="M407" i="11"/>
  <c r="N407" i="11"/>
  <c r="O407" i="11"/>
  <c r="P407" i="11"/>
  <c r="Q407" i="11"/>
  <c r="L408" i="11"/>
  <c r="M408" i="11"/>
  <c r="N408" i="11"/>
  <c r="O408" i="11"/>
  <c r="P408" i="11"/>
  <c r="Q408" i="11"/>
  <c r="L409" i="11"/>
  <c r="M409" i="11"/>
  <c r="N409" i="11"/>
  <c r="O409" i="11"/>
  <c r="P409" i="11"/>
  <c r="Q409" i="11"/>
  <c r="L410" i="11"/>
  <c r="M410" i="11"/>
  <c r="N410" i="11"/>
  <c r="O410" i="11"/>
  <c r="P410" i="11"/>
  <c r="Q410" i="11"/>
  <c r="L411" i="11"/>
  <c r="M411" i="11"/>
  <c r="N411" i="11"/>
  <c r="O411" i="11"/>
  <c r="P411" i="11"/>
  <c r="Q411" i="11"/>
  <c r="L412" i="11"/>
  <c r="M412" i="11"/>
  <c r="N412" i="11"/>
  <c r="O412" i="11"/>
  <c r="P412" i="11"/>
  <c r="Q412" i="11"/>
  <c r="L413" i="11"/>
  <c r="M413" i="11"/>
  <c r="N413" i="11"/>
  <c r="O413" i="11"/>
  <c r="P413" i="11"/>
  <c r="Q413" i="11"/>
  <c r="L414" i="11"/>
  <c r="M414" i="11"/>
  <c r="N414" i="11"/>
  <c r="O414" i="11"/>
  <c r="P414" i="11"/>
  <c r="Q414" i="11"/>
  <c r="L415" i="11"/>
  <c r="M415" i="11"/>
  <c r="N415" i="11"/>
  <c r="O415" i="11"/>
  <c r="P415" i="11"/>
  <c r="Q415" i="11"/>
  <c r="L416" i="11"/>
  <c r="M416" i="11"/>
  <c r="N416" i="11"/>
  <c r="O416" i="11"/>
  <c r="P416" i="11"/>
  <c r="Q416" i="11"/>
  <c r="L417" i="11"/>
  <c r="M417" i="11"/>
  <c r="N417" i="11"/>
  <c r="O417" i="11"/>
  <c r="P417" i="11"/>
  <c r="Q417" i="11"/>
  <c r="L418" i="11"/>
  <c r="M418" i="11"/>
  <c r="N418" i="11"/>
  <c r="O418" i="11"/>
  <c r="P418" i="11"/>
  <c r="Q418" i="11"/>
  <c r="L419" i="11"/>
  <c r="M419" i="11"/>
  <c r="N419" i="11"/>
  <c r="O419" i="11"/>
  <c r="P419" i="11"/>
  <c r="Q419" i="11"/>
  <c r="L420" i="11"/>
  <c r="M420" i="11"/>
  <c r="N420" i="11"/>
  <c r="O420" i="11"/>
  <c r="P420" i="11"/>
  <c r="Q420" i="11"/>
  <c r="L421" i="11"/>
  <c r="M421" i="11"/>
  <c r="N421" i="11"/>
  <c r="O421" i="11"/>
  <c r="P421" i="11"/>
  <c r="Q421" i="11"/>
  <c r="L422" i="11"/>
  <c r="M422" i="11"/>
  <c r="N422" i="11"/>
  <c r="O422" i="11"/>
  <c r="P422" i="11"/>
  <c r="Q422" i="11"/>
  <c r="L423" i="11"/>
  <c r="M423" i="11"/>
  <c r="N423" i="11"/>
  <c r="O423" i="11"/>
  <c r="P423" i="11"/>
  <c r="Q423" i="11"/>
  <c r="L424" i="11"/>
  <c r="M424" i="11"/>
  <c r="N424" i="11"/>
  <c r="O424" i="11"/>
  <c r="P424" i="11"/>
  <c r="Q424" i="11"/>
  <c r="L425" i="11"/>
  <c r="M425" i="11"/>
  <c r="N425" i="11"/>
  <c r="O425" i="11"/>
  <c r="P425" i="11"/>
  <c r="Q425" i="11"/>
  <c r="L426" i="11"/>
  <c r="M426" i="11"/>
  <c r="N426" i="11"/>
  <c r="O426" i="11"/>
  <c r="P426" i="11"/>
  <c r="Q426" i="11"/>
  <c r="L427" i="11"/>
  <c r="M427" i="11"/>
  <c r="N427" i="11"/>
  <c r="O427" i="11"/>
  <c r="P427" i="11"/>
  <c r="Q427" i="11"/>
  <c r="L428" i="11"/>
  <c r="M428" i="11"/>
  <c r="N428" i="11"/>
  <c r="O428" i="11"/>
  <c r="P428" i="11"/>
  <c r="Q428" i="11"/>
  <c r="L429" i="11"/>
  <c r="M429" i="11"/>
  <c r="N429" i="11"/>
  <c r="O429" i="11"/>
  <c r="P429" i="11"/>
  <c r="Q429" i="11"/>
  <c r="L430" i="11"/>
  <c r="M430" i="11"/>
  <c r="N430" i="11"/>
  <c r="O430" i="11"/>
  <c r="P430" i="11"/>
  <c r="Q430" i="11"/>
  <c r="L431" i="11"/>
  <c r="M431" i="11"/>
  <c r="N431" i="11"/>
  <c r="O431" i="11"/>
  <c r="P431" i="11"/>
  <c r="Q431" i="11"/>
  <c r="L432" i="11"/>
  <c r="M432" i="11"/>
  <c r="N432" i="11"/>
  <c r="O432" i="11"/>
  <c r="P432" i="11"/>
  <c r="Q432" i="11"/>
  <c r="L433" i="11"/>
  <c r="M433" i="11"/>
  <c r="N433" i="11"/>
  <c r="O433" i="11"/>
  <c r="P433" i="11"/>
  <c r="Q433" i="11"/>
  <c r="L434" i="11"/>
  <c r="M434" i="11"/>
  <c r="N434" i="11"/>
  <c r="O434" i="11"/>
  <c r="P434" i="11"/>
  <c r="Q434" i="11"/>
  <c r="L435" i="11"/>
  <c r="M435" i="11"/>
  <c r="N435" i="11"/>
  <c r="O435" i="11"/>
  <c r="P435" i="11"/>
  <c r="Q435" i="11"/>
  <c r="L436" i="11"/>
  <c r="M436" i="11"/>
  <c r="N436" i="11"/>
  <c r="O436" i="11"/>
  <c r="P436" i="11"/>
  <c r="Q436" i="11"/>
  <c r="L437" i="11"/>
  <c r="M437" i="11"/>
  <c r="N437" i="11"/>
  <c r="O437" i="11"/>
  <c r="P437" i="11"/>
  <c r="Q437" i="11"/>
  <c r="L438" i="11"/>
  <c r="M438" i="11"/>
  <c r="N438" i="11"/>
  <c r="O438" i="11"/>
  <c r="P438" i="11"/>
  <c r="Q438" i="11"/>
  <c r="L439" i="11"/>
  <c r="M439" i="11"/>
  <c r="N439" i="11"/>
  <c r="O439" i="11"/>
  <c r="P439" i="11"/>
  <c r="Q439" i="11"/>
  <c r="L440" i="11"/>
  <c r="M440" i="11"/>
  <c r="N440" i="11"/>
  <c r="O440" i="11"/>
  <c r="P440" i="11"/>
  <c r="Q440" i="11"/>
  <c r="L441" i="11"/>
  <c r="M441" i="11"/>
  <c r="N441" i="11"/>
  <c r="O441" i="11"/>
  <c r="P441" i="11"/>
  <c r="Q441" i="11"/>
  <c r="L442" i="11"/>
  <c r="M442" i="11"/>
  <c r="N442" i="11"/>
  <c r="O442" i="11"/>
  <c r="P442" i="11"/>
  <c r="Q442" i="11"/>
  <c r="L443" i="11"/>
  <c r="M443" i="11"/>
  <c r="N443" i="11"/>
  <c r="O443" i="11"/>
  <c r="P443" i="11"/>
  <c r="Q443" i="11"/>
  <c r="L444" i="11"/>
  <c r="M444" i="11"/>
  <c r="N444" i="11"/>
  <c r="O444" i="11"/>
  <c r="P444" i="11"/>
  <c r="Q444" i="11"/>
  <c r="L445" i="11"/>
  <c r="M445" i="11"/>
  <c r="N445" i="11"/>
  <c r="O445" i="11"/>
  <c r="P445" i="11"/>
  <c r="Q445" i="11"/>
  <c r="L446" i="11"/>
  <c r="M446" i="11"/>
  <c r="N446" i="11"/>
  <c r="O446" i="11"/>
  <c r="P446" i="11"/>
  <c r="Q446" i="11"/>
  <c r="L447" i="11"/>
  <c r="M447" i="11"/>
  <c r="N447" i="11"/>
  <c r="O447" i="11"/>
  <c r="P447" i="11"/>
  <c r="Q447" i="11"/>
  <c r="L448" i="11"/>
  <c r="M448" i="11"/>
  <c r="N448" i="11"/>
  <c r="O448" i="11"/>
  <c r="P448" i="11"/>
  <c r="Q448" i="11"/>
  <c r="L449" i="11"/>
  <c r="M449" i="11"/>
  <c r="N449" i="11"/>
  <c r="O449" i="11"/>
  <c r="P449" i="11"/>
  <c r="Q449" i="11"/>
  <c r="L450" i="11"/>
  <c r="M450" i="11"/>
  <c r="N450" i="11"/>
  <c r="O450" i="11"/>
  <c r="P450" i="11"/>
  <c r="Q450" i="11"/>
  <c r="L451" i="11"/>
  <c r="M451" i="11"/>
  <c r="N451" i="11"/>
  <c r="O451" i="11"/>
  <c r="P451" i="11"/>
  <c r="Q451" i="11"/>
  <c r="L452" i="11"/>
  <c r="M452" i="11"/>
  <c r="N452" i="11"/>
  <c r="O452" i="11"/>
  <c r="P452" i="11"/>
  <c r="Q452" i="11"/>
  <c r="L453" i="11"/>
  <c r="M453" i="11"/>
  <c r="N453" i="11"/>
  <c r="O453" i="11"/>
  <c r="P453" i="11"/>
  <c r="Q453" i="11"/>
  <c r="L454" i="11"/>
  <c r="M454" i="11"/>
  <c r="N454" i="11"/>
  <c r="O454" i="11"/>
  <c r="P454" i="11"/>
  <c r="Q454" i="11"/>
  <c r="L455" i="11"/>
  <c r="M455" i="11"/>
  <c r="N455" i="11"/>
  <c r="O455" i="11"/>
  <c r="P455" i="11"/>
  <c r="Q455" i="11"/>
  <c r="L456" i="11"/>
  <c r="M456" i="11"/>
  <c r="N456" i="11"/>
  <c r="O456" i="11"/>
  <c r="P456" i="11"/>
  <c r="Q456" i="11"/>
  <c r="L457" i="11"/>
  <c r="M457" i="11"/>
  <c r="N457" i="11"/>
  <c r="O457" i="11"/>
  <c r="P457" i="11"/>
  <c r="Q457" i="11"/>
  <c r="L458" i="11"/>
  <c r="M458" i="11"/>
  <c r="N458" i="11"/>
  <c r="O458" i="11"/>
  <c r="P458" i="11"/>
  <c r="Q458" i="11"/>
  <c r="L459" i="11"/>
  <c r="M459" i="11"/>
  <c r="N459" i="11"/>
  <c r="O459" i="11"/>
  <c r="P459" i="11"/>
  <c r="Q459" i="11"/>
  <c r="L460" i="11"/>
  <c r="M460" i="11"/>
  <c r="N460" i="11"/>
  <c r="O460" i="11"/>
  <c r="P460" i="11"/>
  <c r="Q460" i="11"/>
  <c r="L461" i="11"/>
  <c r="M461" i="11"/>
  <c r="N461" i="11"/>
  <c r="O461" i="11"/>
  <c r="P461" i="11"/>
  <c r="Q461" i="11"/>
  <c r="L462" i="11"/>
  <c r="M462" i="11"/>
  <c r="N462" i="11"/>
  <c r="O462" i="11"/>
  <c r="P462" i="11"/>
  <c r="Q462" i="11"/>
  <c r="L463" i="11"/>
  <c r="M463" i="11"/>
  <c r="N463" i="11"/>
  <c r="O463" i="11"/>
  <c r="P463" i="11"/>
  <c r="Q463" i="11"/>
  <c r="L464" i="11"/>
  <c r="M464" i="11"/>
  <c r="N464" i="11"/>
  <c r="O464" i="11"/>
  <c r="P464" i="11"/>
  <c r="Q464" i="11"/>
  <c r="L465" i="11"/>
  <c r="M465" i="11"/>
  <c r="N465" i="11"/>
  <c r="O465" i="11"/>
  <c r="P465" i="11"/>
  <c r="Q465" i="11"/>
  <c r="L467" i="11"/>
  <c r="M467" i="11"/>
  <c r="N467" i="11"/>
  <c r="O467" i="11"/>
  <c r="P467" i="11"/>
  <c r="Q467" i="11"/>
  <c r="L468" i="11"/>
  <c r="M468" i="11"/>
  <c r="N468" i="11"/>
  <c r="O468" i="11"/>
  <c r="P468" i="11"/>
  <c r="Q468" i="11"/>
  <c r="L469" i="11"/>
  <c r="M469" i="11"/>
  <c r="N469" i="11"/>
  <c r="O469" i="11"/>
  <c r="P469" i="11"/>
  <c r="Q469" i="11"/>
  <c r="L470" i="11"/>
  <c r="M470" i="11"/>
  <c r="N470" i="11"/>
  <c r="O470" i="11"/>
  <c r="P470" i="11"/>
  <c r="Q470" i="11"/>
  <c r="L471" i="11"/>
  <c r="M471" i="11"/>
  <c r="N471" i="11"/>
  <c r="O471" i="11"/>
  <c r="P471" i="11"/>
  <c r="Q471" i="11"/>
  <c r="L472" i="11"/>
  <c r="M472" i="11"/>
  <c r="N472" i="11"/>
  <c r="O472" i="11"/>
  <c r="P472" i="11"/>
  <c r="Q472" i="11"/>
  <c r="L473" i="11"/>
  <c r="M473" i="11"/>
  <c r="N473" i="11"/>
  <c r="O473" i="11"/>
  <c r="P473" i="11"/>
  <c r="Q473" i="11"/>
  <c r="L474" i="11"/>
  <c r="M474" i="11"/>
  <c r="N474" i="11"/>
  <c r="O474" i="11"/>
  <c r="P474" i="11"/>
  <c r="Q474" i="11"/>
  <c r="L475" i="11"/>
  <c r="M475" i="11"/>
  <c r="N475" i="11"/>
  <c r="O475" i="11"/>
  <c r="P475" i="11"/>
  <c r="Q475" i="11"/>
  <c r="L476" i="11"/>
  <c r="M476" i="11"/>
  <c r="N476" i="11"/>
  <c r="O476" i="11"/>
  <c r="P476" i="11"/>
  <c r="Q476" i="11"/>
  <c r="L477" i="11"/>
  <c r="M477" i="11"/>
  <c r="N477" i="11"/>
  <c r="O477" i="11"/>
  <c r="P477" i="11"/>
  <c r="Q477" i="11"/>
  <c r="L478" i="11"/>
  <c r="M478" i="11"/>
  <c r="N478" i="11"/>
  <c r="O478" i="11"/>
  <c r="P478" i="11"/>
  <c r="Q478" i="11"/>
  <c r="L479" i="11"/>
  <c r="M479" i="11"/>
  <c r="N479" i="11"/>
  <c r="O479" i="11"/>
  <c r="P479" i="11"/>
  <c r="Q479" i="11"/>
  <c r="L480" i="11"/>
  <c r="M480" i="11"/>
  <c r="N480" i="11"/>
  <c r="O480" i="11"/>
  <c r="P480" i="11"/>
  <c r="Q480" i="11"/>
  <c r="L481" i="11"/>
  <c r="M481" i="11"/>
  <c r="N481" i="11"/>
  <c r="O481" i="11"/>
  <c r="P481" i="11"/>
  <c r="Q481" i="11"/>
  <c r="L482" i="11"/>
  <c r="M482" i="11"/>
  <c r="N482" i="11"/>
  <c r="O482" i="11"/>
  <c r="P482" i="11"/>
  <c r="Q482" i="11"/>
  <c r="L483" i="11"/>
  <c r="M483" i="11"/>
  <c r="N483" i="11"/>
  <c r="O483" i="11"/>
  <c r="P483" i="11"/>
  <c r="Q483" i="11"/>
  <c r="L484" i="11"/>
  <c r="M484" i="11"/>
  <c r="N484" i="11"/>
  <c r="O484" i="11"/>
  <c r="P484" i="11"/>
  <c r="Q484" i="11"/>
  <c r="L485" i="11"/>
  <c r="M485" i="11"/>
  <c r="N485" i="11"/>
  <c r="O485" i="11"/>
  <c r="P485" i="11"/>
  <c r="Q485" i="11"/>
  <c r="L486" i="11"/>
  <c r="M486" i="11"/>
  <c r="N486" i="11"/>
  <c r="O486" i="11"/>
  <c r="P486" i="11"/>
  <c r="Q486" i="11"/>
  <c r="L487" i="11"/>
  <c r="M487" i="11"/>
  <c r="N487" i="11"/>
  <c r="O487" i="11"/>
  <c r="P487" i="11"/>
  <c r="Q487" i="11"/>
  <c r="L488" i="11"/>
  <c r="M488" i="11"/>
  <c r="N488" i="11"/>
  <c r="O488" i="11"/>
  <c r="P488" i="11"/>
  <c r="Q488" i="11"/>
  <c r="L489" i="11"/>
  <c r="M489" i="11"/>
  <c r="N489" i="11"/>
  <c r="O489" i="11"/>
  <c r="P489" i="11"/>
  <c r="Q489" i="11"/>
  <c r="L490" i="11"/>
  <c r="M490" i="11"/>
  <c r="N490" i="11"/>
  <c r="O490" i="11"/>
  <c r="P490" i="11"/>
  <c r="Q490" i="11"/>
  <c r="L491" i="11"/>
  <c r="M491" i="11"/>
  <c r="N491" i="11"/>
  <c r="O491" i="11"/>
  <c r="P491" i="11"/>
  <c r="Q491" i="11"/>
  <c r="L492" i="11"/>
  <c r="M492" i="11"/>
  <c r="N492" i="11"/>
  <c r="O492" i="11"/>
  <c r="P492" i="11"/>
  <c r="Q492" i="11"/>
  <c r="L493" i="11"/>
  <c r="M493" i="11"/>
  <c r="N493" i="11"/>
  <c r="O493" i="11"/>
  <c r="P493" i="11"/>
  <c r="Q493" i="11"/>
  <c r="L494" i="11"/>
  <c r="M494" i="11"/>
  <c r="N494" i="11"/>
  <c r="O494" i="11"/>
  <c r="P494" i="11"/>
  <c r="Q494" i="11"/>
  <c r="L495" i="11"/>
  <c r="M495" i="11"/>
  <c r="N495" i="11"/>
  <c r="O495" i="11"/>
  <c r="P495" i="11"/>
  <c r="Q495" i="11"/>
  <c r="L496" i="11"/>
  <c r="M496" i="11"/>
  <c r="N496" i="11"/>
  <c r="O496" i="11"/>
  <c r="P496" i="11"/>
  <c r="Q496" i="11"/>
  <c r="L497" i="11"/>
  <c r="M497" i="11"/>
  <c r="N497" i="11"/>
  <c r="O497" i="11"/>
  <c r="P497" i="11"/>
  <c r="Q497" i="11"/>
  <c r="L498" i="11"/>
  <c r="M498" i="11"/>
  <c r="N498" i="11"/>
  <c r="O498" i="11"/>
  <c r="P498" i="11"/>
  <c r="Q498" i="11"/>
  <c r="L499" i="11"/>
  <c r="M499" i="11"/>
  <c r="N499" i="11"/>
  <c r="O499" i="11"/>
  <c r="P499" i="11"/>
  <c r="Q499" i="11"/>
  <c r="L500" i="11"/>
  <c r="M500" i="11"/>
  <c r="N500" i="11"/>
  <c r="O500" i="11"/>
  <c r="P500" i="11"/>
  <c r="Q500" i="11"/>
  <c r="L501" i="11"/>
  <c r="M501" i="11"/>
  <c r="N501" i="11"/>
  <c r="O501" i="11"/>
  <c r="P501" i="11"/>
  <c r="Q501" i="11"/>
  <c r="L502" i="11"/>
  <c r="M502" i="11"/>
  <c r="N502" i="11"/>
  <c r="O502" i="11"/>
  <c r="P502" i="11"/>
  <c r="Q502" i="11"/>
  <c r="L503" i="11"/>
  <c r="M503" i="11"/>
  <c r="N503" i="11"/>
  <c r="O503" i="11"/>
  <c r="P503" i="11"/>
  <c r="Q503" i="11"/>
  <c r="L504" i="11"/>
  <c r="M504" i="11"/>
  <c r="N504" i="11"/>
  <c r="O504" i="11"/>
  <c r="P504" i="11"/>
  <c r="Q504" i="11"/>
  <c r="L505" i="11"/>
  <c r="M505" i="11"/>
  <c r="N505" i="11"/>
  <c r="O505" i="11"/>
  <c r="P505" i="11"/>
  <c r="Q505" i="11"/>
  <c r="L506" i="11"/>
  <c r="M506" i="11"/>
  <c r="N506" i="11"/>
  <c r="O506" i="11"/>
  <c r="P506" i="11"/>
  <c r="Q506" i="11"/>
  <c r="L507" i="11"/>
  <c r="M507" i="11"/>
  <c r="N507" i="11"/>
  <c r="O507" i="11"/>
  <c r="P507" i="11"/>
  <c r="Q507" i="11"/>
  <c r="L508" i="11"/>
  <c r="M508" i="11"/>
  <c r="N508" i="11"/>
  <c r="O508" i="11"/>
  <c r="P508" i="11"/>
  <c r="Q508" i="11"/>
  <c r="L509" i="11"/>
  <c r="M509" i="11"/>
  <c r="N509" i="11"/>
  <c r="O509" i="11"/>
  <c r="P509" i="11"/>
  <c r="Q509" i="11"/>
  <c r="L510" i="11"/>
  <c r="M510" i="11"/>
  <c r="N510" i="11"/>
  <c r="O510" i="11"/>
  <c r="P510" i="11"/>
  <c r="Q510" i="11"/>
  <c r="L511" i="11"/>
  <c r="M511" i="11"/>
  <c r="N511" i="11"/>
  <c r="O511" i="11"/>
  <c r="P511" i="11"/>
  <c r="Q511" i="11"/>
  <c r="L512" i="11"/>
  <c r="M512" i="11"/>
  <c r="N512" i="11"/>
  <c r="O512" i="11"/>
  <c r="P512" i="11"/>
  <c r="Q512" i="11"/>
  <c r="L513" i="11"/>
  <c r="M513" i="11"/>
  <c r="N513" i="11"/>
  <c r="O513" i="11"/>
  <c r="P513" i="11"/>
  <c r="Q513" i="11"/>
  <c r="L514" i="11"/>
  <c r="M514" i="11"/>
  <c r="N514" i="11"/>
  <c r="O514" i="11"/>
  <c r="P514" i="11"/>
  <c r="Q514" i="11"/>
  <c r="L515" i="11"/>
  <c r="M515" i="11"/>
  <c r="N515" i="11"/>
  <c r="O515" i="11"/>
  <c r="P515" i="11"/>
  <c r="Q515" i="11"/>
  <c r="L516" i="11"/>
  <c r="M516" i="11"/>
  <c r="N516" i="11"/>
  <c r="O516" i="11"/>
  <c r="P516" i="11"/>
  <c r="Q516" i="11"/>
  <c r="L517" i="11"/>
  <c r="M517" i="11"/>
  <c r="N517" i="11"/>
  <c r="O517" i="11"/>
  <c r="P517" i="11"/>
  <c r="Q517" i="11"/>
  <c r="L519" i="11"/>
  <c r="M519" i="11"/>
  <c r="N519" i="11"/>
  <c r="O519" i="11"/>
  <c r="P519" i="11"/>
  <c r="Q519" i="11"/>
  <c r="L520" i="11"/>
  <c r="M520" i="11"/>
  <c r="N520" i="11"/>
  <c r="O520" i="11"/>
  <c r="P520" i="11"/>
  <c r="Q520" i="11"/>
  <c r="L521" i="11"/>
  <c r="M521" i="11"/>
  <c r="N521" i="11"/>
  <c r="O521" i="11"/>
  <c r="P521" i="11"/>
  <c r="Q521" i="11"/>
  <c r="L522" i="11"/>
  <c r="M522" i="11"/>
  <c r="N522" i="11"/>
  <c r="O522" i="11"/>
  <c r="P522" i="11"/>
  <c r="Q522" i="11"/>
  <c r="L523" i="11"/>
  <c r="M523" i="11"/>
  <c r="N523" i="11"/>
  <c r="O523" i="11"/>
  <c r="P523" i="11"/>
  <c r="Q523" i="11"/>
  <c r="L524" i="11"/>
  <c r="M524" i="11"/>
  <c r="N524" i="11"/>
  <c r="O524" i="11"/>
  <c r="P524" i="11"/>
  <c r="Q524" i="11"/>
  <c r="L525" i="11"/>
  <c r="M525" i="11"/>
  <c r="N525" i="11"/>
  <c r="O525" i="11"/>
  <c r="P525" i="11"/>
  <c r="Q525" i="11"/>
  <c r="L526" i="11"/>
  <c r="M526" i="11"/>
  <c r="N526" i="11"/>
  <c r="O526" i="11"/>
  <c r="P526" i="11"/>
  <c r="Q526" i="11"/>
  <c r="L527" i="11"/>
  <c r="M527" i="11"/>
  <c r="N527" i="11"/>
  <c r="O527" i="11"/>
  <c r="P527" i="11"/>
  <c r="Q527" i="11"/>
  <c r="L528" i="11"/>
  <c r="M528" i="11"/>
  <c r="N528" i="11"/>
  <c r="O528" i="11"/>
  <c r="P528" i="11"/>
  <c r="Q528" i="11"/>
  <c r="L529" i="11"/>
  <c r="M529" i="11"/>
  <c r="N529" i="11"/>
  <c r="O529" i="11"/>
  <c r="P529" i="11"/>
  <c r="Q529" i="11"/>
  <c r="L530" i="11"/>
  <c r="M530" i="11"/>
  <c r="N530" i="11"/>
  <c r="O530" i="11"/>
  <c r="P530" i="11"/>
  <c r="Q530" i="11"/>
  <c r="L531" i="11"/>
  <c r="M531" i="11"/>
  <c r="N531" i="11"/>
  <c r="O531" i="11"/>
  <c r="P531" i="11"/>
  <c r="Q531" i="11"/>
  <c r="L532" i="11"/>
  <c r="M532" i="11"/>
  <c r="N532" i="11"/>
  <c r="O532" i="11"/>
  <c r="P532" i="11"/>
  <c r="Q532" i="11"/>
  <c r="L533" i="11"/>
  <c r="M533" i="11"/>
  <c r="N533" i="11"/>
  <c r="O533" i="11"/>
  <c r="P533" i="11"/>
  <c r="Q533" i="11"/>
  <c r="L534" i="11"/>
  <c r="M534" i="11"/>
  <c r="N534" i="11"/>
  <c r="O534" i="11"/>
  <c r="P534" i="11"/>
  <c r="Q534" i="11"/>
  <c r="L535" i="11"/>
  <c r="M535" i="11"/>
  <c r="N535" i="11"/>
  <c r="O535" i="11"/>
  <c r="P535" i="11"/>
  <c r="Q535" i="11"/>
  <c r="L536" i="11"/>
  <c r="M536" i="11"/>
  <c r="N536" i="11"/>
  <c r="O536" i="11"/>
  <c r="P536" i="11"/>
  <c r="Q536" i="11"/>
  <c r="L537" i="11"/>
  <c r="M537" i="11"/>
  <c r="N537" i="11"/>
  <c r="O537" i="11"/>
  <c r="P537" i="11"/>
  <c r="Q537" i="11"/>
  <c r="L538" i="11"/>
  <c r="M538" i="11"/>
  <c r="N538" i="11"/>
  <c r="O538" i="11"/>
  <c r="P538" i="11"/>
  <c r="Q538" i="11"/>
  <c r="L539" i="11"/>
  <c r="M539" i="11"/>
  <c r="N539" i="11"/>
  <c r="O539" i="11"/>
  <c r="P539" i="11"/>
  <c r="Q539" i="11"/>
  <c r="L540" i="11"/>
  <c r="M540" i="11"/>
  <c r="N540" i="11"/>
  <c r="O540" i="11"/>
  <c r="P540" i="11"/>
  <c r="Q540" i="11"/>
  <c r="J3" i="11"/>
  <c r="J4" i="11"/>
  <c r="J5" i="11"/>
  <c r="J6" i="11"/>
  <c r="J7" i="11"/>
  <c r="J8"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1" i="11"/>
  <c r="J352" i="11"/>
  <c r="J353" i="11"/>
  <c r="J354" i="11"/>
  <c r="J355" i="11"/>
  <c r="J356"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434" i="11"/>
  <c r="J435" i="11"/>
  <c r="J436" i="11"/>
  <c r="J437" i="11"/>
  <c r="J438" i="11"/>
  <c r="J439" i="11"/>
  <c r="J440" i="11"/>
  <c r="J441" i="11"/>
  <c r="J442" i="11"/>
  <c r="J443" i="11"/>
  <c r="J444" i="11"/>
  <c r="J445" i="11"/>
  <c r="J446" i="11"/>
  <c r="J447" i="11"/>
  <c r="J448" i="11"/>
  <c r="J449" i="11"/>
  <c r="J450" i="11"/>
  <c r="J451" i="11"/>
  <c r="J452" i="11"/>
  <c r="J453" i="11"/>
  <c r="J454" i="11"/>
  <c r="J455" i="11"/>
  <c r="J456" i="11"/>
  <c r="J457" i="11"/>
  <c r="J458" i="11"/>
  <c r="J459" i="11"/>
  <c r="J460" i="11"/>
  <c r="J461" i="11"/>
  <c r="J462" i="11"/>
  <c r="J463" i="11"/>
  <c r="J464" i="11"/>
  <c r="J465"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6" i="11"/>
  <c r="J497" i="11"/>
  <c r="J498" i="11"/>
  <c r="J499" i="11"/>
  <c r="J500" i="11"/>
  <c r="J501" i="11"/>
  <c r="J502" i="11"/>
  <c r="J503" i="11"/>
  <c r="J504" i="11"/>
  <c r="J505" i="11"/>
  <c r="J506" i="11"/>
  <c r="J507" i="11"/>
  <c r="J508" i="11"/>
  <c r="J509" i="11"/>
  <c r="J510" i="11"/>
  <c r="J511" i="11"/>
  <c r="J512" i="11"/>
  <c r="J513" i="11"/>
  <c r="J514" i="11"/>
  <c r="J524" i="11"/>
  <c r="J525" i="11"/>
  <c r="J526" i="11"/>
  <c r="J527" i="11"/>
  <c r="J528" i="11"/>
  <c r="J529" i="11"/>
  <c r="J530" i="11"/>
  <c r="J531" i="11"/>
  <c r="J532" i="11"/>
  <c r="J533" i="11"/>
  <c r="J534" i="11"/>
  <c r="J535" i="11"/>
  <c r="J536" i="11"/>
  <c r="J537" i="11"/>
  <c r="J538" i="11"/>
  <c r="J539" i="11"/>
  <c r="J540" i="11"/>
  <c r="H3" i="11"/>
  <c r="H4" i="11"/>
  <c r="H5" i="11"/>
  <c r="H6" i="11"/>
  <c r="H7" i="11"/>
  <c r="H8"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3" i="11"/>
  <c r="H64" i="11"/>
  <c r="H65" i="11"/>
  <c r="H66" i="11"/>
  <c r="H67" i="11"/>
  <c r="H68" i="11"/>
  <c r="H69" i="11"/>
  <c r="H70" i="11"/>
  <c r="H71" i="11"/>
  <c r="H72" i="11"/>
  <c r="H73" i="11"/>
  <c r="H74" i="11"/>
  <c r="H75" i="11"/>
  <c r="H76" i="11"/>
  <c r="H77" i="11"/>
  <c r="H78" i="11"/>
  <c r="H79" i="11"/>
  <c r="H80" i="11"/>
  <c r="H81" i="11"/>
  <c r="H82" i="11"/>
  <c r="H83" i="11"/>
  <c r="H84" i="11"/>
  <c r="H85" i="11"/>
  <c r="H86" i="11"/>
  <c r="H87" i="11"/>
  <c r="H88" i="11"/>
  <c r="H89" i="11"/>
  <c r="H90" i="11"/>
  <c r="H91" i="11"/>
  <c r="H92" i="11"/>
  <c r="H93" i="11"/>
  <c r="H94" i="11"/>
  <c r="H95" i="11"/>
  <c r="H96" i="11"/>
  <c r="H97" i="11"/>
  <c r="H98" i="11"/>
  <c r="H99" i="11"/>
  <c r="H100" i="11"/>
  <c r="H101" i="11"/>
  <c r="H102" i="11"/>
  <c r="H103" i="11"/>
  <c r="H104" i="11"/>
  <c r="H105" i="11"/>
  <c r="H106" i="11"/>
  <c r="H107" i="11"/>
  <c r="H108" i="11"/>
  <c r="H109" i="11"/>
  <c r="H110" i="11"/>
  <c r="H111" i="11"/>
  <c r="H112" i="11"/>
  <c r="H113" i="11"/>
  <c r="H114" i="11"/>
  <c r="H115" i="11"/>
  <c r="H116" i="11"/>
  <c r="H117" i="11"/>
  <c r="H118" i="11"/>
  <c r="H119" i="11"/>
  <c r="H120" i="11"/>
  <c r="H121" i="11"/>
  <c r="H123" i="11"/>
  <c r="H124" i="11"/>
  <c r="H125" i="11"/>
  <c r="H126" i="11"/>
  <c r="H127" i="11"/>
  <c r="H128" i="11"/>
  <c r="H129" i="11"/>
  <c r="H130" i="11"/>
  <c r="H131" i="11"/>
  <c r="H132" i="11"/>
  <c r="H133" i="11"/>
  <c r="H134" i="11"/>
  <c r="H135" i="11"/>
  <c r="H136" i="11"/>
  <c r="H137" i="11"/>
  <c r="H138" i="11"/>
  <c r="H139" i="11"/>
  <c r="H140" i="11"/>
  <c r="H141" i="11"/>
  <c r="H142" i="11"/>
  <c r="H143" i="11"/>
  <c r="H144" i="11"/>
  <c r="H145" i="11"/>
  <c r="H146" i="11"/>
  <c r="H147" i="11"/>
  <c r="H148" i="11"/>
  <c r="H149" i="11"/>
  <c r="H150" i="11"/>
  <c r="H151" i="11"/>
  <c r="H152" i="11"/>
  <c r="H153" i="11"/>
  <c r="H154" i="11"/>
  <c r="H155" i="11"/>
  <c r="H156" i="11"/>
  <c r="H157" i="11"/>
  <c r="H158" i="11"/>
  <c r="H159" i="11"/>
  <c r="H160" i="11"/>
  <c r="H161" i="11"/>
  <c r="H162" i="11"/>
  <c r="H163" i="11"/>
  <c r="H164" i="11"/>
  <c r="H165" i="11"/>
  <c r="H166" i="11"/>
  <c r="H167" i="11"/>
  <c r="H168" i="11"/>
  <c r="H169" i="11"/>
  <c r="H170" i="11"/>
  <c r="H171" i="11"/>
  <c r="H172" i="11"/>
  <c r="H173" i="11"/>
  <c r="H174" i="11"/>
  <c r="H175" i="11"/>
  <c r="H176" i="11"/>
  <c r="H177" i="11"/>
  <c r="H178" i="11"/>
  <c r="H179" i="11"/>
  <c r="H180" i="11"/>
  <c r="H182" i="11"/>
  <c r="H183" i="11"/>
  <c r="H184" i="11"/>
  <c r="H185" i="11"/>
  <c r="H186" i="11"/>
  <c r="H187" i="11"/>
  <c r="H188" i="11"/>
  <c r="H189" i="11"/>
  <c r="H190" i="11"/>
  <c r="H191" i="11"/>
  <c r="H192" i="11"/>
  <c r="H193" i="11"/>
  <c r="H194" i="11"/>
  <c r="H195" i="11"/>
  <c r="H196" i="11"/>
  <c r="H197" i="11"/>
  <c r="H198" i="11"/>
  <c r="H199" i="11"/>
  <c r="H200" i="11"/>
  <c r="H201" i="11"/>
  <c r="H202" i="11"/>
  <c r="H203" i="11"/>
  <c r="H204" i="11"/>
  <c r="H205" i="11"/>
  <c r="H206" i="11"/>
  <c r="H207" i="11"/>
  <c r="H208" i="11"/>
  <c r="H209" i="11"/>
  <c r="H210" i="11"/>
  <c r="H211" i="11"/>
  <c r="H212" i="11"/>
  <c r="H213" i="11"/>
  <c r="H214" i="11"/>
  <c r="H215" i="11"/>
  <c r="H216" i="11"/>
  <c r="H217" i="11"/>
  <c r="H218" i="11"/>
  <c r="H219" i="11"/>
  <c r="H220" i="11"/>
  <c r="H221" i="11"/>
  <c r="H222" i="11"/>
  <c r="H223" i="11"/>
  <c r="H224" i="11"/>
  <c r="H225" i="11"/>
  <c r="H226" i="11"/>
  <c r="H227" i="11"/>
  <c r="H228" i="11"/>
  <c r="H229" i="11"/>
  <c r="H230" i="11"/>
  <c r="H231" i="11"/>
  <c r="H232" i="11"/>
  <c r="H233" i="11"/>
  <c r="H234" i="11"/>
  <c r="H235" i="11"/>
  <c r="H236" i="11"/>
  <c r="H237" i="11"/>
  <c r="H238" i="11"/>
  <c r="H239" i="11"/>
  <c r="H241" i="11"/>
  <c r="H242" i="11"/>
  <c r="H243" i="11"/>
  <c r="H244" i="11"/>
  <c r="H245" i="11"/>
  <c r="H246" i="11"/>
  <c r="H247" i="11"/>
  <c r="H248" i="11"/>
  <c r="H249" i="11"/>
  <c r="H250" i="11"/>
  <c r="H251" i="11"/>
  <c r="H252" i="11"/>
  <c r="H253" i="11"/>
  <c r="H254" i="11"/>
  <c r="H255" i="11"/>
  <c r="H256" i="11"/>
  <c r="H257" i="11"/>
  <c r="H258" i="11"/>
  <c r="H259" i="11"/>
  <c r="H260" i="11"/>
  <c r="H261" i="11"/>
  <c r="H262" i="11"/>
  <c r="H263" i="11"/>
  <c r="H264" i="11"/>
  <c r="H265" i="11"/>
  <c r="H266" i="11"/>
  <c r="H267" i="11"/>
  <c r="H268" i="11"/>
  <c r="H269" i="11"/>
  <c r="H270" i="11"/>
  <c r="H271" i="11"/>
  <c r="H272" i="11"/>
  <c r="H273" i="11"/>
  <c r="H274" i="11"/>
  <c r="H275" i="11"/>
  <c r="H276" i="11"/>
  <c r="H277" i="11"/>
  <c r="H278" i="11"/>
  <c r="H279" i="11"/>
  <c r="H280" i="11"/>
  <c r="H281" i="11"/>
  <c r="H282" i="11"/>
  <c r="H283" i="11"/>
  <c r="H284" i="11"/>
  <c r="G3" i="11"/>
  <c r="G4" i="11"/>
  <c r="G5" i="11"/>
  <c r="G6" i="11"/>
  <c r="G7" i="11"/>
  <c r="G8"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3" i="11"/>
  <c r="G124" i="11"/>
  <c r="G125" i="11"/>
  <c r="G126" i="11"/>
  <c r="G127" i="11"/>
  <c r="G128" i="11"/>
  <c r="G129" i="11"/>
  <c r="G130"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270" i="11"/>
  <c r="G271" i="11"/>
  <c r="G272" i="11"/>
  <c r="G273"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7" i="11"/>
  <c r="G348" i="11"/>
  <c r="G349" i="11"/>
  <c r="G350" i="11"/>
  <c r="G351" i="11"/>
  <c r="G352" i="11"/>
  <c r="G353" i="11"/>
  <c r="G354" i="11"/>
  <c r="G355" i="11"/>
  <c r="G356" i="11"/>
  <c r="G358" i="11"/>
  <c r="G359" i="11"/>
  <c r="G360" i="11"/>
  <c r="G361" i="11"/>
  <c r="G362" i="11"/>
  <c r="G363" i="11"/>
  <c r="G364" i="11"/>
  <c r="G365" i="11"/>
  <c r="G366" i="11"/>
  <c r="G367" i="11"/>
  <c r="G368" i="11"/>
  <c r="G369" i="11"/>
  <c r="G370" i="11"/>
  <c r="G371" i="11"/>
  <c r="G372" i="11"/>
  <c r="G373" i="11"/>
  <c r="G374" i="11"/>
  <c r="G375" i="11"/>
  <c r="G376" i="11"/>
  <c r="G377" i="11"/>
  <c r="G378" i="11"/>
  <c r="G379" i="11"/>
  <c r="G380" i="11"/>
  <c r="G381" i="11"/>
  <c r="G382" i="11"/>
  <c r="G383" i="11"/>
  <c r="G384" i="11"/>
  <c r="G385" i="11"/>
  <c r="G386" i="11"/>
  <c r="G387" i="11"/>
  <c r="G388" i="11"/>
  <c r="G389" i="11"/>
  <c r="G390" i="11"/>
  <c r="G391" i="11"/>
  <c r="G392" i="11"/>
  <c r="G393" i="11"/>
  <c r="G394" i="11"/>
  <c r="G395" i="11"/>
  <c r="G396" i="11"/>
  <c r="G397" i="11"/>
  <c r="G398" i="11"/>
  <c r="G399" i="11"/>
  <c r="G400" i="11"/>
  <c r="G401" i="11"/>
  <c r="G402" i="11"/>
  <c r="G403" i="11"/>
  <c r="G404" i="11"/>
  <c r="G405" i="11"/>
  <c r="G406" i="11"/>
  <c r="G407" i="11"/>
  <c r="G408" i="11"/>
  <c r="G409" i="11"/>
  <c r="G410" i="11"/>
  <c r="G411" i="11"/>
  <c r="G412" i="11"/>
  <c r="G413" i="11"/>
  <c r="G414" i="11"/>
  <c r="G415" i="11"/>
  <c r="G416" i="11"/>
  <c r="G417" i="11"/>
  <c r="G418" i="11"/>
  <c r="G419" i="11"/>
  <c r="G420" i="11"/>
  <c r="G421" i="11"/>
  <c r="G422" i="11"/>
  <c r="G423" i="11"/>
  <c r="G424" i="11"/>
  <c r="G425" i="11"/>
  <c r="G426" i="11"/>
  <c r="G427" i="11"/>
  <c r="G428" i="11"/>
  <c r="G429" i="11"/>
  <c r="G430" i="11"/>
  <c r="G431" i="11"/>
  <c r="G432" i="11"/>
  <c r="G433" i="11"/>
  <c r="G434" i="11"/>
  <c r="G435" i="11"/>
  <c r="G436" i="11"/>
  <c r="G437" i="11"/>
  <c r="G438" i="11"/>
  <c r="G439" i="11"/>
  <c r="G440" i="11"/>
  <c r="G441" i="11"/>
  <c r="G442" i="11"/>
  <c r="G443" i="11"/>
  <c r="G444" i="11"/>
  <c r="G445" i="11"/>
  <c r="G446" i="11"/>
  <c r="G447" i="11"/>
  <c r="G448" i="11"/>
  <c r="G449" i="11"/>
  <c r="G450" i="11"/>
  <c r="G451" i="11"/>
  <c r="G452" i="11"/>
  <c r="G453" i="11"/>
  <c r="G454" i="11"/>
  <c r="G455" i="11"/>
  <c r="G456" i="11"/>
  <c r="G457" i="11"/>
  <c r="G458" i="11"/>
  <c r="G459" i="11"/>
  <c r="G460" i="11"/>
  <c r="G461" i="11"/>
  <c r="G462" i="11"/>
  <c r="G463" i="11"/>
  <c r="G464" i="11"/>
  <c r="G465" i="11"/>
  <c r="G467" i="11"/>
  <c r="G468" i="11"/>
  <c r="G469" i="11"/>
  <c r="G470" i="11"/>
  <c r="G471" i="11"/>
  <c r="G472" i="11"/>
  <c r="G473" i="11"/>
  <c r="G474" i="11"/>
  <c r="G475" i="11"/>
  <c r="G476" i="11"/>
  <c r="G477" i="11"/>
  <c r="G478" i="11"/>
  <c r="G479" i="11"/>
  <c r="G480" i="11"/>
  <c r="G481" i="11"/>
  <c r="G482" i="11"/>
  <c r="G483" i="11"/>
  <c r="G484" i="11"/>
  <c r="G485" i="11"/>
  <c r="G486" i="11"/>
  <c r="G487" i="11"/>
  <c r="G488" i="11"/>
  <c r="G489" i="11"/>
  <c r="G490" i="11"/>
  <c r="G491" i="11"/>
  <c r="G492" i="11"/>
  <c r="G493" i="11"/>
  <c r="G494" i="11"/>
  <c r="G495" i="11"/>
  <c r="G496" i="11"/>
  <c r="G497" i="11"/>
  <c r="G498" i="11"/>
  <c r="G499" i="11"/>
  <c r="G500" i="11"/>
  <c r="G501" i="11"/>
  <c r="G502" i="11"/>
  <c r="G503" i="11"/>
  <c r="G504" i="11"/>
  <c r="G505" i="11"/>
  <c r="G506" i="11"/>
  <c r="G507" i="11"/>
  <c r="G508" i="11"/>
  <c r="G509" i="11"/>
  <c r="G510" i="11"/>
  <c r="G511" i="11"/>
  <c r="G512" i="11"/>
  <c r="G513" i="11"/>
  <c r="G514" i="11"/>
  <c r="F3" i="11"/>
  <c r="F4" i="11"/>
  <c r="F5" i="11"/>
  <c r="F6" i="11"/>
  <c r="F7" i="11"/>
  <c r="F8"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8" i="11"/>
  <c r="F359" i="11"/>
  <c r="F360" i="11"/>
  <c r="F361" i="11"/>
  <c r="F362" i="11"/>
  <c r="F363" i="11"/>
  <c r="F364" i="11"/>
  <c r="F365" i="11"/>
  <c r="F366" i="11"/>
  <c r="F367" i="11"/>
  <c r="F368"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0"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4" i="11"/>
  <c r="F455" i="11"/>
  <c r="F456" i="11"/>
  <c r="F457" i="11"/>
  <c r="F458" i="11"/>
  <c r="F459" i="11"/>
  <c r="F460" i="11"/>
  <c r="F461" i="11"/>
  <c r="F462" i="11"/>
  <c r="F463" i="11"/>
  <c r="F464" i="11"/>
  <c r="F465" i="11"/>
  <c r="F467" i="11"/>
  <c r="F468" i="11"/>
  <c r="F469" i="11"/>
  <c r="F470" i="11"/>
  <c r="F471" i="11"/>
  <c r="F472" i="11"/>
  <c r="F473" i="11"/>
  <c r="F474" i="11"/>
  <c r="F475" i="11"/>
  <c r="F476" i="11"/>
  <c r="F477" i="11"/>
  <c r="F478" i="11"/>
  <c r="F479" i="11"/>
  <c r="F480" i="11"/>
  <c r="F481" i="11"/>
  <c r="F482" i="11"/>
  <c r="F483" i="11"/>
  <c r="F484" i="11"/>
  <c r="F485" i="11"/>
  <c r="F486" i="11"/>
  <c r="F487" i="11"/>
  <c r="F488" i="11"/>
  <c r="F489" i="11"/>
  <c r="F490" i="11"/>
  <c r="F491" i="11"/>
  <c r="F492" i="11"/>
  <c r="F493" i="11"/>
  <c r="F494" i="11"/>
  <c r="F495" i="11"/>
  <c r="F496" i="11"/>
  <c r="F497" i="11"/>
  <c r="F498" i="11"/>
  <c r="F499" i="11"/>
  <c r="F500" i="11"/>
  <c r="F501" i="11"/>
  <c r="F502" i="11"/>
  <c r="F503" i="11"/>
  <c r="F504" i="11"/>
  <c r="F505" i="11"/>
  <c r="F506" i="11"/>
  <c r="F507" i="11"/>
  <c r="F508" i="11"/>
  <c r="F509" i="11"/>
  <c r="F510" i="11"/>
  <c r="F511" i="11"/>
  <c r="F512" i="11"/>
  <c r="F513" i="11"/>
  <c r="F514" i="11"/>
  <c r="E3" i="11"/>
  <c r="E4" i="11"/>
  <c r="E5" i="11"/>
  <c r="E6" i="11"/>
  <c r="E7" i="11"/>
  <c r="E8"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H524" i="11" l="1"/>
  <c r="H533" i="11"/>
  <c r="H525" i="11"/>
  <c r="H534" i="11"/>
  <c r="H526" i="11"/>
  <c r="H535" i="11"/>
  <c r="H527" i="11"/>
  <c r="H536" i="11"/>
  <c r="H528" i="11"/>
  <c r="H537" i="11"/>
  <c r="G524" i="11"/>
  <c r="G533" i="11"/>
  <c r="G525" i="11"/>
  <c r="G534" i="11"/>
  <c r="G526" i="11"/>
  <c r="G535" i="11"/>
  <c r="G527" i="11"/>
  <c r="G536" i="11"/>
  <c r="G528" i="11"/>
  <c r="G537" i="11"/>
  <c r="G529" i="11"/>
  <c r="G538" i="11"/>
  <c r="G530" i="11"/>
  <c r="G539" i="11"/>
  <c r="G531" i="11"/>
  <c r="G540" i="11"/>
  <c r="G532" i="11"/>
  <c r="F524" i="11"/>
  <c r="F533" i="11"/>
  <c r="F525" i="11"/>
  <c r="F534" i="11"/>
  <c r="F526" i="11"/>
  <c r="F535" i="11"/>
  <c r="F527" i="11"/>
  <c r="F536" i="11"/>
  <c r="F528" i="11"/>
  <c r="F537" i="11"/>
  <c r="F529" i="11"/>
  <c r="F538" i="11"/>
  <c r="F530" i="11"/>
  <c r="F539" i="11"/>
  <c r="F531" i="11"/>
  <c r="F540" i="11"/>
  <c r="F532" i="11"/>
  <c r="E524" i="11"/>
  <c r="E533" i="11"/>
  <c r="E525" i="11"/>
  <c r="E534" i="11"/>
  <c r="E526" i="11"/>
  <c r="E535" i="11"/>
  <c r="E527" i="11"/>
  <c r="E536" i="11"/>
  <c r="E528" i="11"/>
  <c r="E537" i="11"/>
  <c r="E529" i="11"/>
  <c r="E538" i="11"/>
  <c r="E530" i="11"/>
  <c r="E539" i="11"/>
  <c r="E531" i="11"/>
  <c r="E540" i="11"/>
  <c r="E532" i="11"/>
  <c r="J2" i="11" l="1"/>
  <c r="H2" i="11"/>
  <c r="G2" i="11"/>
  <c r="F2" i="11"/>
  <c r="E2" i="11"/>
  <c r="A507" i="11"/>
  <c r="A508" i="11"/>
  <c r="A509" i="11"/>
  <c r="A510" i="11"/>
  <c r="A511" i="11"/>
  <c r="A512" i="11"/>
  <c r="A532" i="11"/>
  <c r="A513" i="11"/>
  <c r="A514" i="11"/>
  <c r="A515" i="11"/>
  <c r="A516" i="11"/>
  <c r="A517" i="11"/>
  <c r="A519" i="11"/>
  <c r="A520" i="11"/>
  <c r="A521" i="11"/>
  <c r="A541" i="11"/>
  <c r="A522" i="11"/>
  <c r="A523" i="11"/>
  <c r="A542" i="11"/>
  <c r="A543" i="11"/>
  <c r="A544" i="11"/>
  <c r="A545" i="11"/>
  <c r="A546" i="11"/>
  <c r="A547" i="11"/>
  <c r="A548" i="11"/>
  <c r="A549" i="11"/>
  <c r="A550" i="11"/>
  <c r="A551" i="11"/>
  <c r="A552" i="11"/>
  <c r="A553" i="11"/>
  <c r="A554" i="11"/>
  <c r="A555" i="11"/>
  <c r="A556" i="11"/>
  <c r="A557" i="11"/>
  <c r="A558" i="11"/>
  <c r="A559" i="11"/>
  <c r="A560" i="11"/>
  <c r="A561" i="11"/>
  <c r="A562" i="11"/>
  <c r="A563" i="11"/>
  <c r="A564" i="11"/>
  <c r="A565" i="11"/>
  <c r="A566" i="11"/>
  <c r="A567" i="11"/>
  <c r="A568" i="11"/>
  <c r="A569" i="11"/>
  <c r="A570" i="11"/>
  <c r="A571" i="11"/>
  <c r="A572" i="11"/>
  <c r="A573" i="11"/>
  <c r="A574" i="11"/>
  <c r="A575" i="11"/>
  <c r="A503" i="11"/>
  <c r="A504" i="11"/>
  <c r="A505" i="11"/>
  <c r="A506" i="11"/>
  <c r="A333" i="11" l="1"/>
  <c r="A334" i="11"/>
  <c r="A471" i="11"/>
  <c r="A472" i="11"/>
  <c r="A473" i="11"/>
  <c r="A474" i="11"/>
  <c r="A475" i="11"/>
  <c r="A476" i="11"/>
  <c r="A477" i="11"/>
  <c r="A478" i="11"/>
  <c r="A479" i="11"/>
  <c r="A480" i="11"/>
  <c r="A481" i="11"/>
  <c r="A482" i="11"/>
  <c r="A483" i="11"/>
  <c r="A484" i="11"/>
  <c r="A485" i="11"/>
  <c r="A486" i="11"/>
  <c r="A487" i="11"/>
  <c r="A488" i="11"/>
  <c r="A489" i="11"/>
  <c r="A490" i="11"/>
  <c r="A491" i="11"/>
  <c r="A492" i="11"/>
  <c r="A493" i="11"/>
  <c r="A494" i="11"/>
  <c r="A495" i="11"/>
  <c r="A496" i="11"/>
  <c r="A497" i="11"/>
  <c r="A498" i="11"/>
  <c r="A499" i="11"/>
  <c r="A500" i="11"/>
  <c r="A501" i="11"/>
  <c r="A502" i="11"/>
  <c r="A454" i="11"/>
  <c r="A455" i="11"/>
  <c r="A456" i="11"/>
  <c r="A457" i="11"/>
  <c r="A458" i="11"/>
  <c r="A459" i="11"/>
  <c r="A460" i="11"/>
  <c r="A461" i="11"/>
  <c r="A462" i="11"/>
  <c r="A531" i="11"/>
  <c r="A463" i="11"/>
  <c r="A464" i="11"/>
  <c r="A465" i="11"/>
  <c r="A467" i="11"/>
  <c r="A468" i="11"/>
  <c r="A469" i="11"/>
  <c r="A470" i="11"/>
  <c r="A540" i="11"/>
  <c r="A445" i="11"/>
  <c r="A446" i="11"/>
  <c r="A447" i="11"/>
  <c r="A448" i="11"/>
  <c r="A449" i="11"/>
  <c r="A450" i="11"/>
  <c r="A451" i="11"/>
  <c r="A452" i="11"/>
  <c r="A453" i="11"/>
  <c r="A410" i="11"/>
  <c r="A411" i="11"/>
  <c r="A412" i="11"/>
  <c r="A413" i="11"/>
  <c r="A444" i="11"/>
  <c r="A440" i="11"/>
  <c r="A414" i="11"/>
  <c r="A415" i="11"/>
  <c r="A416" i="11"/>
  <c r="A417" i="11"/>
  <c r="A418" i="11"/>
  <c r="A419" i="11"/>
  <c r="A420" i="11"/>
  <c r="A443" i="11"/>
  <c r="A421" i="11"/>
  <c r="A422" i="11"/>
  <c r="A423" i="11"/>
  <c r="A424" i="11"/>
  <c r="A425" i="11"/>
  <c r="A426" i="11"/>
  <c r="A427" i="11"/>
  <c r="A428" i="11"/>
  <c r="A429" i="11"/>
  <c r="A430" i="11"/>
  <c r="A431" i="11"/>
  <c r="A432" i="11"/>
  <c r="A433" i="11"/>
  <c r="A434" i="11"/>
  <c r="A435" i="11"/>
  <c r="A436" i="11"/>
  <c r="A437" i="11"/>
  <c r="A438" i="11"/>
  <c r="A439" i="11"/>
  <c r="A3" i="11"/>
  <c r="A4" i="11"/>
  <c r="A5" i="11"/>
  <c r="A6" i="11"/>
  <c r="A7" i="11"/>
  <c r="A8" i="11"/>
  <c r="A10" i="11"/>
  <c r="A11" i="11"/>
  <c r="A12" i="11"/>
  <c r="A13" i="11"/>
  <c r="A14" i="11"/>
  <c r="A15" i="11"/>
  <c r="A16" i="11"/>
  <c r="A17" i="11"/>
  <c r="A18" i="11"/>
  <c r="A19" i="11"/>
  <c r="A20" i="11"/>
  <c r="A21" i="11"/>
  <c r="A22" i="11"/>
  <c r="A23" i="11"/>
  <c r="A24" i="11"/>
  <c r="A25" i="11"/>
  <c r="A26" i="11"/>
  <c r="A27" i="11"/>
  <c r="A28" i="11"/>
  <c r="A29" i="11"/>
  <c r="A30" i="11"/>
  <c r="A31" i="11"/>
  <c r="A524" i="11"/>
  <c r="A533" i="11"/>
  <c r="A32" i="11"/>
  <c r="A33" i="11"/>
  <c r="A34" i="11"/>
  <c r="A35" i="11"/>
  <c r="A36" i="11"/>
  <c r="A37" i="11"/>
  <c r="A38" i="11"/>
  <c r="A39" i="11"/>
  <c r="A40" i="11"/>
  <c r="A41" i="11"/>
  <c r="A42" i="11"/>
  <c r="A43" i="11"/>
  <c r="A44" i="11"/>
  <c r="A45" i="11"/>
  <c r="A46" i="11"/>
  <c r="A47" i="11"/>
  <c r="A48" i="11"/>
  <c r="A49" i="11"/>
  <c r="A50" i="11"/>
  <c r="A51" i="11"/>
  <c r="A52" i="11"/>
  <c r="A53" i="11"/>
  <c r="A54" i="11"/>
  <c r="A55" i="11"/>
  <c r="A56" i="11"/>
  <c r="A57" i="11"/>
  <c r="A58" i="11"/>
  <c r="A59" i="11"/>
  <c r="A60" i="11"/>
  <c r="A61" i="11"/>
  <c r="A63" i="11"/>
  <c r="A64" i="11"/>
  <c r="A65" i="11"/>
  <c r="A66" i="11"/>
  <c r="A67" i="11"/>
  <c r="A68" i="11"/>
  <c r="A69" i="11"/>
  <c r="A70" i="11"/>
  <c r="A71" i="11"/>
  <c r="A72" i="11"/>
  <c r="A525" i="11"/>
  <c r="A73" i="11"/>
  <c r="A534" i="11"/>
  <c r="A74" i="11"/>
  <c r="A75" i="11"/>
  <c r="A76" i="11"/>
  <c r="A77" i="11"/>
  <c r="A78" i="11"/>
  <c r="A79" i="11"/>
  <c r="A80" i="11"/>
  <c r="A81" i="11"/>
  <c r="A82" i="11"/>
  <c r="A83" i="11"/>
  <c r="A84" i="11"/>
  <c r="A85" i="11"/>
  <c r="A86" i="11"/>
  <c r="A87" i="11"/>
  <c r="A88" i="11"/>
  <c r="A89" i="11"/>
  <c r="A90" i="11"/>
  <c r="A91" i="11"/>
  <c r="A92" i="11"/>
  <c r="A93" i="11"/>
  <c r="A94" i="11"/>
  <c r="A95" i="11"/>
  <c r="A96" i="11"/>
  <c r="A97" i="11"/>
  <c r="A98" i="11"/>
  <c r="A99" i="11"/>
  <c r="A100" i="11"/>
  <c r="A101" i="11"/>
  <c r="A102" i="11"/>
  <c r="A103" i="11"/>
  <c r="A104" i="11"/>
  <c r="A105" i="11"/>
  <c r="A106" i="11"/>
  <c r="A107" i="11"/>
  <c r="A108" i="11"/>
  <c r="A109" i="11"/>
  <c r="A110" i="11"/>
  <c r="A111" i="11"/>
  <c r="A112" i="11"/>
  <c r="A113" i="11"/>
  <c r="A114" i="11"/>
  <c r="A115" i="11"/>
  <c r="A116" i="11"/>
  <c r="A117" i="11"/>
  <c r="A118" i="11"/>
  <c r="A119" i="11"/>
  <c r="A120" i="11"/>
  <c r="A121" i="11"/>
  <c r="A123" i="11"/>
  <c r="A124" i="11"/>
  <c r="A125" i="11"/>
  <c r="A126" i="11"/>
  <c r="A526" i="11"/>
  <c r="A127" i="11"/>
  <c r="A128" i="11"/>
  <c r="A535" i="11"/>
  <c r="A129" i="11"/>
  <c r="A130" i="11"/>
  <c r="A131" i="11"/>
  <c r="A132" i="11"/>
  <c r="A133" i="11"/>
  <c r="A134" i="11"/>
  <c r="A135" i="11"/>
  <c r="A136" i="11"/>
  <c r="A137" i="11"/>
  <c r="A138" i="11"/>
  <c r="A139" i="11"/>
  <c r="A140" i="11"/>
  <c r="A141" i="11"/>
  <c r="A142" i="11"/>
  <c r="A143" i="11"/>
  <c r="A144" i="11"/>
  <c r="A145" i="11"/>
  <c r="A146" i="11"/>
  <c r="A147" i="11"/>
  <c r="A148" i="11"/>
  <c r="A149" i="11"/>
  <c r="A150" i="11"/>
  <c r="A151" i="11"/>
  <c r="A152" i="11"/>
  <c r="A153" i="11"/>
  <c r="A154" i="11"/>
  <c r="A155" i="11"/>
  <c r="A156" i="11"/>
  <c r="A157" i="11"/>
  <c r="A158" i="11"/>
  <c r="A159" i="11"/>
  <c r="A160" i="11"/>
  <c r="A161" i="11"/>
  <c r="A162" i="11"/>
  <c r="A163" i="11"/>
  <c r="A164" i="11"/>
  <c r="A165" i="11"/>
  <c r="A166" i="11"/>
  <c r="A167" i="11"/>
  <c r="A168" i="11"/>
  <c r="A169" i="11"/>
  <c r="A170" i="11"/>
  <c r="A171" i="11"/>
  <c r="A172" i="11"/>
  <c r="A173" i="11"/>
  <c r="A174" i="11"/>
  <c r="A175" i="11"/>
  <c r="A176" i="11"/>
  <c r="A177" i="11"/>
  <c r="A178" i="11"/>
  <c r="A179" i="11"/>
  <c r="A180" i="11"/>
  <c r="A527" i="11"/>
  <c r="A182" i="11"/>
  <c r="A183" i="11"/>
  <c r="A184" i="11"/>
  <c r="A536" i="11"/>
  <c r="A185" i="11"/>
  <c r="A186" i="11"/>
  <c r="A187" i="11"/>
  <c r="A188" i="11"/>
  <c r="A189" i="11"/>
  <c r="A190" i="11"/>
  <c r="A191" i="11"/>
  <c r="A192" i="11"/>
  <c r="A193" i="11"/>
  <c r="A194" i="11"/>
  <c r="A195" i="11"/>
  <c r="A196" i="11"/>
  <c r="A197" i="11"/>
  <c r="A198" i="11"/>
  <c r="A199" i="11"/>
  <c r="A200" i="11"/>
  <c r="A201" i="11"/>
  <c r="A202" i="11"/>
  <c r="A203" i="11"/>
  <c r="A204" i="11"/>
  <c r="A205" i="11"/>
  <c r="A206" i="11"/>
  <c r="A207" i="11"/>
  <c r="A208" i="11"/>
  <c r="A209" i="11"/>
  <c r="A210" i="11"/>
  <c r="A211" i="11"/>
  <c r="A212" i="11"/>
  <c r="A213" i="11"/>
  <c r="A214" i="11"/>
  <c r="A215" i="11"/>
  <c r="A216" i="11"/>
  <c r="A217" i="11"/>
  <c r="A218" i="11"/>
  <c r="A219" i="11"/>
  <c r="A220" i="11"/>
  <c r="A221" i="11"/>
  <c r="A222" i="11"/>
  <c r="A223" i="11"/>
  <c r="A224" i="11"/>
  <c r="A225" i="11"/>
  <c r="A226" i="11"/>
  <c r="A227" i="11"/>
  <c r="A228" i="11"/>
  <c r="A229" i="11"/>
  <c r="A230" i="11"/>
  <c r="A231" i="11"/>
  <c r="A232" i="11"/>
  <c r="A233" i="11"/>
  <c r="A234" i="11"/>
  <c r="A235" i="11"/>
  <c r="A236" i="11"/>
  <c r="A528" i="11"/>
  <c r="A237" i="11"/>
  <c r="A238" i="11"/>
  <c r="A239" i="11"/>
  <c r="A241" i="11"/>
  <c r="A537" i="11"/>
  <c r="A242" i="11"/>
  <c r="A243" i="11"/>
  <c r="A244" i="11"/>
  <c r="A245" i="11"/>
  <c r="A246" i="11"/>
  <c r="A247" i="11"/>
  <c r="A248" i="11"/>
  <c r="A249" i="11"/>
  <c r="A250" i="11"/>
  <c r="A251" i="11"/>
  <c r="A252" i="11"/>
  <c r="A253" i="11"/>
  <c r="A254" i="11"/>
  <c r="A255" i="11"/>
  <c r="A256" i="11"/>
  <c r="A257" i="11"/>
  <c r="A258" i="11"/>
  <c r="A259" i="11"/>
  <c r="A260" i="11"/>
  <c r="A261" i="11"/>
  <c r="A262" i="11"/>
  <c r="A263" i="11"/>
  <c r="A264" i="11"/>
  <c r="A265" i="11"/>
  <c r="A266" i="11"/>
  <c r="A267" i="11"/>
  <c r="A268" i="11"/>
  <c r="A269" i="11"/>
  <c r="A270" i="11"/>
  <c r="A271" i="11"/>
  <c r="A272" i="11"/>
  <c r="A273" i="11"/>
  <c r="A274" i="11"/>
  <c r="A275" i="11"/>
  <c r="A276" i="11"/>
  <c r="A277" i="11"/>
  <c r="A278" i="11"/>
  <c r="A279" i="11"/>
  <c r="A280" i="11"/>
  <c r="A281" i="11"/>
  <c r="A282" i="11"/>
  <c r="A283" i="11"/>
  <c r="A284" i="11"/>
  <c r="A285" i="11"/>
  <c r="A286" i="11"/>
  <c r="A287" i="11"/>
  <c r="A288" i="11"/>
  <c r="A289" i="11"/>
  <c r="A290" i="11"/>
  <c r="A291" i="11"/>
  <c r="A292" i="11"/>
  <c r="A293" i="11"/>
  <c r="A294" i="11"/>
  <c r="A295" i="11"/>
  <c r="A529" i="11"/>
  <c r="A296" i="11"/>
  <c r="A297" i="11"/>
  <c r="A299" i="11"/>
  <c r="A300" i="11"/>
  <c r="A301" i="11"/>
  <c r="A538" i="11"/>
  <c r="A302" i="11"/>
  <c r="A303" i="11"/>
  <c r="A304" i="11"/>
  <c r="A305" i="11"/>
  <c r="A306" i="11"/>
  <c r="A307" i="11"/>
  <c r="A308" i="11"/>
  <c r="A309" i="11"/>
  <c r="A310" i="11"/>
  <c r="A311" i="11"/>
  <c r="A312" i="11"/>
  <c r="A313" i="11"/>
  <c r="A314" i="11"/>
  <c r="A315" i="11"/>
  <c r="A316" i="11"/>
  <c r="A317" i="11"/>
  <c r="A318" i="11"/>
  <c r="A319" i="11"/>
  <c r="A320" i="11"/>
  <c r="A321" i="11"/>
  <c r="A322" i="11"/>
  <c r="A323" i="11"/>
  <c r="A324" i="11"/>
  <c r="A325" i="11"/>
  <c r="A326" i="11"/>
  <c r="A327" i="11"/>
  <c r="A328" i="11"/>
  <c r="A329" i="11"/>
  <c r="A330" i="11"/>
  <c r="A331" i="11"/>
  <c r="A332" i="11"/>
  <c r="A335" i="11"/>
  <c r="A336" i="11"/>
  <c r="A337" i="11"/>
  <c r="A338" i="11"/>
  <c r="A339" i="11"/>
  <c r="A340" i="11"/>
  <c r="A341" i="11"/>
  <c r="A342" i="11"/>
  <c r="A343" i="11"/>
  <c r="A344" i="11"/>
  <c r="A345" i="11"/>
  <c r="A346" i="11"/>
  <c r="A347" i="11"/>
  <c r="A348" i="11"/>
  <c r="A349" i="11"/>
  <c r="A350" i="11"/>
  <c r="A351" i="11"/>
  <c r="A352" i="11"/>
  <c r="A530" i="11"/>
  <c r="A353" i="11"/>
  <c r="A354" i="11"/>
  <c r="A355" i="11"/>
  <c r="A356" i="11"/>
  <c r="A358" i="11"/>
  <c r="A359" i="11"/>
  <c r="A539" i="11"/>
  <c r="A360" i="11"/>
  <c r="A361" i="11"/>
  <c r="A362" i="11"/>
  <c r="A363" i="11"/>
  <c r="A364" i="11"/>
  <c r="A365" i="11"/>
  <c r="A366" i="11"/>
  <c r="A367" i="11"/>
  <c r="A368" i="11"/>
  <c r="A369" i="11"/>
  <c r="A370" i="11"/>
  <c r="A371" i="11"/>
  <c r="A372" i="11"/>
  <c r="A373" i="11"/>
  <c r="A374" i="11"/>
  <c r="A375" i="11"/>
  <c r="A376" i="11"/>
  <c r="A377" i="11"/>
  <c r="A378" i="11"/>
  <c r="A379" i="11"/>
  <c r="A380" i="11"/>
  <c r="A381" i="11"/>
  <c r="A382" i="11"/>
  <c r="A383" i="11"/>
  <c r="A384" i="11"/>
  <c r="A385" i="11"/>
  <c r="A386" i="11"/>
  <c r="A387" i="11"/>
  <c r="A388" i="11"/>
  <c r="A389" i="11"/>
  <c r="A390" i="11"/>
  <c r="A391" i="11"/>
  <c r="A392" i="11"/>
  <c r="A393" i="11"/>
  <c r="A394" i="11"/>
  <c r="A395" i="11"/>
  <c r="A396" i="11"/>
  <c r="A397" i="11"/>
  <c r="A442" i="11"/>
  <c r="A398" i="11"/>
  <c r="A399" i="11"/>
  <c r="A400" i="11"/>
  <c r="A401" i="11"/>
  <c r="A402" i="11"/>
  <c r="A403" i="11"/>
  <c r="A404" i="11"/>
  <c r="A405" i="11"/>
  <c r="A406" i="11"/>
  <c r="A407" i="11"/>
  <c r="A408" i="11"/>
  <c r="A409" i="11"/>
  <c r="A441" i="11"/>
  <c r="I29" i="15" l="1"/>
  <c r="A2" i="11" l="1"/>
  <c r="E16" i="4" l="1"/>
  <c r="E17" i="4"/>
  <c r="G76" i="15"/>
  <c r="G77" i="15"/>
  <c r="C17" i="19"/>
  <c r="F21" i="20" s="1"/>
  <c r="C18" i="19"/>
  <c r="F22" i="20" s="1"/>
  <c r="C19" i="19"/>
  <c r="F23" i="20" s="1"/>
  <c r="C20" i="19"/>
  <c r="F24" i="20" s="1"/>
  <c r="C21" i="19"/>
  <c r="F25" i="20" s="1"/>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A17" i="19"/>
  <c r="G20" i="15" s="1"/>
  <c r="A18" i="19"/>
  <c r="G21" i="15" s="1"/>
  <c r="A19" i="19"/>
  <c r="G22" i="15" s="1"/>
  <c r="A20" i="19"/>
  <c r="G23" i="15" s="1"/>
  <c r="A21" i="19"/>
  <c r="G24" i="15" s="1"/>
  <c r="A22" i="19"/>
  <c r="G25" i="15" s="1"/>
  <c r="A23" i="19"/>
  <c r="G26" i="15" s="1"/>
  <c r="A24" i="19"/>
  <c r="G27" i="15" s="1"/>
  <c r="A25" i="19"/>
  <c r="G28" i="15" s="1"/>
  <c r="A26" i="19"/>
  <c r="G29" i="15" s="1"/>
  <c r="A27" i="19"/>
  <c r="G30" i="15" s="1"/>
  <c r="A28" i="19"/>
  <c r="G31" i="15" s="1"/>
  <c r="A29" i="19"/>
  <c r="G32" i="15" s="1"/>
  <c r="A30" i="19"/>
  <c r="G33" i="15" s="1"/>
  <c r="A31" i="19"/>
  <c r="G34" i="15" s="1"/>
  <c r="A32" i="19"/>
  <c r="G35" i="15" s="1"/>
  <c r="A33" i="19"/>
  <c r="G36" i="15" s="1"/>
  <c r="A34" i="19"/>
  <c r="G37" i="15" s="1"/>
  <c r="A35" i="19"/>
  <c r="G38" i="15" s="1"/>
  <c r="A36" i="19"/>
  <c r="G39" i="15" s="1"/>
  <c r="A37" i="19"/>
  <c r="G40" i="15" s="1"/>
  <c r="A38" i="19"/>
  <c r="G41" i="15" s="1"/>
  <c r="A39" i="19"/>
  <c r="G42" i="15" s="1"/>
  <c r="A40" i="19"/>
  <c r="G43" i="15" s="1"/>
  <c r="A41" i="19"/>
  <c r="G44" i="15" s="1"/>
  <c r="A42" i="19"/>
  <c r="G45" i="15" s="1"/>
  <c r="A43" i="19"/>
  <c r="G46" i="15" s="1"/>
  <c r="A44" i="19"/>
  <c r="G47" i="15" s="1"/>
  <c r="A45" i="19"/>
  <c r="G48" i="15" s="1"/>
  <c r="A46" i="19"/>
  <c r="G49" i="15" s="1"/>
  <c r="A47" i="19"/>
  <c r="G50" i="15" s="1"/>
  <c r="A48" i="19"/>
  <c r="G51" i="15" s="1"/>
  <c r="A49" i="19"/>
  <c r="G52" i="15" s="1"/>
  <c r="A50" i="19"/>
  <c r="G53" i="15" s="1"/>
  <c r="A51" i="19"/>
  <c r="G54" i="15" s="1"/>
  <c r="A52" i="19"/>
  <c r="G55" i="15" s="1"/>
  <c r="A53" i="19"/>
  <c r="G56" i="15" s="1"/>
  <c r="A54" i="19"/>
  <c r="G57" i="15" s="1"/>
  <c r="A55" i="19"/>
  <c r="G58" i="15" s="1"/>
  <c r="A56" i="19"/>
  <c r="G59" i="15" s="1"/>
  <c r="A57" i="19"/>
  <c r="G60" i="15" s="1"/>
  <c r="A58" i="19"/>
  <c r="G61" i="15" s="1"/>
  <c r="A59" i="19"/>
  <c r="G62" i="15" s="1"/>
  <c r="A60" i="19"/>
  <c r="G63" i="15" s="1"/>
  <c r="A61" i="19"/>
  <c r="G64" i="15" s="1"/>
  <c r="A62" i="19"/>
  <c r="G65" i="15" s="1"/>
  <c r="A63" i="19"/>
  <c r="G66" i="15" s="1"/>
  <c r="A64" i="19"/>
  <c r="G67" i="15" s="1"/>
  <c r="A65" i="19"/>
  <c r="G68" i="15" s="1"/>
  <c r="A66" i="19"/>
  <c r="G69" i="15" s="1"/>
  <c r="A67" i="19"/>
  <c r="G70" i="15" s="1"/>
  <c r="A68" i="19"/>
  <c r="G71" i="15" s="1"/>
  <c r="A69" i="19"/>
  <c r="G72" i="15" s="1"/>
  <c r="A70" i="19"/>
  <c r="G73" i="15" s="1"/>
  <c r="A71" i="19"/>
  <c r="G74" i="15" s="1"/>
  <c r="A72" i="19"/>
  <c r="G75" i="15" s="1"/>
  <c r="A16" i="19"/>
  <c r="G19" i="15" s="1"/>
  <c r="C16" i="19"/>
  <c r="F20" i="20" s="1"/>
  <c r="G72" i="4"/>
  <c r="F72" i="4"/>
  <c r="G71" i="4"/>
  <c r="F71" i="4"/>
  <c r="G70" i="4"/>
  <c r="F70" i="4"/>
  <c r="G69" i="4"/>
  <c r="F69" i="4"/>
  <c r="G68" i="4"/>
  <c r="F68" i="4"/>
  <c r="G67" i="4"/>
  <c r="F67" i="4"/>
  <c r="G66" i="4"/>
  <c r="F66" i="4"/>
  <c r="G65" i="4"/>
  <c r="F65" i="4"/>
  <c r="G64" i="4"/>
  <c r="F64" i="4"/>
  <c r="G63" i="4"/>
  <c r="F63" i="4"/>
  <c r="G62" i="4"/>
  <c r="F62" i="4"/>
  <c r="G61" i="4"/>
  <c r="F61" i="4"/>
  <c r="G60" i="4"/>
  <c r="F60" i="4"/>
  <c r="G59" i="4"/>
  <c r="F59" i="4"/>
  <c r="G58" i="4"/>
  <c r="F58" i="4"/>
  <c r="G57" i="4"/>
  <c r="F57" i="4"/>
  <c r="G56" i="4"/>
  <c r="F56" i="4"/>
  <c r="G55" i="4"/>
  <c r="F55" i="4"/>
  <c r="G54" i="4"/>
  <c r="F54" i="4"/>
  <c r="G53" i="4"/>
  <c r="F53" i="4"/>
  <c r="G52" i="4"/>
  <c r="F52" i="4"/>
  <c r="G51" i="4"/>
  <c r="F51" i="4"/>
  <c r="G50" i="4"/>
  <c r="F50" i="4"/>
  <c r="G49" i="4"/>
  <c r="F49" i="4"/>
  <c r="G48" i="4"/>
  <c r="F48" i="4"/>
  <c r="G47" i="4"/>
  <c r="F47" i="4"/>
  <c r="G46" i="4"/>
  <c r="F46" i="4"/>
  <c r="G45" i="4"/>
  <c r="F45" i="4"/>
  <c r="G44" i="4"/>
  <c r="F44" i="4"/>
  <c r="G43" i="4"/>
  <c r="F43" i="4"/>
  <c r="G42" i="4"/>
  <c r="F42" i="4"/>
  <c r="G41" i="4"/>
  <c r="F41" i="4"/>
  <c r="G40" i="4"/>
  <c r="F40" i="4"/>
  <c r="G39" i="4"/>
  <c r="F39" i="4"/>
  <c r="G38" i="4"/>
  <c r="F38" i="4"/>
  <c r="G37" i="4"/>
  <c r="F37" i="4"/>
  <c r="G36" i="4"/>
  <c r="F36" i="4"/>
  <c r="G35" i="4"/>
  <c r="F35" i="4"/>
  <c r="G34" i="4"/>
  <c r="F34" i="4"/>
  <c r="G33" i="4"/>
  <c r="F33" i="4"/>
  <c r="G32" i="4"/>
  <c r="F32" i="4"/>
  <c r="G31" i="4"/>
  <c r="F31" i="4"/>
  <c r="G30" i="4"/>
  <c r="F30" i="4"/>
  <c r="G29" i="4"/>
  <c r="F29" i="4"/>
  <c r="G28" i="4"/>
  <c r="F28" i="4"/>
  <c r="G27" i="4"/>
  <c r="F27" i="4"/>
  <c r="G26" i="4"/>
  <c r="F26" i="4"/>
  <c r="G25" i="4"/>
  <c r="F25" i="4"/>
  <c r="G24" i="4"/>
  <c r="F24" i="4"/>
  <c r="G23" i="4"/>
  <c r="F23" i="4"/>
  <c r="G22" i="4"/>
  <c r="F22" i="4"/>
  <c r="G21" i="4"/>
  <c r="F21" i="4"/>
  <c r="G20" i="4"/>
  <c r="F20" i="4"/>
  <c r="G19" i="4"/>
  <c r="F19" i="4"/>
  <c r="G18" i="4"/>
  <c r="F18" i="4"/>
  <c r="G17" i="4"/>
  <c r="G16" i="4"/>
  <c r="F16" i="4"/>
  <c r="G11" i="4"/>
  <c r="J6" i="4"/>
  <c r="J5" i="4"/>
  <c r="I77" i="15"/>
  <c r="I76" i="15"/>
  <c r="I75" i="15"/>
  <c r="I74" i="15"/>
  <c r="I73" i="15"/>
  <c r="I72" i="15"/>
  <c r="I71" i="15"/>
  <c r="I70" i="15"/>
  <c r="I69" i="15"/>
  <c r="I68" i="15"/>
  <c r="I67" i="15"/>
  <c r="I66" i="15"/>
  <c r="I65" i="15"/>
  <c r="I64" i="15"/>
  <c r="I63" i="15"/>
  <c r="I62" i="15"/>
  <c r="I61" i="15"/>
  <c r="I60" i="15"/>
  <c r="I59" i="15"/>
  <c r="I58" i="15"/>
  <c r="I57" i="15"/>
  <c r="I56" i="15"/>
  <c r="I55" i="15"/>
  <c r="I54" i="15"/>
  <c r="I53" i="15"/>
  <c r="I52" i="15"/>
  <c r="I51" i="15"/>
  <c r="I50" i="15"/>
  <c r="I49" i="15"/>
  <c r="I48" i="15"/>
  <c r="I47" i="15"/>
  <c r="I46" i="15"/>
  <c r="I45" i="15"/>
  <c r="I44" i="15"/>
  <c r="I43" i="15"/>
  <c r="I42" i="15"/>
  <c r="I41" i="15"/>
  <c r="I40" i="15"/>
  <c r="I39" i="15"/>
  <c r="I38" i="15"/>
  <c r="I37" i="15"/>
  <c r="I36" i="15"/>
  <c r="I35" i="15"/>
  <c r="I34" i="15"/>
  <c r="I33" i="15"/>
  <c r="I32" i="15"/>
  <c r="I31" i="15"/>
  <c r="I30" i="15"/>
  <c r="I28" i="15"/>
  <c r="I27" i="15"/>
  <c r="I26" i="15"/>
  <c r="I25" i="15"/>
  <c r="I24" i="15"/>
  <c r="I23" i="15"/>
  <c r="I22" i="15"/>
  <c r="I21" i="15"/>
  <c r="I20" i="15"/>
  <c r="I19" i="15"/>
  <c r="M6" i="15"/>
  <c r="M5" i="15"/>
  <c r="G16" i="20" l="1"/>
  <c r="E25" i="4"/>
  <c r="E26" i="4"/>
  <c r="E29" i="4"/>
  <c r="E18" i="4"/>
  <c r="E38" i="4"/>
  <c r="E19" i="4"/>
  <c r="E39" i="4"/>
  <c r="E40" i="4"/>
  <c r="E499" i="4"/>
  <c r="E501" i="4"/>
  <c r="E21" i="4"/>
  <c r="E22" i="4"/>
  <c r="E23" i="4"/>
  <c r="E20" i="4"/>
  <c r="E37" i="4"/>
  <c r="E27" i="4"/>
  <c r="E28" i="4"/>
  <c r="E30" i="4"/>
  <c r="E31" i="4"/>
  <c r="E33" i="4"/>
  <c r="E34" i="4"/>
  <c r="E32" i="4"/>
  <c r="E35" i="4"/>
  <c r="E36" i="4"/>
  <c r="E24" i="4"/>
  <c r="E500" i="4"/>
  <c r="G16" i="15"/>
  <c r="H16" i="15"/>
  <c r="Q2" i="11" l="1"/>
  <c r="N2" i="11"/>
  <c r="M2" i="11"/>
  <c r="O2" i="11"/>
  <c r="P2" i="11"/>
  <c r="L2" i="11"/>
  <c r="F17" i="4" l="1"/>
</calcChain>
</file>

<file path=xl/sharedStrings.xml><?xml version="1.0" encoding="utf-8"?>
<sst xmlns="http://schemas.openxmlformats.org/spreadsheetml/2006/main" count="2746" uniqueCount="457">
  <si>
    <t>24 Hrs</t>
  </si>
  <si>
    <t>SIG Tools</t>
  </si>
  <si>
    <t>ET</t>
  </si>
  <si>
    <t>N/A</t>
  </si>
  <si>
    <t>CT</t>
  </si>
  <si>
    <t>MT</t>
  </si>
  <si>
    <t>PT</t>
  </si>
  <si>
    <t>(AS) Plaza Audi/Infiniti</t>
  </si>
  <si>
    <t>(AS) Plaza Lexus/Mercedes/BMW</t>
  </si>
  <si>
    <t>(DT) Albuquerque</t>
  </si>
  <si>
    <t>(DT) Escondido</t>
  </si>
  <si>
    <t>(AS) Courtesy CDJR of Brandon</t>
  </si>
  <si>
    <t>(DT) Louisville</t>
  </si>
  <si>
    <t>(KG) Truck Center Remote Storage Lot</t>
  </si>
  <si>
    <t>(DT) Modesto</t>
  </si>
  <si>
    <t>(ML) Joe Machens CDJR</t>
  </si>
  <si>
    <t>(MK) McKenny Salinas Honda</t>
  </si>
  <si>
    <t>(KG) Big Star CDJR of Clear Lake</t>
  </si>
  <si>
    <t>(DT) Arlington</t>
  </si>
  <si>
    <t>(AS) Park Place Bodywerks Dallas</t>
  </si>
  <si>
    <t>(ML) Joe Machens Ford Lincoln I &amp; II</t>
  </si>
  <si>
    <t>(SCH) Parts Warehouse Lake Worth</t>
  </si>
  <si>
    <t>(AS) Courtesy Hyundai/Nissan Tampa</t>
  </si>
  <si>
    <t>(SCH) Chevrolet North Palm</t>
  </si>
  <si>
    <t>(ML) McLarty-Gray Daniels Chevrolet</t>
  </si>
  <si>
    <t>Split</t>
  </si>
  <si>
    <t>Hour</t>
  </si>
  <si>
    <t>Site</t>
  </si>
  <si>
    <t>SUNDAY (D.T.)</t>
  </si>
  <si>
    <t>Station</t>
  </si>
  <si>
    <t>Drop time</t>
  </si>
  <si>
    <t>Log In</t>
  </si>
  <si>
    <t>Log Out</t>
  </si>
  <si>
    <t>(RV) Toms Camperland Avondale (NO TOURS)</t>
  </si>
  <si>
    <t>(AS) Stevinson Chevrolet Golden (NO TOURS)</t>
  </si>
  <si>
    <t>(TC) Tavernier Creek Marina (NO TOURS)</t>
  </si>
  <si>
    <t>(RV) Toms Camperland Mesa (NO TOURS)</t>
  </si>
  <si>
    <t>(PE) BMW of Mamaroneck (NO TOURS)</t>
  </si>
  <si>
    <t>(AS) Lexus Smyrna (NO TOURS)</t>
  </si>
  <si>
    <t>(PE) BMW Service Center (NO TOURS)</t>
  </si>
  <si>
    <t>(AS) Bill Estes Ford (NO TOURS)</t>
  </si>
  <si>
    <t>(DT) Colorado Springs (NO TOURS)</t>
  </si>
  <si>
    <t>(ML) Joe Machens Capital City I &amp; II (NO TOURS)</t>
  </si>
  <si>
    <t>(KG) Clear Lake Pre-Owned</t>
  </si>
  <si>
    <t>(AS) David McDavid Lincoln Frisco</t>
  </si>
  <si>
    <t>From: Split-Station:</t>
  </si>
  <si>
    <t>Changes: Split-Station:</t>
  </si>
  <si>
    <t>(KG) Texan GMC Buick (NO TOURS)</t>
  </si>
  <si>
    <t>(ML) Ford Lincoln of North Little Rock</t>
  </si>
  <si>
    <t>(PE) Hudson Toyota Nissan CDJR (NO TOURS)</t>
  </si>
  <si>
    <t>(AS) David McDavid Honda I &amp; II</t>
  </si>
  <si>
    <t>Sites</t>
  </si>
  <si>
    <t>192.168.7.100</t>
  </si>
  <si>
    <t>Notes*</t>
  </si>
  <si>
    <t>Time</t>
  </si>
  <si>
    <t>Suma de Station</t>
  </si>
  <si>
    <t xml:space="preserve"> Station</t>
  </si>
  <si>
    <t>Its On:</t>
  </si>
  <si>
    <t>https://www.google.com/maps/d/viewer?mid=1AyViBuyeq7iwDua1SVudJ2A1BYi3IBA&amp;ll=27.38181516363982%2C-80.32568845000002&amp;z=18</t>
  </si>
  <si>
    <t>Sum of Station</t>
  </si>
  <si>
    <t>Searched Site</t>
  </si>
  <si>
    <t>Alphabetical Order</t>
  </si>
  <si>
    <t>8:00 P.M.</t>
  </si>
  <si>
    <t>9:00 P.M.</t>
  </si>
  <si>
    <t>9:30 P.M.</t>
  </si>
  <si>
    <t>10:00 P.M.</t>
  </si>
  <si>
    <t>11:00 P.M.</t>
  </si>
  <si>
    <t>12:00 A.M.</t>
  </si>
  <si>
    <t>10:00 A.M.</t>
  </si>
  <si>
    <t>11:00 A.M.</t>
  </si>
  <si>
    <t>7:00 A.M.</t>
  </si>
  <si>
    <t>12:00 P.M.</t>
  </si>
  <si>
    <t>6:00 A.M.</t>
  </si>
  <si>
    <t>8:00 A.M.</t>
  </si>
  <si>
    <t>9:00 A.M.</t>
  </si>
  <si>
    <t>H.A. 1</t>
  </si>
  <si>
    <t>H.A. 2</t>
  </si>
  <si>
    <t>H.A. 3</t>
  </si>
  <si>
    <t>H.A. 4</t>
  </si>
  <si>
    <t>H.A. Split</t>
  </si>
  <si>
    <t>H.A. Station</t>
  </si>
  <si>
    <t>Operators Split</t>
  </si>
  <si>
    <t>Operator Station</t>
  </si>
  <si>
    <t>Serached Site:</t>
  </si>
  <si>
    <t xml:space="preserve">Station </t>
  </si>
  <si>
    <t>Total Sites</t>
  </si>
  <si>
    <t>Log Out from</t>
  </si>
  <si>
    <t>Total New Sites</t>
  </si>
  <si>
    <t>Log In to</t>
  </si>
  <si>
    <t>High Alert Split-High Alert Station-Operator Station</t>
  </si>
  <si>
    <t>Log Time</t>
  </si>
  <si>
    <t xml:space="preserve">Log Time </t>
  </si>
  <si>
    <t>Key</t>
  </si>
  <si>
    <t>Searched Site:</t>
  </si>
  <si>
    <t xml:space="preserve"> New Sites</t>
  </si>
  <si>
    <t>(HUD) CDJR of Greensboro</t>
  </si>
  <si>
    <t>-</t>
  </si>
  <si>
    <t>https://www.google.com/maps/d/viewer?mid=1ot0ILX76JMuvd9yMuqkb4_e0yH1n7TA&amp;ll=45.07815812965141%2C-93.33506855000002&amp;z=17</t>
  </si>
  <si>
    <t>https://www.google.com/maps/d/viewer?mid=1bDs0QGFZwL3vEeGKxjVMk_j4azr0-lg&amp;ll=33.4593758581648%2C-112.28793780000001&amp;z=18</t>
  </si>
  <si>
    <t>(ML) Joe Machens Temporary 2.0</t>
  </si>
  <si>
    <t>Mario Residence</t>
  </si>
  <si>
    <t>SIG Office</t>
  </si>
  <si>
    <t>PTZ</t>
  </si>
  <si>
    <t>IMPORTANT CAMERAS</t>
  </si>
  <si>
    <t>BLIND SPOTS</t>
  </si>
  <si>
    <t>LPR GATES</t>
  </si>
  <si>
    <t>ENTRANCES</t>
  </si>
  <si>
    <t>GATES</t>
  </si>
  <si>
    <t>SITES</t>
  </si>
  <si>
    <t/>
  </si>
  <si>
    <t>SIG Office Trailer</t>
  </si>
  <si>
    <t>https://www.google.com/maps/d/viewer?hl=es&amp;mid=1C1oZdjH3dNvCvqdpIv_Lk0Yn1OCVn-4&amp;ll=38.965368114274455%2C-92.3405954&amp;z=15</t>
  </si>
  <si>
    <t>https://tools.sig.systems/site/details/159</t>
  </si>
  <si>
    <t>MST</t>
  </si>
  <si>
    <t>Gates</t>
  </si>
  <si>
    <t>Entrances</t>
  </si>
  <si>
    <t>LPR</t>
  </si>
  <si>
    <t>Important Cameras</t>
  </si>
  <si>
    <t>Time Zone</t>
  </si>
  <si>
    <t>https://tools.sig.systems/site/details/148</t>
  </si>
  <si>
    <t>(BRL) Shoemakersville</t>
  </si>
  <si>
    <t>(PE) MB of Greenwich</t>
  </si>
  <si>
    <t>(AS) Coggin BMW Ft. Pierce (NO TOURS)</t>
  </si>
  <si>
    <t>24H</t>
  </si>
  <si>
    <t>(LT) Luther Bloomington Subaru - Acura</t>
  </si>
  <si>
    <t>(ML) Joe Machens Hyundai</t>
  </si>
  <si>
    <t>(LT) Luther Brookdale Toyota</t>
  </si>
  <si>
    <t>(LT) Luther North Country Ford</t>
  </si>
  <si>
    <t>(LT) Luther St. Cloud Subaru</t>
  </si>
  <si>
    <t>(KG) Big Star Hyundai Houston</t>
  </si>
  <si>
    <t>(KG) Ken Garff Volkswagen of Gilbert</t>
  </si>
  <si>
    <t>https://tools.sig.systems/site/details/283</t>
  </si>
  <si>
    <t>https://www.google.com/maps/d/viewer?hl=es&amp;mid=19SU7XE9Cg8jhVFpEI21Vi9Zfgdih9Ds&amp;ll=33.29158262977276%2C-111.75783630000002&amp;z=17</t>
  </si>
  <si>
    <t>https://tools.sig.systems/site/details/284</t>
  </si>
  <si>
    <t>https://tools.sig.systems/site/details/298</t>
  </si>
  <si>
    <t>https://tools.sig.systems/site/details/295</t>
  </si>
  <si>
    <t>https://tools.sig.systems/site/details/292</t>
  </si>
  <si>
    <t>https://tools.sig.systems/site/details/288</t>
  </si>
  <si>
    <t>https://tools.sig.systems/site/details/281</t>
  </si>
  <si>
    <t>https://tools.sig.systems/site/details/280</t>
  </si>
  <si>
    <t>https://tools.sig.systems/site/details/286</t>
  </si>
  <si>
    <t>https://tools.sig.systems/site/details/289</t>
  </si>
  <si>
    <t>https://tools.sig.systems/site/details/282</t>
  </si>
  <si>
    <t>https://www.google.com/maps/d/edit?mid=1hsX5GGrNcCQgAuzDCDz1OWgEkhsAc78&amp;usp=sharing</t>
  </si>
  <si>
    <t>https://tools.sig.systems/site/details/119</t>
  </si>
  <si>
    <t>https://www.google.com/maps/d/viewer?mid=1ZLGV-cDM9aCfovhmXHIAXgVOKts0dEI&amp;ll=26.438859950088858%2C-80.07968125000001&amp;z=16</t>
  </si>
  <si>
    <t>https://tools.sig.systems/site/details/188</t>
  </si>
  <si>
    <t>https://tools.sig.systems/site/details/302</t>
  </si>
  <si>
    <t>https://tools.sig.systems/site/details/305</t>
  </si>
  <si>
    <t>https://tools.sig.systems/site/details/301</t>
  </si>
  <si>
    <t>https://tools.sig.systems/site/details/303</t>
  </si>
  <si>
    <t>(DT) Charlotte</t>
  </si>
  <si>
    <t>https://tools.sig.systems/site/details/299</t>
  </si>
  <si>
    <t>FRIDAY Monitoring Split</t>
  </si>
  <si>
    <t>4,12,13</t>
  </si>
  <si>
    <t>8, 11</t>
  </si>
  <si>
    <t>1, 6, 13A, 15, 18A</t>
  </si>
  <si>
    <t>13B, 23</t>
  </si>
  <si>
    <t>1, 2, 8</t>
  </si>
  <si>
    <t>13, 14, 20, 26, 40</t>
  </si>
  <si>
    <t>23, 24, 25</t>
  </si>
  <si>
    <t>2, 14</t>
  </si>
  <si>
    <t>1, 3, 9, 10, 14</t>
  </si>
  <si>
    <t>3, 10, 13</t>
  </si>
  <si>
    <t>1, 20, 27</t>
  </si>
  <si>
    <t>12, 25</t>
  </si>
  <si>
    <t>15, 16</t>
  </si>
  <si>
    <t>1, 2, 9, 22, 31, 57</t>
  </si>
  <si>
    <t>15, 16, 17, 29</t>
  </si>
  <si>
    <t>1, 7, 8, 12, 19, 32</t>
  </si>
  <si>
    <t>18, 24</t>
  </si>
  <si>
    <t>2, 3</t>
  </si>
  <si>
    <t>1, 5, 7, 8, 21, 29</t>
  </si>
  <si>
    <t>1, 5</t>
  </si>
  <si>
    <t xml:space="preserve">2, 6, 10, 12, 17 </t>
  </si>
  <si>
    <t>4, 25, 41</t>
  </si>
  <si>
    <t xml:space="preserve">11, 32, 35 </t>
  </si>
  <si>
    <t>6, 11, 18, 29, 34,  38, 39</t>
  </si>
  <si>
    <t>5, 8, 33</t>
  </si>
  <si>
    <t>4, 7, 35</t>
  </si>
  <si>
    <t xml:space="preserve">1, 2, 14, 24, 34  </t>
  </si>
  <si>
    <t>3, 4, 14, 25</t>
  </si>
  <si>
    <t>1, 11, 12, 13, 15</t>
  </si>
  <si>
    <t>1, 21</t>
  </si>
  <si>
    <t>38, 39, 40</t>
  </si>
  <si>
    <t>2, 10, 19</t>
  </si>
  <si>
    <t>4, 5, 7, 11, 13, 20, 24, 36</t>
  </si>
  <si>
    <t>5, 7</t>
  </si>
  <si>
    <t xml:space="preserve">1, 2, 4, 10, 18, 24, 25 </t>
  </si>
  <si>
    <t>9, 36</t>
  </si>
  <si>
    <t>38, 39</t>
  </si>
  <si>
    <t>3, 26</t>
  </si>
  <si>
    <t>1, 4, 11, 18, 23, 25, 31</t>
  </si>
  <si>
    <t>7, 14, 19</t>
  </si>
  <si>
    <t>30, 31, 32</t>
  </si>
  <si>
    <t>1, 4, 9, 13, 15, 16B, 25</t>
  </si>
  <si>
    <t>25, 31</t>
  </si>
  <si>
    <t>9, 13, 20</t>
  </si>
  <si>
    <t>38, 39, 40, 41</t>
  </si>
  <si>
    <t>2, 6, 8, 11, 14, 19, 23, 26</t>
  </si>
  <si>
    <t>3, 12, 17</t>
  </si>
  <si>
    <t>23, 35</t>
  </si>
  <si>
    <t>1, 75</t>
  </si>
  <si>
    <t xml:space="preserve">5, 11, 16, 20, 26, 30, 32, 34 </t>
  </si>
  <si>
    <t>7, 11</t>
  </si>
  <si>
    <t xml:space="preserve">2, 6, 10, 15, 18 </t>
  </si>
  <si>
    <t>4, 6</t>
  </si>
  <si>
    <t>1, 5, 8, 9, 17, 19, 21</t>
  </si>
  <si>
    <t>5, 19</t>
  </si>
  <si>
    <t>3, 5</t>
  </si>
  <si>
    <t>1, 6, 7, 12, 15, 17, 21</t>
  </si>
  <si>
    <t>7, 8</t>
  </si>
  <si>
    <t>(PE) JLR Paramus (NO TOURS)</t>
  </si>
  <si>
    <t>1, 17</t>
  </si>
  <si>
    <t>https://tools.sig.systems/site/details/177</t>
  </si>
  <si>
    <t xml:space="preserve">1, 2 </t>
  </si>
  <si>
    <t>https://tools.sig.systems/site/details/184</t>
  </si>
  <si>
    <t>(AS) Larry H Miller CDJR Fiat (NO TOURS)</t>
  </si>
  <si>
    <t>(PE) JLR Englewood (NO TOURS)</t>
  </si>
  <si>
    <t>1, 2</t>
  </si>
  <si>
    <t>https://tools.sig.systems/site/details/178</t>
  </si>
  <si>
    <t>https://www.google.com/maps/d/viewer?mid=1ubI2iKs1JyYXssuT4oLPnVvFnyLPi_s&amp;ll=40.878808846788026%2C-73.98560655&amp;z=17</t>
  </si>
  <si>
    <t>https://tools.sig.systems/site/details/287</t>
  </si>
  <si>
    <t>https://tools.sig.systems/site/details/300</t>
  </si>
  <si>
    <t>1, 22, 26, 28, 29</t>
  </si>
  <si>
    <t>3, 11, 15, 23</t>
  </si>
  <si>
    <t>14, 16</t>
  </si>
  <si>
    <t>https://tools.sig.systems/site/details/306</t>
  </si>
  <si>
    <t>https://www.google.com/maps/d/edit?hl=es&amp;mid=11XB1lTSP7EcDCDvzypdUPWP6bWCNAEI&amp;ll=39.21145022420528%2C-76.94003711910554&amp;z=17</t>
  </si>
  <si>
    <t>https://tools.sig.systems/site/details/307</t>
  </si>
  <si>
    <t>https://tools.sig.systems/site/details/308</t>
  </si>
  <si>
    <t>https://www.google.com/maps/d/edit?hl=es&amp;mid=11XB1lTSP7EcDCDvzypdUPWP6bWCNAEI&amp;ll=39.21145022420528%2C-76.94003711910554&amp;z=21</t>
  </si>
  <si>
    <t>https://www.google.com/maps/d/edit?hl=es&amp;mid=13OmECPqyeB7fXgZmEoM9cnG34HU_v5g&amp;ll=26.046837034777553%2C-80.38753458591658&amp;z=19</t>
  </si>
  <si>
    <t>https://www.google.com/maps/d/edit?hl=es&amp;mid=1uPmsRMsXnp74hPFW2t-sp2totVWF_xY&amp;ll=32.83050137713022%2C-96.83197783061323&amp;z=17</t>
  </si>
  <si>
    <t>https://www.google.com/maps/d/edit?hl=en&amp;mid=1UHmt7tH1ihTa85i0MfQIcTfVvIQg_vM&amp;ll=41.02423447529239%2C-73.63721502222738&amp;z=18</t>
  </si>
  <si>
    <t>https://www.google.com/maps/d/edit?hl=en&amp;mid=1jIRkMUnWNPuTgDjQgDP-f33LClT85NU&amp;ll=29.55731827236326%2C-95.1601644&amp;z=17</t>
  </si>
  <si>
    <t>(AS) Koons MB of Catonsville (NO TOURS)</t>
  </si>
  <si>
    <t>(TC) Lamborghini South Dade</t>
  </si>
  <si>
    <t>9, 11</t>
  </si>
  <si>
    <t>https://tools.sig.systems/site/details/313</t>
  </si>
  <si>
    <t>(KG) Big Star Cadillac</t>
  </si>
  <si>
    <t>1, 4, 16</t>
  </si>
  <si>
    <t>15, 16, 19, 20</t>
  </si>
  <si>
    <t>https://www.google.com/maps/d/edit?mid=1jIRkMUnWNPuTgDjQgDP-f33LClT85NU&amp;usp=sharing</t>
  </si>
  <si>
    <t>https://tools.sig.systems/site/details/316</t>
  </si>
  <si>
    <t>https://tools.sig.systems/site/details/318</t>
  </si>
  <si>
    <t>6, 9, 13</t>
  </si>
  <si>
    <t>58, 59</t>
  </si>
  <si>
    <t>11, 18</t>
  </si>
  <si>
    <t>(LT) Landers Kia of Little Rock</t>
  </si>
  <si>
    <t>https://tools.sig.systems/site/details/322</t>
  </si>
  <si>
    <t>5, 9, 33, 19</t>
  </si>
  <si>
    <t>4, 10</t>
  </si>
  <si>
    <t>1, 35</t>
  </si>
  <si>
    <t>5, 9, 12, 14, 18, 26, 29</t>
  </si>
  <si>
    <t>(LT) Luther Landers Recon Center</t>
  </si>
  <si>
    <t>https://tools.sig.systems/site/details/323</t>
  </si>
  <si>
    <t>2, 4</t>
  </si>
  <si>
    <t>5:00 A.M.</t>
  </si>
  <si>
    <t>7:00 P.M.</t>
  </si>
  <si>
    <t>5:30 A.M.</t>
  </si>
  <si>
    <t>https://tools.sig.systems/site/details/315</t>
  </si>
  <si>
    <t>1,2,3,18</t>
  </si>
  <si>
    <t>1,2,3,5,16,18</t>
  </si>
  <si>
    <t>(LT) Luther Genesis of Minneapolis</t>
  </si>
  <si>
    <t>8, 17, 27, 28</t>
  </si>
  <si>
    <t>4, 20, 24</t>
  </si>
  <si>
    <t>3, 9, 11</t>
  </si>
  <si>
    <t>3, 18</t>
  </si>
  <si>
    <t>6, 9</t>
  </si>
  <si>
    <t>2, 10, 12B, 14, 38</t>
  </si>
  <si>
    <t>12, 31</t>
  </si>
  <si>
    <t>12B, 26, 37, 19</t>
  </si>
  <si>
    <t>https://tools.sig.systems/site/details/324</t>
  </si>
  <si>
    <t>(LT) Luther Brookdale Honda (NO TOURS)</t>
  </si>
  <si>
    <t>1, 12</t>
  </si>
  <si>
    <t>2, 7, 9</t>
  </si>
  <si>
    <t>6, 10</t>
  </si>
  <si>
    <t>https://tools.sig.systems/site/details/331</t>
  </si>
  <si>
    <t>https://www.google.com/maps/d/u/1/edit?mid=1-zEzsc6U6nZom08edp0XAd3_HYFvAyk&amp;usp=sharing</t>
  </si>
  <si>
    <t>5, 6</t>
  </si>
  <si>
    <t>2, 3, 5, 10</t>
  </si>
  <si>
    <t>https://tools.sig.systems/site/details/267</t>
  </si>
  <si>
    <t>4:00 A.M.</t>
  </si>
  <si>
    <t>(LT) Luther Burnsville Hyundai</t>
  </si>
  <si>
    <t>6, 17</t>
  </si>
  <si>
    <t>22, 21</t>
  </si>
  <si>
    <t>2, 4, 16</t>
  </si>
  <si>
    <t>(AS) Coggin Collision Center of Kissimmee (NO TOURS)</t>
  </si>
  <si>
    <t>ID</t>
  </si>
  <si>
    <t>SIG TOOLS</t>
  </si>
  <si>
    <t>119</t>
  </si>
  <si>
    <t>301</t>
  </si>
  <si>
    <t>300</t>
  </si>
  <si>
    <t>282</t>
  </si>
  <si>
    <t>303</t>
  </si>
  <si>
    <t>298</t>
  </si>
  <si>
    <t>302</t>
  </si>
  <si>
    <t>299</t>
  </si>
  <si>
    <t>287</t>
  </si>
  <si>
    <t>(KG) Ken Garff Kia of Avondale</t>
  </si>
  <si>
    <t>283</t>
  </si>
  <si>
    <t>284</t>
  </si>
  <si>
    <t>289</t>
  </si>
  <si>
    <t>280</t>
  </si>
  <si>
    <t>281</t>
  </si>
  <si>
    <t>(LT) Luther Hopkins Honda (NO TOURS)</t>
  </si>
  <si>
    <t>288</t>
  </si>
  <si>
    <t>322</t>
  </si>
  <si>
    <t>315</t>
  </si>
  <si>
    <t>292</t>
  </si>
  <si>
    <t>295</t>
  </si>
  <si>
    <t>318</t>
  </si>
  <si>
    <t>286</t>
  </si>
  <si>
    <t>184</t>
  </si>
  <si>
    <t>178</t>
  </si>
  <si>
    <t>177</t>
  </si>
  <si>
    <t>188</t>
  </si>
  <si>
    <t>11, 21, 22, 57, 69</t>
  </si>
  <si>
    <t>2, 16, 46</t>
  </si>
  <si>
    <t>24, 39</t>
  </si>
  <si>
    <t>159</t>
  </si>
  <si>
    <t>148</t>
  </si>
  <si>
    <t>306</t>
  </si>
  <si>
    <t>308</t>
  </si>
  <si>
    <t>313</t>
  </si>
  <si>
    <t>316</t>
  </si>
  <si>
    <t>323</t>
  </si>
  <si>
    <t>324</t>
  </si>
  <si>
    <t>331</t>
  </si>
  <si>
    <t>267</t>
  </si>
  <si>
    <t>307</t>
  </si>
  <si>
    <t>2, 7</t>
  </si>
  <si>
    <t>343</t>
  </si>
  <si>
    <t>https://tools.sig.systems/site/details/343</t>
  </si>
  <si>
    <t>3, 24, 26, 27, 31, 36</t>
  </si>
  <si>
    <t>13, 26, 29</t>
  </si>
  <si>
    <t>342</t>
  </si>
  <si>
    <t>https://tools.sig.systems/site/details/342</t>
  </si>
  <si>
    <t>https://tools.sig.systems/site/details/199</t>
  </si>
  <si>
    <t>3,8</t>
  </si>
  <si>
    <t>3, 8, 7</t>
  </si>
  <si>
    <t>199</t>
  </si>
  <si>
    <t>21, 22, 24, 32, 45</t>
  </si>
  <si>
    <t>1, 8</t>
  </si>
  <si>
    <t>5, 28, 38</t>
  </si>
  <si>
    <t>335</t>
  </si>
  <si>
    <t>https://tools.sig.systems/site/details/335</t>
  </si>
  <si>
    <t>1, 2, 3</t>
  </si>
  <si>
    <t>7, 10, 16, 29</t>
  </si>
  <si>
    <t>14, 17, 30</t>
  </si>
  <si>
    <t>333</t>
  </si>
  <si>
    <t>https://tools.sig.systems/site/details/333</t>
  </si>
  <si>
    <t>(BRL) Fort Pierce</t>
  </si>
  <si>
    <t>15, 18</t>
  </si>
  <si>
    <t>326</t>
  </si>
  <si>
    <t>https://tools.sig.systems/site/details/326</t>
  </si>
  <si>
    <t>(AS) Koons Baltimore Ford - Main Dealership (NO TOURS)</t>
  </si>
  <si>
    <t>https://tools.sig.systems/site/details/334</t>
  </si>
  <si>
    <t>https://tools.sig.systems/site/details/338</t>
  </si>
  <si>
    <t>1, 3, 12, 15, 17</t>
  </si>
  <si>
    <t>2, 6, 18, 20</t>
  </si>
  <si>
    <t>334</t>
  </si>
  <si>
    <t>5, 7, 9</t>
  </si>
  <si>
    <t>6, 10, 1</t>
  </si>
  <si>
    <t>338</t>
  </si>
  <si>
    <t>https://tools.sig.systems/site/details/194</t>
  </si>
  <si>
    <t>https://tools.sig.systems/site/details/352</t>
  </si>
  <si>
    <t>(PE) JLR Darien (NO TOURS)</t>
  </si>
  <si>
    <t>1, 13</t>
  </si>
  <si>
    <t>189</t>
  </si>
  <si>
    <t>https://tools.sig.systems/site/details/189</t>
  </si>
  <si>
    <t>(AS) Koons Woodbridge GMC (NO TOURS)</t>
  </si>
  <si>
    <t>(AS) Koons Woodbridge Ford (NO TOURS)</t>
  </si>
  <si>
    <t>(AS) Koons Chevrolet Buick GMC - Tysons Remote Lot (NO TOURS)</t>
  </si>
  <si>
    <t>(AS) Koons Arlington Toyota - New Car (NO TOURS)</t>
  </si>
  <si>
    <t>(AS) Koons Volvo Cars White Marsh (NO TOURS)</t>
  </si>
  <si>
    <t>(AS) Koons Chevrolet Buick GMC - Tysons (NO TOURS)</t>
  </si>
  <si>
    <t>(AS) 3281 Storage Lot (NO TOURS)</t>
  </si>
  <si>
    <t>(AS) Hare Chevrolet (NO TOURS)</t>
  </si>
  <si>
    <t>(AS) Hare Truck Center (NO TOURS)</t>
  </si>
  <si>
    <t>(AS) Kahlo CDJR (NO TOURS)</t>
  </si>
  <si>
    <t>(AS) Koons Chevrolet Buick GMC - Clarksville (NO TOURS)</t>
  </si>
  <si>
    <t>(AS) Larry H Miller Hyundai Arapahoe (NO TOURS)</t>
  </si>
  <si>
    <t>(AS) Coggin Honda of Orlando (NO TOURS)</t>
  </si>
  <si>
    <t>(SCH) Schumacher of Delray I &amp; III</t>
  </si>
  <si>
    <t>(AS) Koons Falls Church Ford (NO TOURS)</t>
  </si>
  <si>
    <t>345</t>
  </si>
  <si>
    <t>https://tools.sig.systems/site/details/345</t>
  </si>
  <si>
    <t>(AS) Koons White Marsh Chevrolet (NO TOURS)</t>
  </si>
  <si>
    <t>339</t>
  </si>
  <si>
    <t>https://tools.sig.systems/site/details/339</t>
  </si>
  <si>
    <t>https://tools.sig.systems/site/details/349</t>
  </si>
  <si>
    <t>349</t>
  </si>
  <si>
    <t>1, 7</t>
  </si>
  <si>
    <t>6, 21</t>
  </si>
  <si>
    <t>(AS) Plaza Mercedes Benz West (NO TOURS)</t>
  </si>
  <si>
    <t>1, 18</t>
  </si>
  <si>
    <t>3, 6</t>
  </si>
  <si>
    <t xml:space="preserve">2, 9, 17 </t>
  </si>
  <si>
    <t>18, 19</t>
  </si>
  <si>
    <t>352</t>
  </si>
  <si>
    <t>4, 14, 22</t>
  </si>
  <si>
    <t>10, 11</t>
  </si>
  <si>
    <t>347</t>
  </si>
  <si>
    <t>https://tools.sig.systems/site/details/347</t>
  </si>
  <si>
    <t>(AS) Koons Woodbridge Hyundai (NO TOURS)</t>
  </si>
  <si>
    <t>(AS) Koons Woodbridge Kia (NO TOURS)</t>
  </si>
  <si>
    <t>(AS) Koons Sterling Ford - Main Dealership (NO TOURS)</t>
  </si>
  <si>
    <t>7, 9</t>
  </si>
  <si>
    <t>346</t>
  </si>
  <si>
    <t>https://tools.sig.systems/site/details/346</t>
  </si>
  <si>
    <t>4, 21</t>
  </si>
  <si>
    <t>348</t>
  </si>
  <si>
    <t>https://tools.sig.systems/site/details/348</t>
  </si>
  <si>
    <t>(AS) Koons Chevrolet Buick GMC - Clarksville Remote Lot (NO TOURS)</t>
  </si>
  <si>
    <t>(AS) Koons Owings Mills Kia (NO TOURS)</t>
  </si>
  <si>
    <t>https://tools.sig.systems/site/details/336</t>
  </si>
  <si>
    <t>2, 18</t>
  </si>
  <si>
    <t>7, 14</t>
  </si>
  <si>
    <t>336</t>
  </si>
  <si>
    <t>(AS) Koons Westminster Toyota (NO TOURS)</t>
  </si>
  <si>
    <t>1, 10, 18, 25</t>
  </si>
  <si>
    <t>8, 14</t>
  </si>
  <si>
    <t>341</t>
  </si>
  <si>
    <t>https://tools.sig.systems/site/details/341</t>
  </si>
  <si>
    <t>(AS) Koons Easton Toyota - Main Dealership (NO TOURS)</t>
  </si>
  <si>
    <t>4, 5</t>
  </si>
  <si>
    <t>8, 15</t>
  </si>
  <si>
    <t>340</t>
  </si>
  <si>
    <t>https://tools.sig.systems/site/details/340</t>
  </si>
  <si>
    <t>(AS) Koons Tysons Toyota - Main Dealership (NO TOURS)</t>
  </si>
  <si>
    <t>1, 25</t>
  </si>
  <si>
    <t>13, 22, 27</t>
  </si>
  <si>
    <t>344</t>
  </si>
  <si>
    <t>https://tools.sig.systems/site/details/344</t>
  </si>
  <si>
    <t>(AS) Plaza Collision ST Louis (NO TOURS)</t>
  </si>
  <si>
    <t>https://tools.sig.systems/site/details/350</t>
  </si>
  <si>
    <t>2, 6</t>
  </si>
  <si>
    <t>350</t>
  </si>
  <si>
    <t>(blank)</t>
  </si>
  <si>
    <t>Map</t>
  </si>
  <si>
    <t>MAP</t>
  </si>
  <si>
    <t>HOUR</t>
  </si>
  <si>
    <t>TIME</t>
  </si>
  <si>
    <t>DROP TIME</t>
  </si>
  <si>
    <t>(PE) Porsche Audi Fairfield (NO TOURS)</t>
  </si>
  <si>
    <t>(AS) Koons Annapolis Toyota (NO TOURS)</t>
  </si>
  <si>
    <t>1, 6, 21</t>
  </si>
  <si>
    <t>3, 5, 7, 19</t>
  </si>
  <si>
    <t>337</t>
  </si>
  <si>
    <t>https://tools.sig.systems/site/details/337</t>
  </si>
  <si>
    <t>(AS) Koons Tysons Toyota - UC Recon (NO TOURS)</t>
  </si>
  <si>
    <t>37, 38</t>
  </si>
  <si>
    <t>355</t>
  </si>
  <si>
    <t>https://tools.sig.systems/site/details/355</t>
  </si>
  <si>
    <t>(LT) Luther Bloomington Hyundai (NO TOURS)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</si>
</sst>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h:mm\ AM/PM;@"/>
  </numFmts>
  <fonts count="27" x14ac:knownFonts="1">
    <font>
      <sz val="11"/>
      <color theme="1"/>
      <name val="Calibri"/>
      <family val="2"/>
      <scheme val="minor"/>
    </font>
    <font>
      <b/>
      <sz val="14"/>
      <color theme="0"/>
      <name val="Calibri"/>
      <family val="2"/>
      <scheme val="minor"/>
    </font>
    <font>
      <u/>
      <sz val="11"/>
      <color theme="10"/>
      <name val="Calibri"/>
      <family val="2"/>
      <scheme val="minor"/>
    </font>
    <font>
      <u/>
      <sz val="11"/>
      <color theme="1"/>
      <name val="Calibri"/>
      <family val="2"/>
      <scheme val="minor"/>
    </font>
    <font>
      <sz val="14"/>
      <color theme="1"/>
      <name val="Calibri"/>
      <family val="2"/>
      <scheme val="minor"/>
    </font>
    <font>
      <b/>
      <sz val="14"/>
      <color theme="1"/>
      <name val="Calibri"/>
      <family val="2"/>
      <scheme val="minor"/>
    </font>
    <font>
      <u/>
      <sz val="14"/>
      <color theme="10"/>
      <name val="Calibri"/>
      <family val="2"/>
      <scheme val="minor"/>
    </font>
    <font>
      <b/>
      <sz val="15"/>
      <color theme="0"/>
      <name val="Calibri"/>
      <family val="2"/>
      <scheme val="minor"/>
    </font>
    <font>
      <b/>
      <sz val="15"/>
      <color theme="1"/>
      <name val="Calibri"/>
      <family val="2"/>
      <scheme val="minor"/>
    </font>
    <font>
      <sz val="15"/>
      <color theme="0"/>
      <name val="Calibri"/>
      <family val="2"/>
      <scheme val="minor"/>
    </font>
    <font>
      <sz val="15"/>
      <color theme="1"/>
      <name val="Calibri"/>
      <family val="2"/>
      <scheme val="minor"/>
    </font>
    <font>
      <b/>
      <sz val="15"/>
      <color rgb="FF00B0F0"/>
      <name val="Calibri"/>
      <family val="2"/>
      <scheme val="minor"/>
    </font>
    <font>
      <b/>
      <u/>
      <sz val="15"/>
      <color theme="0"/>
      <name val="Calibri"/>
      <family val="2"/>
      <scheme val="minor"/>
    </font>
    <font>
      <b/>
      <sz val="14"/>
      <color rgb="FFFFFF00"/>
      <name val="Calibri"/>
      <family val="2"/>
      <scheme val="minor"/>
    </font>
    <font>
      <b/>
      <u/>
      <sz val="14"/>
      <color theme="10"/>
      <name val="Calibri"/>
      <family val="2"/>
      <scheme val="minor"/>
    </font>
    <font>
      <sz val="14"/>
      <color theme="0"/>
      <name val="Calibri"/>
      <family val="2"/>
      <scheme val="minor"/>
    </font>
    <font>
      <b/>
      <u/>
      <sz val="14"/>
      <color theme="1"/>
      <name val="Calibri"/>
      <family val="2"/>
      <scheme val="minor"/>
    </font>
    <font>
      <b/>
      <sz val="26"/>
      <name val="Calibri"/>
      <family val="2"/>
      <scheme val="minor"/>
    </font>
    <font>
      <sz val="26"/>
      <color rgb="FF000000"/>
      <name val="Calibri"/>
      <family val="2"/>
      <scheme val="minor"/>
    </font>
    <font>
      <sz val="26"/>
      <name val="Calibri"/>
      <family val="2"/>
      <scheme val="minor"/>
    </font>
    <font>
      <sz val="11"/>
      <name val="Calibri"/>
      <family val="2"/>
      <scheme val="minor"/>
    </font>
    <font>
      <sz val="8"/>
      <name val="Calibri"/>
      <family val="2"/>
      <scheme val="minor"/>
    </font>
    <font>
      <b/>
      <sz val="11"/>
      <color theme="1"/>
      <name val="Calibri"/>
      <family val="2"/>
      <scheme val="minor"/>
    </font>
    <font>
      <b/>
      <sz val="14"/>
      <color rgb="FF00B0F0"/>
      <name val="Calibri"/>
      <family val="2"/>
      <scheme val="minor"/>
    </font>
    <font>
      <b/>
      <sz val="32"/>
      <color theme="3"/>
      <name val="Calibri"/>
      <family val="2"/>
      <scheme val="minor"/>
    </font>
    <font>
      <b/>
      <sz val="28"/>
      <color theme="9" tint="-0.499984740745262"/>
      <name val="Calibri"/>
      <family val="2"/>
      <scheme val="minor"/>
    </font>
    <font>
      <sz val="11"/>
      <color theme="3" tint="-0.249977111117893"/>
      <name val="Calibri"/>
      <family val="2"/>
      <scheme val="minor"/>
    </font>
  </fonts>
  <fills count="11">
    <fill>
      <patternFill patternType="none"/>
    </fill>
    <fill>
      <patternFill patternType="gray125"/>
    </fill>
    <fill>
      <patternFill patternType="solid">
        <fgColor theme="1"/>
        <bgColor indexed="64"/>
      </patternFill>
    </fill>
    <fill>
      <patternFill patternType="solid">
        <fgColor theme="0"/>
        <bgColor theme="0"/>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14996795556505021"/>
        <bgColor indexed="64"/>
      </patternFill>
    </fill>
    <fill>
      <patternFill patternType="solid">
        <fgColor theme="9"/>
        <bgColor indexed="64"/>
      </patternFill>
    </fill>
    <fill>
      <patternFill patternType="solid">
        <fgColor theme="3" tint="0.39997558519241921"/>
        <bgColor indexed="64"/>
      </patternFill>
    </fill>
    <fill>
      <patternFill patternType="solid">
        <fgColor theme="9" tint="0.79998168889431442"/>
        <bgColor indexed="64"/>
      </patternFill>
    </fill>
  </fills>
  <borders count="17">
    <border>
      <left/>
      <right/>
      <top/>
      <bottom/>
      <diagonal/>
    </border>
    <border>
      <left style="thin">
        <color theme="0"/>
      </left>
      <right/>
      <top/>
      <bottom/>
      <diagonal/>
    </border>
    <border>
      <left style="thin">
        <color indexed="64"/>
      </left>
      <right style="thin">
        <color indexed="64"/>
      </right>
      <top style="thin">
        <color indexed="64"/>
      </top>
      <bottom style="thin">
        <color indexed="64"/>
      </bottom>
      <diagonal/>
    </border>
    <border>
      <left style="thin">
        <color theme="1" tint="0.499984740745262"/>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top/>
      <bottom style="thin">
        <color theme="4" tint="0.39997558519241921"/>
      </bottom>
      <diagonal/>
    </border>
    <border>
      <left/>
      <right/>
      <top/>
      <bottom style="thin">
        <color theme="0" tint="-0.34998626667073579"/>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auto="1"/>
      </right>
      <top style="thin">
        <color auto="1"/>
      </top>
      <bottom/>
      <diagonal/>
    </border>
    <border>
      <left/>
      <right/>
      <top style="thin">
        <color indexed="64"/>
      </top>
      <bottom style="thin">
        <color indexed="64"/>
      </bottom>
      <diagonal/>
    </border>
    <border>
      <left style="thin">
        <color theme="0"/>
      </left>
      <right style="thin">
        <color theme="0"/>
      </right>
      <top/>
      <bottom/>
      <diagonal/>
    </border>
    <border>
      <left/>
      <right style="thin">
        <color theme="0"/>
      </right>
      <top/>
      <bottom/>
      <diagonal/>
    </border>
  </borders>
  <cellStyleXfs count="2">
    <xf numFmtId="0" fontId="0" fillId="0" borderId="0"/>
    <xf numFmtId="0" fontId="2" fillId="0" borderId="0" applyNumberFormat="0" applyFill="0" applyBorder="0" applyAlignment="0" applyProtection="0"/>
  </cellStyleXfs>
  <cellXfs count="119">
    <xf numFmtId="0" fontId="0" fillId="0" borderId="0" xfId="0"/>
    <xf numFmtId="0" fontId="0" fillId="0" borderId="0" xfId="0" applyAlignment="1">
      <alignment horizontal="left"/>
    </xf>
    <xf numFmtId="0" fontId="1" fillId="2" borderId="0" xfId="0" applyFont="1" applyFill="1"/>
    <xf numFmtId="0" fontId="0" fillId="0" borderId="0" xfId="0" applyAlignment="1">
      <alignment horizontal="center"/>
    </xf>
    <xf numFmtId="0" fontId="1" fillId="2" borderId="0" xfId="0" applyFont="1" applyFill="1" applyAlignment="1">
      <alignment horizontal="center"/>
    </xf>
    <xf numFmtId="0" fontId="2" fillId="0" borderId="0" xfId="1" applyFill="1"/>
    <xf numFmtId="0" fontId="3" fillId="0" borderId="0" xfId="0" applyFont="1"/>
    <xf numFmtId="0" fontId="1" fillId="2" borderId="8" xfId="0" applyFont="1" applyFill="1" applyBorder="1" applyAlignment="1">
      <alignment horizontal="center"/>
    </xf>
    <xf numFmtId="0" fontId="4" fillId="0" borderId="0" xfId="0" applyFont="1" applyAlignment="1">
      <alignment horizontal="center"/>
    </xf>
    <xf numFmtId="0" fontId="6" fillId="0" borderId="0" xfId="1" applyFont="1" applyFill="1" applyBorder="1" applyAlignment="1">
      <alignment horizontal="center"/>
    </xf>
    <xf numFmtId="0" fontId="5" fillId="0" borderId="0" xfId="0" applyFont="1" applyAlignment="1">
      <alignment horizontal="center"/>
    </xf>
    <xf numFmtId="0" fontId="7" fillId="2" borderId="0" xfId="0" applyFont="1" applyFill="1"/>
    <xf numFmtId="0" fontId="8" fillId="0" borderId="0" xfId="0" applyFont="1" applyAlignment="1">
      <alignment horizontal="center"/>
    </xf>
    <xf numFmtId="0" fontId="9" fillId="2" borderId="0" xfId="0" applyFont="1" applyFill="1"/>
    <xf numFmtId="0" fontId="7" fillId="2" borderId="0" xfId="0" applyFont="1" applyFill="1" applyAlignment="1">
      <alignment horizontal="left"/>
    </xf>
    <xf numFmtId="0" fontId="10" fillId="0" borderId="0" xfId="0" applyFont="1"/>
    <xf numFmtId="0" fontId="7" fillId="2" borderId="0" xfId="0" applyFont="1" applyFill="1" applyAlignment="1">
      <alignment horizontal="center"/>
    </xf>
    <xf numFmtId="0" fontId="5" fillId="3" borderId="0" xfId="0" applyFont="1" applyFill="1" applyAlignment="1">
      <alignment horizontal="center"/>
    </xf>
    <xf numFmtId="0" fontId="5" fillId="0" borderId="2" xfId="0" applyFont="1" applyBorder="1" applyAlignment="1">
      <alignment horizontal="center"/>
    </xf>
    <xf numFmtId="0" fontId="7" fillId="2" borderId="9" xfId="0" applyFont="1" applyFill="1" applyBorder="1"/>
    <xf numFmtId="0" fontId="5" fillId="0" borderId="0" xfId="0" applyFont="1" applyAlignment="1">
      <alignment horizontal="center" vertical="center"/>
    </xf>
    <xf numFmtId="18" fontId="0" fillId="0" borderId="0" xfId="0" applyNumberFormat="1" applyAlignment="1">
      <alignment horizontal="center"/>
    </xf>
    <xf numFmtId="164" fontId="0" fillId="0" borderId="0" xfId="0" applyNumberFormat="1"/>
    <xf numFmtId="18" fontId="0" fillId="0" borderId="0" xfId="0" applyNumberFormat="1"/>
    <xf numFmtId="164" fontId="4" fillId="0" borderId="0" xfId="0" applyNumberFormat="1" applyFont="1" applyAlignment="1">
      <alignment horizontal="center"/>
    </xf>
    <xf numFmtId="18" fontId="4" fillId="0" borderId="0" xfId="0" applyNumberFormat="1" applyFont="1" applyAlignment="1">
      <alignment horizontal="center"/>
    </xf>
    <xf numFmtId="0" fontId="0" fillId="0" borderId="0" xfId="0" applyAlignment="1">
      <alignment vertical="center"/>
    </xf>
    <xf numFmtId="0" fontId="5" fillId="0" borderId="0" xfId="0" applyFont="1"/>
    <xf numFmtId="0" fontId="7" fillId="2" borderId="9" xfId="0" applyFont="1" applyFill="1" applyBorder="1" applyAlignment="1">
      <alignment horizontal="left"/>
    </xf>
    <xf numFmtId="0" fontId="5" fillId="6" borderId="0" xfId="0" applyFont="1" applyFill="1" applyAlignment="1">
      <alignment vertical="top"/>
    </xf>
    <xf numFmtId="0" fontId="14" fillId="0" borderId="0" xfId="1" applyFont="1" applyFill="1" applyBorder="1" applyAlignment="1">
      <alignment horizontal="center"/>
    </xf>
    <xf numFmtId="0" fontId="5" fillId="5" borderId="6" xfId="0" applyFont="1" applyFill="1" applyBorder="1" applyAlignment="1">
      <alignment horizontal="center"/>
    </xf>
    <xf numFmtId="0" fontId="5" fillId="5" borderId="5" xfId="0" applyFont="1" applyFill="1" applyBorder="1" applyAlignment="1">
      <alignment horizontal="center"/>
    </xf>
    <xf numFmtId="0" fontId="0" fillId="8" borderId="0" xfId="0" applyFill="1"/>
    <xf numFmtId="0" fontId="0" fillId="0" borderId="0" xfId="0" applyAlignment="1">
      <alignment horizontal="center" vertical="center"/>
    </xf>
    <xf numFmtId="164" fontId="0" fillId="0" borderId="0" xfId="0" applyNumberFormat="1" applyAlignment="1">
      <alignment vertical="center"/>
    </xf>
    <xf numFmtId="0" fontId="7" fillId="2" borderId="9" xfId="0" applyFont="1" applyFill="1" applyBorder="1" applyAlignment="1">
      <alignment vertical="center"/>
    </xf>
    <xf numFmtId="20" fontId="0" fillId="0" borderId="0" xfId="0" applyNumberFormat="1"/>
    <xf numFmtId="0" fontId="19" fillId="0" borderId="0" xfId="0" applyFont="1" applyAlignment="1">
      <alignment wrapText="1"/>
    </xf>
    <xf numFmtId="0" fontId="20" fillId="0" borderId="0" xfId="0" applyFont="1"/>
    <xf numFmtId="0" fontId="5" fillId="3" borderId="2" xfId="0" applyFont="1" applyFill="1" applyBorder="1" applyAlignment="1">
      <alignment horizontal="center"/>
    </xf>
    <xf numFmtId="0" fontId="13" fillId="2" borderId="5" xfId="0" applyFont="1" applyFill="1" applyBorder="1" applyAlignment="1">
      <alignment horizontal="center" vertical="center"/>
    </xf>
    <xf numFmtId="0" fontId="5" fillId="4" borderId="5" xfId="0" applyFont="1" applyFill="1" applyBorder="1" applyAlignment="1">
      <alignment horizontal="center"/>
    </xf>
    <xf numFmtId="0" fontId="13" fillId="2" borderId="4" xfId="0" applyFont="1" applyFill="1" applyBorder="1" applyAlignment="1">
      <alignment horizontal="center" vertical="center"/>
    </xf>
    <xf numFmtId="0" fontId="1" fillId="2" borderId="0" xfId="0" applyFont="1" applyFill="1" applyAlignment="1">
      <alignment horizontal="center" vertical="center"/>
    </xf>
    <xf numFmtId="0" fontId="1" fillId="2" borderId="8" xfId="0" applyFont="1" applyFill="1" applyBorder="1" applyAlignment="1">
      <alignment horizontal="center" vertical="center"/>
    </xf>
    <xf numFmtId="0" fontId="5" fillId="4" borderId="6" xfId="0" applyFont="1" applyFill="1" applyBorder="1" applyAlignment="1">
      <alignment horizontal="center"/>
    </xf>
    <xf numFmtId="0" fontId="13" fillId="2" borderId="6" xfId="0" applyFont="1" applyFill="1" applyBorder="1" applyAlignment="1">
      <alignment horizontal="center" vertical="center"/>
    </xf>
    <xf numFmtId="18" fontId="4" fillId="0" borderId="0" xfId="0" applyNumberFormat="1" applyFont="1" applyAlignment="1">
      <alignment horizontal="center" vertical="center"/>
    </xf>
    <xf numFmtId="0" fontId="22" fillId="0" borderId="0" xfId="0" applyFont="1" applyAlignment="1">
      <alignment horizontal="center" vertical="center"/>
    </xf>
    <xf numFmtId="0" fontId="22" fillId="0" borderId="0" xfId="0" applyFont="1" applyAlignment="1">
      <alignment horizontal="center"/>
    </xf>
    <xf numFmtId="0" fontId="5" fillId="0" borderId="4" xfId="0" applyFont="1" applyBorder="1" applyAlignment="1">
      <alignment horizontal="center" vertical="center"/>
    </xf>
    <xf numFmtId="0" fontId="5" fillId="0" borderId="0" xfId="0" applyFont="1" applyAlignment="1">
      <alignment vertical="center"/>
    </xf>
    <xf numFmtId="0" fontId="5" fillId="3" borderId="11" xfId="0" applyFont="1" applyFill="1" applyBorder="1" applyAlignment="1">
      <alignment horizontal="center"/>
    </xf>
    <xf numFmtId="0" fontId="5" fillId="3" borderId="14" xfId="0" applyFont="1" applyFill="1" applyBorder="1" applyAlignment="1">
      <alignment horizontal="center"/>
    </xf>
    <xf numFmtId="0" fontId="5" fillId="3" borderId="10" xfId="0" applyFont="1" applyFill="1" applyBorder="1" applyAlignment="1">
      <alignment horizontal="center"/>
    </xf>
    <xf numFmtId="0" fontId="14" fillId="0" borderId="0" xfId="1" applyFont="1" applyFill="1" applyBorder="1" applyAlignment="1">
      <alignment horizontal="center" vertical="center"/>
    </xf>
    <xf numFmtId="0" fontId="5" fillId="6" borderId="4" xfId="0" applyFont="1" applyFill="1" applyBorder="1" applyAlignment="1">
      <alignment vertical="center"/>
    </xf>
    <xf numFmtId="0" fontId="5" fillId="6" borderId="6" xfId="0" applyFont="1" applyFill="1" applyBorder="1" applyAlignment="1">
      <alignment vertical="center"/>
    </xf>
    <xf numFmtId="0" fontId="5" fillId="6" borderId="5" xfId="0" applyFont="1" applyFill="1" applyBorder="1" applyAlignment="1">
      <alignment vertical="center"/>
    </xf>
    <xf numFmtId="0" fontId="5" fillId="0" borderId="0" xfId="0" pivotButton="1" applyFont="1" applyAlignment="1">
      <alignment horizontal="center" vertical="center"/>
    </xf>
    <xf numFmtId="14" fontId="24" fillId="0" borderId="0" xfId="0" applyNumberFormat="1" applyFont="1" applyAlignment="1">
      <alignment vertical="center"/>
    </xf>
    <xf numFmtId="0" fontId="0" fillId="0" borderId="0" xfId="0" applyAlignment="1">
      <alignment horizontal="left" vertical="top"/>
    </xf>
    <xf numFmtId="0" fontId="5" fillId="0" borderId="11" xfId="0" applyFont="1" applyBorder="1" applyAlignment="1">
      <alignment horizontal="center" vertical="center"/>
    </xf>
    <xf numFmtId="0" fontId="17" fillId="9" borderId="0" xfId="0" applyFont="1" applyFill="1" applyAlignment="1">
      <alignment horizontal="center" vertical="center"/>
    </xf>
    <xf numFmtId="0" fontId="18" fillId="0" borderId="0" xfId="0" applyFont="1" applyAlignment="1">
      <alignment horizontal="center" vertical="center"/>
    </xf>
    <xf numFmtId="49" fontId="17" fillId="9" borderId="15" xfId="0" applyNumberFormat="1" applyFont="1" applyFill="1" applyBorder="1" applyAlignment="1">
      <alignment horizontal="center" vertical="center"/>
    </xf>
    <xf numFmtId="0" fontId="17" fillId="9" borderId="15" xfId="0" applyFont="1" applyFill="1" applyBorder="1" applyAlignment="1">
      <alignment horizontal="center" vertical="center"/>
    </xf>
    <xf numFmtId="0" fontId="18" fillId="0" borderId="0" xfId="0" applyFont="1" applyAlignment="1">
      <alignment horizontal="left" vertical="center"/>
    </xf>
    <xf numFmtId="49" fontId="18" fillId="0" borderId="0" xfId="0" applyNumberFormat="1" applyFont="1" applyAlignment="1">
      <alignment horizontal="center" vertical="center"/>
    </xf>
    <xf numFmtId="0" fontId="2" fillId="0" borderId="0" xfId="1" applyAlignment="1">
      <alignment horizontal="center" vertical="center"/>
    </xf>
    <xf numFmtId="0" fontId="17" fillId="0" borderId="0" xfId="0" applyFont="1" applyAlignment="1">
      <alignment horizontal="left" vertical="center"/>
    </xf>
    <xf numFmtId="0" fontId="1" fillId="2" borderId="0" xfId="0" applyFont="1" applyFill="1" applyAlignment="1">
      <alignment horizontal="left" vertical="center"/>
    </xf>
    <xf numFmtId="0" fontId="5" fillId="0" borderId="0" xfId="0" applyFont="1" applyAlignment="1">
      <alignment horizontal="left" vertical="center"/>
    </xf>
    <xf numFmtId="0" fontId="0" fillId="0" borderId="0" xfId="0" applyAlignment="1">
      <alignment horizontal="left" vertical="center"/>
    </xf>
    <xf numFmtId="0" fontId="19" fillId="9" borderId="0" xfId="0" applyFont="1" applyFill="1" applyAlignment="1">
      <alignment horizontal="left" vertical="center"/>
    </xf>
    <xf numFmtId="0" fontId="19" fillId="0" borderId="0" xfId="0" applyFont="1" applyAlignment="1">
      <alignment horizontal="left" vertical="center"/>
    </xf>
    <xf numFmtId="0" fontId="26" fillId="0" borderId="0" xfId="0" applyFont="1" applyAlignment="1">
      <alignment horizontal="center" vertical="center"/>
    </xf>
    <xf numFmtId="0" fontId="17" fillId="9" borderId="1" xfId="0" applyFont="1" applyFill="1" applyBorder="1" applyAlignment="1">
      <alignment horizontal="center" vertical="center"/>
    </xf>
    <xf numFmtId="0" fontId="17" fillId="9" borderId="16" xfId="0" applyFont="1" applyFill="1" applyBorder="1" applyAlignment="1">
      <alignment horizontal="center" vertical="center"/>
    </xf>
    <xf numFmtId="164" fontId="5" fillId="5" borderId="6" xfId="0" applyNumberFormat="1" applyFont="1" applyFill="1" applyBorder="1" applyAlignment="1">
      <alignment horizontal="center" vertical="center"/>
    </xf>
    <xf numFmtId="164" fontId="5" fillId="5" borderId="5" xfId="0" applyNumberFormat="1" applyFont="1" applyFill="1" applyBorder="1" applyAlignment="1">
      <alignment horizontal="center" vertical="center"/>
    </xf>
    <xf numFmtId="164" fontId="5" fillId="5" borderId="4" xfId="0" applyNumberFormat="1" applyFont="1" applyFill="1" applyBorder="1" applyAlignment="1">
      <alignment horizontal="center" vertical="center"/>
    </xf>
    <xf numFmtId="0" fontId="18" fillId="0" borderId="0" xfId="1" applyNumberFormat="1" applyFont="1" applyAlignment="1">
      <alignment horizontal="center" vertical="center"/>
    </xf>
    <xf numFmtId="0" fontId="0" fillId="0" borderId="2" xfId="0" applyBorder="1" applyAlignment="1">
      <alignment horizontal="center"/>
    </xf>
    <xf numFmtId="0" fontId="0" fillId="0" borderId="0" xfId="0" pivotButton="1"/>
    <xf numFmtId="0" fontId="15" fillId="2" borderId="0" xfId="0" applyFont="1" applyFill="1"/>
    <xf numFmtId="0" fontId="0" fillId="4" borderId="0" xfId="0" applyFill="1"/>
    <xf numFmtId="0" fontId="0" fillId="7" borderId="0" xfId="0" applyFill="1"/>
    <xf numFmtId="0" fontId="4" fillId="4" borderId="0" xfId="0" applyFont="1" applyFill="1"/>
    <xf numFmtId="0" fontId="4" fillId="7" borderId="0" xfId="0" applyFont="1" applyFill="1"/>
    <xf numFmtId="0" fontId="25" fillId="10" borderId="0" xfId="0" applyFont="1" applyFill="1" applyAlignment="1">
      <alignment horizontal="center" vertical="center"/>
    </xf>
    <xf numFmtId="0" fontId="23" fillId="2" borderId="7" xfId="0" applyFont="1" applyFill="1" applyBorder="1" applyAlignment="1">
      <alignment horizontal="center" vertical="center"/>
    </xf>
    <xf numFmtId="0" fontId="23" fillId="2" borderId="0" xfId="0" applyFont="1" applyFill="1" applyAlignment="1">
      <alignment horizontal="center" vertical="center"/>
    </xf>
    <xf numFmtId="0" fontId="1" fillId="2" borderId="0" xfId="0" applyFont="1" applyFill="1" applyAlignment="1">
      <alignment horizontal="center" vertical="center"/>
    </xf>
    <xf numFmtId="0" fontId="16" fillId="0" borderId="10" xfId="0" applyFont="1" applyBorder="1" applyAlignment="1">
      <alignment horizontal="center"/>
    </xf>
    <xf numFmtId="0" fontId="16" fillId="0" borderId="11" xfId="0" applyFont="1" applyBorder="1" applyAlignment="1">
      <alignment horizontal="center"/>
    </xf>
    <xf numFmtId="0" fontId="12" fillId="2" borderId="3" xfId="0" applyFont="1" applyFill="1" applyBorder="1" applyAlignment="1">
      <alignment horizontal="center" vertical="center"/>
    </xf>
    <xf numFmtId="0" fontId="12" fillId="2" borderId="0" xfId="0" applyFont="1" applyFill="1" applyAlignment="1">
      <alignment horizontal="center" vertical="center"/>
    </xf>
    <xf numFmtId="0" fontId="1" fillId="2" borderId="8" xfId="0" applyFont="1" applyFill="1" applyBorder="1" applyAlignment="1">
      <alignment horizontal="center" vertical="center"/>
    </xf>
    <xf numFmtId="0" fontId="7" fillId="2" borderId="0" xfId="0" applyFont="1" applyFill="1" applyAlignment="1">
      <alignment horizontal="center" vertical="center"/>
    </xf>
    <xf numFmtId="0" fontId="12" fillId="2" borderId="3" xfId="0" applyFont="1" applyFill="1" applyBorder="1" applyAlignment="1">
      <alignment horizontal="center"/>
    </xf>
    <xf numFmtId="0" fontId="12" fillId="2" borderId="0" xfId="0" applyFont="1" applyFill="1" applyAlignment="1">
      <alignment horizontal="center"/>
    </xf>
    <xf numFmtId="0" fontId="11" fillId="2" borderId="7" xfId="0" applyFont="1" applyFill="1" applyBorder="1" applyAlignment="1">
      <alignment horizontal="center" vertical="center"/>
    </xf>
    <xf numFmtId="0" fontId="11" fillId="2" borderId="0" xfId="0" applyFont="1" applyFill="1" applyAlignment="1">
      <alignment horizontal="center" vertical="center"/>
    </xf>
    <xf numFmtId="0" fontId="0" fillId="0" borderId="2" xfId="0" applyNumberFormat="1" applyBorder="1" applyAlignment="1">
      <alignment horizontal="center"/>
    </xf>
    <xf numFmtId="0" fontId="5" fillId="0" borderId="2" xfId="0" applyNumberFormat="1" applyFont="1" applyBorder="1" applyAlignment="1">
      <alignment horizontal="left"/>
    </xf>
    <xf numFmtId="0" fontId="5" fillId="0" borderId="0" xfId="0" applyNumberFormat="1" applyFont="1" applyAlignment="1">
      <alignment horizontal="center" vertical="center"/>
    </xf>
    <xf numFmtId="0" fontId="5" fillId="0" borderId="0" xfId="0" applyFont="1" applyBorder="1"/>
    <xf numFmtId="164" fontId="5" fillId="0" borderId="13" xfId="0" applyNumberFormat="1" applyFont="1" applyBorder="1" applyAlignment="1">
      <alignment vertical="center"/>
    </xf>
    <xf numFmtId="164" fontId="5" fillId="4" borderId="5" xfId="0" applyNumberFormat="1" applyFont="1" applyFill="1" applyBorder="1" applyAlignment="1">
      <alignment horizontal="center" vertical="center"/>
    </xf>
    <xf numFmtId="164" fontId="5" fillId="0" borderId="12" xfId="0" applyNumberFormat="1" applyFont="1" applyBorder="1" applyAlignment="1">
      <alignment vertical="center"/>
    </xf>
    <xf numFmtId="0" fontId="5" fillId="0" borderId="12" xfId="0" applyNumberFormat="1" applyFont="1" applyBorder="1" applyAlignment="1">
      <alignment vertical="center"/>
    </xf>
    <xf numFmtId="0" fontId="5" fillId="0" borderId="13" xfId="0" applyNumberFormat="1" applyFont="1" applyBorder="1" applyAlignment="1">
      <alignment vertical="center"/>
    </xf>
    <xf numFmtId="0" fontId="5" fillId="0" borderId="11" xfId="0" applyNumberFormat="1" applyFont="1" applyBorder="1" applyAlignment="1">
      <alignment vertical="center"/>
    </xf>
    <xf numFmtId="164" fontId="5" fillId="4" borderId="4" xfId="0" applyNumberFormat="1" applyFont="1" applyFill="1" applyBorder="1" applyAlignment="1">
      <alignment horizontal="center" vertical="center"/>
    </xf>
    <xf numFmtId="0" fontId="5" fillId="0" borderId="0" xfId="0" applyFont="1" applyBorder="1" applyAlignment="1">
      <alignment horizontal="left" vertical="center"/>
    </xf>
    <xf numFmtId="0" fontId="0" fillId="0" borderId="0" xfId="0" applyBorder="1"/>
    <xf numFmtId="0" fontId="7" fillId="2" borderId="0" xfId="0" applyFont="1" applyFill="1" applyBorder="1"/>
  </cellXfs>
  <cellStyles count="2">
    <cellStyle name="Hyperlink" xfId="1" builtinId="8"/>
    <cellStyle name="Normal" xfId="0" builtinId="0"/>
  </cellStyles>
  <dxfs count="3894">
    <dxf>
      <font>
        <b/>
        <sz val="14"/>
        <color theme="0"/>
      </font>
      <fill>
        <patternFill patternType="solid">
          <bgColor theme="1"/>
        </patternFill>
      </fill>
    </dxf>
    <dxf>
      <border>
        <right/>
        <top/>
      </border>
    </dxf>
    <dxf>
      <border>
        <right/>
        <top/>
      </border>
    </dxf>
    <dxf>
      <border>
        <right/>
      </border>
    </dxf>
    <dxf>
      <border>
        <right/>
      </border>
    </dxf>
    <dxf>
      <font>
        <b/>
      </font>
    </dxf>
    <dxf>
      <font>
        <b/>
      </font>
    </dxf>
    <dxf>
      <font>
        <b/>
      </font>
    </dxf>
    <dxf>
      <font>
        <b/>
      </font>
    </dxf>
    <dxf>
      <font>
        <b/>
      </font>
    </dxf>
    <dxf>
      <font>
        <sz val="14"/>
      </font>
    </dxf>
    <dxf>
      <font>
        <sz val="14"/>
      </font>
    </dxf>
    <dxf>
      <font>
        <sz val="14"/>
      </font>
    </dxf>
    <dxf>
      <font>
        <sz val="14"/>
      </font>
    </dxf>
    <dxf>
      <font>
        <sz val="14"/>
      </font>
    </dxf>
    <dxf>
      <font>
        <sz val="15"/>
      </font>
    </dxf>
    <dxf>
      <font>
        <b/>
        <sz val="15"/>
        <color theme="0"/>
      </font>
      <fill>
        <patternFill patternType="solid">
          <fgColor indexed="64"/>
          <bgColor theme="1"/>
        </patternFill>
      </fill>
    </dxf>
    <dxf>
      <font>
        <b/>
        <sz val="14"/>
      </font>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font>
        <sz val="14"/>
      </font>
    </dxf>
    <dxf>
      <font>
        <sz val="14"/>
      </font>
    </dxf>
    <dxf>
      <font>
        <sz val="14"/>
      </font>
    </dxf>
    <dxf>
      <font>
        <b/>
      </font>
    </dxf>
    <dxf>
      <font>
        <b/>
      </font>
    </dxf>
    <dxf>
      <font>
        <b/>
      </font>
    </dxf>
    <dxf>
      <alignment vertical="center"/>
    </dxf>
    <dxf>
      <alignment horizontal="left"/>
    </dxf>
    <dxf>
      <alignment horizontal="left"/>
    </dxf>
    <dxf>
      <alignment horizontal="left"/>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font>
        <b/>
        <sz val="14"/>
        <color theme="0"/>
      </font>
      <fill>
        <patternFill patternType="solid">
          <fgColor indexed="64"/>
          <bgColor theme="1"/>
        </patternFill>
      </fill>
    </dxf>
    <dxf>
      <alignment horizontal="center"/>
    </dxf>
    <dxf>
      <fill>
        <patternFill patternType="solid">
          <fgColor theme="0"/>
          <bgColor theme="0"/>
        </patternFill>
      </fill>
    </dxf>
    <dxf>
      <font>
        <sz val="14"/>
      </font>
    </dxf>
    <dxf>
      <font>
        <sz val="14"/>
      </font>
    </dxf>
    <dxf>
      <font>
        <sz val="14"/>
      </font>
    </dxf>
    <dxf>
      <font>
        <b/>
      </font>
    </dxf>
    <dxf>
      <font>
        <b/>
      </font>
    </dxf>
    <dxf>
      <font>
        <b/>
      </font>
    </dxf>
    <dxf>
      <alignment horizontal="center"/>
    </dxf>
    <dxf>
      <alignment vertical="center"/>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font>
        <b/>
        <sz val="14"/>
        <color theme="0"/>
      </font>
      <fill>
        <patternFill patternType="solid">
          <fgColor indexed="64"/>
          <bgColor theme="1"/>
        </patternFill>
      </fill>
    </dxf>
    <dxf>
      <font>
        <b/>
        <sz val="14"/>
        <color theme="0"/>
      </font>
      <fill>
        <patternFill patternType="solid">
          <fgColor indexed="64"/>
          <bgColor theme="1"/>
        </patternFill>
      </fill>
    </dxf>
    <dxf>
      <fill>
        <patternFill patternType="solid">
          <fgColor theme="0"/>
          <bgColor theme="0"/>
        </patternFill>
      </fill>
      <alignment horizontal="center"/>
    </dxf>
    <dxf>
      <font>
        <sz val="14"/>
      </font>
    </dxf>
    <dxf>
      <font>
        <b/>
      </font>
    </dxf>
    <dxf>
      <alignment horizontal="center"/>
    </dxf>
    <dxf>
      <alignment vertical="center"/>
    </dxf>
    <dxf>
      <font>
        <b/>
        <sz val="14"/>
        <color theme="0"/>
      </font>
      <fill>
        <patternFill patternType="solid">
          <bgColor theme="1"/>
        </patternFill>
      </fill>
    </dxf>
    <dxf>
      <border>
        <right/>
        <top/>
      </border>
    </dxf>
    <dxf>
      <border>
        <right/>
        <top/>
      </border>
    </dxf>
    <dxf>
      <border>
        <right/>
      </border>
    </dxf>
    <dxf>
      <border>
        <right/>
      </border>
    </dxf>
    <dxf>
      <font>
        <b/>
      </font>
    </dxf>
    <dxf>
      <font>
        <b/>
      </font>
    </dxf>
    <dxf>
      <font>
        <b/>
      </font>
    </dxf>
    <dxf>
      <font>
        <b/>
      </font>
    </dxf>
    <dxf>
      <font>
        <b/>
      </font>
    </dxf>
    <dxf>
      <font>
        <sz val="14"/>
      </font>
    </dxf>
    <dxf>
      <font>
        <sz val="14"/>
      </font>
    </dxf>
    <dxf>
      <font>
        <sz val="14"/>
      </font>
    </dxf>
    <dxf>
      <font>
        <sz val="14"/>
      </font>
    </dxf>
    <dxf>
      <font>
        <sz val="14"/>
      </font>
    </dxf>
    <dxf>
      <font>
        <sz val="15"/>
      </font>
    </dxf>
    <dxf>
      <font>
        <b/>
        <sz val="15"/>
        <color theme="0"/>
      </font>
      <fill>
        <patternFill patternType="solid">
          <fgColor indexed="64"/>
          <bgColor theme="1"/>
        </patternFill>
      </fill>
    </dxf>
    <dxf>
      <font>
        <color theme="0"/>
      </font>
      <fill>
        <patternFill patternType="solid">
          <bgColor theme="1"/>
        </patternFill>
      </fill>
    </dxf>
    <dxf>
      <font>
        <b/>
        <sz val="14"/>
      </font>
    </dxf>
    <dxf>
      <font>
        <b/>
        <sz val="14"/>
        <color theme="0"/>
      </font>
      <fill>
        <patternFill patternType="solid">
          <bgColor theme="1"/>
        </patternFill>
      </fill>
    </dxf>
    <dxf>
      <font>
        <b/>
        <sz val="14"/>
        <color theme="0"/>
      </font>
      <fill>
        <patternFill patternType="solid">
          <bgColor theme="1"/>
        </patternFill>
      </fill>
    </dxf>
    <dxf>
      <font>
        <sz val="14"/>
        <color theme="0"/>
      </font>
      <fill>
        <patternFill patternType="solid">
          <bgColor theme="1"/>
        </patternFill>
      </fill>
    </dxf>
    <dxf>
      <font>
        <b/>
        <sz val="14"/>
        <color theme="0"/>
      </font>
      <fill>
        <patternFill patternType="solid">
          <fgColor indexed="64"/>
          <bgColor theme="1"/>
        </patternFill>
      </fill>
    </dxf>
    <dxf>
      <font>
        <b/>
        <sz val="14"/>
        <color theme="0"/>
      </font>
      <fill>
        <patternFill patternType="solid">
          <fgColor indexed="64"/>
          <bgColor theme="1"/>
        </patternFill>
      </fill>
    </dxf>
    <dxf>
      <alignment vertical="center"/>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bgColor theme="1"/>
        </patternFill>
      </fill>
    </dxf>
    <dxf>
      <alignment vertical="top"/>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indexed="64"/>
        </left>
        <right style="thin">
          <color indexed="64"/>
        </right>
        <bottom style="thin">
          <color indexed="64"/>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alignment horizontal="center"/>
    </dxf>
    <dxf>
      <alignment horizontal="center"/>
    </dxf>
    <dxf>
      <alignment horizontal="cent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fill>
        <patternFill patternType="solid">
          <bgColor theme="0" tint="-0.14999847407452621"/>
        </patternFill>
      </fill>
    </dxf>
    <dxf>
      <fill>
        <patternFill patternType="solid">
          <bgColor theme="0"/>
        </patternFill>
      </fill>
    </dxf>
    <dxf>
      <fill>
        <patternFill patternType="solid">
          <bgColor theme="0" tint="-0.14999847407452621"/>
        </patternFill>
      </fill>
    </dxf>
    <dxf>
      <fill>
        <patternFill patternType="solid">
          <bgColor theme="0" tint="-0.249977111117893"/>
        </patternFill>
      </fill>
    </dxf>
    <dxf>
      <fill>
        <patternFill patternType="solid">
          <bgColor theme="0"/>
        </patternFill>
      </fill>
    </dxf>
    <dxf>
      <fill>
        <patternFill patternType="solid">
          <bgColor theme="0" tint="-0.14999847407452621"/>
        </patternFill>
      </fill>
    </dxf>
    <dxf>
      <fill>
        <patternFill patternType="solid">
          <bgColor theme="0"/>
        </patternFill>
      </fill>
    </dxf>
    <dxf>
      <fill>
        <patternFill patternType="solid">
          <bgColor theme="0" tint="-0.14999847407452621"/>
        </patternFill>
      </fill>
    </dxf>
    <dxf>
      <fill>
        <patternFill patternType="solid">
          <bgColor theme="0"/>
        </patternFill>
      </fill>
    </dxf>
    <dxf>
      <fill>
        <patternFill patternType="solid">
          <bgColor theme="0" tint="-0.34998626667073579"/>
        </patternFill>
      </fill>
    </dxf>
    <dxf>
      <fill>
        <patternFill>
          <bgColor theme="0" tint="-0.249977111117893"/>
        </patternFill>
      </fill>
    </dxf>
    <dxf>
      <alignment horizontal="lef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5"/>
      </font>
    </dxf>
    <dxf>
      <font>
        <sz val="15"/>
      </font>
    </dxf>
    <dxf>
      <font>
        <sz val="15"/>
      </font>
    </dxf>
    <dxf>
      <font>
        <sz val="15"/>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5" formatCode="[$-F400]h:mm:ss\ AM/PM"/>
    </dxf>
    <dxf>
      <numFmt numFmtId="164" formatCode="[$-409]h:mm\ AM/PM;@"/>
    </dxf>
    <dxf>
      <font>
        <b/>
        <sz val="14"/>
      </font>
    </dxf>
    <dxf>
      <font>
        <b/>
        <sz val="14"/>
      </font>
    </dxf>
    <dxf>
      <font>
        <b/>
        <sz val="14"/>
      </font>
    </dxf>
    <dxf>
      <font>
        <b/>
        <sz val="14"/>
      </font>
    </dxf>
    <dxf>
      <font>
        <b/>
        <sz val="14"/>
      </font>
    </dxf>
    <dxf>
      <font>
        <b/>
        <sz val="14"/>
      </font>
    </dxf>
    <dxf>
      <font>
        <b/>
        <sz val="14"/>
      </font>
    </dxf>
    <dxf>
      <font>
        <color rgb="FFFF0000"/>
      </font>
    </dxf>
    <dxf>
      <font>
        <color rgb="FFFF0000"/>
      </font>
    </dxf>
    <dxf>
      <font>
        <b/>
        <sz val="14"/>
      </font>
    </dxf>
    <dxf>
      <font>
        <b/>
        <sz val="14"/>
      </font>
    </dxf>
    <dxf>
      <font>
        <b/>
        <sz val="14"/>
      </font>
    </dxf>
    <dxf>
      <font>
        <b/>
        <sz val="14"/>
      </font>
    </dxf>
    <dxf>
      <font>
        <b/>
        <sz val="14"/>
      </font>
    </dxf>
    <dxf>
      <border>
        <left style="thin">
          <color indexed="64"/>
        </left>
        <right style="thin">
          <color indexed="64"/>
        </right>
        <bottom style="thin">
          <color indexed="64"/>
        </bottom>
      </border>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ill>
        <patternFill patternType="solid">
          <bgColor theme="0" tint="-0.1499984740745262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border>
        <bottom style="thin">
          <color indexed="64"/>
        </bottom>
      </border>
    </dxf>
    <dxf>
      <border>
        <left style="thin">
          <color indexed="64"/>
        </left>
        <right style="thin">
          <color indexed="64"/>
        </right>
      </border>
    </dxf>
    <dxf>
      <border>
        <left style="thin">
          <color indexed="64"/>
        </left>
        <right style="thin">
          <color indexed="64"/>
        </right>
        <bottom style="thin">
          <color indexed="64"/>
        </bottom>
      </border>
    </dxf>
    <dxf>
      <font>
        <b/>
        <sz val="14"/>
      </font>
    </dxf>
    <dxf>
      <font>
        <b/>
        <sz val="14"/>
      </font>
    </dxf>
    <dxf>
      <font>
        <b/>
        <sz val="14"/>
      </font>
    </dxf>
    <dxf>
      <font>
        <color theme="1"/>
      </font>
    </dxf>
    <dxf>
      <font>
        <color rgb="FFFF0000"/>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4"/>
      </font>
    </dxf>
    <dxf>
      <font>
        <sz val="14"/>
      </font>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font>
        <b/>
      </font>
    </dxf>
    <dxf>
      <font>
        <b/>
      </font>
    </dxf>
    <dxf>
      <fill>
        <patternFill patternType="none">
          <bgColor auto="1"/>
        </patternFill>
      </fill>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right/>
      </border>
    </dxf>
    <dxf>
      <border>
        <right/>
      </border>
    </dxf>
    <dxf>
      <fill>
        <patternFill patternType="none">
          <bgColor auto="1"/>
        </patternFill>
      </fill>
    </dxf>
    <dxf>
      <font>
        <color auto="1"/>
      </font>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style="thin">
          <color indexed="64"/>
        </right>
      </border>
    </dxf>
    <dxf>
      <fill>
        <patternFill patternType="solid">
          <bgColor theme="1"/>
        </patternFill>
      </fill>
    </dxf>
    <dxf>
      <font>
        <color rgb="FFFFFF00"/>
      </font>
    </dxf>
    <dxf>
      <font>
        <color rgb="FFFF000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border>
    </dxf>
    <dxf>
      <border>
        <left/>
        <right/>
        <top/>
        <bottom/>
      </border>
    </dxf>
    <dxf>
      <border>
        <left style="thin">
          <color indexed="64"/>
        </left>
        <right style="thin">
          <color indexed="64"/>
        </right>
        <top style="thin">
          <color indexed="64"/>
        </top>
      </border>
    </dxf>
    <dxf>
      <border>
        <top style="thin">
          <color indexed="64"/>
        </top>
      </border>
    </dxf>
    <dxf>
      <font>
        <color rgb="FFFF0000"/>
      </font>
    </dxf>
    <dxf>
      <font>
        <color rgb="FFFF0000"/>
      </font>
    </dxf>
    <dxf>
      <font>
        <color theme="0"/>
      </font>
      <fill>
        <patternFill patternType="solid">
          <fgColor indexed="64"/>
          <bgColor theme="1"/>
        </patternFill>
      </fill>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alignment vertical="center"/>
    </dxf>
    <dxf>
      <alignment vertical="center"/>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left"/>
    </dxf>
    <dxf>
      <alignment horizontal="center"/>
    </dxf>
    <dxf>
      <font>
        <b/>
      </font>
    </dxf>
    <dxf>
      <font>
        <sz val="14"/>
      </font>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color theme="0"/>
      </font>
    </dxf>
    <dxf>
      <font>
        <color theme="0"/>
      </font>
    </dxf>
    <dxf>
      <font>
        <color theme="0"/>
      </font>
    </dxf>
    <dxf>
      <font>
        <color theme="0"/>
      </font>
    </dxf>
    <dxf>
      <font>
        <b/>
        <sz val="14"/>
        <color theme="0"/>
      </font>
      <fill>
        <patternFill patternType="solid">
          <bgColor theme="1"/>
        </patternFill>
      </fill>
    </dxf>
    <dxf>
      <border>
        <right/>
        <top/>
      </border>
    </dxf>
    <dxf>
      <border>
        <right/>
        <top/>
      </border>
    </dxf>
    <dxf>
      <border>
        <right/>
      </border>
    </dxf>
    <dxf>
      <border>
        <right/>
      </border>
    </dxf>
    <dxf>
      <font>
        <b/>
      </font>
    </dxf>
    <dxf>
      <font>
        <b/>
      </font>
    </dxf>
    <dxf>
      <font>
        <b/>
      </font>
    </dxf>
    <dxf>
      <font>
        <b/>
      </font>
    </dxf>
    <dxf>
      <font>
        <b/>
      </font>
    </dxf>
    <dxf>
      <font>
        <sz val="14"/>
      </font>
    </dxf>
    <dxf>
      <font>
        <sz val="14"/>
      </font>
    </dxf>
    <dxf>
      <font>
        <sz val="14"/>
      </font>
    </dxf>
    <dxf>
      <font>
        <sz val="14"/>
      </font>
    </dxf>
    <dxf>
      <font>
        <sz val="14"/>
      </font>
    </dxf>
    <dxf>
      <font>
        <sz val="15"/>
      </font>
    </dxf>
    <dxf>
      <font>
        <b/>
        <sz val="15"/>
        <color theme="0"/>
      </font>
      <fill>
        <patternFill patternType="solid">
          <fgColor indexed="64"/>
          <bgColor theme="1"/>
        </patternFill>
      </fill>
    </dxf>
    <dxf>
      <font>
        <b/>
        <sz val="14"/>
      </font>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alignment horizontal="center"/>
    </dxf>
    <dxf>
      <alignment horizontal="center"/>
    </dxf>
    <dxf>
      <alignment horizontal="center"/>
    </dxf>
    <dxf>
      <font>
        <b/>
        <sz val="14"/>
        <color theme="0"/>
      </font>
      <fill>
        <patternFill patternType="solid">
          <fgColor indexed="64"/>
          <bgColor theme="1"/>
        </patternFill>
      </fill>
    </dxf>
    <dxf>
      <font>
        <sz val="11"/>
      </font>
    </dxf>
    <dxf>
      <font>
        <b val="0"/>
      </font>
    </dxf>
    <dxf>
      <fill>
        <patternFill>
          <bgColor theme="0"/>
        </patternFill>
      </fill>
    </dxf>
    <dxf>
      <font>
        <color theme="1"/>
      </font>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font>
        <sz val="14"/>
      </font>
    </dxf>
    <dxf>
      <font>
        <sz val="14"/>
      </font>
    </dxf>
    <dxf>
      <font>
        <sz val="14"/>
      </font>
    </dxf>
    <dxf>
      <font>
        <b/>
      </font>
    </dxf>
    <dxf>
      <font>
        <b/>
      </font>
    </dxf>
    <dxf>
      <font>
        <b/>
      </font>
    </dxf>
    <dxf>
      <alignment vertical="center"/>
    </dxf>
    <dxf>
      <alignment horizontal="left"/>
    </dxf>
    <dxf>
      <alignment horizontal="left"/>
    </dxf>
    <dxf>
      <alignment horizontal="left"/>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font>
        <b/>
        <sz val="14"/>
        <color theme="0"/>
      </font>
      <fill>
        <patternFill patternType="solid">
          <fgColor indexed="64"/>
          <bgColor theme="1"/>
        </patternFill>
      </fill>
    </dxf>
    <dxf>
      <alignment horizontal="center"/>
    </dxf>
    <dxf>
      <fill>
        <patternFill patternType="solid">
          <fgColor theme="0"/>
          <bgColor theme="0"/>
        </patternFill>
      </fill>
    </dxf>
    <dxf>
      <font>
        <sz val="14"/>
      </font>
    </dxf>
    <dxf>
      <font>
        <sz val="14"/>
      </font>
    </dxf>
    <dxf>
      <font>
        <sz val="14"/>
      </font>
    </dxf>
    <dxf>
      <font>
        <b/>
      </font>
    </dxf>
    <dxf>
      <font>
        <b/>
      </font>
    </dxf>
    <dxf>
      <font>
        <b/>
      </font>
    </dxf>
    <dxf>
      <alignment horizontal="center"/>
    </dxf>
    <dxf>
      <alignment vertical="center"/>
    </dxf>
    <dxf>
      <font>
        <b/>
        <sz val="14"/>
        <color theme="0"/>
      </font>
      <fill>
        <patternFill patternType="solid">
          <bgColor theme="1"/>
        </patternFill>
      </fill>
    </dxf>
    <dxf>
      <font>
        <b/>
        <sz val="14"/>
        <color theme="0"/>
      </font>
      <fill>
        <patternFill patternType="solid">
          <fgColor indexed="64"/>
          <bgColor theme="1"/>
        </patternFill>
      </fill>
    </dxf>
    <dxf>
      <alignment horizontal="center"/>
    </dxf>
    <dxf>
      <border>
        <left style="thin">
          <color indexed="64"/>
        </left>
        <right style="thin">
          <color indexed="64"/>
        </right>
        <top style="thin">
          <color indexed="64"/>
        </top>
        <bottom style="thin">
          <color indexed="64"/>
        </bottom>
      </border>
    </dxf>
    <dxf>
      <font>
        <b/>
        <sz val="14"/>
        <color theme="0"/>
      </font>
      <fill>
        <patternFill patternType="solid">
          <fgColor indexed="64"/>
          <bgColor theme="1"/>
        </patternFill>
      </fill>
    </dxf>
    <dxf>
      <font>
        <b/>
        <sz val="14"/>
        <color theme="0"/>
      </font>
      <fill>
        <patternFill patternType="solid">
          <fgColor indexed="64"/>
          <bgColor theme="1"/>
        </patternFill>
      </fill>
    </dxf>
    <dxf>
      <fill>
        <patternFill patternType="solid">
          <fgColor theme="0"/>
          <bgColor theme="0"/>
        </patternFill>
      </fill>
      <alignment horizontal="center"/>
    </dxf>
    <dxf>
      <font>
        <sz val="14"/>
      </font>
    </dxf>
    <dxf>
      <font>
        <b/>
      </font>
    </dxf>
    <dxf>
      <alignment horizontal="center"/>
    </dxf>
    <dxf>
      <alignment vertical="center"/>
    </dxf>
    <dxf>
      <font>
        <b/>
        <sz val="14"/>
        <color theme="0"/>
      </font>
      <fill>
        <patternFill patternType="solid">
          <bgColor theme="1"/>
        </patternFill>
      </fill>
    </dxf>
    <dxf>
      <border>
        <right/>
        <top/>
      </border>
    </dxf>
    <dxf>
      <border>
        <right/>
        <top/>
      </border>
    </dxf>
    <dxf>
      <border>
        <right/>
      </border>
    </dxf>
    <dxf>
      <border>
        <right/>
      </border>
    </dxf>
    <dxf>
      <font>
        <b/>
      </font>
    </dxf>
    <dxf>
      <font>
        <b/>
      </font>
    </dxf>
    <dxf>
      <font>
        <b/>
      </font>
    </dxf>
    <dxf>
      <font>
        <b/>
      </font>
    </dxf>
    <dxf>
      <font>
        <b/>
      </font>
    </dxf>
    <dxf>
      <font>
        <sz val="14"/>
      </font>
    </dxf>
    <dxf>
      <font>
        <sz val="14"/>
      </font>
    </dxf>
    <dxf>
      <font>
        <sz val="14"/>
      </font>
    </dxf>
    <dxf>
      <font>
        <sz val="14"/>
      </font>
    </dxf>
    <dxf>
      <font>
        <sz val="14"/>
      </font>
    </dxf>
    <dxf>
      <font>
        <sz val="15"/>
      </font>
    </dxf>
    <dxf>
      <font>
        <b/>
        <sz val="15"/>
        <color theme="0"/>
      </font>
      <fill>
        <patternFill patternType="solid">
          <fgColor indexed="64"/>
          <bgColor theme="1"/>
        </patternFill>
      </fill>
    </dxf>
    <dxf>
      <font>
        <color theme="0"/>
      </font>
      <fill>
        <patternFill patternType="solid">
          <bgColor theme="1"/>
        </patternFill>
      </fill>
    </dxf>
    <dxf>
      <font>
        <b/>
        <sz val="14"/>
      </font>
    </dxf>
    <dxf>
      <font>
        <b/>
        <sz val="14"/>
        <color theme="0"/>
      </font>
      <fill>
        <patternFill patternType="solid">
          <bgColor theme="1"/>
        </patternFill>
      </fill>
    </dxf>
    <dxf>
      <font>
        <b/>
        <sz val="14"/>
        <color theme="0"/>
      </font>
      <fill>
        <patternFill patternType="solid">
          <bgColor theme="1"/>
        </patternFill>
      </fill>
    </dxf>
    <dxf>
      <font>
        <sz val="14"/>
        <color theme="0"/>
      </font>
      <fill>
        <patternFill patternType="solid">
          <bgColor theme="1"/>
        </patternFill>
      </fill>
    </dxf>
    <dxf>
      <font>
        <b/>
        <sz val="14"/>
        <color theme="0"/>
      </font>
      <fill>
        <patternFill patternType="solid">
          <fgColor indexed="64"/>
          <bgColor theme="1"/>
        </patternFill>
      </fill>
    </dxf>
    <dxf>
      <font>
        <b/>
        <sz val="14"/>
        <color theme="0"/>
      </font>
      <fill>
        <patternFill patternType="solid">
          <fgColor indexed="64"/>
          <bgColor theme="1"/>
        </patternFill>
      </fill>
    </dxf>
    <dxf>
      <alignment vertical="center"/>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bgColor theme="1"/>
        </patternFill>
      </fill>
    </dxf>
    <dxf>
      <alignment vertical="top"/>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indexed="64"/>
        </left>
        <right style="thin">
          <color indexed="64"/>
        </right>
        <bottom style="thin">
          <color indexed="64"/>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alignment horizontal="center"/>
    </dxf>
    <dxf>
      <alignment horizontal="center"/>
    </dxf>
    <dxf>
      <alignment horizontal="cent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fill>
        <patternFill patternType="solid">
          <bgColor theme="0" tint="-0.14999847407452621"/>
        </patternFill>
      </fill>
    </dxf>
    <dxf>
      <fill>
        <patternFill patternType="solid">
          <bgColor theme="0"/>
        </patternFill>
      </fill>
    </dxf>
    <dxf>
      <fill>
        <patternFill patternType="solid">
          <bgColor theme="0" tint="-0.14999847407452621"/>
        </patternFill>
      </fill>
    </dxf>
    <dxf>
      <fill>
        <patternFill patternType="solid">
          <bgColor theme="0" tint="-0.249977111117893"/>
        </patternFill>
      </fill>
    </dxf>
    <dxf>
      <fill>
        <patternFill patternType="solid">
          <bgColor theme="0"/>
        </patternFill>
      </fill>
    </dxf>
    <dxf>
      <fill>
        <patternFill patternType="solid">
          <bgColor theme="0" tint="-0.14999847407452621"/>
        </patternFill>
      </fill>
    </dxf>
    <dxf>
      <fill>
        <patternFill patternType="solid">
          <bgColor theme="0"/>
        </patternFill>
      </fill>
    </dxf>
    <dxf>
      <fill>
        <patternFill patternType="solid">
          <bgColor theme="0" tint="-0.14999847407452621"/>
        </patternFill>
      </fill>
    </dxf>
    <dxf>
      <fill>
        <patternFill patternType="solid">
          <bgColor theme="0"/>
        </patternFill>
      </fill>
    </dxf>
    <dxf>
      <fill>
        <patternFill patternType="solid">
          <bgColor theme="0" tint="-0.34998626667073579"/>
        </patternFill>
      </fill>
    </dxf>
    <dxf>
      <fill>
        <patternFill>
          <bgColor theme="0" tint="-0.249977111117893"/>
        </patternFill>
      </fill>
    </dxf>
    <dxf>
      <alignment horizontal="lef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5"/>
      </font>
    </dxf>
    <dxf>
      <font>
        <sz val="15"/>
      </font>
    </dxf>
    <dxf>
      <font>
        <sz val="15"/>
      </font>
    </dxf>
    <dxf>
      <font>
        <sz val="15"/>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5" formatCode="[$-F400]h:mm:ss\ AM/PM"/>
    </dxf>
    <dxf>
      <numFmt numFmtId="164" formatCode="[$-409]h:mm\ AM/PM;@"/>
    </dxf>
    <dxf>
      <font>
        <b/>
        <sz val="14"/>
      </font>
    </dxf>
    <dxf>
      <font>
        <b/>
        <sz val="14"/>
      </font>
    </dxf>
    <dxf>
      <font>
        <b/>
        <sz val="14"/>
      </font>
    </dxf>
    <dxf>
      <font>
        <b/>
        <sz val="14"/>
      </font>
    </dxf>
    <dxf>
      <font>
        <b/>
        <sz val="14"/>
      </font>
    </dxf>
    <dxf>
      <font>
        <b/>
        <sz val="14"/>
      </font>
    </dxf>
    <dxf>
      <font>
        <b/>
        <sz val="14"/>
      </font>
    </dxf>
    <dxf>
      <font>
        <color rgb="FFFF0000"/>
      </font>
    </dxf>
    <dxf>
      <font>
        <color rgb="FFFF0000"/>
      </font>
    </dxf>
    <dxf>
      <font>
        <b/>
        <sz val="14"/>
      </font>
    </dxf>
    <dxf>
      <font>
        <b/>
        <sz val="14"/>
      </font>
    </dxf>
    <dxf>
      <font>
        <b/>
        <sz val="14"/>
      </font>
    </dxf>
    <dxf>
      <font>
        <b/>
        <sz val="14"/>
      </font>
    </dxf>
    <dxf>
      <font>
        <b/>
        <sz val="14"/>
      </font>
    </dxf>
    <dxf>
      <border>
        <left style="thin">
          <color indexed="64"/>
        </left>
        <right style="thin">
          <color indexed="64"/>
        </right>
        <bottom style="thin">
          <color indexed="64"/>
        </bottom>
      </border>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ill>
        <patternFill patternType="solid">
          <bgColor theme="0" tint="-0.1499984740745262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border>
        <bottom style="thin">
          <color indexed="64"/>
        </bottom>
      </border>
    </dxf>
    <dxf>
      <border>
        <left style="thin">
          <color indexed="64"/>
        </left>
        <right style="thin">
          <color indexed="64"/>
        </right>
      </border>
    </dxf>
    <dxf>
      <border>
        <left style="thin">
          <color indexed="64"/>
        </left>
        <right style="thin">
          <color indexed="64"/>
        </right>
        <bottom style="thin">
          <color indexed="64"/>
        </bottom>
      </border>
    </dxf>
    <dxf>
      <font>
        <b/>
        <sz val="14"/>
      </font>
    </dxf>
    <dxf>
      <font>
        <b/>
        <sz val="14"/>
      </font>
    </dxf>
    <dxf>
      <font>
        <b/>
        <sz val="14"/>
      </font>
    </dxf>
    <dxf>
      <font>
        <color theme="1"/>
      </font>
    </dxf>
    <dxf>
      <font>
        <color rgb="FFFF0000"/>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4"/>
      </font>
    </dxf>
    <dxf>
      <font>
        <sz val="14"/>
      </font>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font>
        <b/>
      </font>
    </dxf>
    <dxf>
      <font>
        <b/>
      </font>
    </dxf>
    <dxf>
      <fill>
        <patternFill patternType="none">
          <bgColor auto="1"/>
        </patternFill>
      </fill>
    </dxf>
    <dxf>
      <border>
        <left style="thin">
          <color indexed="64"/>
        </left>
        <right style="thin">
          <color indexed="64"/>
        </right>
        <top style="thin">
          <color indexed="64"/>
        </top>
      </border>
    </dxf>
    <dxf>
      <border>
        <left style="thin">
          <color indexed="64"/>
        </left>
        <right style="thin">
          <color indexed="64"/>
        </right>
        <top style="thin">
          <color indexed="64"/>
        </top>
        <bottom style="thin">
          <color indexed="64"/>
        </bottom>
      </bord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right/>
      </border>
    </dxf>
    <dxf>
      <border>
        <right/>
      </border>
    </dxf>
    <dxf>
      <fill>
        <patternFill patternType="none">
          <bgColor auto="1"/>
        </patternFill>
      </fill>
    </dxf>
    <dxf>
      <font>
        <color auto="1"/>
      </font>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border>
        <right style="thin">
          <color indexed="64"/>
        </right>
      </border>
    </dxf>
    <dxf>
      <fill>
        <patternFill patternType="solid">
          <bgColor theme="1"/>
        </patternFill>
      </fill>
    </dxf>
    <dxf>
      <font>
        <color rgb="FFFFFF00"/>
      </font>
    </dxf>
    <dxf>
      <font>
        <color rgb="FFFF000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border>
    </dxf>
    <dxf>
      <border>
        <left/>
        <right/>
        <top/>
        <bottom/>
      </border>
    </dxf>
    <dxf>
      <border>
        <left style="thin">
          <color indexed="64"/>
        </left>
        <right style="thin">
          <color indexed="64"/>
        </right>
        <top style="thin">
          <color indexed="64"/>
        </top>
      </border>
    </dxf>
    <dxf>
      <border>
        <top style="thin">
          <color indexed="64"/>
        </top>
      </border>
    </dxf>
    <dxf>
      <font>
        <color rgb="FFFF0000"/>
      </font>
    </dxf>
    <dxf>
      <font>
        <color rgb="FFFF0000"/>
      </font>
    </dxf>
    <dxf>
      <font>
        <color theme="0"/>
      </font>
      <fill>
        <patternFill patternType="solid">
          <fgColor indexed="64"/>
          <bgColor theme="1"/>
        </patternFill>
      </fill>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alignment vertical="center"/>
    </dxf>
    <dxf>
      <alignment vertical="center"/>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left"/>
    </dxf>
    <dxf>
      <alignment horizontal="center"/>
    </dxf>
    <dxf>
      <font>
        <b/>
      </font>
    </dxf>
    <dxf>
      <font>
        <sz val="14"/>
      </font>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FF0000"/>
      </font>
    </dxf>
    <dxf>
      <font>
        <color rgb="FFC00000"/>
      </font>
    </dxf>
    <dxf>
      <font>
        <color rgb="FF9C0006"/>
      </font>
      <fill>
        <patternFill>
          <bgColor rgb="FFFFC7CE"/>
        </patternFill>
      </fill>
    </dxf>
    <dxf>
      <font>
        <color rgb="FFFF0000"/>
      </font>
    </dxf>
    <dxf>
      <fill>
        <patternFill>
          <bgColor theme="0" tint="-0.14996795556505021"/>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C00000"/>
      </font>
    </dxf>
    <dxf>
      <font>
        <color rgb="FF006100"/>
      </font>
      <fill>
        <patternFill>
          <bgColor rgb="FFC6EFCE"/>
        </patternFill>
      </fill>
    </dxf>
    <dxf>
      <font>
        <color rgb="FFFF0000"/>
      </font>
    </dxf>
    <dxf>
      <font>
        <color rgb="FFC00000"/>
      </font>
    </dxf>
    <dxf>
      <font>
        <color rgb="FF006100"/>
      </font>
      <fill>
        <patternFill>
          <bgColor rgb="FFC6EFCE"/>
        </patternFill>
      </fill>
    </dxf>
    <dxf>
      <font>
        <color rgb="FFFF0000"/>
      </font>
    </dxf>
    <dxf>
      <font>
        <color rgb="FFC00000"/>
      </font>
    </dxf>
    <dxf>
      <font>
        <color rgb="FFFF0000"/>
      </font>
    </dxf>
    <dxf>
      <font>
        <color rgb="FFC00000"/>
      </font>
    </dxf>
    <dxf>
      <font>
        <color rgb="FF9C0006"/>
      </font>
      <fill>
        <patternFill>
          <bgColor rgb="FFFFC7CE"/>
        </patternFill>
      </fill>
    </dxf>
    <dxf>
      <font>
        <color rgb="FFFF0000"/>
      </font>
    </dxf>
    <dxf>
      <fill>
        <patternFill>
          <bgColor theme="0" tint="-0.14996795556505021"/>
        </patternFill>
      </fill>
    </dxf>
    <dxf>
      <border>
        <left style="thin">
          <color indexed="64"/>
        </left>
      </border>
    </dxf>
    <dxf>
      <border>
        <top style="thin">
          <color indexed="64"/>
        </top>
      </border>
    </dxf>
    <dxf>
      <border>
        <right style="thin">
          <color indexed="64"/>
        </right>
      </border>
    </dxf>
    <dxf>
      <border>
        <bottom style="thin">
          <color indexed="64"/>
        </bottom>
      </border>
    </dxf>
    <dxf>
      <font>
        <b/>
      </font>
    </dxf>
    <dxf>
      <font>
        <sz val="14"/>
      </font>
    </dxf>
    <dxf>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color rgb="FFFF0000"/>
      </font>
    </dxf>
    <dxf>
      <font>
        <color rgb="FFFF0000"/>
      </font>
    </dxf>
    <dxf>
      <font>
        <color rgb="FFFF0000"/>
      </font>
    </dxf>
    <dxf>
      <font>
        <color rgb="FFFF0000"/>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5"/>
      </font>
    </dxf>
    <dxf>
      <font>
        <sz val="15"/>
      </font>
    </dxf>
    <dxf>
      <font>
        <sz val="15"/>
      </font>
    </dxf>
    <dxf>
      <font>
        <sz val="15"/>
      </font>
    </dxf>
    <dxf>
      <alignment horizontal="left"/>
    </dxf>
    <dxf>
      <fill>
        <patternFill>
          <bgColor theme="0" tint="-0.249977111117893"/>
        </patternFill>
      </fill>
    </dxf>
    <dxf>
      <fill>
        <patternFill patternType="solid">
          <bgColor theme="0" tint="-0.34998626667073579"/>
        </patternFill>
      </fill>
    </dxf>
    <dxf>
      <fill>
        <patternFill patternType="solid">
          <bgColor theme="0"/>
        </patternFill>
      </fill>
    </dxf>
    <dxf>
      <fill>
        <patternFill patternType="solid">
          <bgColor theme="0" tint="-0.14999847407452621"/>
        </patternFill>
      </fill>
    </dxf>
    <dxf>
      <fill>
        <patternFill patternType="solid">
          <bgColor theme="0"/>
        </patternFill>
      </fill>
    </dxf>
    <dxf>
      <fill>
        <patternFill patternType="solid">
          <bgColor theme="0" tint="-0.14999847407452621"/>
        </patternFill>
      </fill>
    </dxf>
    <dxf>
      <fill>
        <patternFill patternType="solid">
          <bgColor theme="0" tint="-0.249977111117893"/>
        </patternFill>
      </fill>
    </dxf>
    <dxf>
      <fill>
        <patternFill patternType="solid">
          <bgColor theme="0" tint="-0.14999847407452621"/>
        </patternFill>
      </fill>
    </dxf>
    <dxf>
      <fill>
        <patternFill patternType="solid">
          <bgColor theme="0"/>
        </patternFill>
      </fill>
    </dxf>
    <dxf>
      <alignment horizontal="center"/>
    </dxf>
    <dxf>
      <alignment horizontal="center"/>
    </dxf>
    <dxf>
      <alignment horizontal="center"/>
    </dxf>
    <dxf>
      <alignment horizontal="cent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indexed="64"/>
        </left>
        <right style="thin">
          <color indexed="64"/>
        </right>
        <bottom style="thin">
          <color indexed="64"/>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alignment vertical="top"/>
    </dxf>
    <dxf>
      <font>
        <color rgb="FFFFFF00"/>
      </font>
      <fill>
        <patternFill patternType="solid">
          <bgColor theme="1"/>
        </patternFill>
      </fill>
    </dxf>
    <dxf>
      <alignment vertical="center"/>
    </dxf>
    <dxf>
      <font>
        <b/>
        <sz val="14"/>
        <color theme="0"/>
      </font>
      <fill>
        <patternFill patternType="solid">
          <fgColor indexed="64"/>
          <bgColor theme="1"/>
        </patternFill>
      </fill>
    </dxf>
    <dxf>
      <font>
        <b/>
        <sz val="14"/>
        <color theme="0"/>
      </font>
      <fill>
        <patternFill patternType="solid">
          <fgColor indexed="64"/>
          <bgColor theme="1"/>
        </patternFill>
      </fill>
    </dxf>
    <dxf>
      <font>
        <sz val="14"/>
        <color theme="0"/>
      </font>
      <fill>
        <patternFill patternType="solid">
          <bgColor theme="1"/>
        </patternFill>
      </fill>
    </dxf>
    <dxf>
      <font>
        <b/>
        <sz val="14"/>
        <color theme="0"/>
      </font>
      <fill>
        <patternFill patternType="solid">
          <bgColor theme="1"/>
        </patternFill>
      </fill>
    </dxf>
    <dxf>
      <font>
        <b/>
        <sz val="14"/>
        <color theme="0"/>
      </font>
      <fill>
        <patternFill patternType="solid">
          <bgColor theme="1"/>
        </patternFill>
      </fill>
    </dxf>
    <dxf>
      <font>
        <b/>
        <sz val="14"/>
      </font>
    </dxf>
    <dxf>
      <font>
        <color theme="0"/>
      </font>
      <fill>
        <patternFill patternType="solid">
          <bgColor theme="1"/>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ill>
        <patternFill patternType="none">
          <fgColor indexed="64"/>
          <bgColor indexed="65"/>
        </patternFill>
      </fill>
    </dxf>
    <dxf>
      <font>
        <sz val="14"/>
      </font>
    </dxf>
    <dxf>
      <font>
        <sz val="14"/>
      </font>
    </dxf>
    <dxf>
      <fill>
        <patternFill patternType="none">
          <fgColor indexed="64"/>
          <bgColor indexed="65"/>
        </patternFill>
      </fill>
    </dxf>
    <dxf>
      <fill>
        <patternFill patternType="solid">
          <bgColor rgb="FF92D050"/>
        </patternFill>
      </fill>
    </dxf>
    <dxf>
      <fill>
        <patternFill patternType="solid">
          <bgColor rgb="FF92D050"/>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alignment horizontal="center"/>
    </dxf>
    <dxf>
      <alignment horizontal="center"/>
    </dxf>
    <dxf>
      <alignment vertical="center"/>
    </dxf>
    <dxf>
      <font>
        <sz val="14"/>
      </font>
    </dxf>
    <dxf>
      <font>
        <b/>
        <sz val="14"/>
      </font>
    </dxf>
    <dxf>
      <font>
        <sz val="15"/>
      </font>
    </dxf>
    <dxf>
      <font>
        <sz val="15"/>
      </font>
    </dxf>
    <dxf>
      <font>
        <sz val="15"/>
      </font>
    </dxf>
    <dxf>
      <font>
        <sz val="15"/>
      </font>
    </dxf>
    <dxf>
      <font>
        <sz val="15"/>
      </font>
    </dxf>
    <dxf>
      <font>
        <sz val="14"/>
      </font>
    </dxf>
    <dxf>
      <font>
        <sz val="14"/>
      </font>
    </dxf>
    <dxf>
      <font>
        <b/>
      </font>
    </dxf>
    <dxf>
      <font>
        <b/>
      </font>
    </dxf>
    <dxf>
      <alignment horizontal="center"/>
    </dxf>
    <dxf>
      <alignment horizontal="center"/>
    </dxf>
    <dxf>
      <alignment horizontal="center"/>
    </dxf>
    <dxf>
      <alignment horizontal="left"/>
    </dxf>
    <dxf>
      <font>
        <b/>
        <sz val="14"/>
        <color theme="0"/>
      </font>
      <fill>
        <patternFill patternType="solid">
          <fgColor indexed="64"/>
          <bgColor theme="1"/>
        </patternFill>
      </fill>
    </dxf>
    <dxf>
      <font>
        <b/>
        <sz val="14"/>
        <color theme="0"/>
      </font>
      <fill>
        <patternFill patternType="solid">
          <fgColor indexed="64"/>
          <bgColor theme="1"/>
        </patternFill>
      </fill>
    </dxf>
    <dxf>
      <font>
        <sz val="14"/>
        <color theme="0"/>
      </font>
      <fill>
        <patternFill patternType="solid">
          <bgColor theme="1"/>
        </patternFill>
      </fill>
    </dxf>
    <dxf>
      <font>
        <b/>
        <sz val="14"/>
        <color theme="0"/>
      </font>
      <fill>
        <patternFill patternType="solid">
          <bgColor theme="1"/>
        </patternFill>
      </fill>
    </dxf>
    <dxf>
      <font>
        <b/>
        <sz val="14"/>
        <color theme="0"/>
      </font>
      <fill>
        <patternFill patternType="solid">
          <bgColor theme="1"/>
        </patternFill>
      </fill>
    </dxf>
    <dxf>
      <font>
        <b/>
        <sz val="14"/>
      </font>
    </dxf>
    <dxf>
      <font>
        <color theme="0"/>
      </font>
      <fill>
        <patternFill patternType="solid">
          <bgColor theme="1"/>
        </patternFill>
      </fill>
    </dxf>
    <dxf>
      <border>
        <left style="thin">
          <color indexed="64"/>
        </left>
      </border>
    </dxf>
    <dxf>
      <border>
        <top style="thin">
          <color indexed="64"/>
        </top>
      </border>
    </dxf>
    <dxf>
      <border>
        <right style="thin">
          <color indexed="64"/>
        </right>
      </border>
    </dxf>
    <dxf>
      <border>
        <bottom style="thin">
          <color indexed="64"/>
        </bottom>
      </border>
    </dxf>
    <dxf>
      <font>
        <b/>
      </font>
    </dxf>
    <dxf>
      <font>
        <sz val="14"/>
      </font>
    </dxf>
    <dxf>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b/>
        <sz val="15"/>
        <color theme="0"/>
      </font>
      <fill>
        <patternFill patternType="solid">
          <fgColor indexed="64"/>
          <bgColor theme="1"/>
        </patternFill>
      </fill>
    </dxf>
    <dxf>
      <font>
        <sz val="15"/>
      </font>
    </dxf>
    <dxf>
      <font>
        <sz val="14"/>
      </font>
    </dxf>
    <dxf>
      <font>
        <sz val="14"/>
      </font>
    </dxf>
    <dxf>
      <font>
        <sz val="14"/>
      </font>
    </dxf>
    <dxf>
      <font>
        <sz val="14"/>
      </font>
    </dxf>
    <dxf>
      <font>
        <sz val="14"/>
      </font>
    </dxf>
    <dxf>
      <font>
        <b/>
      </font>
    </dxf>
    <dxf>
      <font>
        <b/>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border>
        <left style="thin">
          <color indexed="64"/>
        </left>
      </border>
    </dxf>
    <dxf>
      <border>
        <top style="thin">
          <color indexed="64"/>
        </top>
      </border>
    </dxf>
    <dxf>
      <border>
        <right style="thin">
          <color indexed="64"/>
        </right>
      </border>
    </dxf>
    <dxf>
      <border>
        <bottom style="thin">
          <color indexed="64"/>
        </bottom>
      </border>
    </dxf>
    <dxf>
      <font>
        <b/>
        <sz val="14"/>
      </font>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b val="0"/>
        <i val="0"/>
        <strike val="0"/>
        <condense val="0"/>
        <extend val="0"/>
        <outline val="0"/>
        <shadow val="0"/>
        <u val="none"/>
        <vertAlign val="baseline"/>
        <sz val="26"/>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26"/>
        <color rgb="FF000000"/>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26"/>
        <color auto="1"/>
        <name val="Calibri"/>
        <family val="2"/>
        <scheme val="minor"/>
      </font>
      <fill>
        <patternFill patternType="solid">
          <fgColor indexed="64"/>
          <bgColor theme="3" tint="0.39997558519241921"/>
        </patternFill>
      </fill>
      <alignment horizontal="center" vertical="center" textRotation="0" wrapText="0" indent="0" justifyLastLine="0" shrinkToFit="0" readingOrder="0"/>
      <border diagonalUp="0" diagonalDown="0" outline="0">
        <left style="thin">
          <color theme="0"/>
        </left>
        <right style="thin">
          <color theme="0"/>
        </right>
        <top/>
        <bottom/>
      </bord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general" vertical="bottom" textRotation="0" wrapText="0" indent="0" justifyLastLine="0" shrinkToFit="0" readingOrder="0"/>
    </dxf>
    <dxf>
      <alignment horizontal="left" vertical="bottom" textRotation="0" wrapText="0" indent="0" justifyLastLine="0" shrinkToFit="0" readingOrder="0"/>
    </dxf>
    <dxf>
      <alignment horizontal="center" vertical="center" textRotation="0" wrapText="0" indent="0" justifyLastLine="0" shrinkToFit="0" readingOrder="0"/>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color rgb="FFFF0000"/>
      </font>
    </dxf>
    <dxf>
      <font>
        <b/>
        <sz val="14"/>
      </font>
    </dxf>
    <dxf>
      <font>
        <b/>
        <sz val="14"/>
      </font>
    </dxf>
    <dxf>
      <font>
        <b/>
        <sz val="14"/>
      </font>
    </dxf>
    <dxf>
      <font>
        <b/>
        <sz val="14"/>
      </font>
    </dxf>
    <dxf>
      <font>
        <b/>
        <sz val="14"/>
      </font>
    </dxf>
    <dxf>
      <font>
        <b/>
        <sz val="14"/>
      </font>
    </dxf>
    <dxf>
      <font>
        <b/>
        <sz val="14"/>
      </font>
    </dxf>
    <dxf>
      <font>
        <b/>
        <sz val="14"/>
      </font>
    </dxf>
    <dxf>
      <font>
        <sz val="14"/>
      </font>
      <fill>
        <patternFill patternType="solid">
          <fgColor indexed="64"/>
          <bgColor theme="0" tint="-0.1499984740745262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ill>
        <patternFill>
          <bgColor theme="0" tint="-0.14999847407452621"/>
        </patternFill>
      </fill>
    </dxf>
    <dxf>
      <font>
        <sz val="14"/>
      </font>
      <fill>
        <patternFill patternType="solid">
          <fgColor indexed="64"/>
          <bgColor theme="0"/>
        </patternFill>
      </fill>
    </dxf>
    <dxf>
      <font>
        <b/>
        <sz val="14"/>
      </font>
    </dxf>
    <dxf>
      <font>
        <b/>
        <sz val="14"/>
      </font>
    </dxf>
    <dxf>
      <font>
        <b/>
        <sz val="14"/>
      </font>
    </dxf>
    <dxf>
      <font>
        <b/>
        <sz val="14"/>
      </font>
    </dxf>
    <dxf>
      <font>
        <b/>
        <sz val="14"/>
      </font>
    </dxf>
    <dxf>
      <font>
        <sz val="14"/>
      </font>
      <fill>
        <patternFill patternType="solid">
          <fgColor indexed="64"/>
          <bgColor theme="0"/>
        </patternFill>
      </fill>
    </dxf>
    <dxf>
      <font>
        <b/>
        <sz val="14"/>
      </font>
    </dxf>
    <dxf>
      <font>
        <b/>
        <sz val="14"/>
      </font>
    </dxf>
    <dxf>
      <font>
        <b/>
        <sz val="14"/>
      </font>
    </dxf>
    <dxf>
      <font>
        <sz val="14"/>
      </font>
    </dxf>
    <dxf>
      <font>
        <b/>
        <sz val="14"/>
      </font>
    </dxf>
    <dxf>
      <font>
        <b/>
        <sz val="14"/>
      </font>
    </dxf>
    <dxf>
      <font>
        <b/>
        <sz val="14"/>
      </font>
    </dxf>
    <dxf>
      <font>
        <b/>
        <sz val="14"/>
      </font>
    </dxf>
    <dxf>
      <font>
        <b/>
        <sz val="14"/>
      </font>
    </dxf>
    <dxf>
      <font>
        <b/>
        <sz val="14"/>
      </font>
    </dxf>
    <dxf>
      <font>
        <sz val="14"/>
      </font>
    </dxf>
    <dxf>
      <fill>
        <patternFill>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14996795556505021"/>
        </patternFill>
      </fill>
    </dxf>
    <dxf>
      <fill>
        <patternFill patternType="solid">
          <bgColor theme="0"/>
        </patternFill>
      </fill>
    </dxf>
    <dxf>
      <fill>
        <patternFill patternType="solid">
          <bgColor theme="0"/>
        </patternFill>
      </fill>
    </dxf>
    <dxf>
      <fill>
        <patternFill patternType="solid">
          <bgColor theme="0"/>
        </patternFill>
      </fill>
    </dxf>
    <dxf>
      <fill>
        <patternFill>
          <bgColor theme="0" tint="-0.14996795556505021"/>
        </patternFill>
      </fill>
    </dxf>
    <dxf>
      <fill>
        <patternFill patternType="solid">
          <bgColor theme="0"/>
        </patternFill>
      </fill>
    </dxf>
    <dxf>
      <fill>
        <patternFill>
          <bgColor theme="0" tint="-0.14996795556505021"/>
        </patternFill>
      </fill>
    </dxf>
    <dxf>
      <fill>
        <patternFill>
          <bgColor theme="0"/>
        </patternFill>
      </fill>
    </dxf>
    <dxf>
      <fill>
        <patternFill>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ill>
        <patternFill patternType="solid">
          <bgColor theme="0" tint="-0.14996795556505021"/>
        </patternFill>
      </fill>
    </dxf>
    <dxf>
      <fill>
        <patternFill patternType="solid">
          <bgColor theme="0"/>
        </patternFill>
      </fill>
    </dxf>
    <dxf>
      <font>
        <b/>
      </font>
    </dxf>
    <dxf>
      <font>
        <sz val="14"/>
        <color rgb="FFFFFF00"/>
      </font>
      <fill>
        <patternFill patternType="solid">
          <bgColor theme="1"/>
        </patternFill>
      </fill>
    </dxf>
    <dxf>
      <font>
        <sz val="14"/>
        <color theme="0"/>
      </font>
      <fill>
        <patternFill patternType="solid">
          <bgColor theme="1"/>
        </patternFill>
      </fill>
    </dxf>
    <dxf>
      <font>
        <b/>
        <sz val="15"/>
        <color theme="0"/>
      </font>
      <fill>
        <patternFill patternType="solid">
          <fgColor indexed="64"/>
          <bgColor theme="1"/>
        </patternFill>
      </fill>
    </dxf>
    <dxf>
      <font>
        <sz val="15"/>
      </font>
    </dxf>
    <dxf>
      <font>
        <sz val="14"/>
      </font>
    </dxf>
    <dxf>
      <font>
        <sz val="14"/>
      </font>
    </dxf>
    <dxf>
      <font>
        <sz val="14"/>
      </font>
    </dxf>
    <dxf>
      <font>
        <sz val="14"/>
      </font>
    </dxf>
    <dxf>
      <font>
        <sz val="14"/>
      </font>
    </dxf>
    <dxf>
      <font>
        <b/>
      </font>
    </dxf>
    <dxf>
      <font>
        <b/>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font>
        <b/>
      </font>
    </dxf>
    <dxf>
      <font>
        <b/>
      </font>
    </dxf>
    <dxf>
      <font>
        <b/>
      </font>
    </dxf>
    <dxf>
      <font>
        <sz val="14"/>
      </font>
    </dxf>
    <dxf>
      <font>
        <sz val="14"/>
      </font>
    </dxf>
    <dxf>
      <font>
        <sz val="14"/>
      </font>
    </dxf>
    <dxf>
      <alignment horizontal="center"/>
    </dxf>
    <dxf>
      <fill>
        <patternFill patternType="solid">
          <fgColor indexed="64"/>
          <bgColor theme="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4"/>
        <color theme="0"/>
      </font>
      <fill>
        <patternFill patternType="solid">
          <bgColor theme="1"/>
        </patternFill>
      </fill>
    </dxf>
    <dxf>
      <font>
        <b/>
        <sz val="15"/>
        <color theme="0"/>
      </font>
      <fill>
        <patternFill patternType="solid">
          <fgColor indexed="64"/>
          <bgColor theme="1"/>
        </patternFill>
      </fill>
    </dxf>
    <dxf>
      <font>
        <sz val="15"/>
      </font>
    </dxf>
    <dxf>
      <font>
        <sz val="14"/>
      </font>
    </dxf>
    <dxf>
      <font>
        <sz val="14"/>
      </font>
    </dxf>
    <dxf>
      <font>
        <sz val="14"/>
      </font>
    </dxf>
    <dxf>
      <font>
        <sz val="14"/>
      </font>
    </dxf>
    <dxf>
      <font>
        <sz val="14"/>
      </font>
    </dxf>
    <dxf>
      <font>
        <b/>
      </font>
    </dxf>
    <dxf>
      <font>
        <b/>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alignment horizontal="left"/>
    </dxf>
    <dxf>
      <alignment horizontal="left"/>
    </dxf>
    <dxf>
      <alignment horizontal="left"/>
    </dxf>
    <dxf>
      <alignment vertical="center"/>
    </dxf>
    <dxf>
      <font>
        <b/>
      </font>
    </dxf>
    <dxf>
      <font>
        <b/>
      </font>
    </dxf>
    <dxf>
      <font>
        <b/>
      </font>
    </dxf>
    <dxf>
      <font>
        <sz val="14"/>
      </font>
    </dxf>
    <dxf>
      <font>
        <sz val="14"/>
      </font>
    </dxf>
    <dxf>
      <font>
        <sz val="14"/>
      </font>
    </dxf>
    <dxf>
      <alignment horizontal="center"/>
    </dxf>
    <dxf>
      <alignment horizontal="center"/>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alignment horizontal="center"/>
    </dxf>
    <dxf>
      <alignment horizontal="left"/>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center"/>
    </dxf>
    <dxf>
      <alignment vertical="center"/>
    </dxf>
    <dxf>
      <alignment vertic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theme="0"/>
      </font>
      <fill>
        <patternFill patternType="solid">
          <fgColor indexed="64"/>
          <bgColor theme="1"/>
        </patternFill>
      </fill>
      <alignment horizontal="center"/>
    </dxf>
    <dxf>
      <font>
        <color rgb="FFFF0000"/>
      </font>
    </dxf>
    <dxf>
      <font>
        <color rgb="FFFF0000"/>
      </font>
    </dxf>
    <dxf>
      <border>
        <top style="thin">
          <color indexed="64"/>
        </top>
      </border>
    </dxf>
    <dxf>
      <border>
        <left style="thin">
          <color indexed="64"/>
        </left>
        <right style="thin">
          <color indexed="64"/>
        </right>
        <top style="thin">
          <color indexed="64"/>
        </top>
      </border>
    </dxf>
    <dxf>
      <border>
        <left/>
        <right/>
        <top/>
        <bottom/>
      </border>
    </dxf>
    <dxf>
      <border>
        <left style="thin">
          <color indexed="64"/>
        </left>
        <right style="thin">
          <color indexed="64"/>
        </right>
        <top style="thin">
          <color indexed="64"/>
        </top>
        <bottom style="thin">
          <color indexed="64"/>
        </bottom>
      </bord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color rgb="FFFF0000"/>
      </font>
    </dxf>
    <dxf>
      <font>
        <color rgb="FFFFFF00"/>
      </font>
    </dxf>
    <dxf>
      <fill>
        <patternFill patternType="solid">
          <bgColor theme="1"/>
        </patternFill>
      </fill>
    </dxf>
    <dxf>
      <border>
        <right style="thin">
          <color indexed="64"/>
        </right>
      </border>
    </dxf>
    <dxf>
      <border>
        <right/>
        <top/>
        <bottom/>
      </border>
    </dxf>
    <dxf>
      <border>
        <right/>
        <top/>
        <bottom/>
      </border>
    </dxf>
    <dxf>
      <border>
        <right/>
        <top/>
        <bottom/>
      </border>
    </dxf>
    <dxf>
      <border>
        <right/>
        <top/>
        <bottom/>
      </border>
    </dxf>
    <dxf>
      <border>
        <right/>
        <top/>
        <bottom/>
      </border>
    </dxf>
    <dxf>
      <border>
        <right/>
        <top/>
        <bottom/>
      </border>
    </dxf>
    <dxf>
      <border>
        <right/>
        <top/>
        <bottom/>
      </border>
    </dxf>
    <dxf>
      <font>
        <color auto="1"/>
      </font>
    </dxf>
    <dxf>
      <fill>
        <patternFill patternType="none">
          <bgColor auto="1"/>
        </patternFill>
      </fill>
    </dxf>
    <dxf>
      <border>
        <right/>
      </border>
    </dxf>
    <dxf>
      <border>
        <right/>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fill>
        <patternFill patternType="none">
          <bgColor auto="1"/>
        </patternFill>
      </fill>
    </dxf>
    <dxf>
      <font>
        <b/>
      </font>
    </dxf>
    <dxf>
      <font>
        <b/>
      </font>
    </dxf>
    <dxf>
      <font>
        <b/>
      </font>
    </dxf>
    <dxf>
      <font>
        <b/>
      </font>
    </dxf>
    <dxf>
      <font>
        <b/>
      </font>
    </dxf>
    <dxf>
      <font>
        <b/>
      </font>
    </dxf>
    <dxf>
      <font>
        <b/>
      </font>
    </dxf>
    <dxf>
      <font>
        <b/>
      </font>
    </dxf>
    <dxf>
      <font>
        <sz val="14"/>
      </font>
    </dxf>
    <dxf>
      <font>
        <sz val="14"/>
      </font>
    </dxf>
    <dxf>
      <font>
        <sz val="14"/>
      </font>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font>
        <sz val="14"/>
      </font>
    </dxf>
    <dxf>
      <font>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color rgb="FFFF0000"/>
      </font>
    </dxf>
    <dxf>
      <font>
        <color theme="1"/>
      </font>
    </dxf>
    <dxf>
      <font>
        <b/>
        <sz val="14"/>
      </font>
    </dxf>
    <dxf>
      <font>
        <b/>
        <sz val="14"/>
      </font>
    </dxf>
    <dxf>
      <font>
        <b/>
        <sz val="14"/>
      </font>
    </dxf>
    <dxf>
      <border>
        <left style="thin">
          <color indexed="64"/>
        </left>
        <right style="thin">
          <color indexed="64"/>
        </right>
        <bottom style="thin">
          <color indexed="64"/>
        </bottom>
      </border>
    </dxf>
    <dxf>
      <border>
        <left style="thin">
          <color indexed="64"/>
        </left>
        <right style="thin">
          <color indexed="64"/>
        </right>
      </border>
    </dxf>
    <dxf>
      <border>
        <bottom style="thin">
          <color indexed="64"/>
        </bottom>
      </border>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ill>
        <patternFill patternType="solid">
          <bgColor theme="0" tint="-0.14999847407452621"/>
        </patternFill>
      </fill>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border>
        <left style="thin">
          <color indexed="64"/>
        </left>
        <right style="thin">
          <color indexed="64"/>
        </right>
        <bottom style="thin">
          <color indexed="64"/>
        </bottom>
      </border>
    </dxf>
    <dxf>
      <font>
        <b/>
        <sz val="14"/>
      </font>
    </dxf>
    <dxf>
      <font>
        <b/>
        <sz val="14"/>
      </font>
    </dxf>
    <dxf>
      <font>
        <b/>
        <sz val="14"/>
      </font>
    </dxf>
    <dxf>
      <font>
        <b/>
        <sz val="14"/>
      </font>
    </dxf>
    <dxf>
      <font>
        <b/>
        <sz val="14"/>
      </font>
    </dxf>
    <dxf>
      <font>
        <color rgb="FFFF0000"/>
      </font>
    </dxf>
    <dxf>
      <font>
        <color rgb="FFFF0000"/>
      </font>
    </dxf>
    <dxf>
      <font>
        <b/>
        <sz val="14"/>
      </font>
    </dxf>
    <dxf>
      <font>
        <b/>
        <sz val="14"/>
      </font>
    </dxf>
    <dxf>
      <font>
        <b/>
        <sz val="14"/>
      </font>
    </dxf>
    <dxf>
      <font>
        <b/>
        <sz val="14"/>
      </font>
    </dxf>
    <dxf>
      <font>
        <b/>
        <sz val="14"/>
      </font>
    </dxf>
    <dxf>
      <font>
        <b/>
        <sz val="14"/>
      </font>
    </dxf>
    <dxf>
      <font>
        <b/>
        <sz val="14"/>
      </font>
    </dxf>
    <dxf>
      <numFmt numFmtId="164" formatCode="[$-409]h:mm\ AM/PM;@"/>
    </dxf>
    <dxf>
      <numFmt numFmtId="165" formatCode="[$-F400]h:mm:ss\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numFmt numFmtId="164" formatCode="[$-409]h:mm\ AM/PM;@"/>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b/>
        <sz val="14"/>
      </font>
    </dxf>
    <dxf>
      <font>
        <sz val="15"/>
      </font>
    </dxf>
    <dxf>
      <font>
        <sz val="15"/>
      </font>
    </dxf>
    <dxf>
      <font>
        <sz val="15"/>
      </font>
    </dxf>
    <dxf>
      <font>
        <sz val="15"/>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alignment horizontal="left"/>
    </dxf>
    <dxf>
      <fill>
        <patternFill>
          <bgColor theme="0" tint="-0.249977111117893"/>
        </patternFill>
      </fill>
    </dxf>
    <dxf>
      <fill>
        <patternFill patternType="solid">
          <bgColor theme="0" tint="-0.34998626667073579"/>
        </patternFill>
      </fill>
    </dxf>
    <dxf>
      <fill>
        <patternFill patternType="solid">
          <bgColor theme="0"/>
        </patternFill>
      </fill>
    </dxf>
    <dxf>
      <fill>
        <patternFill patternType="solid">
          <bgColor theme="0" tint="-0.14999847407452621"/>
        </patternFill>
      </fill>
    </dxf>
    <dxf>
      <fill>
        <patternFill patternType="solid">
          <bgColor theme="0"/>
        </patternFill>
      </fill>
    </dxf>
    <dxf>
      <fill>
        <patternFill patternType="solid">
          <bgColor theme="0" tint="-0.14999847407452621"/>
        </patternFill>
      </fill>
    </dxf>
    <dxf>
      <fill>
        <patternFill patternType="solid">
          <bgColor theme="0"/>
        </patternFill>
      </fill>
    </dxf>
    <dxf>
      <fill>
        <patternFill patternType="solid">
          <bgColor theme="0" tint="-0.249977111117893"/>
        </patternFill>
      </fill>
    </dxf>
    <dxf>
      <fill>
        <patternFill patternType="solid">
          <bgColor theme="0" tint="-0.14999847407452621"/>
        </patternFill>
      </fill>
    </dxf>
    <dxf>
      <fill>
        <patternFill patternType="solid">
          <bgColor theme="0"/>
        </patternFill>
      </fill>
    </dxf>
    <dxf>
      <fill>
        <patternFill patternType="solid">
          <bgColor theme="0" tint="-0.14999847407452621"/>
        </patternFill>
      </fill>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border>
        <top/>
      </border>
    </dxf>
    <dxf>
      <alignment horizontal="center"/>
    </dxf>
    <dxf>
      <alignment horizontal="center"/>
    </dxf>
    <dxf>
      <alignment horizontal="center"/>
    </dxf>
    <dxf>
      <border>
        <left style="thin">
          <color auto="1"/>
        </left>
        <right style="thin">
          <color auto="1"/>
        </right>
        <top style="thin">
          <color auto="1"/>
        </top>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indexed="64"/>
        </left>
        <right style="thin">
          <color indexed="64"/>
        </right>
        <bottom style="thin">
          <color indexed="64"/>
        </bottom>
      </border>
    </dxf>
    <dxf>
      <border>
        <left style="thin">
          <color auto="1"/>
        </left>
        <right style="thin">
          <color auto="1"/>
        </right>
        <bottom style="thin">
          <color auto="1"/>
        </bottom>
      </border>
    </dxf>
    <dxf>
      <border>
        <left style="thin">
          <color auto="1"/>
        </left>
        <right style="thin">
          <color auto="1"/>
        </right>
        <bottom style="thin">
          <color auto="1"/>
        </bottom>
      </border>
    </dxf>
    <dxf>
      <border>
        <left style="thin">
          <color auto="1"/>
        </left>
        <right style="thin">
          <color auto="1"/>
        </right>
        <top style="thin">
          <color auto="1"/>
        </top>
        <bottom style="thin">
          <color auto="1"/>
        </bottom>
      </border>
    </dxf>
    <dxf>
      <alignment vertical="top"/>
    </dxf>
    <dxf>
      <font>
        <color rgb="FFFFFF00"/>
      </font>
      <fill>
        <patternFill patternType="solid">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font>
        <color rgb="FFFFFF00"/>
      </font>
      <fill>
        <patternFill patternType="solid">
          <fgColor indexed="64"/>
          <bgColor theme="1"/>
        </patternFill>
      </fill>
    </dxf>
    <dxf>
      <alignment vertical="center"/>
    </dxf>
    <dxf>
      <font>
        <b/>
        <sz val="14"/>
        <color theme="0"/>
      </font>
      <fill>
        <patternFill patternType="solid">
          <fgColor indexed="64"/>
          <bgColor theme="1"/>
        </patternFill>
      </fill>
    </dxf>
    <dxf>
      <font>
        <b/>
        <sz val="14"/>
        <color theme="0"/>
      </font>
      <fill>
        <patternFill patternType="solid">
          <fgColor indexed="64"/>
          <bgColor theme="1"/>
        </patternFill>
      </fill>
    </dxf>
    <dxf>
      <font>
        <sz val="14"/>
        <color theme="0"/>
      </font>
      <fill>
        <patternFill patternType="solid">
          <bgColor theme="1"/>
        </patternFill>
      </fill>
    </dxf>
    <dxf>
      <font>
        <b/>
        <sz val="14"/>
        <color theme="0"/>
      </font>
      <fill>
        <patternFill patternType="solid">
          <bgColor theme="1"/>
        </patternFill>
      </fill>
    </dxf>
    <dxf>
      <font>
        <b/>
        <sz val="14"/>
        <color theme="0"/>
      </font>
      <fill>
        <patternFill patternType="solid">
          <bgColor theme="1"/>
        </patternFill>
      </fill>
    </dxf>
    <dxf>
      <font>
        <b/>
        <sz val="14"/>
      </font>
    </dxf>
    <dxf>
      <font>
        <color theme="0"/>
      </font>
      <fill>
        <patternFill patternType="solid">
          <bgColor theme="1"/>
        </patternFill>
      </fill>
    </dxf>
    <dxf>
      <font>
        <color theme="1"/>
      </font>
    </dxf>
    <dxf>
      <fill>
        <patternFill>
          <bgColor theme="0"/>
        </patternFill>
      </fill>
    </dxf>
    <dxf>
      <font>
        <b val="0"/>
      </font>
    </dxf>
    <dxf>
      <font>
        <sz val="11"/>
      </font>
    </dxf>
    <dxf>
      <font>
        <b/>
        <sz val="14"/>
        <color theme="0"/>
      </font>
      <fill>
        <patternFill patternType="solid">
          <fgColor indexed="64"/>
          <bgColor theme="1"/>
        </patternFill>
      </fill>
    </dxf>
    <dxf>
      <alignment horizontal="center"/>
    </dxf>
    <dxf>
      <alignment horizontal="center"/>
    </dxf>
    <dxf>
      <font>
        <b/>
        <sz val="14"/>
        <color theme="0"/>
      </font>
      <fill>
        <patternFill patternType="solid">
          <fgColor indexed="64"/>
          <bgColor theme="1"/>
        </patternFill>
      </fill>
      <alignment horizontal="center"/>
    </dxf>
    <dxf>
      <alignment horizontal="center"/>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alignment vertical="center"/>
    </dxf>
    <dxf>
      <alignment horizontal="center"/>
    </dxf>
    <dxf>
      <font>
        <b/>
      </font>
    </dxf>
    <dxf>
      <font>
        <b/>
      </font>
    </dxf>
    <dxf>
      <font>
        <b/>
      </font>
    </dxf>
    <dxf>
      <font>
        <sz val="14"/>
      </font>
    </dxf>
    <dxf>
      <font>
        <sz val="14"/>
      </font>
    </dxf>
    <dxf>
      <font>
        <sz val="14"/>
      </font>
    </dxf>
    <dxf>
      <fill>
        <patternFill patternType="solid">
          <fgColor theme="0"/>
          <bgColor theme="0"/>
        </patternFill>
      </fill>
    </dxf>
    <dxf>
      <alignment horizontal="center"/>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vertical="center"/>
    </dxf>
    <dxf>
      <alignment horizontal="center"/>
    </dxf>
    <dxf>
      <font>
        <sz val="14"/>
      </font>
    </dxf>
    <dxf>
      <font>
        <b/>
      </font>
    </dxf>
    <dxf>
      <alignment vertical="center"/>
    </dxf>
    <dxf>
      <alignment horizontal="center"/>
    </dxf>
    <dxf>
      <font>
        <b/>
      </font>
    </dxf>
    <dxf>
      <font>
        <sz val="14"/>
      </font>
    </dxf>
    <dxf>
      <fill>
        <patternFill patternType="solid">
          <fgColor theme="0"/>
          <bgColor theme="0"/>
        </patternFill>
      </fill>
      <alignment horizontal="center"/>
    </dxf>
    <dxf>
      <font>
        <b/>
        <sz val="14"/>
        <color theme="0"/>
      </font>
      <fill>
        <patternFill patternType="solid">
          <fgColor indexed="64"/>
          <bgColor theme="1"/>
        </patternFill>
      </fill>
    </dxf>
    <dxf>
      <font>
        <b/>
        <sz val="14"/>
        <color theme="0"/>
      </font>
      <fill>
        <patternFill patternType="solid">
          <fgColor indexed="64"/>
          <bgColor theme="1"/>
        </patternFill>
      </fill>
    </dxf>
    <dxf>
      <border>
        <left style="thin">
          <color indexed="64"/>
        </left>
        <right style="thin">
          <color indexed="64"/>
        </right>
        <top style="thin">
          <color indexed="64"/>
        </top>
        <bottom style="thin">
          <color indexed="64"/>
        </bottom>
      </border>
    </dxf>
    <dxf>
      <alignment horizontal="center"/>
    </dxf>
    <dxf>
      <font>
        <b/>
        <sz val="14"/>
        <color theme="0"/>
      </font>
      <fill>
        <patternFill patternType="solid">
          <fgColor indexed="64"/>
          <bgColor theme="1"/>
        </patternFill>
      </fill>
    </dxf>
    <dxf>
      <font>
        <b/>
        <sz val="14"/>
        <color theme="0"/>
      </font>
      <fill>
        <patternFill patternType="solid">
          <bgColor theme="1"/>
        </patternFill>
      </fill>
    </dxf>
    <dxf>
      <font>
        <b/>
        <sz val="14"/>
      </font>
    </dxf>
    <dxf>
      <font>
        <b/>
        <sz val="15"/>
        <color theme="0"/>
      </font>
      <fill>
        <patternFill patternType="solid">
          <fgColor indexed="64"/>
          <bgColor theme="1"/>
        </patternFill>
      </fill>
    </dxf>
    <dxf>
      <font>
        <sz val="15"/>
      </font>
    </dxf>
    <dxf>
      <font>
        <sz val="14"/>
      </font>
    </dxf>
    <dxf>
      <font>
        <sz val="14"/>
      </font>
    </dxf>
    <dxf>
      <font>
        <sz val="14"/>
      </font>
    </dxf>
    <dxf>
      <font>
        <sz val="14"/>
      </font>
    </dxf>
    <dxf>
      <font>
        <sz val="14"/>
      </font>
    </dxf>
    <dxf>
      <font>
        <b/>
      </font>
    </dxf>
    <dxf>
      <font>
        <b/>
      </font>
    </dxf>
    <dxf>
      <font>
        <b/>
      </font>
    </dxf>
    <dxf>
      <font>
        <b/>
      </font>
    </dxf>
    <dxf>
      <font>
        <b/>
      </font>
    </dxf>
    <dxf>
      <border>
        <right/>
      </border>
    </dxf>
    <dxf>
      <border>
        <right/>
      </border>
    </dxf>
    <dxf>
      <border>
        <right/>
        <top/>
      </border>
    </dxf>
    <dxf>
      <border>
        <right/>
        <top/>
      </border>
    </dxf>
    <dxf>
      <font>
        <b/>
        <sz val="14"/>
        <color theme="0"/>
      </font>
      <fill>
        <patternFill patternType="solid">
          <bgColor theme="1"/>
        </patternFill>
      </fill>
    </dxf>
    <dxf>
      <fill>
        <patternFill>
          <bgColor rgb="FFFFFF00"/>
        </patternFill>
      </fill>
    </dxf>
    <dxf>
      <fill>
        <patternFill>
          <bgColor theme="0" tint="-0.14996795556505021"/>
        </patternFill>
      </fill>
    </dxf>
  </dxfs>
  <tableStyles count="1" defaultTableStyle="TableStyleMedium2" defaultPivotStyle="PivotStyleLight16">
    <tableStyle name="Estilo de tabla dinámica 1" table="0" count="2" xr9:uid="{D93D049C-31A5-4CFB-923A-7E52ECEC1E07}">
      <tableStyleElement type="firstRowStripe" dxfId="3893"/>
      <tableStyleElement type="secondRowStripe" dxfId="3892"/>
    </tableStyle>
  </tableStyles>
  <colors>
    <mruColors>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drawings/drawing1.xml><?xml version="1.0" encoding="utf-8"?>
<xdr:wsDr xmlns:xdr="http://schemas.openxmlformats.org/drawingml/2006/spreadsheetDrawing" xmlns:a="http://schemas.openxmlformats.org/drawingml/2006/main">
  <xdr:twoCellAnchor editAs="oneCell">
    <xdr:from>
      <xdr:col>0</xdr:col>
      <xdr:colOff>82122</xdr:colOff>
      <xdr:row>3</xdr:row>
      <xdr:rowOff>143272</xdr:rowOff>
    </xdr:from>
    <xdr:to>
      <xdr:col>2</xdr:col>
      <xdr:colOff>1597249</xdr:colOff>
      <xdr:row>8</xdr:row>
      <xdr:rowOff>115250</xdr:rowOff>
    </xdr:to>
    <mc:AlternateContent xmlns:mc="http://schemas.openxmlformats.org/markup-compatibility/2006" xmlns:a14="http://schemas.microsoft.com/office/drawing/2010/main">
      <mc:Choice Requires="a14">
        <xdr:graphicFrame macro="">
          <xdr:nvGraphicFramePr>
            <xdr:cNvPr id="2" name="Split 1">
              <a:extLst>
                <a:ext uri="{FF2B5EF4-FFF2-40B4-BE49-F238E27FC236}">
                  <a16:creationId xmlns:a16="http://schemas.microsoft.com/office/drawing/2014/main" id="{4541399B-247C-4301-A200-5556E62D1FF1}"/>
                </a:ext>
              </a:extLst>
            </xdr:cNvPr>
            <xdr:cNvGraphicFramePr/>
          </xdr:nvGraphicFramePr>
          <xdr:xfrm>
            <a:off x="0" y="0"/>
            <a:ext cx="0" cy="0"/>
          </xdr:xfrm>
          <a:graphic>
            <a:graphicData uri="http://schemas.microsoft.com/office/drawing/2010/slicer">
              <sle:slicer xmlns:sle="http://schemas.microsoft.com/office/drawing/2010/slicer" name="Split 1"/>
            </a:graphicData>
          </a:graphic>
        </xdr:graphicFrame>
      </mc:Choice>
      <mc:Fallback xmlns="">
        <xdr:sp macro="" textlink="">
          <xdr:nvSpPr>
            <xdr:cNvPr id="0" name=""/>
            <xdr:cNvSpPr>
              <a:spLocks noTextEdit="1"/>
            </xdr:cNvSpPr>
          </xdr:nvSpPr>
          <xdr:spPr>
            <a:xfrm>
              <a:off x="82122" y="878059"/>
              <a:ext cx="2661666" cy="1590900"/>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xdr:col>
      <xdr:colOff>1636377</xdr:colOff>
      <xdr:row>3</xdr:row>
      <xdr:rowOff>136070</xdr:rowOff>
    </xdr:from>
    <xdr:to>
      <xdr:col>4</xdr:col>
      <xdr:colOff>305695</xdr:colOff>
      <xdr:row>8</xdr:row>
      <xdr:rowOff>115250</xdr:rowOff>
    </xdr:to>
    <mc:AlternateContent xmlns:mc="http://schemas.openxmlformats.org/markup-compatibility/2006" xmlns:a14="http://schemas.microsoft.com/office/drawing/2010/main">
      <mc:Choice Requires="a14">
        <xdr:graphicFrame macro="">
          <xdr:nvGraphicFramePr>
            <xdr:cNvPr id="3" name="Station 1">
              <a:extLst>
                <a:ext uri="{FF2B5EF4-FFF2-40B4-BE49-F238E27FC236}">
                  <a16:creationId xmlns:a16="http://schemas.microsoft.com/office/drawing/2014/main" id="{BDFCAF10-63CC-43F4-A31A-0CE92BA4A750}"/>
                </a:ext>
              </a:extLst>
            </xdr:cNvPr>
            <xdr:cNvGraphicFramePr/>
          </xdr:nvGraphicFramePr>
          <xdr:xfrm>
            <a:off x="0" y="0"/>
            <a:ext cx="0" cy="0"/>
          </xdr:xfrm>
          <a:graphic>
            <a:graphicData uri="http://schemas.microsoft.com/office/drawing/2010/slicer">
              <sle:slicer xmlns:sle="http://schemas.microsoft.com/office/drawing/2010/slicer" name="Station 1"/>
            </a:graphicData>
          </a:graphic>
        </xdr:graphicFrame>
      </mc:Choice>
      <mc:Fallback xmlns="">
        <xdr:sp macro="" textlink="">
          <xdr:nvSpPr>
            <xdr:cNvPr id="0" name=""/>
            <xdr:cNvSpPr>
              <a:spLocks noTextEdit="1"/>
            </xdr:cNvSpPr>
          </xdr:nvSpPr>
          <xdr:spPr>
            <a:xfrm>
              <a:off x="3201017" y="796470"/>
              <a:ext cx="3307060" cy="1963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16610</xdr:rowOff>
    </xdr:from>
    <xdr:to>
      <xdr:col>2</xdr:col>
      <xdr:colOff>1592185</xdr:colOff>
      <xdr:row>12</xdr:row>
      <xdr:rowOff>115593</xdr:rowOff>
    </xdr:to>
    <mc:AlternateContent xmlns:mc="http://schemas.openxmlformats.org/markup-compatibility/2006" xmlns:a14="http://schemas.microsoft.com/office/drawing/2010/main">
      <mc:Choice Requires="a14">
        <xdr:graphicFrame macro="">
          <xdr:nvGraphicFramePr>
            <xdr:cNvPr id="2" name="Split 2">
              <a:extLst>
                <a:ext uri="{FF2B5EF4-FFF2-40B4-BE49-F238E27FC236}">
                  <a16:creationId xmlns:a16="http://schemas.microsoft.com/office/drawing/2014/main" id="{F7FAF4F5-F338-4021-84B4-07A7A901C82D}"/>
                </a:ext>
              </a:extLst>
            </xdr:cNvPr>
            <xdr:cNvGraphicFramePr/>
          </xdr:nvGraphicFramePr>
          <xdr:xfrm>
            <a:off x="0" y="0"/>
            <a:ext cx="0" cy="0"/>
          </xdr:xfrm>
          <a:graphic>
            <a:graphicData uri="http://schemas.microsoft.com/office/drawing/2010/slicer">
              <sle:slicer xmlns:sle="http://schemas.microsoft.com/office/drawing/2010/slicer" name="Split 2"/>
            </a:graphicData>
          </a:graphic>
        </xdr:graphicFrame>
      </mc:Choice>
      <mc:Fallback xmlns="">
        <xdr:sp macro="" textlink="">
          <xdr:nvSpPr>
            <xdr:cNvPr id="0" name=""/>
            <xdr:cNvSpPr>
              <a:spLocks noTextEdit="1"/>
            </xdr:cNvSpPr>
          </xdr:nvSpPr>
          <xdr:spPr>
            <a:xfrm>
              <a:off x="0" y="450950"/>
              <a:ext cx="3400030" cy="19255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365922</xdr:colOff>
      <xdr:row>2</xdr:row>
      <xdr:rowOff>0</xdr:rowOff>
    </xdr:from>
    <xdr:to>
      <xdr:col>8</xdr:col>
      <xdr:colOff>2017965</xdr:colOff>
      <xdr:row>12</xdr:row>
      <xdr:rowOff>113351</xdr:rowOff>
    </xdr:to>
    <mc:AlternateContent xmlns:mc="http://schemas.openxmlformats.org/markup-compatibility/2006" xmlns:a14="http://schemas.microsoft.com/office/drawing/2010/main">
      <mc:Choice Requires="a14">
        <xdr:graphicFrame macro="">
          <xdr:nvGraphicFramePr>
            <xdr:cNvPr id="3" name="Station 2">
              <a:extLst>
                <a:ext uri="{FF2B5EF4-FFF2-40B4-BE49-F238E27FC236}">
                  <a16:creationId xmlns:a16="http://schemas.microsoft.com/office/drawing/2014/main" id="{AEF23DB2-21A1-44BE-A4F1-B7E0EF0876E8}"/>
                </a:ext>
              </a:extLst>
            </xdr:cNvPr>
            <xdr:cNvGraphicFramePr/>
          </xdr:nvGraphicFramePr>
          <xdr:xfrm>
            <a:off x="0" y="0"/>
            <a:ext cx="0" cy="0"/>
          </xdr:xfrm>
          <a:graphic>
            <a:graphicData uri="http://schemas.microsoft.com/office/drawing/2010/slicer">
              <sle:slicer xmlns:sle="http://schemas.microsoft.com/office/drawing/2010/slicer" name="Station 2"/>
            </a:graphicData>
          </a:graphic>
        </xdr:graphicFrame>
      </mc:Choice>
      <mc:Fallback xmlns="">
        <xdr:sp macro="" textlink="">
          <xdr:nvSpPr>
            <xdr:cNvPr id="0" name=""/>
            <xdr:cNvSpPr>
              <a:spLocks noTextEdit="1"/>
            </xdr:cNvSpPr>
          </xdr:nvSpPr>
          <xdr:spPr>
            <a:xfrm>
              <a:off x="4023522" y="434340"/>
              <a:ext cx="3109816" cy="1942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152959</xdr:colOff>
      <xdr:row>1</xdr:row>
      <xdr:rowOff>129429</xdr:rowOff>
    </xdr:from>
    <xdr:to>
      <xdr:col>1</xdr:col>
      <xdr:colOff>866140</xdr:colOff>
      <xdr:row>6</xdr:row>
      <xdr:rowOff>173958</xdr:rowOff>
    </xdr:to>
    <mc:AlternateContent xmlns:mc="http://schemas.openxmlformats.org/markup-compatibility/2006" xmlns:a14="http://schemas.microsoft.com/office/drawing/2010/main">
      <mc:Choice Requires="a14">
        <xdr:graphicFrame macro="">
          <xdr:nvGraphicFramePr>
            <xdr:cNvPr id="2" name="Split">
              <a:extLst>
                <a:ext uri="{FF2B5EF4-FFF2-40B4-BE49-F238E27FC236}">
                  <a16:creationId xmlns:a16="http://schemas.microsoft.com/office/drawing/2014/main" id="{6A1947D2-E7EE-7E08-2499-E1CFFF2BB8B3}"/>
                </a:ext>
              </a:extLst>
            </xdr:cNvPr>
            <xdr:cNvGraphicFramePr/>
          </xdr:nvGraphicFramePr>
          <xdr:xfrm>
            <a:off x="0" y="0"/>
            <a:ext cx="0" cy="0"/>
          </xdr:xfrm>
          <a:graphic>
            <a:graphicData uri="http://schemas.microsoft.com/office/drawing/2010/slicer">
              <sle:slicer xmlns:sle="http://schemas.microsoft.com/office/drawing/2010/slicer" name="Split"/>
            </a:graphicData>
          </a:graphic>
        </xdr:graphicFrame>
      </mc:Choice>
      <mc:Fallback xmlns="">
        <xdr:sp macro="" textlink="">
          <xdr:nvSpPr>
            <xdr:cNvPr id="0" name=""/>
            <xdr:cNvSpPr>
              <a:spLocks noTextEdit="1"/>
            </xdr:cNvSpPr>
          </xdr:nvSpPr>
          <xdr:spPr>
            <a:xfrm>
              <a:off x="152959" y="377079"/>
              <a:ext cx="1656791"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1074081</xdr:colOff>
      <xdr:row>1</xdr:row>
      <xdr:rowOff>127189</xdr:rowOff>
    </xdr:from>
    <xdr:to>
      <xdr:col>2</xdr:col>
      <xdr:colOff>1437975</xdr:colOff>
      <xdr:row>6</xdr:row>
      <xdr:rowOff>174099</xdr:rowOff>
    </xdr:to>
    <mc:AlternateContent xmlns:mc="http://schemas.openxmlformats.org/markup-compatibility/2006" xmlns:a14="http://schemas.microsoft.com/office/drawing/2010/main">
      <mc:Choice Requires="a14">
        <xdr:graphicFrame macro="">
          <xdr:nvGraphicFramePr>
            <xdr:cNvPr id="3" name="Station">
              <a:extLst>
                <a:ext uri="{FF2B5EF4-FFF2-40B4-BE49-F238E27FC236}">
                  <a16:creationId xmlns:a16="http://schemas.microsoft.com/office/drawing/2014/main" id="{A85EDD27-5AA4-88B2-FA2F-75563B5E2859}"/>
                </a:ext>
              </a:extLst>
            </xdr:cNvPr>
            <xdr:cNvGraphicFramePr/>
          </xdr:nvGraphicFramePr>
          <xdr:xfrm>
            <a:off x="0" y="0"/>
            <a:ext cx="0" cy="0"/>
          </xdr:xfrm>
          <a:graphic>
            <a:graphicData uri="http://schemas.microsoft.com/office/drawing/2010/slicer">
              <sle:slicer xmlns:sle="http://schemas.microsoft.com/office/drawing/2010/slicer" name="Station"/>
            </a:graphicData>
          </a:graphic>
        </xdr:graphicFrame>
      </mc:Choice>
      <mc:Fallback xmlns="">
        <xdr:sp macro="" textlink="">
          <xdr:nvSpPr>
            <xdr:cNvPr id="0" name=""/>
            <xdr:cNvSpPr>
              <a:spLocks noTextEdit="1"/>
            </xdr:cNvSpPr>
          </xdr:nvSpPr>
          <xdr:spPr>
            <a:xfrm>
              <a:off x="2036106" y="374839"/>
              <a:ext cx="1528484"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xdr:col>
      <xdr:colOff>1633258</xdr:colOff>
      <xdr:row>1</xdr:row>
      <xdr:rowOff>127747</xdr:rowOff>
    </xdr:from>
    <xdr:to>
      <xdr:col>4</xdr:col>
      <xdr:colOff>801052</xdr:colOff>
      <xdr:row>7</xdr:row>
      <xdr:rowOff>74611</xdr:rowOff>
    </xdr:to>
    <mc:AlternateContent xmlns:mc="http://schemas.openxmlformats.org/markup-compatibility/2006" xmlns:a14="http://schemas.microsoft.com/office/drawing/2010/main">
      <mc:Choice Requires="a14">
        <xdr:graphicFrame macro="">
          <xdr:nvGraphicFramePr>
            <xdr:cNvPr id="5" name="Operation Split">
              <a:extLst>
                <a:ext uri="{FF2B5EF4-FFF2-40B4-BE49-F238E27FC236}">
                  <a16:creationId xmlns:a16="http://schemas.microsoft.com/office/drawing/2014/main" id="{189B5AF4-C134-717D-CBE0-021CA66639D2}"/>
                </a:ext>
              </a:extLst>
            </xdr:cNvPr>
            <xdr:cNvGraphicFramePr/>
          </xdr:nvGraphicFramePr>
          <xdr:xfrm>
            <a:off x="0" y="0"/>
            <a:ext cx="0" cy="0"/>
          </xdr:xfrm>
          <a:graphic>
            <a:graphicData uri="http://schemas.microsoft.com/office/drawing/2010/slicer">
              <sle:slicer xmlns:sle="http://schemas.microsoft.com/office/drawing/2010/slicer" name="Operation Split"/>
            </a:graphicData>
          </a:graphic>
        </xdr:graphicFrame>
      </mc:Choice>
      <mc:Fallback xmlns="">
        <xdr:sp macro="" textlink="">
          <xdr:nvSpPr>
            <xdr:cNvPr id="0" name=""/>
            <xdr:cNvSpPr>
              <a:spLocks noTextEdit="1"/>
            </xdr:cNvSpPr>
          </xdr:nvSpPr>
          <xdr:spPr>
            <a:xfrm>
              <a:off x="3766858" y="375398"/>
              <a:ext cx="2919738" cy="1532651"/>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ndy Heredia" refreshedDate="45954.239328240743" createdVersion="8" refreshedVersion="8" minRefreshableVersion="3" recordCount="85" xr:uid="{0EBEDEFB-A82C-4F5C-B3E5-D1F97485AB72}">
  <cacheSource type="worksheet">
    <worksheetSource name="Tabla33"/>
  </cacheSource>
  <cacheFields count="8">
    <cacheField name="Split" numFmtId="0">
      <sharedItems containsBlank="1" count="8">
        <s v="H.A. 1"/>
        <s v="H.A. 2"/>
        <s v="H.A. 3"/>
        <s v="H.A. 4"/>
        <m u="1"/>
        <s v="H.A. 5" u="1"/>
        <s v="H.A. 6" u="1"/>
        <s v="H.A. 7" u="1"/>
      </sharedItems>
    </cacheField>
    <cacheField name="Station" numFmtId="0">
      <sharedItems containsSemiMixedTypes="0" containsString="0" containsNumber="1" containsInteger="1" minValue="1" maxValue="7" count="7">
        <n v="1"/>
        <n v="4"/>
        <n v="2"/>
        <n v="3"/>
        <n v="5" u="1"/>
        <n v="6" u="1"/>
        <n v="7" u="1"/>
      </sharedItems>
    </cacheField>
    <cacheField name="Hour" numFmtId="0">
      <sharedItems containsBlank="1" count="9">
        <s v="9:00 P.M."/>
        <s v="8:00 P.M."/>
        <s v="10:00 P.M."/>
        <s v="11:00 P.M."/>
        <s v="9:30 P.M."/>
        <s v="12:00 A.M."/>
        <s v="24 Hrs"/>
        <m u="1"/>
        <s v="1:00 A.M." u="1"/>
      </sharedItems>
    </cacheField>
    <cacheField name="Time" numFmtId="0">
      <sharedItems containsBlank="1" count="5">
        <s v="ET"/>
        <s v="CT"/>
        <s v="MT"/>
        <s v="PT"/>
        <m u="1"/>
      </sharedItems>
    </cacheField>
    <cacheField name="Site" numFmtId="0">
      <sharedItems containsBlank="1" count="191">
        <s v="(AS) Bill Estes Ford (NO TOURS)"/>
        <s v="(AS) Courtesy CDJR of Brandon"/>
        <s v="(AS) Courtesy Hyundai/Nissan Tampa"/>
        <s v="(AS) Lexus Smyrna (NO TOURS)"/>
        <s v="(DT) Louisville"/>
        <s v="(HUD) CDJR of Greensboro"/>
        <s v="(MK) McKenny Salinas Honda"/>
        <s v="(PE) BMW of Mamaroneck (NO TOURS)"/>
        <s v="(PE) BMW Service Center (NO TOURS)"/>
        <s v="(PE) Hudson Toyota Nissan CDJR (NO TOURS)"/>
        <s v="(SCH) Chevrolet North Palm"/>
        <s v="(SCH) Parts Warehouse Lake Worth"/>
        <s v="(AS) David McDavid Lincoln Frisco"/>
        <s v="(AS) Plaza Audi/Infiniti"/>
        <s v="(AS) Plaza Lexus/Mercedes/BMW"/>
        <s v="(KG) Texan GMC Buick (NO TOURS)"/>
        <s v="(ML) Joe Machens Capital City I &amp; II (NO TOURS)"/>
        <s v="(ML) Joe Machens Temporary 2.0"/>
        <s v="(AS) David McDavid Honda I &amp; II"/>
        <s v="(AS) Park Place Bodywerks Dallas"/>
        <s v="(DT) Arlington"/>
        <s v="(KG) Big Star CDJR of Clear Lake"/>
        <s v="(KG) Clear Lake Pre-Owned"/>
        <s v="(ML) Ford Lincoln of North Little Rock"/>
        <s v="(ML) Joe Machens CDJR"/>
        <s v="(ML) Joe Machens Ford Lincoln I &amp; II"/>
        <s v="(ML) McLarty-Gray Daniels Chevrolet"/>
        <s v="(TC) Tavernier Creek Marina (NO TOURS)"/>
        <s v="(AS) Stevinson Chevrolet Golden (NO TOURS)"/>
        <s v="(DT) Albuquerque"/>
        <s v="(DT) Colorado Springs (NO TOURS)"/>
        <s v="(RV) Toms Camperland Avondale (NO TOURS)"/>
        <s v="(RV) Toms Camperland Mesa (NO TOURS)"/>
        <s v="(DT) Escondido"/>
        <s v="(DT) Modesto"/>
        <s v="(KG) Truck Center Remote Storage Lot"/>
        <s v="Mario Residence"/>
        <s v="SIG Office"/>
        <s v="SIG Office Trailer"/>
        <m u="1"/>
        <s v="(AN) Chevrolet/Buick GMC Laurel" u="1"/>
        <s v="(AN) Auto Auction Orlando (NO TOURS)" u="1"/>
        <s v="(AN) CDJR &amp; FIAT North Columbus (ICRealTime)" u="1"/>
        <s v="(AN) CDJR North Richland Hills" u="1"/>
        <s v="(AN) Mercedes Benz Ft. Lauderdale" u="1"/>
        <s v="(AN) Nissan Tempe" u="1"/>
        <s v="(AN) Toyota South Austin (Dealer)" u="1"/>
        <s v="(AN) Toyota South Austin (Service)" u="1"/>
        <s v="(AN) CDJR Southwest (ICRealTime)" u="1"/>
        <s v="(AN) Ford Katy" u="1"/>
        <s v="(AN) Ford Union City" u="1"/>
        <s v="(AN) Auto Auction Houston" u="1"/>
        <s v="(AN) Chevrolet Coral Gables" u="1"/>
        <s v="(AN) Ford Panama City (NO TOURS)" u="1"/>
        <s v="(AN) Parts Center Spokane" u="1"/>
        <s v="(AN) Honda Costa Mesa" u="1"/>
        <s v="(AN) CDJR Springs I &amp; II" u="1"/>
        <s v="(AN) Remote Lot Chevrolet Coral Gables" u="1"/>
        <s v="(AN) JLR Bethesda (NO TOURS)" u="1"/>
        <s v="(AN) USA Houston" u="1"/>
        <s v="(AN) Parts Center Roseville" u="1"/>
        <s v="(AN) Toyota Arapahoe (NO SPEAKERS)" u="1"/>
        <s v="(AN) JLR W Houston" u="1"/>
        <s v="(AN) Mercedes Benz Naperville" u="1"/>
        <s v="(AN) Chevrolet North Richland Hills" u="1"/>
        <s v="(AN) Hyundai North Richland Hills" u="1"/>
        <s v="(SCH) West Palm Beach I, II,III" u="1"/>
        <s v="(AN) Laurel BMW of Westmont (NO TOURS)" u="1"/>
        <s v="(AN) Collision Center Bellevue" u="1"/>
        <s v="(AN) Collision Center Austin" u="1"/>
        <s v="(AN) BMW Westmont (NO TOURS)" u="1"/>
        <s v="(AN) Roseville Parts Warehouse" u="1"/>
        <s v="(AN) CDJR &amp; FIAT North Columbus" u="1"/>
        <s v="(AN) CDJR Southwest" u="1"/>
        <s v="(PE) BMW of Greenwich (NO TOURS)" u="1"/>
        <s v="(HUD) BMW of Greensboro" u="1"/>
        <s v="(AS) Nalley Lexus Roswell" u="1"/>
        <s v="(AN) Chevrolet West Colonial" u="1"/>
        <s v="(AN) Ford North Canton" u="1"/>
        <s v="(ML) Nissan Of North Little Rock" u="1"/>
        <s v="(ML) McLarty Gray-Daniels Ford Lincoln" u="1"/>
        <s v="(AS) Mercedes Benz/Porsche Dallas I,II &amp; III" u="1"/>
        <s v="(AS) Park Place Sprinter Van Center" u="1"/>
        <s v="(AN) Fleet Mechanical White Bear Lake (NO TOURS)" u="1"/>
        <s v="(AN) Ford Ft Worth I &amp; II" u="1"/>
        <s v="(AS) Mike Shaw CDJR &amp; Truck Center (NO TOURS)" u="1"/>
        <s v="(AN) BMW Vista" u="1"/>
        <s v="(AN) JLR Southbay (NO TOURS)" u="1"/>
        <s v="(AN) JLR Woodland Hills (NO TOURS)" u="1"/>
        <s v="(PE) BMW Tenafly (NO TOURS)" u="1"/>
        <s v="(AS) Courtesy Kia of Brandon" u="1"/>
        <s v="(ML) Columbia Honda (NO TOURS)" u="1"/>
        <s v="(ML) Volvo Collision Corp" u="1"/>
        <s v="(DT) N. Houston" u="1"/>
        <s v="(ML) Mazda VW-Lot B" u="1"/>
        <s v="(ML) Nissan Of Benton" u="1"/>
        <s v="(KG) Big Star Honda" u="1"/>
        <s v="(LM) Luther Mazda / Mitsubishi" u="1"/>
        <s v="(AN) Mercedes Benz Greenway Houston" u="1"/>
        <s v="(AS) Stevinson Toyota West (NO TOURS)" u="1"/>
        <s v="(AN) USA Henderson (NO TOURS)" u="1"/>
        <s v="(AN) Audi Las Vegas (NO TOURS)" u="1"/>
        <s v="(AN) Subaru Roseville" u="1"/>
        <s v="(AN) JLR White Plains" u="1"/>
        <s v="(ML) Joe Machens Toyota" u="1"/>
        <s v="(PE) CarShop South Brunswick (NO TOURS)" u="1"/>
        <s v="(HUD) Acura of Greensboro" u="1"/>
        <s v="(AN) BMW of Delray Beach" u="1"/>
        <s v="(ML) Joe Machens Nissan" u="1"/>
        <s v="(DT) W Houston" u="1"/>
        <s v="(KG) Big Star Ford" u="1"/>
        <s v="(KG) Baytown GMC Buick (NO TOURS)" u="1"/>
        <s v="(KG) Texan CDJR" u="1"/>
        <s v="(AN) USA San Antonio" u="1"/>
        <s v="(AN) Acura Gulf Freeway" u="1"/>
        <s v="(AS) Stevinson Lexus of Lakewood" u="1"/>
        <s v="(RV) Toms Camperland Surprise (NO TOURS)" u="1"/>
        <s v="(AN) USA Phoenix" u="1"/>
        <s v="SIG Office (SIG Office &amp; Jorge Calzadilla)" u="1"/>
        <s v="MARIO'S Residence" u="1"/>
        <s v="(ML) Joe Machens Hyundai" u="1"/>
        <s v="(AN) Collision Center Columbus" u="1"/>
        <s v="(AN) Volkswagen North Columbus" u="1"/>
        <s v="(AN) Collision Center Denver" u="1"/>
        <s v="(HUD) Crown Acura of Greensboro" u="1"/>
        <s v="(RV) RV Sonny's Camp N Travel" u="1"/>
        <s v="(SCH) Delray II" u="1"/>
        <s v="(PE) JLR Paramus (NO TOURS)" u="1"/>
        <s v="(AS) Lexus Grapevine I" u="1"/>
        <s v="(AN) Remote Lot W Sahara" u="1"/>
        <s v="(HUD) Crown Honda Greensboro" u="1"/>
        <s v="(AS) Mercedes Benz/Porsche Dallas I,II,III" u="1"/>
        <s v="(AN) Auto Auction Orlando (NO SPEAKERS)" u="1"/>
        <s v="(AN) USA Corpus Christi" u="1"/>
        <s v="(AS) Stevinson JLR (NO TOURS)" u="1"/>
        <s v="(AS) Coggin Mercedes Benz Ft Pierce" u="1"/>
        <s v="(PE) Car Shop South Brunswick (NO TOURS)" u="1"/>
        <s v="(AN) Porsche Bellevue" u="1"/>
        <s v="(AN) Nissan Pembroke Pines" u="1"/>
        <s v="(HUD) Crown BMW of Greensboro" u="1"/>
        <s v="(HUD) Crown Nissan Greensboro" u="1"/>
        <s v="(HUD) Crown Paint and Body Center" u="1"/>
        <s v="(RV) Sonny's Camp N Travel Concord" u="1"/>
        <s v="(AN) USA Corpus Christi " u="1"/>
        <s v="(KG) JLR LEHI (NO TOURS)" u="1"/>
        <s v="(AS) Coggin BMW Ft Pierce (NO TOURS)" u="1"/>
        <s v="(RML) Burleson Nissan" u="1"/>
        <s v="(AN) Ford Brooksville" u="1"/>
        <s v="(HUD) Crown Paint and Body Centre" u="1"/>
        <s v="(HUD) Crown CDJR of Greensboro" u="1"/>
        <s v="(LM) Luther Mazda/Mitsubishi" u="1"/>
        <s v="(AN) Chevrolet North Corpus Christi" u="1"/>
        <s v="(AN) JLR White Plains " u="1"/>
        <s v="(HUD) Crown Honda of Southpoint" u="1"/>
        <s v="(AN) JLR W Houston " u="1"/>
        <s v="(AN) Mercedes Benz Pembroke Pines" u="1"/>
        <s v="RML Burleson Nissan" u="1"/>
        <s v="(PE) Fairfield Collision (NO TOURS)" u="1"/>
        <s v="(AN) Chevrolet Arrowhead" u="1"/>
        <s v="(AS) Courtesy Honda Palm Harbor (NO TOURS)" u="1"/>
        <s v="(AN) USA San Antonio " u="1"/>
        <s v="(AN) Mini of the Woodlands" u="1"/>
        <s v="(AS) Coggins Mercedes Benz Ft Pierce " u="1"/>
        <s v="(AN) Chevrolet/Buick GMC Laurel " u="1"/>
        <s v="(AS) Courtesy of Kia of Brandon" u="1"/>
        <s v="(AN) Ford Ft Worth" u="1"/>
        <s v="(DT) Albuquerque " u="1"/>
        <s v="(AN) Toyota Mall of Georgia" u="1"/>
        <s v="(ML) Collision Center N Little Rock" u="1"/>
        <s v="(AS) Plano Auction (NO SPEAKERS)" u="1"/>
        <s v="(AS) Lexus Grapevine II" u="1"/>
        <s v="(AN) Hyundai North Columbus" u="1"/>
        <s v="(AN) Lexus Clearwater (NO SPEAKERS)" u="1"/>
        <s v="(AN) Porsche Bellevue Remote Service" u="1"/>
        <s v="(AN) Chevy N Corpus Christi" u="1"/>
        <s v="(AS) Atwell Prep Center-Dallas" u="1"/>
        <s v="(SCH) Delray" u="1"/>
        <s v="(AN) Collision Center Columbus " u="1"/>
        <s v="(KG) Texan CDJR " u="1"/>
        <s v="(AN) USA Charleston" u="1"/>
        <s v="(DT) Denver (NO TOURS)" u="1"/>
        <s v="(PE) JLR Englewood (NO TOURS)" u="1"/>
        <s v="(AN) Honda &amp; Recon Center Roseville" u="1"/>
        <s v="(RVS) RV Sonny's Camp N Travel " u="1"/>
        <s v="(AN) Ford Ft Worth II" u="1"/>
        <s v="(AN) Subaru Scottsdale" u="1"/>
        <s v="(AN) Hyundai Tempe" u="1"/>
        <s v="(AN) Mercedes Benz FT Lauderdale" u="1"/>
        <s v="(AN) Jaguar Land Rover South Bay (NO TOURS)" u="1"/>
        <s v="(AN) AN Remote Lot Chevrolet Coral Gables" u="1"/>
        <s v="(AN) Honda Memphis" u="1"/>
      </sharedItems>
    </cacheField>
    <cacheField name="Drop time" numFmtId="0">
      <sharedItems containsBlank="1" count="9">
        <s v="6:00 A.M."/>
        <s v="7:00 A.M."/>
        <s v="8:00 A.M."/>
        <s v="9:00 A.M."/>
        <s v="N/A"/>
        <s v="5:00 A.M." u="1"/>
        <m u="1"/>
        <s v="10:00 A.M." u="1"/>
        <s v="11:00 a.m." u="1"/>
      </sharedItems>
    </cacheField>
    <cacheField name="SUNDAY (D.T.)" numFmtId="0">
      <sharedItems containsBlank="1" count="10">
        <s v="N/A"/>
        <s v="10:00 A.M."/>
        <s v="11:00 A.M."/>
        <s v="8:00 A.M."/>
        <s v="7:00 a.m." u="1"/>
        <m u="1"/>
        <s v="11:30 A.M." u="1"/>
        <s v="12:00 P.M." u="1"/>
        <s v="1:00 P.M." u="1"/>
        <s v="11:00 p.m." u="1"/>
      </sharedItems>
    </cacheField>
    <cacheField name="Notes*" numFmtId="0">
      <sharedItems containsNonDate="0" containsString="0" containsBlank="1"/>
    </cacheField>
  </cacheFields>
  <extLst>
    <ext xmlns:x14="http://schemas.microsoft.com/office/spreadsheetml/2009/9/main" uri="{725AE2AE-9491-48be-B2B4-4EB974FC3084}">
      <x14:pivotCacheDefinition pivotCacheId="1018124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Wendy Heredia" refreshedDate="45954.239329629629" createdVersion="8" refreshedVersion="8" minRefreshableVersion="3" recordCount="574" xr:uid="{802D880A-952F-4C77-B337-C39833E1DB04}">
  <cacheSource type="worksheet">
    <worksheetSource name="Tabla3"/>
  </cacheSource>
  <cacheFields count="17">
    <cacheField name="Key" numFmtId="0">
      <sharedItems/>
    </cacheField>
    <cacheField name="Split" numFmtId="0">
      <sharedItems containsString="0" containsBlank="1" containsNumber="1" containsInteger="1" minValue="1" maxValue="40" count="41">
        <n v="1"/>
        <n v="2"/>
        <n v="3"/>
        <n v="4"/>
        <n v="5"/>
        <n v="6"/>
        <n v="7"/>
        <n v="8"/>
        <n v="9"/>
        <m/>
        <n v="10" u="1"/>
        <n v="11" u="1"/>
        <n v="12" u="1"/>
        <n v="13" u="1"/>
        <n v="14" u="1"/>
        <n v="15" u="1"/>
        <n v="16" u="1"/>
        <n v="17" u="1"/>
        <n v="18" u="1"/>
        <n v="19" u="1"/>
        <n v="20" u="1"/>
        <n v="21" u="1"/>
        <n v="22" u="1"/>
        <n v="23" u="1"/>
        <n v="24" u="1"/>
        <n v="25" u="1"/>
        <n v="26" u="1"/>
        <n v="27" u="1"/>
        <n v="28" u="1"/>
        <n v="29" u="1"/>
        <n v="30" u="1"/>
        <n v="31" u="1"/>
        <n v="32" u="1"/>
        <n v="33" u="1"/>
        <n v="34" u="1"/>
        <n v="35" u="1"/>
        <n v="36" u="1"/>
        <n v="37" u="1"/>
        <n v="38" u="1"/>
        <n v="39" u="1"/>
        <n v="40" u="1"/>
      </sharedItems>
    </cacheField>
    <cacheField name="Station" numFmtId="0">
      <sharedItems containsString="0" containsBlank="1" containsNumber="1" containsInteger="1" minValue="0" maxValue="40" count="42">
        <n v="1"/>
        <n v="2"/>
        <n v="3"/>
        <n v="4"/>
        <n v="5"/>
        <n v="6"/>
        <n v="7"/>
        <n v="8"/>
        <n v="9"/>
        <m/>
        <n v="12" u="1"/>
        <n v="16" u="1"/>
        <n v="17" u="1"/>
        <n v="15" u="1"/>
        <n v="13" u="1"/>
        <n v="11" u="1"/>
        <n v="10" u="1"/>
        <n v="14" u="1"/>
        <n v="18" u="1"/>
        <n v="20" u="1"/>
        <n v="22" u="1"/>
        <n v="24" u="1"/>
        <n v="26" u="1"/>
        <n v="28" u="1"/>
        <n v="21" u="1"/>
        <n v="19" u="1"/>
        <n v="23" u="1"/>
        <n v="25" u="1"/>
        <n v="27" u="1"/>
        <n v="29" u="1"/>
        <n v="30" u="1"/>
        <n v="31" u="1"/>
        <n v="32" u="1"/>
        <n v="36" u="1"/>
        <n v="35" u="1"/>
        <n v="33" u="1"/>
        <n v="34" u="1"/>
        <n v="37" u="1"/>
        <n v="38" u="1"/>
        <n v="39" u="1"/>
        <n v="40" u="1"/>
        <n v="0" u="1"/>
      </sharedItems>
    </cacheField>
    <cacheField name="Site" numFmtId="0">
      <sharedItems containsBlank="1" count="455">
        <s v="(AS) 3281 Storage Lot (NO TOURS)"/>
        <s v="(AS) Coggin BMW Ft. Pierce (NO TOURS)"/>
        <s v="(AS) Coggin Collision Center of Kissimmee (NO TOURS)"/>
        <s v="(AS) Coggin Honda of Orlando (NO TOURS)"/>
        <s v="(AS) Hare Chevrolet (NO TOURS)"/>
        <s v="(AS) Hare Truck Center (NO TOURS)"/>
        <s v="(AS) Kahlo CDJR (NO TOURS)"/>
        <s v="(AS) Koons Annapolis Toyota (NO TOURS)"/>
        <s v="(AS) Koons Arlington Toyota - New Car (NO TOURS)"/>
        <s v="(AS) Koons Baltimore Ford - Main Dealership (NO TOURS)"/>
        <s v="(AS) Koons Chevrolet Buick GMC - Clarksville (NO TOURS)"/>
        <s v="(AS) Koons Chevrolet Buick GMC - Clarksville Remote Lot (NO TOURS)"/>
        <s v="(AS) Koons Chevrolet Buick GMC - Tysons (NO TOURS)"/>
        <s v="(AS) Koons Chevrolet Buick GMC - Tysons Remote Lot (NO TOURS)"/>
        <s v="(AS) Koons Easton Toyota - Main Dealership (NO TOURS)"/>
        <s v="(AS) Koons Falls Church Ford (NO TOURS)"/>
        <s v="(AS) Koons MB of Catonsville (NO TOURS)"/>
        <s v="(AS) Koons Owings Mills Kia (NO TOURS)"/>
        <s v="(AS) Koons Sterling Ford - Main Dealership (NO TOURS)"/>
        <s v="(AS) Koons Tysons Toyota - Main Dealership (NO TOURS)"/>
        <s v="(AS) Koons Volvo Cars White Marsh (NO TOURS)"/>
        <s v="(AS) Koons Westminster Toyota (NO TOURS)"/>
        <s v="(AS) Koons White Marsh Chevrolet (NO TOURS)"/>
        <s v="(AS) Koons Woodbridge Ford (NO TOURS)"/>
        <s v="(AS) Koons Woodbridge GMC (NO TOURS)"/>
        <s v="(AS) Koons Woodbridge Hyundai (NO TOURS)"/>
        <s v="(AS) Koons Woodbridge Kia (NO TOURS)"/>
        <s v="(AS) Larry H Miller CDJR Fiat (NO TOURS)"/>
        <s v="(AS) Plaza Collision ST Louis (NO TOURS)"/>
        <s v="(AS) Plaza Mercedes Benz West (NO TOURS)"/>
        <s v="(BRL) Shoemakersville"/>
        <s v="(DT) Arlington"/>
        <s v="(DT) Charlotte"/>
        <s v="(DT) Modesto"/>
        <s v="(KG) Big Star Cadillac"/>
        <s v="(KG) Big Star Hyundai Houston"/>
        <s v="(KG) Ken Garff Kia of Avondale"/>
        <s v="(KG) Ken Garff Volkswagen of Gilbert"/>
        <s v="(LT) Landers Kia of Little Rock"/>
        <s v="(LT) Luther Bloomington Hyundai (NO TOURS)"/>
        <s v="(LT) Luther Bloomington Subaru - Acura"/>
        <s v="(LT) Luther Brookdale Honda (NO TOURS)"/>
        <s v="(LT) Luther Brookdale Toyota"/>
        <s v="(LT) Luther Burnsville Hyundai"/>
        <s v="(LT) Luther Genesis of Minneapolis"/>
        <s v="(LT) Luther Hopkins Honda (NO TOURS)"/>
        <s v="(LT) Luther Landers Recon Center"/>
        <s v="(LT) Luther North Country Ford"/>
        <s v="(LT) Luther St. Cloud Subaru"/>
        <s v="(ML) Joe Machens Hyundai"/>
        <s v="(PE) BMW Service Center (NO TOURS)"/>
        <s v="(PE) JLR Darien (NO TOURS)"/>
        <s v="(PE) JLR Englewood (NO TOURS)"/>
        <s v="(PE) JLR Paramus (NO TOURS)"/>
        <s v="(PE) MB of Greenwich"/>
        <s v="(PE) Porsche Audi Fairfield (NO TOURS)"/>
        <s v="(SCH) Schumacher of Delray I &amp; III"/>
        <s v="(TC) Lamborghini South Dade"/>
        <s v="Mario Residence"/>
        <s v="(AS) Koons Tysons Toyota - UC Recon (NO TOURS)"/>
        <m/>
        <s v="(LT) Luther Bloomington Hyundai" u="1"/>
        <s v="(BRL) Fort Pierce" u="1"/>
        <s v="(PE) Porsche/Audi Fairfield (NO TOURS)" u="1"/>
        <s v="(AS) Koons Chevrolet Buick GMC Remote Lot (NO TOURS)" u="1"/>
        <s v="(AS) Koons Woodbridge Hyundai" u="1"/>
        <s v="PE Porsche/Audi Fairfield (NO TOURS)" u="1"/>
        <s v="(KG) Volkswagen of Gilbert" u="1"/>
        <s v="(KG) Kia of Avondale" u="1"/>
        <s v="(KG) Ken Garff Big Star Cadillac" u="1"/>
        <s v="(AS) Plaza Mercedes Benz West" u="1"/>
        <s v="(SCH) Schumacher of Delray" u="1"/>
        <s v="(AS) Koons Woodbridge GMC(NO TOURS)" u="1"/>
        <s v="(AS) Koons Woodbridge Ford(NO TOURS)" u="1"/>
        <s v="(AS) Koons Baltimore Ford - Main Dealership (NO TOURS)(NO TOURS)" u="1"/>
        <s v="(AS) Koons Chevrolet Buick GMC - Tysons Remote Lot(NO TOURS)" u="1"/>
        <s v="(AS) Koons Arlington Toyota - New Car(NO TOURS)" u="1"/>
        <s v="(AS) Koons Volvo Cars White Marsh(NO TOURS)" u="1"/>
        <s v="(AS) Koons Chevrolet Buick GMC - Tysons(NO TOURS)" u="1"/>
        <s v="(AS) 3281 Storage Lot(NO TOURS)" u="1"/>
        <s v="(AS) Coggin Honda of Orlando(NO TOURS)" u="1"/>
        <s v="(AS) Hare Chevrolet(NO TOURS)" u="1"/>
        <s v="(AS) Hare Truck Center(NO TOURS)" u="1"/>
        <s v="(AS) Kahlo CDJR(NO TOURS)" u="1"/>
        <s v="(AS) Koons Chevrolet Buick GMC - Clarksville(NO TOURS)" u="1"/>
        <s v="(AS) Koons Chevrolet Buick GMC Remote Lot(NO TOURS)" u="1"/>
        <s v="(AS) Koons Woodbridge GMC" u="1"/>
        <s v="(AS) Koons Woodbridge Ford" u="1"/>
        <s v="(AS) Koons Chevrolet Buick GMC - Tysons Remote Lot" u="1"/>
        <s v="(AS) Koons Arlington Toyota - New Car" u="1"/>
        <s v="(AS) Koons Volvo Cars White Marsh" u="1"/>
        <s v="(AS) Koons Chevrolet Buick GMC - Tysons" u="1"/>
        <s v="(AS) 3281 Storage Lot" u="1"/>
        <s v="(AS) Coggin Honda of Orlando" u="1"/>
        <s v="(AS) Hare Chevrolet" u="1"/>
        <s v="(AS) Hare Truck Center" u="1"/>
        <s v="(AS) Kahlo CDJR" u="1"/>
        <s v="(AS) Koons Chevrolet Buick GMC - Clarksville" u="1"/>
        <s v="(AS) Koons Chevrolet Buick GMC Remote Lot" u="1"/>
        <s v="AS Koons Volvo Cars White Marsh" u="1"/>
        <s v="(AS) Koons Baltimore Ford - Main Dealership" u="1"/>
        <s v="(KG) Ken Garff Kia of Avondale " u="1"/>
        <s v="(LT) Luther Hopkins Honda (NO TOURS) " u="1"/>
        <s v="(AS) Coggin Collision Center of Kissimmee" u="1"/>
        <s v="(LT) Luther Brookdale Honda" u="1"/>
        <s v="(AS) Larry H Miller Hyundai Arapahoe" u="1"/>
        <s v="(LT) Luther Gensis of Minneapolis" u="1"/>
        <s v="Matt Herman Residence" u="1"/>
        <s v="(AS) Koons MB of Catonsville" u="1"/>
        <s v="AS Koons Chevrolet Buick GMC - Clarksville" u="1"/>
        <s v="AS Koons Chevrolet Buick GMC Remote Lot" u="1"/>
        <s v="(AS) Larry H Miller CDJR Fiat" u="1"/>
        <s v="(AS) Atwell Prep Center-Dallas" u="1"/>
        <s v="(AS) Audi of North Atlanta" u="1"/>
        <s v="(AS) Bill Estes Ford (NO TOURS)" u="1"/>
        <s v="(AS) Coggin Acura Ft Pierce" u="1"/>
        <s v="(AS) Coggin Honda Ft. Pierce" u="1"/>
        <s v="(AS) Coggin Mercedes Benz Ft Pierce" u="1"/>
        <s v="(AS) Courtesy CDJR of Brandon" u="1"/>
        <s v="(AS) Courtesy Honda Palm Harbor (NO TOURS)" u="1"/>
        <s v="(AS) Courtesy Hyundai/Nissan Tampa" u="1"/>
        <s v="(AS) Courtesy Kia of Brandon" u="1"/>
        <s v="(AS) David McDavid Honda I &amp; II" u="1"/>
        <s v="(AS) David McDavid Lincoln Frisco" u="1"/>
        <s v="(AS) Lexus Grapevine I &amp; II" u="1"/>
        <s v="(AS) Lexus Plano I &amp; II" u="1"/>
        <s v="(AS) Lexus Smyrna (NO TOURS)" u="1"/>
        <s v="(AS) Mercedes Benz/Porsche Dallas I,II,III" u="1"/>
        <s v="(AS) Mike Shaw CDJR &amp; Truck Center (NO TOURS)" u="1"/>
        <s v="(AS) Mike Shaw Subaru Greeley (NO TOURS)" u="1"/>
        <s v="(AS) Nalley BMW Collision Center" u="1"/>
        <s v="(AS) Nalley Lexus &amp; Remote Lot Roswell" u="1"/>
        <s v="(AS) Nalley Luxury Collision Center" u="1"/>
        <s v="(AS) Park Place Acura" u="1"/>
        <s v="(AS) Park Place Bodywerks Dallas" u="1"/>
        <s v="(AS) Park Place Bodywerks Ft. Worth" u="1"/>
        <s v="(AS) Park Place JLR DFW Airport" u="1"/>
        <s v="(AS) Park Place MB Recon Center Dallas" u="1"/>
        <s v="(AS) Park Place Mercedes Benz Arlington" u="1"/>
        <s v="(AS) Park Place Mercedes Benz Ft. Worth" u="1"/>
        <s v="(AS) Park Place Sprinter Van Center" u="1"/>
        <s v="(AS) Park Place Volvo Sales" u="1"/>
        <s v="(AS) Park Place Volvo Service Center" u="1"/>
        <s v="(AS) Plano Auction (NO SPEAKERS)" u="1"/>
        <s v="(AS) Plaza Audi/Infiniti (NO TOURS)" u="1"/>
        <s v="(AS) Plaza Lexus/Mercedes/BMW (NO TOURS)" u="1"/>
        <s v="(AS) Stevinson Chevrolet Golden (NO TOURS)" u="1"/>
        <s v="(AS) Stevinson JLR (NO TOURS)" u="1"/>
        <s v="(AS) Stevinson Lexus of Lakewood" u="1"/>
        <s v="(AS) Stevinson Porsche of Littleton (NO TOURS)" u="1"/>
        <s v="(AS) Stevinson Toyota West (NO TOURS)" u="1"/>
        <s v="(DT) Albuquerque" u="1"/>
        <s v="(DT) Colorado Springs (NO TOURS)" u="1"/>
        <s v="(DT) Denver (NO TOURS)" u="1"/>
        <s v="(DT) El Cajon" u="1"/>
        <s v="(DT) Escondido" u="1"/>
        <s v="(DT) Louisville" u="1"/>
        <s v="(DT) N. Houston" u="1"/>
        <s v="(DT) W Houston" u="1"/>
        <s v="(DT) Wichita" u="1"/>
        <s v="(HUD) Acura of Greensboro" u="1"/>
        <s v="(HUD) BMW of Greensboro" u="1"/>
        <s v="(HUD) CDJR of Greensboro" u="1"/>
        <s v="(HUD) Honda Greensboro" u="1"/>
        <s v="(HUD) Honda of Southpoint" u="1"/>
        <s v="(HUD) Nissan Greensboro" u="1"/>
        <s v="(HUD) Paint and Body Center (NO TOURS)" u="1"/>
        <s v="(JE) Jim Ellis Ford Sandy Springs" u="1"/>
        <s v="(KG) Baytown GMC Buick (NO TOURS)" u="1"/>
        <s v="(KG) Big Star CDJR of Clear Lake" u="1"/>
        <s v="(KG) Big Star Ford" u="1"/>
        <s v="(KG) Big Star Honda" u="1"/>
        <s v="(KG) Clear Lake Pre-Owned" u="1"/>
        <s v="(KG) Hyundai Surprise" u="1"/>
        <s v="(KG) JLR LEHI (NO TOURS)" u="1"/>
        <s v="(KG) Kia of Phoenix (NO TOURS)" u="1"/>
        <s v="(KG) Northwest CDJR (NO TOURS)" u="1"/>
        <s v="(KG) Texan CDJR" u="1"/>
        <s v="(KG) Texan GMC Buick (NO TOURS)" u="1"/>
        <s v="(KG) Truck Center Remote Storage Lot" u="1"/>
        <s v="(LM) Luther Mazda / Mitsubishi" u="1"/>
        <s v="(MK) McKenny Salinas Honda" u="1"/>
        <s v="(ML) BMW of Little Rock" u="1"/>
        <s v="(ML) Collision Center N Little Rock" u="1"/>
        <s v="(ML) Columbia Honda (NO TOURS)" u="1"/>
        <s v="(ML) Ford Lincoln of North Little Rock" u="1"/>
        <s v="(ML) Honda of Little Rock" u="1"/>
        <s v="(ML) Joe Machens Capital City I &amp; II (NO TOURS)" u="1"/>
        <s v="(ML) Joe Machens CDJR" u="1"/>
        <s v="(ML) Joe Machens E Collision Center" u="1"/>
        <s v="(ML) Joe Machens Ford Lincoln I &amp; II" u="1"/>
        <s v="(ML) Joe Machens Kia of Columbia" u="1"/>
        <s v="(ML) Joe Machens Nissan" u="1"/>
        <s v="(ML) Joe Machens Temporary 2.0" u="1"/>
        <s v="(ML) Joe Machens Toyota" u="1"/>
        <s v="(ML) Joe Machens VW" u="1"/>
        <s v="(ML) Mazda VW-Lot B" u="1"/>
        <s v="(ML) McLarty Gray-Daniels Ford Lincoln" u="1"/>
        <s v="(ML) McLarty Gray-Daniels Toyota Nissan" u="1"/>
        <s v="(ML) McLarty-Gray Daniels Chevrolet" u="1"/>
        <s v="(ML) Nissan Of Benton" u="1"/>
        <s v="(ML) Nissan of Little Rock" u="1"/>
        <s v="(ML) Nissan of North Little Rock" u="1"/>
        <s v="(ML) Toyota N Little Rock" u="1"/>
        <s v="(ML) Volvo Collision Corp" u="1"/>
        <s v="(PE) BMW of Greenwich (NO TOURS)" u="1"/>
        <s v="(PE) BMW of Mamaroneck (NO TOURS)" u="1"/>
        <s v="(PE) BMW Tenafly (NO TOURS)" u="1"/>
        <s v="(PE) CarShop South Brunswick (NO TOURS)" u="1"/>
        <s v="(PE) Fairfield Collision (NO TOURS)" u="1"/>
        <s v="(PE) Honda of Danbury (NO TOURS)" u="1"/>
        <s v="(PE) Hudson Toyota Nissan CDJR (NO TOURS)" u="1"/>
        <s v="(PE) JLR Darien PDI (NO TOURS)" u="1"/>
        <s v="(PE) JLR PDI (NO TOURS)" u="1"/>
        <s v="(PE) Mercedes Benz &amp; Smart Bldg. of Fairfield (NO TOURS)" u="1"/>
        <s v="(PE) Scofield Service Center (NO TOURS)" u="1"/>
        <s v="(RML) Burleson Nissan" u="1"/>
        <s v="(RV) Sonny's Camp N Travel Concord" u="1"/>
        <s v="(RV) Toms Camperland Avondale (NO TOURS)" u="1"/>
        <s v="(RV) Toms Camperland Mesa (NO TOURS)" u="1"/>
        <s v="(RV) Toms Camperland Surprise (NO TOURS)" u="1"/>
        <s v="(SCH) Auto Body Shop Lake Park" u="1"/>
        <s v="(SCH) Chevrolet North Palm" u="1"/>
        <s v="(SCH) Delray I &amp; II" u="1"/>
        <s v="(SCH) Parts Warehouse Lake Worth" u="1"/>
        <s v="(SCH) West Palm Beach I, II &amp; III" u="1"/>
        <s v="(TC) Tavernier Creek Marina (NO TOURS)" u="1"/>
        <s v="SIG Office" u="1"/>
        <s v="SIG Office Trailer" u="1"/>
        <s v="(PE) Mercedes Benz Greenwich (NO TOURS)" u="1"/>
        <s v="(AS) Mike Shaw Subaru Greeley" u="1"/>
        <s v="(AS) Plaza Audi/Infiniti" u="1"/>
        <s v="(AS) Plaza Lexus/Mercedes/BMW" u="1"/>
        <s v="(KG) Northwest CDJR" u="1"/>
        <s v="(AS) Nalley Lexus Roswell" u="1"/>
        <s v="(AS) Coggin BMW Ft Pierce (NO TOURS)" u="1"/>
        <s v="(AN) BMW of Vista" u="1"/>
        <s v="(AN) CDJR Main Mobile" u="1"/>
        <s v="(AN) Chevrolet Arrowhead" u="1"/>
        <s v="(AN) Chevrolet Gilbert (NO TOURS)" u="1"/>
        <s v="(AN) Collision Center Austin" u="1"/>
        <s v="(AN) Collision Center Bellevue" u="1"/>
        <s v="(AN) Collision Center Ft Worth" u="1"/>
        <s v="(AN) Collision Center Las Vegas (NO TOURS)" u="1"/>
        <s v="(AN) Collision Center Littleton" u="1"/>
        <s v="(AN) Fleet Mechanical White Bear Lake (NO TOURS)" u="1"/>
        <s v="(AN) Ford White Bear Lake Remote (NO TOURS)" u="1"/>
        <s v="(AN) Honda Clearwater" u="1"/>
        <s v="(AN) Honda Columbus" u="1"/>
        <s v="(AN) Honda Memphis" u="1"/>
        <s v="(AN) JLR Woodland Hills (NO TOURS)" u="1"/>
        <s v="(AN) Honda &amp; Recon Center Roseville" u="1"/>
        <s v="(AN) Infiniti Tustin" u="1"/>
        <s v="(AN) Honda Tucson" u="1"/>
        <s v="(AN) Auto Auction Orlando (NO TOURS)" u="1"/>
        <s v="(AN) Chevrolet Coral Gables" u="1"/>
        <s v="(AN) Chevrolet/Buick GMC Laurel" u="1"/>
        <s v="(AN) Chevrolet West Colonial" u="1"/>
        <s v="(AN) BMW of Delray Beach" u="1"/>
        <s v="(AN) Collision Center Spring" u="1"/>
        <s v="(AN) Ford Panama City (NO TOURS)" u="1"/>
        <s v="(AN) Ford Katy" u="1"/>
        <s v="(AN) Ford Mobile" u="1"/>
        <s v="(AN) Porsche McKinney" u="1"/>
        <s v="(AN) JLR W Houston" u="1"/>
        <s v="(AN) Collision Center Denver" u="1"/>
        <s v="(AN) Remote Lot Chevrolet Coral Gables" u="1"/>
        <s v="(AN) Remote Sites (Colorado - Delray - Houston - Nashville)" u="1"/>
        <s v="(AN) Collision Center Miami Gardens" u="1"/>
        <s v="(AN) Acura Gulf Freeway" u="1"/>
        <s v="(AN) Audi Arrowhead" u="1"/>
        <s v="(AN) Collision Center Ft. Lauderdale" u="1"/>
        <s v="(AN) JLR Bethesda (NO TOURS)" u="1"/>
        <s v="(AN) JLR White Plains" u="1"/>
        <s v="(AN) Parts Center Spokane" u="1"/>
        <s v="(AN) Porsche Bellevue" u="1"/>
        <s v="(AN) Porsche Bellevue Remote Service" u="1"/>
        <s v="(AN) Ford Ft Worth I &amp; II" u="1"/>
        <s v="(AN) Mercedes Benz Greenway Houston" u="1"/>
        <s v="(AN) CDJR Springs I &amp; II" u="1"/>
        <s v="(AN) Chevrolet North Corpus Christi" u="1"/>
        <s v="(AN) Chevrolet North Richland Hills" u="1"/>
        <s v="(AN) Honda Costa Mesa" u="1"/>
        <s v="(AN) Parts Center Roseville" u="1"/>
        <s v="(AN) Toyota Arapahoe (NO SPEAKERS)" u="1"/>
        <s v="(AN) USA Austin" u="1"/>
        <s v="(AN) Hyundai North Columbus" u="1"/>
        <s v="(AN) CDJR North Richland Hills" u="1"/>
        <s v="(AN) Toyota Gulf Freeway" u="1"/>
        <s v="(AN) Toyota South Austin (Dealer)" u="1"/>
        <s v="(AN) USA Corpus Christi" u="1"/>
        <s v="(AN) Collision Center Maple (Dallas)" u="1"/>
        <s v="(AN) Hyundai North Richland Hills" u="1"/>
        <s v="(AN) Collision Center Columbus" u="1"/>
        <s v="(AN) Collision Center Delray" u="1"/>
        <s v="(AN) Hyundai Mall of Georgia" u="1"/>
        <s v="(AN) Lexus Clearwater (NO SPEAKERS)" u="1"/>
        <s v="(AN) Mercedes Benz Ft. Lauderdale" u="1"/>
        <s v="(AN) Auto Auction Houston" u="1"/>
        <s v="(AN) BMW of the Woodlands" u="1"/>
        <s v="(AN) Hyundai Tempe" u="1"/>
        <s v="(AN) USA Charleston" u="1"/>
        <s v="(AN) USA Houston" u="1"/>
        <s v="(AN) USA San Antonio" u="1"/>
        <s v="(AN) Audi Las Vegas (NO TOURS)" u="1"/>
        <s v="(AN) Auto Auction Los Angeles" u="1"/>
        <s v="(AN) Mercedes Benz Naperville" u="1"/>
        <s v="(AN) Laurel BMW of Westmont(NO TOURS)" u="1"/>
        <s v="(AN) Ford Union City" u="1"/>
        <s v="(AN) Auto Auction Atlanta" u="1"/>
        <s v="(AN) Ford Brooksville" u="1"/>
        <s v="(AN) Ford North Canton" u="1"/>
        <s v="(AN) Mercedes Benz Pembroke Pines" u="1"/>
        <s v="(AN) Nissan Pembroke Pines" u="1"/>
        <s v="(AN) Nissan Tempe" u="1"/>
        <s v="(AN) Parts Center Clearwater" u="1"/>
        <s v="(AN) Subaru Roseville" u="1"/>
        <s v="(AN) Toyota Mall of Georgia" u="1"/>
        <s v="(AN) Toyota Irvine" u="1"/>
        <s v="(AN) USA Henderson (NO TOURS)" u="1"/>
        <s v="(AN) Volkswagen North Columbus" u="1"/>
        <s v="(AN) Collision Center Galleria" u="1"/>
        <s v="(AN) Ford South Ft Worth" u="1"/>
        <s v="(AN) JLR Southbay (NO TOURS)" u="1"/>
        <s v="(AN) Mercedes Benz Parts Warehouse" u="1"/>
        <s v="(AN) Subaru Scottsdale" u="1"/>
        <s v="(AN) Mini of the Woodlands" u="1"/>
        <s v="(AN) USA 104 (NO TOURS)" u="1"/>
        <s v="(AN) Toyota South Austin (Service)" u="1"/>
        <s v="(AN) USA Phoenix" u="1"/>
        <s v="(HUD) Paint and Body Center" u="1"/>
        <s v="(AN) BMW Westmont (NO TOURS)" u="1"/>
        <s v="SIG Office Miami" u="1"/>
        <s v="(AS) Lexus Plano" u="1"/>
        <s v="(AS) Lexus Plano II" u="1"/>
        <s v="(AS) Lexus Grapevine I" u="1"/>
        <s v="(AS) Lexus Grapevine II" u="1"/>
        <s v="(SCH) West Palm Beach NVR III" u="1"/>
        <s v="(SCH) West Palm Beach I" u="1"/>
        <s v="(SCH) West Palm Beach II" u="1"/>
        <s v="(SCH) Delray II" u="1"/>
        <s v="(SCH) Delray" u="1"/>
        <s v="(AN) Ford Ft Worth" u="1"/>
        <s v="(AN) Ford Ft Worth II" u="1"/>
        <s v="(AN) CDJR Springs I" u="1"/>
        <s v="(AN) CDJR Springs II" u="1"/>
        <s v="(RML) Burleson Nissan " u="1"/>
        <s v="(AN) Remote Lot West Sahara" u="1"/>
        <s v="(AN) Ford Panama City &amp; Pre-Owned (NO TOURS)" u="1"/>
        <s v="(SCH) Auto BodyShop Lake Park " u="1"/>
        <s v="(SCH) Delray  II" u="1"/>
        <s v="(AN) Audi Peoria" u="1"/>
        <s v="(KG) Texan GMC Buick (NO TOURS) " u="1"/>
        <s v="(PE) Penske Hudson Toyota Nissan CDJR (NO TOURS)" u="1"/>
        <s v="(HUD) Crown Nissan Greensboro " u="1"/>
        <s v="(AN) Ford North Canton " u="1"/>
        <s v="(HUD) Crown BMW of Greensboro" u="1"/>
        <s v="(HUD) Crown BWM of Greensboro" u="1"/>
        <s v="(HUD) Crown Nissan Greensboro" u="1"/>
        <s v="(DT) El Cajon " u="1"/>
        <s v="(AN) Auto Auction Orlando (NO SPEAKERS)" u="1"/>
        <s v="(AN) USA Austin " u="1"/>
        <s v="(AN) Chevy N Corpus Christi" u="1"/>
        <s v="(AN) Mercedes Benz Ft. Lauderdale " u="1"/>
        <s v="(PE ) Scofield Service Center (NO TOURS)" u="1"/>
        <s v="(RVS) Sonny's RV  Camp N Travel Concord" u="1"/>
        <s v="(DT) Louisville " u="1"/>
        <s v="(RV) RV Sonny's Camp N Travel " u="1"/>
        <s v="(AN) Toyota Arapahoe" u="1"/>
        <s v="(AN) USA Phoenix " u="1"/>
        <s v="(RV) Toms Camperland Mesa (NO TOURS) " u="1"/>
        <s v="(AN) Auto Auction Houston " u="1"/>
        <s v="(AN) Porsche Bellevue " u="1"/>
        <s v="(AN) JLR W Houston " u="1"/>
        <s v="(RV) Sonny's RV Camp N Travel Concord" u="1"/>
        <s v="(PE ) JLR Darien (NO TOURS)" u="1"/>
        <s v="_x0009_(HUD) Crown CDJR of Greensboro" u="1"/>
        <s v="(AS) David McDavid Lincoln Frisco " u="1"/>
        <s v="(AN) USA Houston " u="1"/>
        <s v="(AN) Collision  Center Miami Gardens" u="1"/>
        <s v="(ML) Joe Machens Capital City I &amp; II  (NO TOURS)" u="1"/>
        <s v="(DT) Albuquerque " u="1"/>
        <s v="(ML) Honda of Little Rock " u="1"/>
        <s v="(AN) USA San Antonio " u="1"/>
        <s v="RML Burleson Nissan " u="1"/>
        <s v="(AN) USA Corpus Christi  " u="1"/>
        <s v="(KG) Baytown GMC Buick (NO TOURS) " u="1"/>
        <s v="(HUD) Crown Acura of Greensboro" u="1"/>
        <s v="(HUD) Crown Paint and Body Center" u="1"/>
        <s v="(ML) Columbia Honda" u="1"/>
        <s v="(SCH) Auto Body Shop Lake Park " u="1"/>
        <s v="(AN) Parts Center Spokane " u="1"/>
        <s v="RML Burleson Nissan" u="1"/>
        <s v="(HUD) Crown Paint and Body Centre " u="1"/>
        <s v="(PE ) Honda of Danbury (NO TOURS)" u="1"/>
        <s v="(PE) Car Shop South Brunswick (NO TOURS)" u="1"/>
        <s v="(ML) Nissa Of Benton" u="1"/>
        <s v="(AN) Collision Center Ft. Lauderdale " u="1"/>
        <s v="(AS) Stevinson Chevrolet Golden" u="1"/>
        <s v="(ML) BMW of Little Rock_x0009_" u="1"/>
        <s v="(AN) Collision Center Columbus " u="1"/>
        <s v="(AN) Collision Center Galleria " u="1"/>
        <s v="(ML) Nissan of Little Rock " u="1"/>
        <s v="(ML) Nissan of North Little Rock " u="1"/>
        <s v="MARIO'S Residence" u="1"/>
        <s v="(AN) Mercedes Benz FT Lauderdale " u="1"/>
        <s v="(ML) Nissan Of Benton " u="1"/>
        <s v="(AN) Mercedes Benz FT Lauderdale" u="1"/>
        <s v="(AN) JLR White Plains " u="1"/>
        <s v="(DT) N. Houston " u="1"/>
        <s v="(RVS) Sonny's RV Camp N Travel Concord" u="1"/>
        <s v="(RVS) Sonny's Camp N Travel Concord" u="1"/>
        <s v="(SCH) Auto BodyShop Lake Park" u="1"/>
        <s v="(KG) Texan CDJR " u="1"/>
        <s v="(HUD) Crown Paint and Body Centre" u="1"/>
        <s v="(PE )  Honda of Danbury (NO TOURS)" u="1"/>
        <s v="(RVS) RV Sonny's Camp N Travel" u="1"/>
        <s v="SIG Las Vegas Office" u="1"/>
        <s v="(LM) Luther Mazda / Mitsubishi " u="1"/>
        <s v="(KG) CDJR of Clear Lake" u="1"/>
        <s v="(ML) Joe Machens Capital City I &amp; II" u="1"/>
        <s v="(ML) Joe Machens Capital City Ford Lincoln I &amp; II (NO TOURS)" u="1"/>
        <s v="(AS) Courtesy of Kia of Brandon" u="1"/>
        <s v="(RVS) RV Sonny's Camp N Travel " u="1"/>
        <s v="(AS) Audi of North Atlanta " u="1"/>
        <s v="(AN) Subaru Roseville " u="1"/>
        <s v="(KG) Clear Lake Pre-Owned " u="1"/>
        <s v="(AS) Nalley BMW Collision" u="1"/>
        <s v="(AN) Mercedes Benz Parts Warehouse " u="1"/>
        <s v="(PE)  Honda of Danbury (NO TOURS)" u="1"/>
        <s v="(AN) Roseville Parts Warehouse" u="1"/>
        <s v="(HUD) Crown CDJR of Greensboro" u="1"/>
        <s v="(AN) AN Remote Lot Chevrolet Coral Gables" u="1"/>
        <s v="(AN) BMW Vista" u="1"/>
        <s v="(AN) USA Corpus Christi " u="1"/>
        <s v="(AN) Auto Auction Los Angeles " u="1"/>
        <s v="(AS) David McDavid Honda I &amp; II " u="1"/>
        <s v="(LM) Luther Mazda/Mitsubishi" u="1"/>
        <s v="(DT) Louisville KY" u="1"/>
        <s v="(AN) Mercedes Benz Naperville " u="1"/>
        <s v="(HUD) Crown Honda of Southpoint" u="1"/>
        <s v="(AS) Lexus Smyrna" u="1"/>
        <s v="(AN) Chevrolet/Buick GMC Laurel " u="1"/>
        <s v="(AN) Ford Panama City and Pre-Owned (NO TOURS)" u="1"/>
        <s v="(KG) Big Star Honda " u="1"/>
        <s v="(AN) Jaguar Land Rover South Bay (NO TOURS)" u="1"/>
        <s v="PE Mercedes Benz &amp; Smart Bldg. of Fairfield (NO TOURS)" u="1"/>
        <s v="(ML) Joe Machens Capital City Ford Lincoln" u="1"/>
        <s v="(RV) RV Sonny's Camp N Travel" u="1"/>
        <s v="(AN) Auto Auction Atlanta " u="1"/>
        <s v="(HUD) Crown Honda Greensboro" u="1"/>
        <s v="(KG) Big Star Ford " u="1"/>
        <s v="(AN) USA Charleston " u="1"/>
        <s v="(AN) Ford Union City " u="1"/>
        <s v="(AS) Coggins Mercedes Benz Ft Pierce " u="1"/>
      </sharedItems>
    </cacheField>
    <cacheField name="Hour" numFmtId="0">
      <sharedItems containsDate="1" containsBlank="1" containsMixedTypes="1" minDate="1899-12-30T19:00:00" maxDate="1899-12-30T19:00:00" count="18">
        <s v="10:00 P.M."/>
        <s v="9:00 P.M."/>
        <s v="11:00 P.M."/>
        <s v="24H"/>
        <s v="12:00 A.M."/>
        <s v="8:00 P.M."/>
        <s v="7:00 P.M."/>
        <e v="#N/A"/>
        <m u="1"/>
        <s v="9:30 P.M." u="1"/>
        <d v="1899-12-30T19:00:00" u="1"/>
        <s v="-" u="1"/>
        <s v="24 Hrs" u="1"/>
        <s v="6:30 P.M." u="1"/>
        <s v="1:00 A.M." u="1"/>
        <s v="10:30 P.M." u="1"/>
        <s v="2:00 A.M." u="1"/>
        <s v="6:00 P.M." u="1"/>
      </sharedItems>
    </cacheField>
    <cacheField name="Time" numFmtId="0">
      <sharedItems containsBlank="1" count="8">
        <s v="CT"/>
        <s v="ET"/>
        <s v="MT"/>
        <s v="PT"/>
        <s v="MST"/>
        <e v="#N/A"/>
        <m u="1"/>
        <s v="ML" u="1"/>
      </sharedItems>
    </cacheField>
    <cacheField name="Drop time" numFmtId="0">
      <sharedItems containsBlank="1" count="16">
        <s v="6:00 A.M."/>
        <s v="5:00 A.M."/>
        <s v="7:00 A.M."/>
        <s v="-"/>
        <s v="8:00 A.M."/>
        <s v="4:00 A.M."/>
        <s v="5:30 A.M."/>
        <e v="#N/A"/>
        <m u="1"/>
        <s v="10:00 A.M." u="1"/>
        <s v="6:30 A.M." u="1"/>
        <s v="N/A" u="1"/>
        <s v="9:00 A.M." u="1"/>
        <s v="11:00 A.M." u="1"/>
        <s v="8:00  A.M." u="1"/>
        <s v="5.00 A.M." u="1"/>
      </sharedItems>
    </cacheField>
    <cacheField name="SUNDAY (D.T.)" numFmtId="0">
      <sharedItems containsBlank="1" containsMixedTypes="1" containsNumber="1" containsInteger="1" minValue="0" maxValue="0" count="8">
        <s v="-"/>
        <s v="11:00 A.M."/>
        <n v="0"/>
        <s v="10:00 A.M."/>
        <s v="9:00 A.M."/>
        <s v="8:00 A.M."/>
        <s v="12:00 P.M."/>
        <m/>
      </sharedItems>
    </cacheField>
    <cacheField name="SIG Tools" numFmtId="0">
      <sharedItems/>
    </cacheField>
    <cacheField name="Map" numFmtId="0">
      <sharedItems containsMixedTypes="1" containsNumber="1" containsInteger="1" minValue="0" maxValue="0"/>
    </cacheField>
    <cacheField name="Notes*" numFmtId="0">
      <sharedItems containsNonDate="0" containsString="0" containsBlank="1"/>
    </cacheField>
    <cacheField name="Gates" numFmtId="0">
      <sharedItems containsMixedTypes="1" containsNumber="1" containsInteger="1" minValue="0" maxValue="29" count="44">
        <s v="-"/>
        <s v="3, 10, 13"/>
        <s v="1, 12"/>
        <s v="2, 10, 12B, 14, 38"/>
        <s v="18, 24"/>
        <n v="6"/>
        <s v="21, 22, 24, 32, 45"/>
        <n v="12"/>
        <n v="19"/>
        <n v="25"/>
        <s v="7, 11"/>
        <s v="2, 6"/>
        <s v="3,8"/>
        <s v="4, 25, 41"/>
        <n v="10"/>
        <s v="1, 4, 16"/>
        <s v="3, 12, 17"/>
        <s v="5, 19"/>
        <s v="4, 6"/>
        <s v="5, 9, 33, 19"/>
        <n v="29"/>
        <s v="2, 4"/>
        <s v="25, 31"/>
        <n v="3"/>
        <s v="1, 13"/>
        <s v="1, 2"/>
        <s v="1, 17"/>
        <s v="1, 2, 8"/>
        <s v="1, 18"/>
        <s v="11, 21, 22, 57, 69"/>
        <s v="7, 8"/>
        <e v="#N/A"/>
        <n v="0" u="1"/>
        <n v="18" u="1"/>
        <n v="2" u="1"/>
        <n v="1" u="1"/>
        <n v="5" u="1"/>
        <n v="8" u="1"/>
        <n v="7" u="1"/>
        <n v="16" u="1"/>
        <n v="9" u="1"/>
        <n v="24" u="1"/>
        <n v="4" u="1"/>
        <n v="23" u="1"/>
      </sharedItems>
    </cacheField>
    <cacheField name="Entrances" numFmtId="0">
      <sharedItems containsMixedTypes="1" containsNumber="1" containsInteger="1" minValue="0" maxValue="157" count="49">
        <s v="2, 14"/>
        <s v="-"/>
        <s v="2, 3"/>
        <s v="1, 5"/>
        <s v="12, 25"/>
        <s v="1, 6, 21"/>
        <s v="1, 3, 12, 15, 17"/>
        <n v="1"/>
        <s v="1, 22, 26, 28, 29"/>
        <s v="3, 6"/>
        <n v="6"/>
        <s v="4, 5"/>
        <s v="15, 16, 17, 29"/>
        <s v="2, 18"/>
        <n v="3"/>
        <s v="1, 25"/>
        <s v="5, 7, 9"/>
        <s v="1, 10, 18, 25"/>
        <n v="10"/>
        <s v="3, 24, 26, 27, 31, 36"/>
        <s v="1, 17"/>
        <n v="2"/>
        <s v="1, 7"/>
        <s v="8, 11"/>
        <s v="5, 6"/>
        <s v="23, 35"/>
        <s v="6, 9, 13"/>
        <s v="5, 8, 33"/>
        <s v="1, 21"/>
        <s v="5, 7"/>
        <s v="6, 17"/>
        <s v="1,2,3,18"/>
        <s v="9, 36"/>
        <s v="7, 14, 19"/>
        <s v="9, 13, 20"/>
        <s v="3, 4, 14, 25"/>
        <s v="13, 14, 20, 26, 40"/>
        <s v="2, 16, 46"/>
        <s v="9, 11"/>
        <s v="7, 8"/>
        <s v="37, 38"/>
        <e v="#N/A"/>
        <n v="0" u="1"/>
        <n v="157" u="1"/>
        <n v="17" u="1"/>
        <n v="4" u="1"/>
        <n v="13" u="1"/>
        <n v="14" u="1"/>
        <n v="29" u="1"/>
      </sharedItems>
    </cacheField>
    <cacheField name="LPR" numFmtId="0">
      <sharedItems containsMixedTypes="1" containsNumber="1" containsInteger="1" minValue="0" maxValue="29" count="17">
        <s v="-"/>
        <s v="15, 16"/>
        <s v="1, 2, 3"/>
        <n v="29"/>
        <s v="4, 10"/>
        <s v="58, 59"/>
        <s v="4, 7, 35"/>
        <s v="38, 39, 40"/>
        <s v="22, 21"/>
        <s v="38, 39"/>
        <s v="30, 31, 32"/>
        <s v="38, 39, 40, 41"/>
        <e v="#N/A"/>
        <n v="0" u="1"/>
        <n v="1" u="1"/>
        <n v="9" u="1"/>
        <n v="6" u="1"/>
      </sharedItems>
    </cacheField>
    <cacheField name="PTZ" numFmtId="0">
      <sharedItems containsMixedTypes="1" containsNumber="1" containsInteger="1" minValue="0" maxValue="84" count="34">
        <s v="-"/>
        <n v="2"/>
        <s v="12, 31"/>
        <n v="5"/>
        <n v="20"/>
        <s v="1, 8"/>
        <n v="4"/>
        <s v="7, 10, 16, 29"/>
        <s v="4, 21"/>
        <n v="11"/>
        <n v="17"/>
        <s v="1, 6, 13A, 15, 18A"/>
        <s v="11, 32, 35 "/>
        <s v="1, 75"/>
        <s v="3, 5"/>
        <s v="2, 14"/>
        <s v="1, 35"/>
        <n v="10"/>
        <s v="2, 10, 19"/>
        <n v="7"/>
        <s v="3, 26"/>
        <n v="27"/>
        <e v="#N/A"/>
        <n v="0" u="1"/>
        <n v="1" u="1"/>
        <n v="12" u="1"/>
        <n v="3" u="1"/>
        <n v="15" u="1"/>
        <n v="14" u="1"/>
        <n v="29" u="1"/>
        <n v="13" u="1"/>
        <n v="18" u="1"/>
        <n v="84" u="1"/>
        <n v="9" u="1"/>
      </sharedItems>
    </cacheField>
    <cacheField name="Important Cameras" numFmtId="0">
      <sharedItems containsMixedTypes="1" containsNumber="1" containsInteger="1" minValue="0" maxValue="29" count="69">
        <s v="1, 3, 9, 10, 14"/>
        <s v="1, 20, 27"/>
        <s v="2, 7, 9"/>
        <s v="12B, 26, 37, 19"/>
        <s v="1, 5, 7, 8, 21, 29"/>
        <s v="2, 6, 10, 12, 17 "/>
        <s v="1, 2, 9, 22, 31, 57"/>
        <s v="3, 5, 7, 19"/>
        <s v="2, 6, 18, 20"/>
        <s v="5, 28, 38"/>
        <s v="3, 11, 15, 23"/>
        <s v="14, 16"/>
        <s v="2, 9, 17 "/>
        <s v="14, 17, 30"/>
        <s v="8, 15"/>
        <s v="-"/>
        <s v="1, 7, 8, 12, 19, 32"/>
        <s v="7, 14"/>
        <s v="7, 8"/>
        <s v="13, 22, 27"/>
        <s v="6, 10, 1"/>
        <s v="8, 14"/>
        <n v="12"/>
        <s v="13, 26, 29"/>
        <s v="2, 7"/>
        <s v="4, 14, 22"/>
        <n v="5"/>
        <s v="2, 6, 10, 15, 18 "/>
        <n v="3"/>
        <s v="6, 21"/>
        <s v="13B, 23"/>
        <s v="3, 8, 7"/>
        <s v="6, 11, 18, 29, 34,  38, 39"/>
        <s v="2, 3, 5, 10"/>
        <s v="15, 16, 19, 20"/>
        <s v="5, 11, 16, 20, 26, 30, 32, 34 "/>
        <s v="1, 6, 7, 12, 15, 17, 21"/>
        <s v="1, 5, 8, 9, 17, 19, 21"/>
        <s v="5, 9, 12, 14, 18, 26, 29"/>
        <s v="11, 18"/>
        <s v="1, 2, 14, 24, 34  "/>
        <s v="4, 5, 7, 11, 13, 20, 24, 36"/>
        <s v="1, 2, 4, 10, 18, 24, 25 "/>
        <s v="2, 4, 16"/>
        <s v="1,2,3,5,16,18"/>
        <s v="1, 4, 11, 18, 23, 25, 31"/>
        <s v="3, 9, 11"/>
        <s v="1, 4, 9, 13, 15, 16B, 25"/>
        <s v="2, 6, 8, 11, 14, 19, 23, 26"/>
        <s v="1, 11, 12, 13, 15"/>
        <s v="1, 2 "/>
        <s v="1, 17"/>
        <n v="29"/>
        <n v="15"/>
        <s v="24, 39"/>
        <s v="4,12,13"/>
        <e v="#N/A"/>
        <n v="0" u="1"/>
        <n v="1" u="1"/>
        <n v="10" u="1"/>
        <n v="6" u="1"/>
        <n v="9" u="1"/>
        <n v="21" u="1"/>
        <n v="26" u="1"/>
        <n v="4" u="1"/>
        <n v="22" u="1"/>
        <n v="18" u="1"/>
        <n v="7" u="1"/>
        <n v="25" u="1"/>
      </sharedItems>
    </cacheField>
    <cacheField name="ID" numFmtId="0">
      <sharedItems containsMixedTypes="1" containsNumber="1" containsInteger="1" minValue="0" maxValue="352" count="68">
        <n v="305"/>
        <s v="119"/>
        <s v="331"/>
        <s v="324"/>
        <s v="301"/>
        <s v="300"/>
        <s v="282"/>
        <s v="337"/>
        <s v="334"/>
        <s v="335"/>
        <s v="306"/>
        <s v="308"/>
        <s v="352"/>
        <s v="333"/>
        <s v="340"/>
        <s v="345"/>
        <s v="303"/>
        <s v="336"/>
        <s v="348"/>
        <s v="344"/>
        <s v="338"/>
        <s v="341"/>
        <s v="339"/>
        <s v="342"/>
        <s v="343"/>
        <s v="347"/>
        <s v="346"/>
        <s v="298"/>
        <s v="350"/>
        <s v="349"/>
        <s v="302"/>
        <s v="199"/>
        <s v="299"/>
        <s v="267"/>
        <s v="316"/>
        <s v="287"/>
        <s v="283"/>
        <s v="284"/>
        <s v="322"/>
        <s v="318"/>
        <s v="289"/>
        <s v="280"/>
        <s v="281"/>
        <s v="307"/>
        <s v="315"/>
        <s v="288"/>
        <s v="323"/>
        <s v="292"/>
        <s v="295"/>
        <s v="286"/>
        <s v="184"/>
        <s v="189"/>
        <s v="178"/>
        <s v="177"/>
        <s v="188"/>
        <n v="194"/>
        <s v="159"/>
        <s v="313"/>
        <s v="148"/>
        <s v="355"/>
        <e v="#N/A"/>
        <n v="352" u="1"/>
        <n v="199" u="1"/>
        <n v="334" u="1"/>
        <n v="338" u="1"/>
        <n v="336" u="1"/>
        <n v="0" u="1"/>
        <n v="335" u="1"/>
      </sharedItems>
    </cacheField>
  </cacheFields>
  <extLst>
    <ext xmlns:x14="http://schemas.microsoft.com/office/spreadsheetml/2009/9/main" uri="{725AE2AE-9491-48be-B2B4-4EB974FC3084}">
      <x14:pivotCacheDefinition pivotCacheId="1384272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x v="0"/>
    <x v="0"/>
    <x v="0"/>
    <x v="0"/>
    <x v="0"/>
    <x v="0"/>
    <x v="0"/>
    <m/>
  </r>
  <r>
    <x v="1"/>
    <x v="0"/>
    <x v="0"/>
    <x v="0"/>
    <x v="0"/>
    <x v="0"/>
    <x v="0"/>
    <m/>
  </r>
  <r>
    <x v="2"/>
    <x v="0"/>
    <x v="0"/>
    <x v="0"/>
    <x v="0"/>
    <x v="0"/>
    <x v="0"/>
    <m/>
  </r>
  <r>
    <x v="3"/>
    <x v="0"/>
    <x v="0"/>
    <x v="0"/>
    <x v="0"/>
    <x v="0"/>
    <x v="0"/>
    <m/>
  </r>
  <r>
    <x v="3"/>
    <x v="1"/>
    <x v="0"/>
    <x v="0"/>
    <x v="1"/>
    <x v="0"/>
    <x v="1"/>
    <m/>
  </r>
  <r>
    <x v="1"/>
    <x v="0"/>
    <x v="0"/>
    <x v="0"/>
    <x v="2"/>
    <x v="0"/>
    <x v="1"/>
    <m/>
  </r>
  <r>
    <x v="2"/>
    <x v="0"/>
    <x v="0"/>
    <x v="0"/>
    <x v="2"/>
    <x v="0"/>
    <x v="1"/>
    <m/>
  </r>
  <r>
    <x v="3"/>
    <x v="0"/>
    <x v="0"/>
    <x v="0"/>
    <x v="2"/>
    <x v="0"/>
    <x v="1"/>
    <m/>
  </r>
  <r>
    <x v="3"/>
    <x v="1"/>
    <x v="0"/>
    <x v="0"/>
    <x v="3"/>
    <x v="0"/>
    <x v="0"/>
    <m/>
  </r>
  <r>
    <x v="2"/>
    <x v="2"/>
    <x v="0"/>
    <x v="0"/>
    <x v="4"/>
    <x v="0"/>
    <x v="0"/>
    <m/>
  </r>
  <r>
    <x v="3"/>
    <x v="2"/>
    <x v="0"/>
    <x v="0"/>
    <x v="4"/>
    <x v="0"/>
    <x v="0"/>
    <m/>
  </r>
  <r>
    <x v="0"/>
    <x v="0"/>
    <x v="0"/>
    <x v="0"/>
    <x v="5"/>
    <x v="0"/>
    <x v="2"/>
    <m/>
  </r>
  <r>
    <x v="1"/>
    <x v="0"/>
    <x v="0"/>
    <x v="0"/>
    <x v="5"/>
    <x v="0"/>
    <x v="2"/>
    <m/>
  </r>
  <r>
    <x v="2"/>
    <x v="0"/>
    <x v="0"/>
    <x v="0"/>
    <x v="5"/>
    <x v="0"/>
    <x v="2"/>
    <m/>
  </r>
  <r>
    <x v="3"/>
    <x v="0"/>
    <x v="0"/>
    <x v="0"/>
    <x v="5"/>
    <x v="0"/>
    <x v="2"/>
    <m/>
  </r>
  <r>
    <x v="2"/>
    <x v="3"/>
    <x v="0"/>
    <x v="0"/>
    <x v="6"/>
    <x v="0"/>
    <x v="0"/>
    <m/>
  </r>
  <r>
    <x v="3"/>
    <x v="3"/>
    <x v="0"/>
    <x v="0"/>
    <x v="6"/>
    <x v="0"/>
    <x v="0"/>
    <m/>
  </r>
  <r>
    <x v="2"/>
    <x v="2"/>
    <x v="1"/>
    <x v="0"/>
    <x v="7"/>
    <x v="0"/>
    <x v="0"/>
    <m/>
  </r>
  <r>
    <x v="3"/>
    <x v="2"/>
    <x v="1"/>
    <x v="0"/>
    <x v="7"/>
    <x v="0"/>
    <x v="0"/>
    <m/>
  </r>
  <r>
    <x v="3"/>
    <x v="1"/>
    <x v="1"/>
    <x v="0"/>
    <x v="8"/>
    <x v="0"/>
    <x v="0"/>
    <m/>
  </r>
  <r>
    <x v="1"/>
    <x v="2"/>
    <x v="1"/>
    <x v="0"/>
    <x v="9"/>
    <x v="0"/>
    <x v="0"/>
    <m/>
  </r>
  <r>
    <x v="2"/>
    <x v="2"/>
    <x v="1"/>
    <x v="0"/>
    <x v="9"/>
    <x v="0"/>
    <x v="0"/>
    <m/>
  </r>
  <r>
    <x v="3"/>
    <x v="2"/>
    <x v="1"/>
    <x v="0"/>
    <x v="9"/>
    <x v="0"/>
    <x v="0"/>
    <m/>
  </r>
  <r>
    <x v="2"/>
    <x v="3"/>
    <x v="0"/>
    <x v="0"/>
    <x v="10"/>
    <x v="0"/>
    <x v="2"/>
    <m/>
  </r>
  <r>
    <x v="3"/>
    <x v="3"/>
    <x v="0"/>
    <x v="0"/>
    <x v="10"/>
    <x v="0"/>
    <x v="2"/>
    <m/>
  </r>
  <r>
    <x v="3"/>
    <x v="1"/>
    <x v="0"/>
    <x v="0"/>
    <x v="11"/>
    <x v="0"/>
    <x v="0"/>
    <m/>
  </r>
  <r>
    <x v="1"/>
    <x v="2"/>
    <x v="2"/>
    <x v="1"/>
    <x v="12"/>
    <x v="1"/>
    <x v="0"/>
    <m/>
  </r>
  <r>
    <x v="2"/>
    <x v="2"/>
    <x v="2"/>
    <x v="1"/>
    <x v="12"/>
    <x v="1"/>
    <x v="0"/>
    <m/>
  </r>
  <r>
    <x v="3"/>
    <x v="2"/>
    <x v="2"/>
    <x v="1"/>
    <x v="12"/>
    <x v="1"/>
    <x v="0"/>
    <m/>
  </r>
  <r>
    <x v="1"/>
    <x v="2"/>
    <x v="2"/>
    <x v="1"/>
    <x v="13"/>
    <x v="1"/>
    <x v="0"/>
    <m/>
  </r>
  <r>
    <x v="2"/>
    <x v="2"/>
    <x v="2"/>
    <x v="1"/>
    <x v="13"/>
    <x v="1"/>
    <x v="0"/>
    <m/>
  </r>
  <r>
    <x v="3"/>
    <x v="2"/>
    <x v="2"/>
    <x v="1"/>
    <x v="13"/>
    <x v="1"/>
    <x v="0"/>
    <m/>
  </r>
  <r>
    <x v="1"/>
    <x v="2"/>
    <x v="2"/>
    <x v="1"/>
    <x v="14"/>
    <x v="1"/>
    <x v="0"/>
    <m/>
  </r>
  <r>
    <x v="2"/>
    <x v="2"/>
    <x v="2"/>
    <x v="1"/>
    <x v="14"/>
    <x v="1"/>
    <x v="0"/>
    <m/>
  </r>
  <r>
    <x v="3"/>
    <x v="2"/>
    <x v="2"/>
    <x v="1"/>
    <x v="14"/>
    <x v="1"/>
    <x v="0"/>
    <m/>
  </r>
  <r>
    <x v="1"/>
    <x v="0"/>
    <x v="2"/>
    <x v="1"/>
    <x v="15"/>
    <x v="1"/>
    <x v="0"/>
    <m/>
  </r>
  <r>
    <x v="2"/>
    <x v="0"/>
    <x v="2"/>
    <x v="1"/>
    <x v="15"/>
    <x v="1"/>
    <x v="0"/>
    <m/>
  </r>
  <r>
    <x v="3"/>
    <x v="0"/>
    <x v="2"/>
    <x v="1"/>
    <x v="15"/>
    <x v="1"/>
    <x v="0"/>
    <m/>
  </r>
  <r>
    <x v="1"/>
    <x v="0"/>
    <x v="2"/>
    <x v="1"/>
    <x v="16"/>
    <x v="1"/>
    <x v="0"/>
    <m/>
  </r>
  <r>
    <x v="2"/>
    <x v="2"/>
    <x v="2"/>
    <x v="1"/>
    <x v="17"/>
    <x v="1"/>
    <x v="0"/>
    <m/>
  </r>
  <r>
    <x v="3"/>
    <x v="2"/>
    <x v="2"/>
    <x v="1"/>
    <x v="17"/>
    <x v="1"/>
    <x v="0"/>
    <m/>
  </r>
  <r>
    <x v="3"/>
    <x v="1"/>
    <x v="2"/>
    <x v="1"/>
    <x v="18"/>
    <x v="1"/>
    <x v="0"/>
    <m/>
  </r>
  <r>
    <x v="3"/>
    <x v="1"/>
    <x v="2"/>
    <x v="1"/>
    <x v="19"/>
    <x v="1"/>
    <x v="0"/>
    <m/>
  </r>
  <r>
    <x v="2"/>
    <x v="2"/>
    <x v="2"/>
    <x v="1"/>
    <x v="20"/>
    <x v="1"/>
    <x v="0"/>
    <m/>
  </r>
  <r>
    <x v="3"/>
    <x v="2"/>
    <x v="2"/>
    <x v="1"/>
    <x v="20"/>
    <x v="1"/>
    <x v="0"/>
    <m/>
  </r>
  <r>
    <x v="0"/>
    <x v="0"/>
    <x v="3"/>
    <x v="1"/>
    <x v="21"/>
    <x v="1"/>
    <x v="0"/>
    <m/>
  </r>
  <r>
    <x v="0"/>
    <x v="0"/>
    <x v="3"/>
    <x v="1"/>
    <x v="22"/>
    <x v="1"/>
    <x v="0"/>
    <m/>
  </r>
  <r>
    <x v="3"/>
    <x v="1"/>
    <x v="2"/>
    <x v="1"/>
    <x v="23"/>
    <x v="1"/>
    <x v="0"/>
    <m/>
  </r>
  <r>
    <x v="2"/>
    <x v="3"/>
    <x v="2"/>
    <x v="1"/>
    <x v="24"/>
    <x v="1"/>
    <x v="0"/>
    <m/>
  </r>
  <r>
    <x v="3"/>
    <x v="3"/>
    <x v="2"/>
    <x v="1"/>
    <x v="24"/>
    <x v="1"/>
    <x v="0"/>
    <m/>
  </r>
  <r>
    <x v="1"/>
    <x v="2"/>
    <x v="2"/>
    <x v="1"/>
    <x v="25"/>
    <x v="1"/>
    <x v="0"/>
    <m/>
  </r>
  <r>
    <x v="2"/>
    <x v="2"/>
    <x v="2"/>
    <x v="1"/>
    <x v="25"/>
    <x v="1"/>
    <x v="0"/>
    <m/>
  </r>
  <r>
    <x v="3"/>
    <x v="2"/>
    <x v="2"/>
    <x v="1"/>
    <x v="25"/>
    <x v="1"/>
    <x v="0"/>
    <m/>
  </r>
  <r>
    <x v="0"/>
    <x v="0"/>
    <x v="2"/>
    <x v="1"/>
    <x v="25"/>
    <x v="1"/>
    <x v="0"/>
    <m/>
  </r>
  <r>
    <x v="3"/>
    <x v="1"/>
    <x v="2"/>
    <x v="1"/>
    <x v="26"/>
    <x v="1"/>
    <x v="0"/>
    <m/>
  </r>
  <r>
    <x v="3"/>
    <x v="1"/>
    <x v="0"/>
    <x v="0"/>
    <x v="27"/>
    <x v="1"/>
    <x v="3"/>
    <m/>
  </r>
  <r>
    <x v="3"/>
    <x v="1"/>
    <x v="4"/>
    <x v="2"/>
    <x v="28"/>
    <x v="2"/>
    <x v="0"/>
    <m/>
  </r>
  <r>
    <x v="2"/>
    <x v="0"/>
    <x v="3"/>
    <x v="2"/>
    <x v="29"/>
    <x v="2"/>
    <x v="0"/>
    <m/>
  </r>
  <r>
    <x v="3"/>
    <x v="0"/>
    <x v="3"/>
    <x v="2"/>
    <x v="29"/>
    <x v="2"/>
    <x v="0"/>
    <m/>
  </r>
  <r>
    <x v="2"/>
    <x v="2"/>
    <x v="3"/>
    <x v="2"/>
    <x v="30"/>
    <x v="2"/>
    <x v="0"/>
    <m/>
  </r>
  <r>
    <x v="3"/>
    <x v="2"/>
    <x v="3"/>
    <x v="2"/>
    <x v="30"/>
    <x v="2"/>
    <x v="0"/>
    <m/>
  </r>
  <r>
    <x v="0"/>
    <x v="0"/>
    <x v="5"/>
    <x v="2"/>
    <x v="31"/>
    <x v="2"/>
    <x v="0"/>
    <m/>
  </r>
  <r>
    <x v="1"/>
    <x v="0"/>
    <x v="5"/>
    <x v="2"/>
    <x v="31"/>
    <x v="2"/>
    <x v="0"/>
    <m/>
  </r>
  <r>
    <x v="2"/>
    <x v="0"/>
    <x v="5"/>
    <x v="2"/>
    <x v="31"/>
    <x v="2"/>
    <x v="0"/>
    <m/>
  </r>
  <r>
    <x v="3"/>
    <x v="0"/>
    <x v="5"/>
    <x v="2"/>
    <x v="31"/>
    <x v="2"/>
    <x v="0"/>
    <m/>
  </r>
  <r>
    <x v="3"/>
    <x v="1"/>
    <x v="5"/>
    <x v="2"/>
    <x v="32"/>
    <x v="2"/>
    <x v="0"/>
    <m/>
  </r>
  <r>
    <x v="2"/>
    <x v="3"/>
    <x v="5"/>
    <x v="3"/>
    <x v="33"/>
    <x v="3"/>
    <x v="0"/>
    <m/>
  </r>
  <r>
    <x v="3"/>
    <x v="3"/>
    <x v="5"/>
    <x v="3"/>
    <x v="33"/>
    <x v="3"/>
    <x v="0"/>
    <m/>
  </r>
  <r>
    <x v="2"/>
    <x v="0"/>
    <x v="5"/>
    <x v="3"/>
    <x v="34"/>
    <x v="3"/>
    <x v="0"/>
    <m/>
  </r>
  <r>
    <x v="3"/>
    <x v="0"/>
    <x v="5"/>
    <x v="3"/>
    <x v="34"/>
    <x v="3"/>
    <x v="0"/>
    <m/>
  </r>
  <r>
    <x v="0"/>
    <x v="0"/>
    <x v="6"/>
    <x v="2"/>
    <x v="35"/>
    <x v="4"/>
    <x v="0"/>
    <m/>
  </r>
  <r>
    <x v="1"/>
    <x v="2"/>
    <x v="6"/>
    <x v="3"/>
    <x v="35"/>
    <x v="4"/>
    <x v="0"/>
    <m/>
  </r>
  <r>
    <x v="2"/>
    <x v="2"/>
    <x v="6"/>
    <x v="3"/>
    <x v="35"/>
    <x v="4"/>
    <x v="0"/>
    <m/>
  </r>
  <r>
    <x v="3"/>
    <x v="2"/>
    <x v="6"/>
    <x v="3"/>
    <x v="35"/>
    <x v="4"/>
    <x v="0"/>
    <m/>
  </r>
  <r>
    <x v="0"/>
    <x v="0"/>
    <x v="6"/>
    <x v="0"/>
    <x v="36"/>
    <x v="4"/>
    <x v="0"/>
    <m/>
  </r>
  <r>
    <x v="1"/>
    <x v="0"/>
    <x v="6"/>
    <x v="0"/>
    <x v="36"/>
    <x v="4"/>
    <x v="0"/>
    <m/>
  </r>
  <r>
    <x v="2"/>
    <x v="0"/>
    <x v="6"/>
    <x v="0"/>
    <x v="36"/>
    <x v="4"/>
    <x v="0"/>
    <m/>
  </r>
  <r>
    <x v="3"/>
    <x v="0"/>
    <x v="6"/>
    <x v="0"/>
    <x v="36"/>
    <x v="4"/>
    <x v="0"/>
    <m/>
  </r>
  <r>
    <x v="0"/>
    <x v="0"/>
    <x v="6"/>
    <x v="0"/>
    <x v="37"/>
    <x v="4"/>
    <x v="0"/>
    <m/>
  </r>
  <r>
    <x v="1"/>
    <x v="0"/>
    <x v="6"/>
    <x v="0"/>
    <x v="37"/>
    <x v="4"/>
    <x v="0"/>
    <m/>
  </r>
  <r>
    <x v="2"/>
    <x v="0"/>
    <x v="6"/>
    <x v="0"/>
    <x v="37"/>
    <x v="4"/>
    <x v="0"/>
    <m/>
  </r>
  <r>
    <x v="3"/>
    <x v="0"/>
    <x v="6"/>
    <x v="0"/>
    <x v="37"/>
    <x v="4"/>
    <x v="0"/>
    <m/>
  </r>
  <r>
    <x v="0"/>
    <x v="0"/>
    <x v="6"/>
    <x v="0"/>
    <x v="38"/>
    <x v="4"/>
    <x v="0"/>
    <m/>
  </r>
  <r>
    <x v="1"/>
    <x v="2"/>
    <x v="6"/>
    <x v="0"/>
    <x v="38"/>
    <x v="4"/>
    <x v="0"/>
    <m/>
  </r>
  <r>
    <x v="2"/>
    <x v="3"/>
    <x v="6"/>
    <x v="0"/>
    <x v="38"/>
    <x v="4"/>
    <x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4">
  <r>
    <s v="(AS) 3281 Storage Lot (NO TOURS)1"/>
    <x v="0"/>
    <x v="0"/>
    <x v="0"/>
    <x v="0"/>
    <x v="0"/>
    <x v="0"/>
    <x v="0"/>
    <s v="https://tools.sig.systems/site/details/305"/>
    <s v="https://www.google.com/maps/d/edit?hl=es&amp;mid=1uPmsRMsXnp74hPFW2t-sp2totVWF_xY&amp;ll=32.83050137713022%2C-96.83197783061323&amp;z=17"/>
    <m/>
    <x v="0"/>
    <x v="0"/>
    <x v="0"/>
    <x v="0"/>
    <x v="0"/>
    <x v="0"/>
  </r>
  <r>
    <s v="(AS) Coggin BMW Ft. Pierce (NO TOURS)1"/>
    <x v="0"/>
    <x v="0"/>
    <x v="1"/>
    <x v="1"/>
    <x v="1"/>
    <x v="1"/>
    <x v="0"/>
    <s v="https://tools.sig.systems/site/details/119"/>
    <s v="https://www.google.com/maps/d/viewer?mid=1AyViBuyeq7iwDua1SVudJ2A1BYi3IBA&amp;ll=27.38181516363982%2C-80.32568845000002&amp;z=18"/>
    <m/>
    <x v="1"/>
    <x v="1"/>
    <x v="0"/>
    <x v="1"/>
    <x v="1"/>
    <x v="1"/>
  </r>
  <r>
    <s v="(AS) Coggin Collision Center of Kissimmee (NO TOURS)1"/>
    <x v="0"/>
    <x v="0"/>
    <x v="2"/>
    <x v="1"/>
    <x v="1"/>
    <x v="1"/>
    <x v="0"/>
    <s v="https://tools.sig.systems/site/details/331"/>
    <n v="0"/>
    <m/>
    <x v="2"/>
    <x v="1"/>
    <x v="0"/>
    <x v="0"/>
    <x v="2"/>
    <x v="2"/>
  </r>
  <r>
    <s v="(AS) Coggin Honda of Orlando (NO TOURS)1"/>
    <x v="0"/>
    <x v="0"/>
    <x v="3"/>
    <x v="1"/>
    <x v="1"/>
    <x v="1"/>
    <x v="1"/>
    <s v="https://tools.sig.systems/site/details/324"/>
    <n v="0"/>
    <m/>
    <x v="3"/>
    <x v="1"/>
    <x v="0"/>
    <x v="2"/>
    <x v="3"/>
    <x v="3"/>
  </r>
  <r>
    <s v="(AS) Hare Chevrolet (NO TOURS)1"/>
    <x v="0"/>
    <x v="0"/>
    <x v="4"/>
    <x v="1"/>
    <x v="1"/>
    <x v="1"/>
    <x v="0"/>
    <s v="https://tools.sig.systems/site/details/301"/>
    <s v="https://www.google.com/maps/d/edit?mid=1hsX5GGrNcCQgAuzDCDz1OWgEkhsAc78&amp;usp=sharing"/>
    <m/>
    <x v="4"/>
    <x v="2"/>
    <x v="0"/>
    <x v="3"/>
    <x v="4"/>
    <x v="4"/>
  </r>
  <r>
    <s v="(AS) Hare Truck Center (NO TOURS)1"/>
    <x v="0"/>
    <x v="0"/>
    <x v="5"/>
    <x v="1"/>
    <x v="1"/>
    <x v="1"/>
    <x v="0"/>
    <s v="https://tools.sig.systems/site/details/300"/>
    <s v="https://www.google.com/maps/d/edit?mid=1hsX5GGrNcCQgAuzDCDz1OWgEkhsAc78&amp;usp=sharing"/>
    <m/>
    <x v="0"/>
    <x v="3"/>
    <x v="0"/>
    <x v="0"/>
    <x v="5"/>
    <x v="5"/>
  </r>
  <r>
    <s v="(AS) Kahlo CDJR (NO TOURS)1"/>
    <x v="0"/>
    <x v="0"/>
    <x v="6"/>
    <x v="1"/>
    <x v="1"/>
    <x v="1"/>
    <x v="0"/>
    <s v="https://tools.sig.systems/site/details/282"/>
    <s v="https://www.google.com/maps/d/edit?mid=1hsX5GGrNcCQgAuzDCDz1OWgEkhsAc78&amp;usp=sharing"/>
    <m/>
    <x v="0"/>
    <x v="4"/>
    <x v="1"/>
    <x v="4"/>
    <x v="6"/>
    <x v="6"/>
  </r>
  <r>
    <s v="(AS) Koons Annapolis Toyota (NO TOURS)1"/>
    <x v="0"/>
    <x v="0"/>
    <x v="7"/>
    <x v="1"/>
    <x v="1"/>
    <x v="1"/>
    <x v="2"/>
    <s v="https://tools.sig.systems/site/details/337"/>
    <s v="-"/>
    <m/>
    <x v="5"/>
    <x v="5"/>
    <x v="0"/>
    <x v="0"/>
    <x v="7"/>
    <x v="7"/>
  </r>
  <r>
    <s v="(AS) Koons Arlington Toyota - New Car (NO TOURS)1"/>
    <x v="0"/>
    <x v="0"/>
    <x v="8"/>
    <x v="1"/>
    <x v="1"/>
    <x v="1"/>
    <x v="3"/>
    <s v="https://tools.sig.systems/site/details/334"/>
    <s v="-"/>
    <m/>
    <x v="0"/>
    <x v="6"/>
    <x v="0"/>
    <x v="0"/>
    <x v="8"/>
    <x v="8"/>
  </r>
  <r>
    <s v="(AS) Koons Baltimore Ford - Main Dealership (NO TOURS)1"/>
    <x v="0"/>
    <x v="0"/>
    <x v="9"/>
    <x v="1"/>
    <x v="1"/>
    <x v="1"/>
    <x v="0"/>
    <s v="https://tools.sig.systems/site/details/335"/>
    <s v="-"/>
    <m/>
    <x v="6"/>
    <x v="7"/>
    <x v="0"/>
    <x v="5"/>
    <x v="9"/>
    <x v="9"/>
  </r>
  <r>
    <s v="(AS) Koons Chevrolet Buick GMC - Clarksville (NO TOURS)1"/>
    <x v="0"/>
    <x v="0"/>
    <x v="10"/>
    <x v="1"/>
    <x v="1"/>
    <x v="1"/>
    <x v="3"/>
    <s v="https://tools.sig.systems/site/details/306"/>
    <s v="https://www.google.com/maps/d/edit?hl=es&amp;mid=11XB1lTSP7EcDCDvzypdUPWP6bWCNAEI&amp;ll=39.21145022420528%2C-76.94003711910554&amp;z=17"/>
    <m/>
    <x v="0"/>
    <x v="8"/>
    <x v="0"/>
    <x v="0"/>
    <x v="10"/>
    <x v="10"/>
  </r>
  <r>
    <s v="(AS) Koons Chevrolet Buick GMC - Clarksville Remote Lot (NO TOURS)1"/>
    <x v="0"/>
    <x v="0"/>
    <x v="11"/>
    <x v="1"/>
    <x v="1"/>
    <x v="1"/>
    <x v="3"/>
    <s v="https://tools.sig.systems/site/details/308"/>
    <s v="https://www.google.com/maps/d/edit?hl=es&amp;mid=11XB1lTSP7EcDCDvzypdUPWP6bWCNAEI&amp;ll=39.21145022420528%2C-76.94003711910554&amp;z=21"/>
    <m/>
    <x v="0"/>
    <x v="3"/>
    <x v="0"/>
    <x v="0"/>
    <x v="11"/>
    <x v="11"/>
  </r>
  <r>
    <s v="(AS) Koons Chevrolet Buick GMC - Tysons (NO TOURS)1"/>
    <x v="0"/>
    <x v="0"/>
    <x v="12"/>
    <x v="1"/>
    <x v="1"/>
    <x v="1"/>
    <x v="3"/>
    <s v="https://tools.sig.systems/site/details/352"/>
    <s v="-"/>
    <m/>
    <x v="0"/>
    <x v="9"/>
    <x v="0"/>
    <x v="6"/>
    <x v="12"/>
    <x v="12"/>
  </r>
  <r>
    <s v="(AS) Koons Chevrolet Buick GMC - Tysons Remote Lot (NO TOURS)1"/>
    <x v="0"/>
    <x v="0"/>
    <x v="13"/>
    <x v="1"/>
    <x v="1"/>
    <x v="1"/>
    <x v="0"/>
    <s v="https://tools.sig.systems/site/details/333"/>
    <s v="-"/>
    <m/>
    <x v="0"/>
    <x v="10"/>
    <x v="2"/>
    <x v="7"/>
    <x v="13"/>
    <x v="13"/>
  </r>
  <r>
    <s v="(AS) Koons Easton Toyota - Main Dealership (NO TOURS)1"/>
    <x v="0"/>
    <x v="0"/>
    <x v="14"/>
    <x v="1"/>
    <x v="1"/>
    <x v="1"/>
    <x v="0"/>
    <s v="https://tools.sig.systems/site/details/340"/>
    <s v="-"/>
    <m/>
    <x v="0"/>
    <x v="11"/>
    <x v="0"/>
    <x v="0"/>
    <x v="14"/>
    <x v="14"/>
  </r>
  <r>
    <s v="(AS) Koons Falls Church Ford (NO TOURS)1"/>
    <x v="0"/>
    <x v="0"/>
    <x v="15"/>
    <x v="1"/>
    <x v="1"/>
    <x v="1"/>
    <x v="3"/>
    <s v="https://tools.sig.systems/site/details/345"/>
    <s v="-"/>
    <m/>
    <x v="0"/>
    <x v="7"/>
    <x v="0"/>
    <x v="0"/>
    <x v="15"/>
    <x v="15"/>
  </r>
  <r>
    <s v="(AS) Koons MB of Catonsville (NO TOURS)1"/>
    <x v="0"/>
    <x v="0"/>
    <x v="16"/>
    <x v="1"/>
    <x v="1"/>
    <x v="1"/>
    <x v="0"/>
    <s v="https://tools.sig.systems/site/details/303"/>
    <n v="0"/>
    <m/>
    <x v="0"/>
    <x v="12"/>
    <x v="3"/>
    <x v="3"/>
    <x v="16"/>
    <x v="16"/>
  </r>
  <r>
    <s v="(AS) Koons Owings Mills Kia (NO TOURS)1"/>
    <x v="0"/>
    <x v="0"/>
    <x v="17"/>
    <x v="1"/>
    <x v="1"/>
    <x v="1"/>
    <x v="0"/>
    <s v="https://tools.sig.systems/site/details/336"/>
    <s v="-"/>
    <m/>
    <x v="7"/>
    <x v="13"/>
    <x v="0"/>
    <x v="0"/>
    <x v="17"/>
    <x v="17"/>
  </r>
  <r>
    <s v="(AS) Koons Sterling Ford - Main Dealership (NO TOURS)1"/>
    <x v="0"/>
    <x v="0"/>
    <x v="18"/>
    <x v="1"/>
    <x v="1"/>
    <x v="1"/>
    <x v="3"/>
    <s v="https://tools.sig.systems/site/details/348"/>
    <n v="0"/>
    <m/>
    <x v="8"/>
    <x v="14"/>
    <x v="0"/>
    <x v="8"/>
    <x v="18"/>
    <x v="18"/>
  </r>
  <r>
    <s v="(AS) Koons Tysons Toyota - Main Dealership (NO TOURS)1"/>
    <x v="0"/>
    <x v="0"/>
    <x v="19"/>
    <x v="1"/>
    <x v="1"/>
    <x v="1"/>
    <x v="0"/>
    <s v="https://tools.sig.systems/site/details/344"/>
    <s v="-"/>
    <m/>
    <x v="0"/>
    <x v="15"/>
    <x v="0"/>
    <x v="0"/>
    <x v="19"/>
    <x v="19"/>
  </r>
  <r>
    <s v="(AS) Koons Volvo Cars White Marsh (NO TOURS)1"/>
    <x v="0"/>
    <x v="0"/>
    <x v="20"/>
    <x v="1"/>
    <x v="1"/>
    <x v="1"/>
    <x v="0"/>
    <s v="https://tools.sig.systems/site/details/338"/>
    <n v="0"/>
    <m/>
    <x v="0"/>
    <x v="16"/>
    <x v="0"/>
    <x v="0"/>
    <x v="20"/>
    <x v="20"/>
  </r>
  <r>
    <s v="(AS) Koons Westminster Toyota (NO TOURS)1"/>
    <x v="0"/>
    <x v="0"/>
    <x v="21"/>
    <x v="1"/>
    <x v="1"/>
    <x v="1"/>
    <x v="0"/>
    <s v="https://tools.sig.systems/site/details/341"/>
    <s v="-"/>
    <m/>
    <x v="0"/>
    <x v="17"/>
    <x v="0"/>
    <x v="0"/>
    <x v="21"/>
    <x v="21"/>
  </r>
  <r>
    <s v="(AS) Koons White Marsh Chevrolet (NO TOURS)1"/>
    <x v="0"/>
    <x v="0"/>
    <x v="22"/>
    <x v="1"/>
    <x v="1"/>
    <x v="1"/>
    <x v="0"/>
    <s v="https://tools.sig.systems/site/details/339"/>
    <s v="-"/>
    <m/>
    <x v="9"/>
    <x v="18"/>
    <x v="0"/>
    <x v="0"/>
    <x v="22"/>
    <x v="22"/>
  </r>
  <r>
    <s v="(AS) Koons Woodbridge Ford (NO TOURS)1"/>
    <x v="0"/>
    <x v="0"/>
    <x v="23"/>
    <x v="1"/>
    <x v="1"/>
    <x v="1"/>
    <x v="4"/>
    <s v="https://tools.sig.systems/site/details/342"/>
    <n v="0"/>
    <m/>
    <x v="0"/>
    <x v="19"/>
    <x v="0"/>
    <x v="0"/>
    <x v="23"/>
    <x v="23"/>
  </r>
  <r>
    <s v="(AS) Koons Woodbridge GMC (NO TOURS)1"/>
    <x v="0"/>
    <x v="0"/>
    <x v="24"/>
    <x v="1"/>
    <x v="1"/>
    <x v="1"/>
    <x v="3"/>
    <s v="https://tools.sig.systems/site/details/343"/>
    <n v="0"/>
    <m/>
    <x v="0"/>
    <x v="7"/>
    <x v="0"/>
    <x v="9"/>
    <x v="24"/>
    <x v="24"/>
  </r>
  <r>
    <s v="(AS) Koons Woodbridge Hyundai (NO TOURS)1"/>
    <x v="0"/>
    <x v="0"/>
    <x v="25"/>
    <x v="1"/>
    <x v="1"/>
    <x v="1"/>
    <x v="5"/>
    <s v="https://tools.sig.systems/site/details/347"/>
    <s v="-"/>
    <m/>
    <x v="0"/>
    <x v="20"/>
    <x v="0"/>
    <x v="0"/>
    <x v="25"/>
    <x v="25"/>
  </r>
  <r>
    <s v="(AS) Koons Woodbridge Kia (NO TOURS)1"/>
    <x v="0"/>
    <x v="0"/>
    <x v="26"/>
    <x v="1"/>
    <x v="1"/>
    <x v="1"/>
    <x v="3"/>
    <s v="https://tools.sig.systems/site/details/346"/>
    <s v="-"/>
    <m/>
    <x v="0"/>
    <x v="21"/>
    <x v="0"/>
    <x v="0"/>
    <x v="26"/>
    <x v="26"/>
  </r>
  <r>
    <s v="(AS) Larry H Miller CDJR Fiat (NO TOURS)1"/>
    <x v="0"/>
    <x v="0"/>
    <x v="27"/>
    <x v="2"/>
    <x v="2"/>
    <x v="2"/>
    <x v="0"/>
    <s v="https://tools.sig.systems/site/details/298"/>
    <n v="0"/>
    <m/>
    <x v="10"/>
    <x v="2"/>
    <x v="0"/>
    <x v="0"/>
    <x v="27"/>
    <x v="27"/>
  </r>
  <r>
    <s v="(AS) Plaza Collision ST Louis (NO TOURS)1"/>
    <x v="0"/>
    <x v="0"/>
    <x v="28"/>
    <x v="0"/>
    <x v="0"/>
    <x v="0"/>
    <x v="0"/>
    <s v="https://tools.sig.systems/site/details/350"/>
    <s v="-"/>
    <m/>
    <x v="11"/>
    <x v="7"/>
    <x v="0"/>
    <x v="0"/>
    <x v="28"/>
    <x v="28"/>
  </r>
  <r>
    <s v="(AS) Plaza Mercedes Benz West (NO TOURS)1"/>
    <x v="0"/>
    <x v="0"/>
    <x v="29"/>
    <x v="0"/>
    <x v="0"/>
    <x v="0"/>
    <x v="0"/>
    <s v="https://tools.sig.systems/site/details/349"/>
    <s v="-"/>
    <m/>
    <x v="0"/>
    <x v="22"/>
    <x v="0"/>
    <x v="10"/>
    <x v="29"/>
    <x v="29"/>
  </r>
  <r>
    <s v="(BRL) Shoemakersville1"/>
    <x v="0"/>
    <x v="0"/>
    <x v="30"/>
    <x v="3"/>
    <x v="1"/>
    <x v="3"/>
    <x v="0"/>
    <s v="https://tools.sig.systems/site/details/302"/>
    <n v="0"/>
    <m/>
    <x v="0"/>
    <x v="23"/>
    <x v="0"/>
    <x v="11"/>
    <x v="30"/>
    <x v="30"/>
  </r>
  <r>
    <s v="(DT) Arlington1"/>
    <x v="0"/>
    <x v="0"/>
    <x v="31"/>
    <x v="0"/>
    <x v="0"/>
    <x v="0"/>
    <x v="0"/>
    <s v="https://tools.sig.systems/site/details/199"/>
    <s v="-"/>
    <m/>
    <x v="12"/>
    <x v="1"/>
    <x v="0"/>
    <x v="0"/>
    <x v="31"/>
    <x v="31"/>
  </r>
  <r>
    <s v="(DT) Charlotte1"/>
    <x v="0"/>
    <x v="0"/>
    <x v="32"/>
    <x v="1"/>
    <x v="1"/>
    <x v="1"/>
    <x v="0"/>
    <s v="https://tools.sig.systems/site/details/299"/>
    <n v="0"/>
    <m/>
    <x v="13"/>
    <x v="1"/>
    <x v="0"/>
    <x v="12"/>
    <x v="32"/>
    <x v="32"/>
  </r>
  <r>
    <s v="(DT) Modesto1"/>
    <x v="0"/>
    <x v="0"/>
    <x v="33"/>
    <x v="4"/>
    <x v="3"/>
    <x v="4"/>
    <x v="0"/>
    <s v="https://tools.sig.systems/site/details/267"/>
    <n v="0"/>
    <m/>
    <x v="14"/>
    <x v="24"/>
    <x v="0"/>
    <x v="0"/>
    <x v="33"/>
    <x v="33"/>
  </r>
  <r>
    <s v="(KG) Big Star Cadillac1"/>
    <x v="0"/>
    <x v="0"/>
    <x v="34"/>
    <x v="0"/>
    <x v="0"/>
    <x v="0"/>
    <x v="0"/>
    <s v="https://tools.sig.systems/site/details/316"/>
    <s v="https://www.google.com/maps/d/edit?mid=1jIRkMUnWNPuTgDjQgDP-f33LClT85NU&amp;usp=sharing"/>
    <m/>
    <x v="15"/>
    <x v="1"/>
    <x v="0"/>
    <x v="0"/>
    <x v="34"/>
    <x v="34"/>
  </r>
  <r>
    <s v="(KG) Big Star Hyundai Houston1"/>
    <x v="0"/>
    <x v="0"/>
    <x v="35"/>
    <x v="0"/>
    <x v="0"/>
    <x v="0"/>
    <x v="0"/>
    <s v="https://tools.sig.systems/site/details/287"/>
    <s v="https://www.google.com/maps/d/edit?hl=en&amp;mid=1jIRkMUnWNPuTgDjQgDP-f33LClT85NU&amp;ll=29.55731827236326%2C-95.1601644&amp;z=17"/>
    <m/>
    <x v="16"/>
    <x v="25"/>
    <x v="0"/>
    <x v="13"/>
    <x v="35"/>
    <x v="35"/>
  </r>
  <r>
    <s v="(KG) Ken Garff Kia of Avondale1"/>
    <x v="0"/>
    <x v="0"/>
    <x v="36"/>
    <x v="4"/>
    <x v="4"/>
    <x v="4"/>
    <x v="6"/>
    <s v="https://tools.sig.systems/site/details/283"/>
    <s v="https://www.google.com/maps/d/viewer?mid=1bDs0QGFZwL3vEeGKxjVMk_j4azr0-lg&amp;ll=33.4593758581648%2C-112.28793780000001&amp;z=18"/>
    <m/>
    <x v="17"/>
    <x v="1"/>
    <x v="0"/>
    <x v="14"/>
    <x v="36"/>
    <x v="36"/>
  </r>
  <r>
    <s v="(KG) Ken Garff Volkswagen of Gilbert1"/>
    <x v="0"/>
    <x v="0"/>
    <x v="37"/>
    <x v="4"/>
    <x v="4"/>
    <x v="4"/>
    <x v="6"/>
    <s v="https://tools.sig.systems/site/details/284"/>
    <s v="https://www.google.com/maps/d/viewer?hl=es&amp;mid=19SU7XE9Cg8jhVFpEI21Vi9Zfgdih9Ds&amp;ll=33.29158262977276%2C-111.75783630000002&amp;z=17"/>
    <m/>
    <x v="18"/>
    <x v="1"/>
    <x v="0"/>
    <x v="15"/>
    <x v="37"/>
    <x v="37"/>
  </r>
  <r>
    <s v="(LT) Landers Kia of Little Rock1"/>
    <x v="0"/>
    <x v="0"/>
    <x v="38"/>
    <x v="0"/>
    <x v="0"/>
    <x v="0"/>
    <x v="0"/>
    <s v="https://tools.sig.systems/site/details/322"/>
    <s v="https://www.google.com/maps/d/u/1/edit?mid=1-zEzsc6U6nZom08edp0XAd3_HYFvAyk&amp;usp=sharing"/>
    <m/>
    <x v="19"/>
    <x v="1"/>
    <x v="4"/>
    <x v="16"/>
    <x v="38"/>
    <x v="38"/>
  </r>
  <r>
    <s v="(LT) Luther Bloomington Hyundai (NO TOURS)1"/>
    <x v="0"/>
    <x v="0"/>
    <x v="39"/>
    <x v="0"/>
    <x v="0"/>
    <x v="5"/>
    <x v="0"/>
    <s v="https://tools.sig.systems/site/details/318"/>
    <n v="0"/>
    <m/>
    <x v="0"/>
    <x v="26"/>
    <x v="5"/>
    <x v="17"/>
    <x v="39"/>
    <x v="39"/>
  </r>
  <r>
    <s v="(LT) Luther Bloomington Subaru - Acura1"/>
    <x v="0"/>
    <x v="0"/>
    <x v="40"/>
    <x v="5"/>
    <x v="0"/>
    <x v="5"/>
    <x v="0"/>
    <s v="https://tools.sig.systems/site/details/289"/>
    <n v="0"/>
    <m/>
    <x v="20"/>
    <x v="27"/>
    <x v="6"/>
    <x v="0"/>
    <x v="40"/>
    <x v="40"/>
  </r>
  <r>
    <s v="(LT) Luther Brookdale Honda (NO TOURS)1"/>
    <x v="0"/>
    <x v="0"/>
    <x v="41"/>
    <x v="6"/>
    <x v="0"/>
    <x v="0"/>
    <x v="0"/>
    <s v="https://tools.sig.systems/site/details/280"/>
    <s v="https://www.google.com/maps/d/viewer?mid=1ot0ILX76JMuvd9yMuqkb4_e0yH1n7TA&amp;ll=45.07815812965141%2C-93.33506855000002&amp;z=17"/>
    <m/>
    <x v="0"/>
    <x v="28"/>
    <x v="7"/>
    <x v="18"/>
    <x v="41"/>
    <x v="41"/>
  </r>
  <r>
    <s v="(LT) Luther Brookdale Toyota1"/>
    <x v="0"/>
    <x v="0"/>
    <x v="42"/>
    <x v="6"/>
    <x v="0"/>
    <x v="1"/>
    <x v="0"/>
    <s v="https://tools.sig.systems/site/details/281"/>
    <s v="https://www.google.com/maps/d/viewer?mid=1ot0ILX76JMuvd9yMuqkb4_e0yH1n7TA&amp;ll=45.07815812965141%2C-93.33506855000002&amp;z=17"/>
    <m/>
    <x v="0"/>
    <x v="29"/>
    <x v="3"/>
    <x v="4"/>
    <x v="42"/>
    <x v="42"/>
  </r>
  <r>
    <s v="(LT) Luther Burnsville Hyundai1"/>
    <x v="0"/>
    <x v="0"/>
    <x v="43"/>
    <x v="0"/>
    <x v="0"/>
    <x v="0"/>
    <x v="0"/>
    <s v="https://tools.sig.systems/site/details/307"/>
    <n v="0"/>
    <m/>
    <x v="0"/>
    <x v="30"/>
    <x v="8"/>
    <x v="19"/>
    <x v="43"/>
    <x v="43"/>
  </r>
  <r>
    <s v="(LT) Luther Genesis of Minneapolis1"/>
    <x v="0"/>
    <x v="0"/>
    <x v="44"/>
    <x v="0"/>
    <x v="0"/>
    <x v="0"/>
    <x v="0"/>
    <s v="https://tools.sig.systems/site/details/315"/>
    <n v="0"/>
    <m/>
    <x v="0"/>
    <x v="31"/>
    <x v="0"/>
    <x v="0"/>
    <x v="44"/>
    <x v="44"/>
  </r>
  <r>
    <s v="(LT) Luther Hopkins Honda (NO TOURS)1"/>
    <x v="0"/>
    <x v="0"/>
    <x v="45"/>
    <x v="5"/>
    <x v="0"/>
    <x v="0"/>
    <x v="0"/>
    <s v="https://tools.sig.systems/site/details/288"/>
    <n v="0"/>
    <m/>
    <x v="0"/>
    <x v="32"/>
    <x v="9"/>
    <x v="20"/>
    <x v="45"/>
    <x v="45"/>
  </r>
  <r>
    <s v="(LT) Luther Landers Recon Center1"/>
    <x v="0"/>
    <x v="0"/>
    <x v="46"/>
    <x v="0"/>
    <x v="0"/>
    <x v="0"/>
    <x v="0"/>
    <s v="https://tools.sig.systems/site/details/323"/>
    <s v="https://www.google.com/maps/d/u/1/edit?mid=1-zEzsc6U6nZom08edp0XAd3_HYFvAyk&amp;usp=sharing"/>
    <m/>
    <x v="21"/>
    <x v="1"/>
    <x v="0"/>
    <x v="0"/>
    <x v="46"/>
    <x v="46"/>
  </r>
  <r>
    <s v="(LT) Luther North Country Ford1"/>
    <x v="0"/>
    <x v="0"/>
    <x v="47"/>
    <x v="0"/>
    <x v="0"/>
    <x v="0"/>
    <x v="0"/>
    <s v="https://tools.sig.systems/site/details/292"/>
    <n v="0"/>
    <m/>
    <x v="0"/>
    <x v="33"/>
    <x v="10"/>
    <x v="0"/>
    <x v="47"/>
    <x v="47"/>
  </r>
  <r>
    <s v="(LT) Luther St. Cloud Subaru1"/>
    <x v="0"/>
    <x v="0"/>
    <x v="48"/>
    <x v="0"/>
    <x v="0"/>
    <x v="6"/>
    <x v="0"/>
    <s v="https://tools.sig.systems/site/details/295"/>
    <n v="0"/>
    <m/>
    <x v="22"/>
    <x v="34"/>
    <x v="11"/>
    <x v="21"/>
    <x v="48"/>
    <x v="48"/>
  </r>
  <r>
    <s v="(ML) Joe Machens Hyundai1"/>
    <x v="0"/>
    <x v="0"/>
    <x v="49"/>
    <x v="0"/>
    <x v="0"/>
    <x v="0"/>
    <x v="0"/>
    <s v="https://tools.sig.systems/site/details/286"/>
    <s v="https://www.google.com/maps/d/viewer?hl=es&amp;mid=1C1oZdjH3dNvCvqdpIv_Lk0Yn1OCVn-4&amp;ll=38.965368114274455%2C-92.3405954&amp;z=15"/>
    <m/>
    <x v="0"/>
    <x v="35"/>
    <x v="0"/>
    <x v="10"/>
    <x v="49"/>
    <x v="49"/>
  </r>
  <r>
    <s v="(PE) BMW Service Center (NO TOURS)1"/>
    <x v="0"/>
    <x v="0"/>
    <x v="50"/>
    <x v="5"/>
    <x v="1"/>
    <x v="1"/>
    <x v="0"/>
    <s v="https://tools.sig.systems/site/details/184"/>
    <s v="https://www.google.com/maps/d/edit?hl=en&amp;mid=1UHmt7tH1ihTa85i0MfQIcTfVvIQg_vM&amp;ll=41.02423447529239%2C-73.63721502222738&amp;z=18"/>
    <m/>
    <x v="23"/>
    <x v="1"/>
    <x v="0"/>
    <x v="0"/>
    <x v="50"/>
    <x v="50"/>
  </r>
  <r>
    <s v="(PE) JLR Darien (NO TOURS)1"/>
    <x v="0"/>
    <x v="0"/>
    <x v="51"/>
    <x v="5"/>
    <x v="1"/>
    <x v="1"/>
    <x v="0"/>
    <s v="https://tools.sig.systems/site/details/189"/>
    <s v="-"/>
    <m/>
    <x v="24"/>
    <x v="1"/>
    <x v="0"/>
    <x v="0"/>
    <x v="15"/>
    <x v="51"/>
  </r>
  <r>
    <s v="(PE) JLR Englewood (NO TOURS)1"/>
    <x v="0"/>
    <x v="0"/>
    <x v="52"/>
    <x v="5"/>
    <x v="1"/>
    <x v="1"/>
    <x v="0"/>
    <s v="https://tools.sig.systems/site/details/178"/>
    <s v="https://www.google.com/maps/d/viewer?mid=1ubI2iKs1JyYXssuT4oLPnVvFnyLPi_s&amp;ll=40.878808846788026%2C-73.98560655&amp;z=17"/>
    <m/>
    <x v="25"/>
    <x v="1"/>
    <x v="0"/>
    <x v="0"/>
    <x v="15"/>
    <x v="52"/>
  </r>
  <r>
    <s v="(PE) JLR Paramus (NO TOURS)1"/>
    <x v="0"/>
    <x v="0"/>
    <x v="53"/>
    <x v="5"/>
    <x v="1"/>
    <x v="1"/>
    <x v="0"/>
    <s v="https://tools.sig.systems/site/details/177"/>
    <n v="0"/>
    <m/>
    <x v="26"/>
    <x v="1"/>
    <x v="0"/>
    <x v="0"/>
    <x v="51"/>
    <x v="53"/>
  </r>
  <r>
    <s v="(PE) MB of Greenwich1"/>
    <x v="0"/>
    <x v="0"/>
    <x v="54"/>
    <x v="5"/>
    <x v="1"/>
    <x v="1"/>
    <x v="0"/>
    <s v="https://tools.sig.systems/site/details/188"/>
    <s v="https://www.google.com/maps/d/edit?hl=en&amp;mid=1UHmt7tH1ihTa85i0MfQIcTfVvIQg_vM&amp;ll=41.02423447529239%2C-73.63721502222738&amp;z=18"/>
    <m/>
    <x v="27"/>
    <x v="36"/>
    <x v="0"/>
    <x v="0"/>
    <x v="52"/>
    <x v="54"/>
  </r>
  <r>
    <s v="(PE) Porsche Audi Fairfield (NO TOURS)1"/>
    <x v="0"/>
    <x v="0"/>
    <x v="55"/>
    <x v="5"/>
    <x v="1"/>
    <x v="1"/>
    <x v="0"/>
    <s v="https://tools.sig.systems/site/details/194"/>
    <s v="-"/>
    <m/>
    <x v="28"/>
    <x v="1"/>
    <x v="0"/>
    <x v="4"/>
    <x v="53"/>
    <x v="55"/>
  </r>
  <r>
    <s v="(SCH) Schumacher of Delray I &amp; III1"/>
    <x v="0"/>
    <x v="0"/>
    <x v="56"/>
    <x v="1"/>
    <x v="1"/>
    <x v="1"/>
    <x v="1"/>
    <s v="https://tools.sig.systems/site/details/159"/>
    <s v="https://www.google.com/maps/d/viewer?mid=1ZLGV-cDM9aCfovhmXHIAXgVOKts0dEI&amp;ll=26.438859950088858%2C-80.07968125000001&amp;z=16"/>
    <m/>
    <x v="29"/>
    <x v="37"/>
    <x v="0"/>
    <x v="0"/>
    <x v="54"/>
    <x v="56"/>
  </r>
  <r>
    <s v="(TC) Lamborghini South Dade1"/>
    <x v="0"/>
    <x v="0"/>
    <x v="57"/>
    <x v="1"/>
    <x v="1"/>
    <x v="1"/>
    <x v="0"/>
    <s v="https://tools.sig.systems/site/details/313"/>
    <n v="0"/>
    <m/>
    <x v="0"/>
    <x v="38"/>
    <x v="0"/>
    <x v="0"/>
    <x v="15"/>
    <x v="57"/>
  </r>
  <r>
    <s v="Mario Residence1"/>
    <x v="0"/>
    <x v="0"/>
    <x v="58"/>
    <x v="3"/>
    <x v="1"/>
    <x v="3"/>
    <x v="0"/>
    <s v="https://tools.sig.systems/site/details/148"/>
    <s v="https://www.google.com/maps/d/edit?hl=es&amp;mid=13OmECPqyeB7fXgZmEoM9cnG34HU_v5g&amp;ll=26.046837034777553%2C-80.38753458591658&amp;z=19"/>
    <m/>
    <x v="30"/>
    <x v="39"/>
    <x v="0"/>
    <x v="0"/>
    <x v="55"/>
    <x v="58"/>
  </r>
  <r>
    <s v="(AS) 3281 Storage Lot (NO TOURS)2"/>
    <x v="1"/>
    <x v="0"/>
    <x v="0"/>
    <x v="0"/>
    <x v="0"/>
    <x v="0"/>
    <x v="0"/>
    <s v="https://tools.sig.systems/site/details/305"/>
    <s v="https://www.google.com/maps/d/edit?hl=es&amp;mid=1uPmsRMsXnp74hPFW2t-sp2totVWF_xY&amp;ll=32.83050137713022%2C-96.83197783061323&amp;z=17"/>
    <m/>
    <x v="0"/>
    <x v="0"/>
    <x v="0"/>
    <x v="0"/>
    <x v="0"/>
    <x v="0"/>
  </r>
  <r>
    <s v="(AS) Koons Annapolis Toyota (NO TOURS)2"/>
    <x v="1"/>
    <x v="0"/>
    <x v="7"/>
    <x v="1"/>
    <x v="1"/>
    <x v="1"/>
    <x v="2"/>
    <s v="https://tools.sig.systems/site/details/337"/>
    <s v="-"/>
    <m/>
    <x v="5"/>
    <x v="5"/>
    <x v="0"/>
    <x v="0"/>
    <x v="7"/>
    <x v="7"/>
  </r>
  <r>
    <s v="(AS) Hare Truck Center (NO TOURS)2"/>
    <x v="1"/>
    <x v="0"/>
    <x v="5"/>
    <x v="1"/>
    <x v="1"/>
    <x v="1"/>
    <x v="0"/>
    <s v="https://tools.sig.systems/site/details/300"/>
    <s v="https://www.google.com/maps/d/edit?mid=1hsX5GGrNcCQgAuzDCDz1OWgEkhsAc78&amp;usp=sharing"/>
    <m/>
    <x v="0"/>
    <x v="3"/>
    <x v="0"/>
    <x v="0"/>
    <x v="5"/>
    <x v="5"/>
  </r>
  <r>
    <s v="(AS) Koons Chevrolet Buick GMC - Clarksville (NO TOURS)2"/>
    <x v="1"/>
    <x v="0"/>
    <x v="10"/>
    <x v="1"/>
    <x v="1"/>
    <x v="1"/>
    <x v="3"/>
    <s v="https://tools.sig.systems/site/details/306"/>
    <s v="https://www.google.com/maps/d/edit?hl=es&amp;mid=11XB1lTSP7EcDCDvzypdUPWP6bWCNAEI&amp;ll=39.21145022420528%2C-76.94003711910554&amp;z=17"/>
    <m/>
    <x v="0"/>
    <x v="8"/>
    <x v="0"/>
    <x v="0"/>
    <x v="10"/>
    <x v="10"/>
  </r>
  <r>
    <s v="(AS) Koons Chevrolet Buick GMC - Tysons (NO TOURS)2"/>
    <x v="1"/>
    <x v="0"/>
    <x v="12"/>
    <x v="1"/>
    <x v="1"/>
    <x v="1"/>
    <x v="3"/>
    <s v="https://tools.sig.systems/site/details/352"/>
    <s v="-"/>
    <m/>
    <x v="0"/>
    <x v="9"/>
    <x v="0"/>
    <x v="6"/>
    <x v="12"/>
    <x v="12"/>
  </r>
  <r>
    <s v="(AS) Koons Falls Church Ford (NO TOURS)2"/>
    <x v="1"/>
    <x v="0"/>
    <x v="15"/>
    <x v="1"/>
    <x v="1"/>
    <x v="1"/>
    <x v="3"/>
    <s v="https://tools.sig.systems/site/details/345"/>
    <s v="-"/>
    <m/>
    <x v="0"/>
    <x v="7"/>
    <x v="0"/>
    <x v="0"/>
    <x v="15"/>
    <x v="15"/>
  </r>
  <r>
    <s v="(AS) Koons MB of Catonsville (NO TOURS)2"/>
    <x v="1"/>
    <x v="0"/>
    <x v="16"/>
    <x v="1"/>
    <x v="1"/>
    <x v="1"/>
    <x v="0"/>
    <s v="https://tools.sig.systems/site/details/303"/>
    <n v="0"/>
    <m/>
    <x v="0"/>
    <x v="12"/>
    <x v="3"/>
    <x v="3"/>
    <x v="16"/>
    <x v="16"/>
  </r>
  <r>
    <s v="(AS) Koons Owings Mills Kia (NO TOURS)2"/>
    <x v="1"/>
    <x v="0"/>
    <x v="17"/>
    <x v="1"/>
    <x v="1"/>
    <x v="1"/>
    <x v="0"/>
    <s v="https://tools.sig.systems/site/details/336"/>
    <s v="-"/>
    <m/>
    <x v="7"/>
    <x v="13"/>
    <x v="0"/>
    <x v="0"/>
    <x v="17"/>
    <x v="17"/>
  </r>
  <r>
    <s v="(AS) Koons Sterling Ford - Main Dealership (NO TOURS)2"/>
    <x v="1"/>
    <x v="0"/>
    <x v="18"/>
    <x v="1"/>
    <x v="1"/>
    <x v="1"/>
    <x v="3"/>
    <s v="https://tools.sig.systems/site/details/348"/>
    <n v="0"/>
    <m/>
    <x v="8"/>
    <x v="14"/>
    <x v="0"/>
    <x v="8"/>
    <x v="18"/>
    <x v="18"/>
  </r>
  <r>
    <s v="(AS) Koons Woodbridge GMC (NO TOURS)2"/>
    <x v="1"/>
    <x v="0"/>
    <x v="24"/>
    <x v="1"/>
    <x v="1"/>
    <x v="1"/>
    <x v="3"/>
    <s v="https://tools.sig.systems/site/details/343"/>
    <n v="0"/>
    <m/>
    <x v="0"/>
    <x v="7"/>
    <x v="0"/>
    <x v="9"/>
    <x v="24"/>
    <x v="24"/>
  </r>
  <r>
    <s v="(AS) Koons Woodbridge Kia (NO TOURS)2"/>
    <x v="1"/>
    <x v="0"/>
    <x v="26"/>
    <x v="1"/>
    <x v="1"/>
    <x v="1"/>
    <x v="3"/>
    <s v="https://tools.sig.systems/site/details/346"/>
    <s v="-"/>
    <m/>
    <x v="0"/>
    <x v="21"/>
    <x v="0"/>
    <x v="0"/>
    <x v="26"/>
    <x v="26"/>
  </r>
  <r>
    <s v="(AS) Plaza Collision ST Louis (NO TOURS)2"/>
    <x v="1"/>
    <x v="0"/>
    <x v="28"/>
    <x v="0"/>
    <x v="0"/>
    <x v="0"/>
    <x v="0"/>
    <s v="https://tools.sig.systems/site/details/350"/>
    <s v="-"/>
    <m/>
    <x v="11"/>
    <x v="7"/>
    <x v="0"/>
    <x v="0"/>
    <x v="28"/>
    <x v="28"/>
  </r>
  <r>
    <s v="(AS) Plaza Mercedes Benz West (NO TOURS)2"/>
    <x v="1"/>
    <x v="0"/>
    <x v="29"/>
    <x v="0"/>
    <x v="0"/>
    <x v="0"/>
    <x v="0"/>
    <s v="https://tools.sig.systems/site/details/349"/>
    <s v="-"/>
    <m/>
    <x v="0"/>
    <x v="22"/>
    <x v="0"/>
    <x v="10"/>
    <x v="29"/>
    <x v="29"/>
  </r>
  <r>
    <s v="(DT) Charlotte2"/>
    <x v="1"/>
    <x v="0"/>
    <x v="32"/>
    <x v="1"/>
    <x v="1"/>
    <x v="1"/>
    <x v="0"/>
    <s v="https://tools.sig.systems/site/details/299"/>
    <n v="0"/>
    <m/>
    <x v="13"/>
    <x v="1"/>
    <x v="0"/>
    <x v="12"/>
    <x v="32"/>
    <x v="32"/>
  </r>
  <r>
    <s v="(DT) Modesto2"/>
    <x v="1"/>
    <x v="0"/>
    <x v="33"/>
    <x v="4"/>
    <x v="3"/>
    <x v="4"/>
    <x v="0"/>
    <s v="https://tools.sig.systems/site/details/267"/>
    <n v="0"/>
    <m/>
    <x v="14"/>
    <x v="24"/>
    <x v="0"/>
    <x v="0"/>
    <x v="33"/>
    <x v="33"/>
  </r>
  <r>
    <s v="(KG) Big Star Hyundai Houston2"/>
    <x v="1"/>
    <x v="0"/>
    <x v="35"/>
    <x v="0"/>
    <x v="0"/>
    <x v="0"/>
    <x v="0"/>
    <s v="https://tools.sig.systems/site/details/287"/>
    <s v="https://www.google.com/maps/d/edit?hl=en&amp;mid=1jIRkMUnWNPuTgDjQgDP-f33LClT85NU&amp;ll=29.55731827236326%2C-95.1601644&amp;z=17"/>
    <m/>
    <x v="16"/>
    <x v="25"/>
    <x v="0"/>
    <x v="13"/>
    <x v="35"/>
    <x v="35"/>
  </r>
  <r>
    <s v="(KG) Ken Garff Volkswagen of Gilbert2"/>
    <x v="1"/>
    <x v="0"/>
    <x v="37"/>
    <x v="4"/>
    <x v="4"/>
    <x v="4"/>
    <x v="6"/>
    <s v="https://tools.sig.systems/site/details/284"/>
    <s v="https://www.google.com/maps/d/viewer?hl=es&amp;mid=19SU7XE9Cg8jhVFpEI21Vi9Zfgdih9Ds&amp;ll=33.29158262977276%2C-111.75783630000002&amp;z=17"/>
    <m/>
    <x v="18"/>
    <x v="1"/>
    <x v="0"/>
    <x v="15"/>
    <x v="37"/>
    <x v="37"/>
  </r>
  <r>
    <s v="(LT) Landers Kia of Little Rock2"/>
    <x v="1"/>
    <x v="0"/>
    <x v="38"/>
    <x v="0"/>
    <x v="0"/>
    <x v="0"/>
    <x v="0"/>
    <s v="https://tools.sig.systems/site/details/322"/>
    <s v="https://www.google.com/maps/d/u/1/edit?mid=1-zEzsc6U6nZom08edp0XAd3_HYFvAyk&amp;usp=sharing"/>
    <m/>
    <x v="19"/>
    <x v="1"/>
    <x v="4"/>
    <x v="16"/>
    <x v="38"/>
    <x v="38"/>
  </r>
  <r>
    <s v="(LT) Luther Bloomington Hyundai (NO TOURS)2"/>
    <x v="1"/>
    <x v="0"/>
    <x v="39"/>
    <x v="0"/>
    <x v="0"/>
    <x v="5"/>
    <x v="0"/>
    <s v="https://tools.sig.systems/site/details/318"/>
    <n v="0"/>
    <m/>
    <x v="0"/>
    <x v="26"/>
    <x v="5"/>
    <x v="17"/>
    <x v="39"/>
    <x v="39"/>
  </r>
  <r>
    <s v="(LT) Luther Brookdale Toyota2"/>
    <x v="1"/>
    <x v="0"/>
    <x v="42"/>
    <x v="6"/>
    <x v="0"/>
    <x v="1"/>
    <x v="0"/>
    <s v="https://tools.sig.systems/site/details/281"/>
    <s v="https://www.google.com/maps/d/viewer?mid=1ot0ILX76JMuvd9yMuqkb4_e0yH1n7TA&amp;ll=45.07815812965141%2C-93.33506855000002&amp;z=17"/>
    <m/>
    <x v="0"/>
    <x v="29"/>
    <x v="3"/>
    <x v="4"/>
    <x v="42"/>
    <x v="42"/>
  </r>
  <r>
    <s v="(LT) Luther Burnsville Hyundai2"/>
    <x v="1"/>
    <x v="0"/>
    <x v="43"/>
    <x v="0"/>
    <x v="0"/>
    <x v="0"/>
    <x v="0"/>
    <s v="https://tools.sig.systems/site/details/307"/>
    <n v="0"/>
    <m/>
    <x v="0"/>
    <x v="30"/>
    <x v="8"/>
    <x v="19"/>
    <x v="43"/>
    <x v="43"/>
  </r>
  <r>
    <s v="(LT) Luther Hopkins Honda (NO TOURS)2"/>
    <x v="1"/>
    <x v="0"/>
    <x v="45"/>
    <x v="5"/>
    <x v="0"/>
    <x v="0"/>
    <x v="0"/>
    <s v="https://tools.sig.systems/site/details/288"/>
    <n v="0"/>
    <m/>
    <x v="0"/>
    <x v="32"/>
    <x v="9"/>
    <x v="20"/>
    <x v="45"/>
    <x v="45"/>
  </r>
  <r>
    <s v="(LT) Luther North Country Ford2"/>
    <x v="1"/>
    <x v="0"/>
    <x v="47"/>
    <x v="0"/>
    <x v="0"/>
    <x v="0"/>
    <x v="0"/>
    <s v="https://tools.sig.systems/site/details/292"/>
    <n v="0"/>
    <m/>
    <x v="0"/>
    <x v="33"/>
    <x v="10"/>
    <x v="0"/>
    <x v="47"/>
    <x v="47"/>
  </r>
  <r>
    <s v="(LT) Luther St. Cloud Subaru2"/>
    <x v="1"/>
    <x v="0"/>
    <x v="48"/>
    <x v="0"/>
    <x v="0"/>
    <x v="6"/>
    <x v="0"/>
    <s v="https://tools.sig.systems/site/details/295"/>
    <n v="0"/>
    <m/>
    <x v="22"/>
    <x v="34"/>
    <x v="11"/>
    <x v="21"/>
    <x v="48"/>
    <x v="48"/>
  </r>
  <r>
    <s v="(ML) Joe Machens Hyundai2"/>
    <x v="1"/>
    <x v="0"/>
    <x v="49"/>
    <x v="0"/>
    <x v="0"/>
    <x v="0"/>
    <x v="0"/>
    <s v="https://tools.sig.systems/site/details/286"/>
    <s v="https://www.google.com/maps/d/viewer?hl=es&amp;mid=1C1oZdjH3dNvCvqdpIv_Lk0Yn1OCVn-4&amp;ll=38.965368114274455%2C-92.3405954&amp;z=15"/>
    <m/>
    <x v="0"/>
    <x v="35"/>
    <x v="0"/>
    <x v="10"/>
    <x v="49"/>
    <x v="49"/>
  </r>
  <r>
    <s v="(PE) BMW Service Center (NO TOURS)2"/>
    <x v="1"/>
    <x v="0"/>
    <x v="50"/>
    <x v="5"/>
    <x v="1"/>
    <x v="1"/>
    <x v="0"/>
    <s v="https://tools.sig.systems/site/details/184"/>
    <s v="https://www.google.com/maps/d/edit?hl=en&amp;mid=1UHmt7tH1ihTa85i0MfQIcTfVvIQg_vM&amp;ll=41.02423447529239%2C-73.63721502222738&amp;z=18"/>
    <m/>
    <x v="23"/>
    <x v="1"/>
    <x v="0"/>
    <x v="0"/>
    <x v="50"/>
    <x v="50"/>
  </r>
  <r>
    <s v="(PE) JLR Darien (NO TOURS)2"/>
    <x v="1"/>
    <x v="0"/>
    <x v="51"/>
    <x v="5"/>
    <x v="1"/>
    <x v="1"/>
    <x v="0"/>
    <s v="https://tools.sig.systems/site/details/189"/>
    <s v="-"/>
    <m/>
    <x v="24"/>
    <x v="1"/>
    <x v="0"/>
    <x v="0"/>
    <x v="15"/>
    <x v="51"/>
  </r>
  <r>
    <s v="(PE) JLR Paramus (NO TOURS)2"/>
    <x v="1"/>
    <x v="0"/>
    <x v="53"/>
    <x v="5"/>
    <x v="1"/>
    <x v="1"/>
    <x v="0"/>
    <s v="https://tools.sig.systems/site/details/177"/>
    <n v="0"/>
    <m/>
    <x v="26"/>
    <x v="1"/>
    <x v="0"/>
    <x v="0"/>
    <x v="51"/>
    <x v="53"/>
  </r>
  <r>
    <s v="(PE) MB of Greenwich2"/>
    <x v="1"/>
    <x v="0"/>
    <x v="54"/>
    <x v="5"/>
    <x v="1"/>
    <x v="1"/>
    <x v="0"/>
    <s v="https://tools.sig.systems/site/details/188"/>
    <s v="https://www.google.com/maps/d/edit?hl=en&amp;mid=1UHmt7tH1ihTa85i0MfQIcTfVvIQg_vM&amp;ll=41.02423447529239%2C-73.63721502222738&amp;z=18"/>
    <m/>
    <x v="27"/>
    <x v="36"/>
    <x v="0"/>
    <x v="0"/>
    <x v="52"/>
    <x v="54"/>
  </r>
  <r>
    <s v="(PE) Porsche Audi Fairfield (NO TOURS)2"/>
    <x v="1"/>
    <x v="0"/>
    <x v="55"/>
    <x v="5"/>
    <x v="1"/>
    <x v="1"/>
    <x v="0"/>
    <s v="https://tools.sig.systems/site/details/194"/>
    <s v="-"/>
    <m/>
    <x v="28"/>
    <x v="1"/>
    <x v="0"/>
    <x v="4"/>
    <x v="53"/>
    <x v="55"/>
  </r>
  <r>
    <s v="Mario Residence2"/>
    <x v="1"/>
    <x v="0"/>
    <x v="58"/>
    <x v="3"/>
    <x v="1"/>
    <x v="3"/>
    <x v="0"/>
    <s v="https://tools.sig.systems/site/details/148"/>
    <s v="https://www.google.com/maps/d/edit?hl=es&amp;mid=13OmECPqyeB7fXgZmEoM9cnG34HU_v5g&amp;ll=26.046837034777553%2C-80.38753458591658&amp;z=19"/>
    <m/>
    <x v="30"/>
    <x v="39"/>
    <x v="0"/>
    <x v="0"/>
    <x v="55"/>
    <x v="58"/>
  </r>
  <r>
    <s v="(AS) Coggin BMW Ft. Pierce (NO TOURS)2"/>
    <x v="1"/>
    <x v="1"/>
    <x v="1"/>
    <x v="1"/>
    <x v="1"/>
    <x v="1"/>
    <x v="0"/>
    <s v="https://tools.sig.systems/site/details/119"/>
    <s v="https://www.google.com/maps/d/viewer?mid=1AyViBuyeq7iwDua1SVudJ2A1BYi3IBA&amp;ll=27.38181516363982%2C-80.32568845000002&amp;z=18"/>
    <m/>
    <x v="1"/>
    <x v="1"/>
    <x v="0"/>
    <x v="1"/>
    <x v="1"/>
    <x v="1"/>
  </r>
  <r>
    <s v="(AS) Coggin Collision Center of Kissimmee (NO TOURS)2"/>
    <x v="1"/>
    <x v="1"/>
    <x v="2"/>
    <x v="1"/>
    <x v="1"/>
    <x v="1"/>
    <x v="0"/>
    <s v="https://tools.sig.systems/site/details/331"/>
    <n v="0"/>
    <m/>
    <x v="2"/>
    <x v="1"/>
    <x v="0"/>
    <x v="0"/>
    <x v="2"/>
    <x v="2"/>
  </r>
  <r>
    <s v="(AS) Coggin Honda of Orlando (NO TOURS)2"/>
    <x v="1"/>
    <x v="1"/>
    <x v="3"/>
    <x v="1"/>
    <x v="1"/>
    <x v="1"/>
    <x v="1"/>
    <s v="https://tools.sig.systems/site/details/324"/>
    <n v="0"/>
    <m/>
    <x v="3"/>
    <x v="1"/>
    <x v="0"/>
    <x v="2"/>
    <x v="3"/>
    <x v="3"/>
  </r>
  <r>
    <s v="(AS) Hare Chevrolet (NO TOURS)2"/>
    <x v="1"/>
    <x v="1"/>
    <x v="4"/>
    <x v="1"/>
    <x v="1"/>
    <x v="1"/>
    <x v="0"/>
    <s v="https://tools.sig.systems/site/details/301"/>
    <s v="https://www.google.com/maps/d/edit?mid=1hsX5GGrNcCQgAuzDCDz1OWgEkhsAc78&amp;usp=sharing"/>
    <m/>
    <x v="4"/>
    <x v="2"/>
    <x v="0"/>
    <x v="3"/>
    <x v="4"/>
    <x v="4"/>
  </r>
  <r>
    <s v="(AS) Kahlo CDJR (NO TOURS)2"/>
    <x v="1"/>
    <x v="1"/>
    <x v="6"/>
    <x v="1"/>
    <x v="1"/>
    <x v="1"/>
    <x v="0"/>
    <s v="https://tools.sig.systems/site/details/282"/>
    <s v="https://www.google.com/maps/d/edit?mid=1hsX5GGrNcCQgAuzDCDz1OWgEkhsAc78&amp;usp=sharing"/>
    <m/>
    <x v="0"/>
    <x v="4"/>
    <x v="1"/>
    <x v="4"/>
    <x v="6"/>
    <x v="6"/>
  </r>
  <r>
    <s v="(AS) Koons Arlington Toyota - New Car (NO TOURS)2"/>
    <x v="1"/>
    <x v="1"/>
    <x v="8"/>
    <x v="1"/>
    <x v="1"/>
    <x v="1"/>
    <x v="3"/>
    <s v="https://tools.sig.systems/site/details/334"/>
    <s v="-"/>
    <m/>
    <x v="0"/>
    <x v="6"/>
    <x v="0"/>
    <x v="0"/>
    <x v="8"/>
    <x v="8"/>
  </r>
  <r>
    <s v="(AS) Koons Baltimore Ford - Main Dealership (NO TOURS)2"/>
    <x v="1"/>
    <x v="1"/>
    <x v="9"/>
    <x v="1"/>
    <x v="1"/>
    <x v="1"/>
    <x v="0"/>
    <s v="https://tools.sig.systems/site/details/335"/>
    <s v="-"/>
    <m/>
    <x v="6"/>
    <x v="7"/>
    <x v="0"/>
    <x v="5"/>
    <x v="9"/>
    <x v="9"/>
  </r>
  <r>
    <s v="(AS) Koons Chevrolet Buick GMC - Clarksville Remote Lot (NO TOURS)2"/>
    <x v="1"/>
    <x v="1"/>
    <x v="11"/>
    <x v="1"/>
    <x v="1"/>
    <x v="1"/>
    <x v="3"/>
    <s v="https://tools.sig.systems/site/details/308"/>
    <s v="https://www.google.com/maps/d/edit?hl=es&amp;mid=11XB1lTSP7EcDCDvzypdUPWP6bWCNAEI&amp;ll=39.21145022420528%2C-76.94003711910554&amp;z=21"/>
    <m/>
    <x v="0"/>
    <x v="3"/>
    <x v="0"/>
    <x v="0"/>
    <x v="11"/>
    <x v="11"/>
  </r>
  <r>
    <s v="(AS) Koons Chevrolet Buick GMC - Tysons Remote Lot (NO TOURS)2"/>
    <x v="1"/>
    <x v="1"/>
    <x v="13"/>
    <x v="1"/>
    <x v="1"/>
    <x v="1"/>
    <x v="0"/>
    <s v="https://tools.sig.systems/site/details/333"/>
    <s v="-"/>
    <m/>
    <x v="0"/>
    <x v="10"/>
    <x v="2"/>
    <x v="7"/>
    <x v="13"/>
    <x v="13"/>
  </r>
  <r>
    <s v="(AS) Koons Easton Toyota - Main Dealership (NO TOURS)2"/>
    <x v="1"/>
    <x v="1"/>
    <x v="14"/>
    <x v="1"/>
    <x v="1"/>
    <x v="1"/>
    <x v="0"/>
    <s v="https://tools.sig.systems/site/details/340"/>
    <s v="-"/>
    <m/>
    <x v="0"/>
    <x v="11"/>
    <x v="0"/>
    <x v="0"/>
    <x v="14"/>
    <x v="14"/>
  </r>
  <r>
    <s v="(AS) Koons Tysons Toyota - Main Dealership (NO TOURS)2"/>
    <x v="1"/>
    <x v="1"/>
    <x v="19"/>
    <x v="1"/>
    <x v="1"/>
    <x v="1"/>
    <x v="0"/>
    <s v="https://tools.sig.systems/site/details/344"/>
    <s v="-"/>
    <m/>
    <x v="0"/>
    <x v="15"/>
    <x v="0"/>
    <x v="0"/>
    <x v="19"/>
    <x v="19"/>
  </r>
  <r>
    <s v="(AS) Koons Volvo Cars White Marsh (NO TOURS)2"/>
    <x v="1"/>
    <x v="1"/>
    <x v="20"/>
    <x v="1"/>
    <x v="1"/>
    <x v="1"/>
    <x v="0"/>
    <s v="https://tools.sig.systems/site/details/338"/>
    <n v="0"/>
    <m/>
    <x v="0"/>
    <x v="16"/>
    <x v="0"/>
    <x v="0"/>
    <x v="20"/>
    <x v="20"/>
  </r>
  <r>
    <s v="(AS) Koons Westminster Toyota (NO TOURS)2"/>
    <x v="1"/>
    <x v="1"/>
    <x v="21"/>
    <x v="1"/>
    <x v="1"/>
    <x v="1"/>
    <x v="0"/>
    <s v="https://tools.sig.systems/site/details/341"/>
    <s v="-"/>
    <m/>
    <x v="0"/>
    <x v="17"/>
    <x v="0"/>
    <x v="0"/>
    <x v="21"/>
    <x v="21"/>
  </r>
  <r>
    <s v="(AS) Koons White Marsh Chevrolet (NO TOURS)2"/>
    <x v="1"/>
    <x v="1"/>
    <x v="22"/>
    <x v="1"/>
    <x v="1"/>
    <x v="1"/>
    <x v="0"/>
    <s v="https://tools.sig.systems/site/details/339"/>
    <s v="-"/>
    <m/>
    <x v="9"/>
    <x v="18"/>
    <x v="0"/>
    <x v="0"/>
    <x v="22"/>
    <x v="22"/>
  </r>
  <r>
    <s v="(AS) Koons Woodbridge Ford (NO TOURS)2"/>
    <x v="1"/>
    <x v="1"/>
    <x v="23"/>
    <x v="1"/>
    <x v="1"/>
    <x v="1"/>
    <x v="4"/>
    <s v="https://tools.sig.systems/site/details/342"/>
    <n v="0"/>
    <m/>
    <x v="0"/>
    <x v="19"/>
    <x v="0"/>
    <x v="0"/>
    <x v="23"/>
    <x v="23"/>
  </r>
  <r>
    <s v="(AS) Koons Woodbridge Hyundai (NO TOURS)2"/>
    <x v="1"/>
    <x v="1"/>
    <x v="25"/>
    <x v="1"/>
    <x v="1"/>
    <x v="1"/>
    <x v="5"/>
    <s v="https://tools.sig.systems/site/details/347"/>
    <s v="-"/>
    <m/>
    <x v="0"/>
    <x v="20"/>
    <x v="0"/>
    <x v="0"/>
    <x v="25"/>
    <x v="25"/>
  </r>
  <r>
    <s v="(AS) Larry H Miller CDJR Fiat (NO TOURS)2"/>
    <x v="1"/>
    <x v="1"/>
    <x v="27"/>
    <x v="2"/>
    <x v="2"/>
    <x v="2"/>
    <x v="0"/>
    <s v="https://tools.sig.systems/site/details/298"/>
    <n v="0"/>
    <m/>
    <x v="10"/>
    <x v="2"/>
    <x v="0"/>
    <x v="0"/>
    <x v="27"/>
    <x v="27"/>
  </r>
  <r>
    <s v="(BRL) Shoemakersville2"/>
    <x v="1"/>
    <x v="1"/>
    <x v="30"/>
    <x v="3"/>
    <x v="1"/>
    <x v="3"/>
    <x v="0"/>
    <s v="https://tools.sig.systems/site/details/302"/>
    <n v="0"/>
    <m/>
    <x v="0"/>
    <x v="23"/>
    <x v="0"/>
    <x v="11"/>
    <x v="30"/>
    <x v="30"/>
  </r>
  <r>
    <s v="(DT) Arlington2"/>
    <x v="1"/>
    <x v="1"/>
    <x v="31"/>
    <x v="0"/>
    <x v="0"/>
    <x v="0"/>
    <x v="0"/>
    <s v="https://tools.sig.systems/site/details/199"/>
    <s v="-"/>
    <m/>
    <x v="12"/>
    <x v="1"/>
    <x v="0"/>
    <x v="0"/>
    <x v="31"/>
    <x v="31"/>
  </r>
  <r>
    <s v="(KG) Big Star Cadillac2"/>
    <x v="1"/>
    <x v="1"/>
    <x v="34"/>
    <x v="0"/>
    <x v="0"/>
    <x v="0"/>
    <x v="0"/>
    <s v="https://tools.sig.systems/site/details/316"/>
    <s v="https://www.google.com/maps/d/edit?mid=1jIRkMUnWNPuTgDjQgDP-f33LClT85NU&amp;usp=sharing"/>
    <m/>
    <x v="15"/>
    <x v="1"/>
    <x v="0"/>
    <x v="0"/>
    <x v="34"/>
    <x v="34"/>
  </r>
  <r>
    <s v="(KG) Ken Garff Kia of Avondale2"/>
    <x v="1"/>
    <x v="1"/>
    <x v="36"/>
    <x v="4"/>
    <x v="4"/>
    <x v="4"/>
    <x v="6"/>
    <s v="https://tools.sig.systems/site/details/283"/>
    <s v="https://www.google.com/maps/d/viewer?mid=1bDs0QGFZwL3vEeGKxjVMk_j4azr0-lg&amp;ll=33.4593758581648%2C-112.28793780000001&amp;z=18"/>
    <m/>
    <x v="17"/>
    <x v="1"/>
    <x v="0"/>
    <x v="14"/>
    <x v="36"/>
    <x v="36"/>
  </r>
  <r>
    <s v="(LT) Luther Bloomington Subaru - Acura2"/>
    <x v="1"/>
    <x v="1"/>
    <x v="40"/>
    <x v="5"/>
    <x v="0"/>
    <x v="5"/>
    <x v="0"/>
    <s v="https://tools.sig.systems/site/details/289"/>
    <n v="0"/>
    <m/>
    <x v="20"/>
    <x v="27"/>
    <x v="6"/>
    <x v="0"/>
    <x v="40"/>
    <x v="40"/>
  </r>
  <r>
    <s v="(LT) Luther Brookdale Honda (NO TOURS)2"/>
    <x v="1"/>
    <x v="1"/>
    <x v="41"/>
    <x v="6"/>
    <x v="0"/>
    <x v="0"/>
    <x v="0"/>
    <s v="https://tools.sig.systems/site/details/280"/>
    <s v="https://www.google.com/maps/d/viewer?mid=1ot0ILX76JMuvd9yMuqkb4_e0yH1n7TA&amp;ll=45.07815812965141%2C-93.33506855000002&amp;z=17"/>
    <m/>
    <x v="0"/>
    <x v="28"/>
    <x v="7"/>
    <x v="18"/>
    <x v="41"/>
    <x v="41"/>
  </r>
  <r>
    <s v="(LT) Luther Genesis of Minneapolis2"/>
    <x v="1"/>
    <x v="1"/>
    <x v="44"/>
    <x v="0"/>
    <x v="0"/>
    <x v="0"/>
    <x v="0"/>
    <s v="https://tools.sig.systems/site/details/315"/>
    <n v="0"/>
    <m/>
    <x v="0"/>
    <x v="31"/>
    <x v="0"/>
    <x v="0"/>
    <x v="44"/>
    <x v="44"/>
  </r>
  <r>
    <s v="(LT) Luther Landers Recon Center2"/>
    <x v="1"/>
    <x v="1"/>
    <x v="46"/>
    <x v="0"/>
    <x v="0"/>
    <x v="0"/>
    <x v="0"/>
    <s v="https://tools.sig.systems/site/details/323"/>
    <s v="https://www.google.com/maps/d/u/1/edit?mid=1-zEzsc6U6nZom08edp0XAd3_HYFvAyk&amp;usp=sharing"/>
    <m/>
    <x v="21"/>
    <x v="1"/>
    <x v="0"/>
    <x v="0"/>
    <x v="46"/>
    <x v="46"/>
  </r>
  <r>
    <s v="(PE) JLR Englewood (NO TOURS)2"/>
    <x v="1"/>
    <x v="1"/>
    <x v="52"/>
    <x v="5"/>
    <x v="1"/>
    <x v="1"/>
    <x v="0"/>
    <s v="https://tools.sig.systems/site/details/178"/>
    <s v="https://www.google.com/maps/d/viewer?mid=1ubI2iKs1JyYXssuT4oLPnVvFnyLPi_s&amp;ll=40.878808846788026%2C-73.98560655&amp;z=17"/>
    <m/>
    <x v="25"/>
    <x v="1"/>
    <x v="0"/>
    <x v="0"/>
    <x v="15"/>
    <x v="52"/>
  </r>
  <r>
    <s v="(SCH) Schumacher of Delray I &amp; III2"/>
    <x v="1"/>
    <x v="1"/>
    <x v="56"/>
    <x v="1"/>
    <x v="1"/>
    <x v="1"/>
    <x v="1"/>
    <s v="https://tools.sig.systems/site/details/159"/>
    <s v="https://www.google.com/maps/d/viewer?mid=1ZLGV-cDM9aCfovhmXHIAXgVOKts0dEI&amp;ll=26.438859950088858%2C-80.07968125000001&amp;z=16"/>
    <m/>
    <x v="29"/>
    <x v="37"/>
    <x v="0"/>
    <x v="0"/>
    <x v="54"/>
    <x v="56"/>
  </r>
  <r>
    <s v="(TC) Lamborghini South Dade2"/>
    <x v="1"/>
    <x v="1"/>
    <x v="57"/>
    <x v="1"/>
    <x v="1"/>
    <x v="1"/>
    <x v="0"/>
    <s v="https://tools.sig.systems/site/details/313"/>
    <n v="0"/>
    <m/>
    <x v="0"/>
    <x v="38"/>
    <x v="0"/>
    <x v="0"/>
    <x v="15"/>
    <x v="57"/>
  </r>
  <r>
    <s v="(AS) Coggin BMW Ft. Pierce (NO TOURS)3"/>
    <x v="2"/>
    <x v="0"/>
    <x v="1"/>
    <x v="1"/>
    <x v="1"/>
    <x v="1"/>
    <x v="0"/>
    <s v="https://tools.sig.systems/site/details/119"/>
    <s v="https://www.google.com/maps/d/viewer?mid=1AyViBuyeq7iwDua1SVudJ2A1BYi3IBA&amp;ll=27.38181516363982%2C-80.32568845000002&amp;z=18"/>
    <m/>
    <x v="1"/>
    <x v="1"/>
    <x v="0"/>
    <x v="1"/>
    <x v="1"/>
    <x v="1"/>
  </r>
  <r>
    <s v="(AS) Coggin Collision Center of Kissimmee (NO TOURS)3"/>
    <x v="2"/>
    <x v="0"/>
    <x v="2"/>
    <x v="1"/>
    <x v="1"/>
    <x v="1"/>
    <x v="0"/>
    <s v="https://tools.sig.systems/site/details/331"/>
    <n v="0"/>
    <m/>
    <x v="2"/>
    <x v="1"/>
    <x v="0"/>
    <x v="0"/>
    <x v="2"/>
    <x v="2"/>
  </r>
  <r>
    <s v="(AS) Koons Annapolis Toyota (NO TOURS)3"/>
    <x v="2"/>
    <x v="0"/>
    <x v="7"/>
    <x v="1"/>
    <x v="1"/>
    <x v="1"/>
    <x v="2"/>
    <s v="https://tools.sig.systems/site/details/337"/>
    <s v="-"/>
    <m/>
    <x v="5"/>
    <x v="5"/>
    <x v="0"/>
    <x v="0"/>
    <x v="7"/>
    <x v="7"/>
  </r>
  <r>
    <s v="(AS) Koons Chevrolet Buick GMC - Clarksville (NO TOURS)3"/>
    <x v="2"/>
    <x v="0"/>
    <x v="10"/>
    <x v="1"/>
    <x v="1"/>
    <x v="1"/>
    <x v="3"/>
    <s v="https://tools.sig.systems/site/details/306"/>
    <s v="https://www.google.com/maps/d/edit?hl=es&amp;mid=11XB1lTSP7EcDCDvzypdUPWP6bWCNAEI&amp;ll=39.21145022420528%2C-76.94003711910554&amp;z=17"/>
    <m/>
    <x v="0"/>
    <x v="8"/>
    <x v="0"/>
    <x v="0"/>
    <x v="10"/>
    <x v="10"/>
  </r>
  <r>
    <s v="(AS) Koons Chevrolet Buick GMC - Tysons (NO TOURS)3"/>
    <x v="2"/>
    <x v="0"/>
    <x v="12"/>
    <x v="1"/>
    <x v="1"/>
    <x v="1"/>
    <x v="3"/>
    <s v="https://tools.sig.systems/site/details/352"/>
    <s v="-"/>
    <m/>
    <x v="0"/>
    <x v="9"/>
    <x v="0"/>
    <x v="6"/>
    <x v="12"/>
    <x v="12"/>
  </r>
  <r>
    <s v="(AS) Koons Easton Toyota - Main Dealership (NO TOURS)3"/>
    <x v="2"/>
    <x v="0"/>
    <x v="14"/>
    <x v="1"/>
    <x v="1"/>
    <x v="1"/>
    <x v="0"/>
    <s v="https://tools.sig.systems/site/details/340"/>
    <s v="-"/>
    <m/>
    <x v="0"/>
    <x v="11"/>
    <x v="0"/>
    <x v="0"/>
    <x v="14"/>
    <x v="14"/>
  </r>
  <r>
    <s v="(AS) Koons Sterling Ford - Main Dealership (NO TOURS)3"/>
    <x v="2"/>
    <x v="0"/>
    <x v="18"/>
    <x v="1"/>
    <x v="1"/>
    <x v="1"/>
    <x v="3"/>
    <s v="https://tools.sig.systems/site/details/348"/>
    <n v="0"/>
    <m/>
    <x v="8"/>
    <x v="14"/>
    <x v="0"/>
    <x v="8"/>
    <x v="18"/>
    <x v="18"/>
  </r>
  <r>
    <s v="(AS) Koons Woodbridge Kia (NO TOURS)3"/>
    <x v="2"/>
    <x v="0"/>
    <x v="26"/>
    <x v="1"/>
    <x v="1"/>
    <x v="1"/>
    <x v="3"/>
    <s v="https://tools.sig.systems/site/details/346"/>
    <s v="-"/>
    <m/>
    <x v="0"/>
    <x v="21"/>
    <x v="0"/>
    <x v="0"/>
    <x v="26"/>
    <x v="26"/>
  </r>
  <r>
    <s v="(AS) Plaza Mercedes Benz West (NO TOURS)3"/>
    <x v="2"/>
    <x v="0"/>
    <x v="29"/>
    <x v="0"/>
    <x v="0"/>
    <x v="0"/>
    <x v="0"/>
    <s v="https://tools.sig.systems/site/details/349"/>
    <s v="-"/>
    <m/>
    <x v="0"/>
    <x v="22"/>
    <x v="0"/>
    <x v="10"/>
    <x v="29"/>
    <x v="29"/>
  </r>
  <r>
    <s v="(DT) Charlotte3"/>
    <x v="2"/>
    <x v="0"/>
    <x v="32"/>
    <x v="1"/>
    <x v="1"/>
    <x v="1"/>
    <x v="0"/>
    <s v="https://tools.sig.systems/site/details/299"/>
    <n v="0"/>
    <m/>
    <x v="13"/>
    <x v="1"/>
    <x v="0"/>
    <x v="12"/>
    <x v="32"/>
    <x v="32"/>
  </r>
  <r>
    <s v="(KG) Big Star Hyundai Houston3"/>
    <x v="2"/>
    <x v="0"/>
    <x v="35"/>
    <x v="0"/>
    <x v="0"/>
    <x v="0"/>
    <x v="0"/>
    <s v="https://tools.sig.systems/site/details/287"/>
    <s v="https://www.google.com/maps/d/edit?hl=en&amp;mid=1jIRkMUnWNPuTgDjQgDP-f33LClT85NU&amp;ll=29.55731827236326%2C-95.1601644&amp;z=17"/>
    <m/>
    <x v="16"/>
    <x v="25"/>
    <x v="0"/>
    <x v="13"/>
    <x v="35"/>
    <x v="35"/>
  </r>
  <r>
    <s v="(LT) Landers Kia of Little Rock3"/>
    <x v="2"/>
    <x v="0"/>
    <x v="38"/>
    <x v="0"/>
    <x v="0"/>
    <x v="0"/>
    <x v="0"/>
    <s v="https://tools.sig.systems/site/details/322"/>
    <s v="https://www.google.com/maps/d/u/1/edit?mid=1-zEzsc6U6nZom08edp0XAd3_HYFvAyk&amp;usp=sharing"/>
    <m/>
    <x v="19"/>
    <x v="1"/>
    <x v="4"/>
    <x v="16"/>
    <x v="38"/>
    <x v="38"/>
  </r>
  <r>
    <s v="(LT) Luther Burnsville Hyundai3"/>
    <x v="2"/>
    <x v="0"/>
    <x v="43"/>
    <x v="0"/>
    <x v="0"/>
    <x v="0"/>
    <x v="0"/>
    <s v="https://tools.sig.systems/site/details/307"/>
    <n v="0"/>
    <m/>
    <x v="0"/>
    <x v="30"/>
    <x v="8"/>
    <x v="19"/>
    <x v="43"/>
    <x v="43"/>
  </r>
  <r>
    <s v="(LT) Luther North Country Ford3"/>
    <x v="2"/>
    <x v="0"/>
    <x v="47"/>
    <x v="0"/>
    <x v="0"/>
    <x v="0"/>
    <x v="0"/>
    <s v="https://tools.sig.systems/site/details/292"/>
    <n v="0"/>
    <m/>
    <x v="0"/>
    <x v="33"/>
    <x v="10"/>
    <x v="0"/>
    <x v="47"/>
    <x v="47"/>
  </r>
  <r>
    <s v="(LT) Luther St. Cloud Subaru3"/>
    <x v="2"/>
    <x v="0"/>
    <x v="48"/>
    <x v="0"/>
    <x v="0"/>
    <x v="6"/>
    <x v="0"/>
    <s v="https://tools.sig.systems/site/details/295"/>
    <n v="0"/>
    <m/>
    <x v="22"/>
    <x v="34"/>
    <x v="11"/>
    <x v="21"/>
    <x v="48"/>
    <x v="48"/>
  </r>
  <r>
    <s v="(ML) Joe Machens Hyundai3"/>
    <x v="2"/>
    <x v="0"/>
    <x v="49"/>
    <x v="0"/>
    <x v="0"/>
    <x v="0"/>
    <x v="0"/>
    <s v="https://tools.sig.systems/site/details/286"/>
    <s v="https://www.google.com/maps/d/viewer?hl=es&amp;mid=1C1oZdjH3dNvCvqdpIv_Lk0Yn1OCVn-4&amp;ll=38.965368114274455%2C-92.3405954&amp;z=15"/>
    <m/>
    <x v="0"/>
    <x v="35"/>
    <x v="0"/>
    <x v="10"/>
    <x v="49"/>
    <x v="49"/>
  </r>
  <r>
    <s v="(PE) BMW Service Center (NO TOURS)3"/>
    <x v="2"/>
    <x v="0"/>
    <x v="50"/>
    <x v="5"/>
    <x v="1"/>
    <x v="1"/>
    <x v="0"/>
    <s v="https://tools.sig.systems/site/details/184"/>
    <s v="https://www.google.com/maps/d/edit?hl=en&amp;mid=1UHmt7tH1ihTa85i0MfQIcTfVvIQg_vM&amp;ll=41.02423447529239%2C-73.63721502222738&amp;z=18"/>
    <m/>
    <x v="23"/>
    <x v="1"/>
    <x v="0"/>
    <x v="0"/>
    <x v="50"/>
    <x v="50"/>
  </r>
  <r>
    <s v="(PE) JLR Darien (NO TOURS)3"/>
    <x v="2"/>
    <x v="0"/>
    <x v="51"/>
    <x v="5"/>
    <x v="1"/>
    <x v="1"/>
    <x v="0"/>
    <s v="https://tools.sig.systems/site/details/189"/>
    <s v="-"/>
    <m/>
    <x v="24"/>
    <x v="1"/>
    <x v="0"/>
    <x v="0"/>
    <x v="15"/>
    <x v="51"/>
  </r>
  <r>
    <s v="(PE) JLR Paramus (NO TOURS)3"/>
    <x v="2"/>
    <x v="0"/>
    <x v="53"/>
    <x v="5"/>
    <x v="1"/>
    <x v="1"/>
    <x v="0"/>
    <s v="https://tools.sig.systems/site/details/177"/>
    <n v="0"/>
    <m/>
    <x v="26"/>
    <x v="1"/>
    <x v="0"/>
    <x v="0"/>
    <x v="51"/>
    <x v="53"/>
  </r>
  <r>
    <s v="(PE) Porsche Audi Fairfield (NO TOURS)3"/>
    <x v="2"/>
    <x v="0"/>
    <x v="55"/>
    <x v="5"/>
    <x v="1"/>
    <x v="1"/>
    <x v="0"/>
    <s v="https://tools.sig.systems/site/details/194"/>
    <s v="-"/>
    <m/>
    <x v="28"/>
    <x v="1"/>
    <x v="0"/>
    <x v="4"/>
    <x v="53"/>
    <x v="55"/>
  </r>
  <r>
    <s v="(TC) Lamborghini South Dade3"/>
    <x v="2"/>
    <x v="0"/>
    <x v="57"/>
    <x v="1"/>
    <x v="1"/>
    <x v="1"/>
    <x v="0"/>
    <s v="https://tools.sig.systems/site/details/313"/>
    <n v="0"/>
    <m/>
    <x v="0"/>
    <x v="38"/>
    <x v="0"/>
    <x v="0"/>
    <x v="15"/>
    <x v="57"/>
  </r>
  <r>
    <s v="Mario Residence3"/>
    <x v="2"/>
    <x v="0"/>
    <x v="58"/>
    <x v="3"/>
    <x v="1"/>
    <x v="3"/>
    <x v="0"/>
    <s v="https://tools.sig.systems/site/details/148"/>
    <s v="https://www.google.com/maps/d/edit?hl=es&amp;mid=13OmECPqyeB7fXgZmEoM9cnG34HU_v5g&amp;ll=26.046837034777553%2C-80.38753458591658&amp;z=19"/>
    <m/>
    <x v="30"/>
    <x v="39"/>
    <x v="0"/>
    <x v="0"/>
    <x v="55"/>
    <x v="58"/>
  </r>
  <r>
    <s v="(AS) 3281 Storage Lot (NO TOURS)3"/>
    <x v="2"/>
    <x v="1"/>
    <x v="0"/>
    <x v="0"/>
    <x v="0"/>
    <x v="0"/>
    <x v="0"/>
    <s v="https://tools.sig.systems/site/details/305"/>
    <s v="https://www.google.com/maps/d/edit?hl=es&amp;mid=1uPmsRMsXnp74hPFW2t-sp2totVWF_xY&amp;ll=32.83050137713022%2C-96.83197783061323&amp;z=17"/>
    <m/>
    <x v="0"/>
    <x v="0"/>
    <x v="0"/>
    <x v="0"/>
    <x v="0"/>
    <x v="0"/>
  </r>
  <r>
    <s v="(AS) Hare Chevrolet (NO TOURS)3"/>
    <x v="2"/>
    <x v="1"/>
    <x v="4"/>
    <x v="1"/>
    <x v="1"/>
    <x v="1"/>
    <x v="0"/>
    <s v="https://tools.sig.systems/site/details/301"/>
    <s v="https://www.google.com/maps/d/edit?mid=1hsX5GGrNcCQgAuzDCDz1OWgEkhsAc78&amp;usp=sharing"/>
    <m/>
    <x v="4"/>
    <x v="2"/>
    <x v="0"/>
    <x v="3"/>
    <x v="4"/>
    <x v="4"/>
  </r>
  <r>
    <s v="(AS) Koons Baltimore Ford - Main Dealership (NO TOURS)3"/>
    <x v="2"/>
    <x v="1"/>
    <x v="9"/>
    <x v="1"/>
    <x v="1"/>
    <x v="1"/>
    <x v="0"/>
    <s v="https://tools.sig.systems/site/details/335"/>
    <s v="-"/>
    <m/>
    <x v="6"/>
    <x v="7"/>
    <x v="0"/>
    <x v="5"/>
    <x v="9"/>
    <x v="9"/>
  </r>
  <r>
    <s v="(AS) Koons Chevrolet Buick GMC - Clarksville Remote Lot (NO TOURS)3"/>
    <x v="2"/>
    <x v="1"/>
    <x v="11"/>
    <x v="1"/>
    <x v="1"/>
    <x v="1"/>
    <x v="3"/>
    <s v="https://tools.sig.systems/site/details/308"/>
    <s v="https://www.google.com/maps/d/edit?hl=es&amp;mid=11XB1lTSP7EcDCDvzypdUPWP6bWCNAEI&amp;ll=39.21145022420528%2C-76.94003711910554&amp;z=21"/>
    <m/>
    <x v="0"/>
    <x v="3"/>
    <x v="0"/>
    <x v="0"/>
    <x v="11"/>
    <x v="11"/>
  </r>
  <r>
    <s v="(AS) Koons Chevrolet Buick GMC - Tysons Remote Lot (NO TOURS)3"/>
    <x v="2"/>
    <x v="1"/>
    <x v="13"/>
    <x v="1"/>
    <x v="1"/>
    <x v="1"/>
    <x v="0"/>
    <s v="https://tools.sig.systems/site/details/333"/>
    <s v="-"/>
    <m/>
    <x v="0"/>
    <x v="10"/>
    <x v="2"/>
    <x v="7"/>
    <x v="13"/>
    <x v="13"/>
  </r>
  <r>
    <s v="(AS) Koons Falls Church Ford (NO TOURS)3"/>
    <x v="2"/>
    <x v="1"/>
    <x v="15"/>
    <x v="1"/>
    <x v="1"/>
    <x v="1"/>
    <x v="3"/>
    <s v="https://tools.sig.systems/site/details/345"/>
    <s v="-"/>
    <m/>
    <x v="0"/>
    <x v="7"/>
    <x v="0"/>
    <x v="0"/>
    <x v="15"/>
    <x v="15"/>
  </r>
  <r>
    <s v="(AS) Koons Owings Mills Kia (NO TOURS)3"/>
    <x v="2"/>
    <x v="1"/>
    <x v="17"/>
    <x v="1"/>
    <x v="1"/>
    <x v="1"/>
    <x v="0"/>
    <s v="https://tools.sig.systems/site/details/336"/>
    <s v="-"/>
    <m/>
    <x v="7"/>
    <x v="13"/>
    <x v="0"/>
    <x v="0"/>
    <x v="17"/>
    <x v="17"/>
  </r>
  <r>
    <s v="(AS) Koons Westminster Toyota (NO TOURS)3"/>
    <x v="2"/>
    <x v="1"/>
    <x v="21"/>
    <x v="1"/>
    <x v="1"/>
    <x v="1"/>
    <x v="0"/>
    <s v="https://tools.sig.systems/site/details/341"/>
    <s v="-"/>
    <m/>
    <x v="0"/>
    <x v="17"/>
    <x v="0"/>
    <x v="0"/>
    <x v="21"/>
    <x v="21"/>
  </r>
  <r>
    <s v="(AS) Koons Woodbridge GMC (NO TOURS)3"/>
    <x v="2"/>
    <x v="1"/>
    <x v="24"/>
    <x v="1"/>
    <x v="1"/>
    <x v="1"/>
    <x v="3"/>
    <s v="https://tools.sig.systems/site/details/343"/>
    <n v="0"/>
    <m/>
    <x v="0"/>
    <x v="7"/>
    <x v="0"/>
    <x v="9"/>
    <x v="24"/>
    <x v="24"/>
  </r>
  <r>
    <s v="(AS) Koons Woodbridge Hyundai (NO TOURS)3"/>
    <x v="2"/>
    <x v="1"/>
    <x v="25"/>
    <x v="1"/>
    <x v="1"/>
    <x v="1"/>
    <x v="5"/>
    <s v="https://tools.sig.systems/site/details/347"/>
    <s v="-"/>
    <m/>
    <x v="0"/>
    <x v="20"/>
    <x v="0"/>
    <x v="0"/>
    <x v="25"/>
    <x v="25"/>
  </r>
  <r>
    <s v="(BRL) Shoemakersville3"/>
    <x v="2"/>
    <x v="1"/>
    <x v="30"/>
    <x v="3"/>
    <x v="1"/>
    <x v="3"/>
    <x v="0"/>
    <s v="https://tools.sig.systems/site/details/302"/>
    <n v="0"/>
    <m/>
    <x v="0"/>
    <x v="23"/>
    <x v="0"/>
    <x v="11"/>
    <x v="30"/>
    <x v="30"/>
  </r>
  <r>
    <s v="(KG) Big Star Cadillac3"/>
    <x v="2"/>
    <x v="1"/>
    <x v="34"/>
    <x v="0"/>
    <x v="0"/>
    <x v="0"/>
    <x v="0"/>
    <s v="https://tools.sig.systems/site/details/316"/>
    <s v="https://www.google.com/maps/d/edit?mid=1jIRkMUnWNPuTgDjQgDP-f33LClT85NU&amp;usp=sharing"/>
    <m/>
    <x v="15"/>
    <x v="1"/>
    <x v="0"/>
    <x v="0"/>
    <x v="34"/>
    <x v="34"/>
  </r>
  <r>
    <s v="(KG) Ken Garff Kia of Avondale3"/>
    <x v="2"/>
    <x v="1"/>
    <x v="36"/>
    <x v="4"/>
    <x v="4"/>
    <x v="4"/>
    <x v="6"/>
    <s v="https://tools.sig.systems/site/details/283"/>
    <s v="https://www.google.com/maps/d/viewer?mid=1bDs0QGFZwL3vEeGKxjVMk_j4azr0-lg&amp;ll=33.4593758581648%2C-112.28793780000001&amp;z=18"/>
    <m/>
    <x v="17"/>
    <x v="1"/>
    <x v="0"/>
    <x v="14"/>
    <x v="36"/>
    <x v="36"/>
  </r>
  <r>
    <s v="(LT) Luther Bloomington Subaru - Acura3"/>
    <x v="2"/>
    <x v="1"/>
    <x v="40"/>
    <x v="5"/>
    <x v="0"/>
    <x v="5"/>
    <x v="0"/>
    <s v="https://tools.sig.systems/site/details/289"/>
    <n v="0"/>
    <m/>
    <x v="20"/>
    <x v="27"/>
    <x v="6"/>
    <x v="0"/>
    <x v="40"/>
    <x v="40"/>
  </r>
  <r>
    <s v="(LT) Luther Brookdale Honda (NO TOURS)3"/>
    <x v="2"/>
    <x v="1"/>
    <x v="41"/>
    <x v="6"/>
    <x v="0"/>
    <x v="0"/>
    <x v="0"/>
    <s v="https://tools.sig.systems/site/details/280"/>
    <s v="https://www.google.com/maps/d/viewer?mid=1ot0ILX76JMuvd9yMuqkb4_e0yH1n7TA&amp;ll=45.07815812965141%2C-93.33506855000002&amp;z=17"/>
    <m/>
    <x v="0"/>
    <x v="28"/>
    <x v="7"/>
    <x v="18"/>
    <x v="41"/>
    <x v="41"/>
  </r>
  <r>
    <s v="(LT) Luther Genesis of Minneapolis3"/>
    <x v="2"/>
    <x v="1"/>
    <x v="44"/>
    <x v="0"/>
    <x v="0"/>
    <x v="0"/>
    <x v="0"/>
    <s v="https://tools.sig.systems/site/details/315"/>
    <n v="0"/>
    <m/>
    <x v="0"/>
    <x v="31"/>
    <x v="0"/>
    <x v="0"/>
    <x v="44"/>
    <x v="44"/>
  </r>
  <r>
    <s v="(PE) JLR Englewood (NO TOURS)3"/>
    <x v="2"/>
    <x v="1"/>
    <x v="52"/>
    <x v="5"/>
    <x v="1"/>
    <x v="1"/>
    <x v="0"/>
    <s v="https://tools.sig.systems/site/details/178"/>
    <s v="https://www.google.com/maps/d/viewer?mid=1ubI2iKs1JyYXssuT4oLPnVvFnyLPi_s&amp;ll=40.878808846788026%2C-73.98560655&amp;z=17"/>
    <m/>
    <x v="25"/>
    <x v="1"/>
    <x v="0"/>
    <x v="0"/>
    <x v="15"/>
    <x v="52"/>
  </r>
  <r>
    <s v="(SCH) Schumacher of Delray I &amp; III3"/>
    <x v="2"/>
    <x v="1"/>
    <x v="56"/>
    <x v="1"/>
    <x v="1"/>
    <x v="1"/>
    <x v="1"/>
    <s v="https://tools.sig.systems/site/details/159"/>
    <s v="https://www.google.com/maps/d/viewer?mid=1ZLGV-cDM9aCfovhmXHIAXgVOKts0dEI&amp;ll=26.438859950088858%2C-80.07968125000001&amp;z=16"/>
    <m/>
    <x v="29"/>
    <x v="37"/>
    <x v="0"/>
    <x v="0"/>
    <x v="54"/>
    <x v="56"/>
  </r>
  <r>
    <s v="(AS) Coggin Honda of Orlando (NO TOURS)3"/>
    <x v="2"/>
    <x v="2"/>
    <x v="3"/>
    <x v="1"/>
    <x v="1"/>
    <x v="1"/>
    <x v="1"/>
    <s v="https://tools.sig.systems/site/details/324"/>
    <n v="0"/>
    <m/>
    <x v="3"/>
    <x v="1"/>
    <x v="0"/>
    <x v="2"/>
    <x v="3"/>
    <x v="3"/>
  </r>
  <r>
    <s v="(AS) Hare Truck Center (NO TOURS)3"/>
    <x v="2"/>
    <x v="2"/>
    <x v="5"/>
    <x v="1"/>
    <x v="1"/>
    <x v="1"/>
    <x v="0"/>
    <s v="https://tools.sig.systems/site/details/300"/>
    <s v="https://www.google.com/maps/d/edit?mid=1hsX5GGrNcCQgAuzDCDz1OWgEkhsAc78&amp;usp=sharing"/>
    <m/>
    <x v="0"/>
    <x v="3"/>
    <x v="0"/>
    <x v="0"/>
    <x v="5"/>
    <x v="5"/>
  </r>
  <r>
    <s v="(AS) Kahlo CDJR (NO TOURS)3"/>
    <x v="2"/>
    <x v="2"/>
    <x v="6"/>
    <x v="1"/>
    <x v="1"/>
    <x v="1"/>
    <x v="0"/>
    <s v="https://tools.sig.systems/site/details/282"/>
    <s v="https://www.google.com/maps/d/edit?mid=1hsX5GGrNcCQgAuzDCDz1OWgEkhsAc78&amp;usp=sharing"/>
    <m/>
    <x v="0"/>
    <x v="4"/>
    <x v="1"/>
    <x v="4"/>
    <x v="6"/>
    <x v="6"/>
  </r>
  <r>
    <s v="(AS) Koons Arlington Toyota - New Car (NO TOURS)3"/>
    <x v="2"/>
    <x v="2"/>
    <x v="8"/>
    <x v="1"/>
    <x v="1"/>
    <x v="1"/>
    <x v="3"/>
    <s v="https://tools.sig.systems/site/details/334"/>
    <s v="-"/>
    <m/>
    <x v="0"/>
    <x v="6"/>
    <x v="0"/>
    <x v="0"/>
    <x v="8"/>
    <x v="8"/>
  </r>
  <r>
    <s v="(AS) Koons MB of Catonsville (NO TOURS)3"/>
    <x v="2"/>
    <x v="2"/>
    <x v="16"/>
    <x v="1"/>
    <x v="1"/>
    <x v="1"/>
    <x v="0"/>
    <s v="https://tools.sig.systems/site/details/303"/>
    <n v="0"/>
    <m/>
    <x v="0"/>
    <x v="12"/>
    <x v="3"/>
    <x v="3"/>
    <x v="16"/>
    <x v="16"/>
  </r>
  <r>
    <s v="(AS) Koons Tysons Toyota - Main Dealership (NO TOURS)3"/>
    <x v="2"/>
    <x v="2"/>
    <x v="19"/>
    <x v="1"/>
    <x v="1"/>
    <x v="1"/>
    <x v="0"/>
    <s v="https://tools.sig.systems/site/details/344"/>
    <s v="-"/>
    <m/>
    <x v="0"/>
    <x v="15"/>
    <x v="0"/>
    <x v="0"/>
    <x v="19"/>
    <x v="19"/>
  </r>
  <r>
    <s v="(AS) Koons Volvo Cars White Marsh (NO TOURS)3"/>
    <x v="2"/>
    <x v="2"/>
    <x v="20"/>
    <x v="1"/>
    <x v="1"/>
    <x v="1"/>
    <x v="0"/>
    <s v="https://tools.sig.systems/site/details/338"/>
    <n v="0"/>
    <m/>
    <x v="0"/>
    <x v="16"/>
    <x v="0"/>
    <x v="0"/>
    <x v="20"/>
    <x v="20"/>
  </r>
  <r>
    <s v="(AS) Koons White Marsh Chevrolet (NO TOURS)3"/>
    <x v="2"/>
    <x v="2"/>
    <x v="22"/>
    <x v="1"/>
    <x v="1"/>
    <x v="1"/>
    <x v="0"/>
    <s v="https://tools.sig.systems/site/details/339"/>
    <s v="-"/>
    <m/>
    <x v="9"/>
    <x v="18"/>
    <x v="0"/>
    <x v="0"/>
    <x v="22"/>
    <x v="22"/>
  </r>
  <r>
    <s v="(AS) Koons Woodbridge Ford (NO TOURS)3"/>
    <x v="2"/>
    <x v="2"/>
    <x v="23"/>
    <x v="1"/>
    <x v="1"/>
    <x v="1"/>
    <x v="4"/>
    <s v="https://tools.sig.systems/site/details/342"/>
    <n v="0"/>
    <m/>
    <x v="0"/>
    <x v="19"/>
    <x v="0"/>
    <x v="0"/>
    <x v="23"/>
    <x v="23"/>
  </r>
  <r>
    <s v="(AS) Larry H Miller CDJR Fiat (NO TOURS)3"/>
    <x v="2"/>
    <x v="2"/>
    <x v="27"/>
    <x v="2"/>
    <x v="2"/>
    <x v="2"/>
    <x v="0"/>
    <s v="https://tools.sig.systems/site/details/298"/>
    <n v="0"/>
    <m/>
    <x v="10"/>
    <x v="2"/>
    <x v="0"/>
    <x v="0"/>
    <x v="27"/>
    <x v="27"/>
  </r>
  <r>
    <s v="(AS) Plaza Collision ST Louis (NO TOURS)3"/>
    <x v="2"/>
    <x v="2"/>
    <x v="28"/>
    <x v="0"/>
    <x v="0"/>
    <x v="0"/>
    <x v="0"/>
    <s v="https://tools.sig.systems/site/details/350"/>
    <s v="-"/>
    <m/>
    <x v="11"/>
    <x v="7"/>
    <x v="0"/>
    <x v="0"/>
    <x v="28"/>
    <x v="28"/>
  </r>
  <r>
    <s v="(DT) Arlington3"/>
    <x v="2"/>
    <x v="2"/>
    <x v="31"/>
    <x v="0"/>
    <x v="0"/>
    <x v="0"/>
    <x v="0"/>
    <s v="https://tools.sig.systems/site/details/199"/>
    <s v="-"/>
    <m/>
    <x v="12"/>
    <x v="1"/>
    <x v="0"/>
    <x v="0"/>
    <x v="31"/>
    <x v="31"/>
  </r>
  <r>
    <s v="(DT) Modesto3"/>
    <x v="2"/>
    <x v="2"/>
    <x v="33"/>
    <x v="4"/>
    <x v="3"/>
    <x v="4"/>
    <x v="0"/>
    <s v="https://tools.sig.systems/site/details/267"/>
    <n v="0"/>
    <m/>
    <x v="14"/>
    <x v="24"/>
    <x v="0"/>
    <x v="0"/>
    <x v="33"/>
    <x v="33"/>
  </r>
  <r>
    <s v="(KG) Ken Garff Volkswagen of Gilbert3"/>
    <x v="2"/>
    <x v="2"/>
    <x v="37"/>
    <x v="4"/>
    <x v="4"/>
    <x v="4"/>
    <x v="6"/>
    <s v="https://tools.sig.systems/site/details/284"/>
    <s v="https://www.google.com/maps/d/viewer?hl=es&amp;mid=19SU7XE9Cg8jhVFpEI21Vi9Zfgdih9Ds&amp;ll=33.29158262977276%2C-111.75783630000002&amp;z=17"/>
    <m/>
    <x v="18"/>
    <x v="1"/>
    <x v="0"/>
    <x v="15"/>
    <x v="37"/>
    <x v="37"/>
  </r>
  <r>
    <s v="(LT) Luther Bloomington Hyundai (NO TOURS)3"/>
    <x v="2"/>
    <x v="2"/>
    <x v="39"/>
    <x v="0"/>
    <x v="0"/>
    <x v="5"/>
    <x v="0"/>
    <s v="https://tools.sig.systems/site/details/318"/>
    <n v="0"/>
    <m/>
    <x v="0"/>
    <x v="26"/>
    <x v="5"/>
    <x v="17"/>
    <x v="39"/>
    <x v="39"/>
  </r>
  <r>
    <s v="(LT) Luther Brookdale Toyota3"/>
    <x v="2"/>
    <x v="2"/>
    <x v="42"/>
    <x v="6"/>
    <x v="0"/>
    <x v="1"/>
    <x v="0"/>
    <s v="https://tools.sig.systems/site/details/281"/>
    <s v="https://www.google.com/maps/d/viewer?mid=1ot0ILX76JMuvd9yMuqkb4_e0yH1n7TA&amp;ll=45.07815812965141%2C-93.33506855000002&amp;z=17"/>
    <m/>
    <x v="0"/>
    <x v="29"/>
    <x v="3"/>
    <x v="4"/>
    <x v="42"/>
    <x v="42"/>
  </r>
  <r>
    <s v="(LT) Luther Hopkins Honda (NO TOURS)3"/>
    <x v="2"/>
    <x v="2"/>
    <x v="45"/>
    <x v="5"/>
    <x v="0"/>
    <x v="0"/>
    <x v="0"/>
    <s v="https://tools.sig.systems/site/details/288"/>
    <n v="0"/>
    <m/>
    <x v="0"/>
    <x v="32"/>
    <x v="9"/>
    <x v="20"/>
    <x v="45"/>
    <x v="45"/>
  </r>
  <r>
    <s v="(LT) Luther Landers Recon Center3"/>
    <x v="2"/>
    <x v="2"/>
    <x v="46"/>
    <x v="0"/>
    <x v="0"/>
    <x v="0"/>
    <x v="0"/>
    <s v="https://tools.sig.systems/site/details/323"/>
    <s v="https://www.google.com/maps/d/u/1/edit?mid=1-zEzsc6U6nZom08edp0XAd3_HYFvAyk&amp;usp=sharing"/>
    <m/>
    <x v="21"/>
    <x v="1"/>
    <x v="0"/>
    <x v="0"/>
    <x v="46"/>
    <x v="46"/>
  </r>
  <r>
    <s v="(PE) MB of Greenwich3"/>
    <x v="2"/>
    <x v="2"/>
    <x v="54"/>
    <x v="5"/>
    <x v="1"/>
    <x v="1"/>
    <x v="0"/>
    <s v="https://tools.sig.systems/site/details/188"/>
    <s v="https://www.google.com/maps/d/edit?hl=en&amp;mid=1UHmt7tH1ihTa85i0MfQIcTfVvIQg_vM&amp;ll=41.02423447529239%2C-73.63721502222738&amp;z=18"/>
    <m/>
    <x v="27"/>
    <x v="36"/>
    <x v="0"/>
    <x v="0"/>
    <x v="52"/>
    <x v="54"/>
  </r>
  <r>
    <s v="(AS) 3281 Storage Lot (NO TOURS)4"/>
    <x v="3"/>
    <x v="0"/>
    <x v="0"/>
    <x v="0"/>
    <x v="0"/>
    <x v="0"/>
    <x v="0"/>
    <s v="https://tools.sig.systems/site/details/305"/>
    <s v="https://www.google.com/maps/d/edit?hl=es&amp;mid=1uPmsRMsXnp74hPFW2t-sp2totVWF_xY&amp;ll=32.83050137713022%2C-96.83197783061323&amp;z=17"/>
    <m/>
    <x v="0"/>
    <x v="0"/>
    <x v="0"/>
    <x v="0"/>
    <x v="0"/>
    <x v="0"/>
  </r>
  <r>
    <s v="(AS) Koons Chevrolet Buick GMC - Clarksville (NO TOURS)4"/>
    <x v="3"/>
    <x v="0"/>
    <x v="10"/>
    <x v="1"/>
    <x v="1"/>
    <x v="1"/>
    <x v="3"/>
    <s v="https://tools.sig.systems/site/details/306"/>
    <s v="https://www.google.com/maps/d/edit?hl=es&amp;mid=11XB1lTSP7EcDCDvzypdUPWP6bWCNAEI&amp;ll=39.21145022420528%2C-76.94003711910554&amp;z=17"/>
    <m/>
    <x v="0"/>
    <x v="8"/>
    <x v="0"/>
    <x v="0"/>
    <x v="10"/>
    <x v="10"/>
  </r>
  <r>
    <s v="(AS) Koons Annapolis Toyota (NO TOURS)4"/>
    <x v="3"/>
    <x v="0"/>
    <x v="7"/>
    <x v="1"/>
    <x v="1"/>
    <x v="1"/>
    <x v="2"/>
    <s v="https://tools.sig.systems/site/details/337"/>
    <s v="-"/>
    <m/>
    <x v="5"/>
    <x v="5"/>
    <x v="0"/>
    <x v="0"/>
    <x v="7"/>
    <x v="7"/>
  </r>
  <r>
    <s v="(AS) Koons Tysons Toyota - Main Dealership (NO TOURS)4"/>
    <x v="3"/>
    <x v="0"/>
    <x v="19"/>
    <x v="1"/>
    <x v="1"/>
    <x v="1"/>
    <x v="0"/>
    <s v="https://tools.sig.systems/site/details/344"/>
    <s v="-"/>
    <m/>
    <x v="0"/>
    <x v="15"/>
    <x v="0"/>
    <x v="0"/>
    <x v="19"/>
    <x v="19"/>
  </r>
  <r>
    <s v="(AS) Koons Woodbridge Kia (NO TOURS)4"/>
    <x v="3"/>
    <x v="0"/>
    <x v="26"/>
    <x v="1"/>
    <x v="1"/>
    <x v="1"/>
    <x v="3"/>
    <s v="https://tools.sig.systems/site/details/346"/>
    <s v="-"/>
    <m/>
    <x v="0"/>
    <x v="21"/>
    <x v="0"/>
    <x v="0"/>
    <x v="26"/>
    <x v="26"/>
  </r>
  <r>
    <s v="(AS) Plaza Mercedes Benz West (NO TOURS)4"/>
    <x v="3"/>
    <x v="0"/>
    <x v="29"/>
    <x v="0"/>
    <x v="0"/>
    <x v="0"/>
    <x v="0"/>
    <s v="https://tools.sig.systems/site/details/349"/>
    <s v="-"/>
    <m/>
    <x v="0"/>
    <x v="22"/>
    <x v="0"/>
    <x v="10"/>
    <x v="29"/>
    <x v="29"/>
  </r>
  <r>
    <s v="(DT) Charlotte4"/>
    <x v="3"/>
    <x v="0"/>
    <x v="32"/>
    <x v="1"/>
    <x v="1"/>
    <x v="1"/>
    <x v="0"/>
    <s v="https://tools.sig.systems/site/details/299"/>
    <n v="0"/>
    <m/>
    <x v="13"/>
    <x v="1"/>
    <x v="0"/>
    <x v="12"/>
    <x v="32"/>
    <x v="32"/>
  </r>
  <r>
    <s v="(KG) Big Star Hyundai Houston4"/>
    <x v="3"/>
    <x v="0"/>
    <x v="35"/>
    <x v="0"/>
    <x v="0"/>
    <x v="0"/>
    <x v="0"/>
    <s v="https://tools.sig.systems/site/details/287"/>
    <s v="https://www.google.com/maps/d/edit?hl=en&amp;mid=1jIRkMUnWNPuTgDjQgDP-f33LClT85NU&amp;ll=29.55731827236326%2C-95.1601644&amp;z=17"/>
    <m/>
    <x v="16"/>
    <x v="25"/>
    <x v="0"/>
    <x v="13"/>
    <x v="35"/>
    <x v="35"/>
  </r>
  <r>
    <s v="(LT) Luther Brookdale Toyota4"/>
    <x v="3"/>
    <x v="0"/>
    <x v="42"/>
    <x v="6"/>
    <x v="0"/>
    <x v="1"/>
    <x v="0"/>
    <s v="https://tools.sig.systems/site/details/281"/>
    <s v="https://www.google.com/maps/d/viewer?mid=1ot0ILX76JMuvd9yMuqkb4_e0yH1n7TA&amp;ll=45.07815812965141%2C-93.33506855000002&amp;z=17"/>
    <m/>
    <x v="0"/>
    <x v="29"/>
    <x v="3"/>
    <x v="4"/>
    <x v="42"/>
    <x v="42"/>
  </r>
  <r>
    <s v="(LT) Luther Burnsville Hyundai4"/>
    <x v="3"/>
    <x v="0"/>
    <x v="43"/>
    <x v="0"/>
    <x v="0"/>
    <x v="0"/>
    <x v="0"/>
    <s v="https://tools.sig.systems/site/details/307"/>
    <n v="0"/>
    <m/>
    <x v="0"/>
    <x v="30"/>
    <x v="8"/>
    <x v="19"/>
    <x v="43"/>
    <x v="43"/>
  </r>
  <r>
    <s v="(LT) Luther St. Cloud Subaru4"/>
    <x v="3"/>
    <x v="0"/>
    <x v="48"/>
    <x v="0"/>
    <x v="0"/>
    <x v="6"/>
    <x v="0"/>
    <s v="https://tools.sig.systems/site/details/295"/>
    <n v="0"/>
    <m/>
    <x v="22"/>
    <x v="34"/>
    <x v="11"/>
    <x v="21"/>
    <x v="48"/>
    <x v="48"/>
  </r>
  <r>
    <s v="(ML) Joe Machens Hyundai4"/>
    <x v="3"/>
    <x v="0"/>
    <x v="49"/>
    <x v="0"/>
    <x v="0"/>
    <x v="0"/>
    <x v="0"/>
    <s v="https://tools.sig.systems/site/details/286"/>
    <s v="https://www.google.com/maps/d/viewer?hl=es&amp;mid=1C1oZdjH3dNvCvqdpIv_Lk0Yn1OCVn-4&amp;ll=38.965368114274455%2C-92.3405954&amp;z=15"/>
    <m/>
    <x v="0"/>
    <x v="35"/>
    <x v="0"/>
    <x v="10"/>
    <x v="49"/>
    <x v="49"/>
  </r>
  <r>
    <s v="(PE) BMW Service Center (NO TOURS)4"/>
    <x v="3"/>
    <x v="0"/>
    <x v="50"/>
    <x v="5"/>
    <x v="1"/>
    <x v="1"/>
    <x v="0"/>
    <s v="https://tools.sig.systems/site/details/184"/>
    <s v="https://www.google.com/maps/d/edit?hl=en&amp;mid=1UHmt7tH1ihTa85i0MfQIcTfVvIQg_vM&amp;ll=41.02423447529239%2C-73.63721502222738&amp;z=18"/>
    <m/>
    <x v="23"/>
    <x v="1"/>
    <x v="0"/>
    <x v="0"/>
    <x v="50"/>
    <x v="50"/>
  </r>
  <r>
    <s v="(PE) Porsche Audi Fairfield (NO TOURS)4"/>
    <x v="3"/>
    <x v="0"/>
    <x v="55"/>
    <x v="5"/>
    <x v="1"/>
    <x v="1"/>
    <x v="0"/>
    <s v="https://tools.sig.systems/site/details/194"/>
    <s v="-"/>
    <m/>
    <x v="28"/>
    <x v="1"/>
    <x v="0"/>
    <x v="4"/>
    <x v="53"/>
    <x v="55"/>
  </r>
  <r>
    <s v="(TC) Lamborghini South Dade4"/>
    <x v="3"/>
    <x v="0"/>
    <x v="57"/>
    <x v="1"/>
    <x v="1"/>
    <x v="1"/>
    <x v="0"/>
    <s v="https://tools.sig.systems/site/details/313"/>
    <n v="0"/>
    <m/>
    <x v="0"/>
    <x v="38"/>
    <x v="0"/>
    <x v="0"/>
    <x v="15"/>
    <x v="57"/>
  </r>
  <r>
    <s v="(AS) Coggin BMW Ft. Pierce (NO TOURS)4"/>
    <x v="3"/>
    <x v="1"/>
    <x v="1"/>
    <x v="1"/>
    <x v="1"/>
    <x v="1"/>
    <x v="0"/>
    <s v="https://tools.sig.systems/site/details/119"/>
    <s v="https://www.google.com/maps/d/viewer?mid=1AyViBuyeq7iwDua1SVudJ2A1BYi3IBA&amp;ll=27.38181516363982%2C-80.32568845000002&amp;z=18"/>
    <m/>
    <x v="1"/>
    <x v="1"/>
    <x v="0"/>
    <x v="1"/>
    <x v="1"/>
    <x v="1"/>
  </r>
  <r>
    <s v="(AS) Hare Chevrolet (NO TOURS)4"/>
    <x v="3"/>
    <x v="1"/>
    <x v="4"/>
    <x v="1"/>
    <x v="1"/>
    <x v="1"/>
    <x v="0"/>
    <s v="https://tools.sig.systems/site/details/301"/>
    <s v="https://www.google.com/maps/d/edit?mid=1hsX5GGrNcCQgAuzDCDz1OWgEkhsAc78&amp;usp=sharing"/>
    <m/>
    <x v="4"/>
    <x v="2"/>
    <x v="0"/>
    <x v="3"/>
    <x v="4"/>
    <x v="4"/>
  </r>
  <r>
    <s v="(AS) Koons Chevrolet Buick GMC - Clarksville Remote Lot (NO TOURS)4"/>
    <x v="3"/>
    <x v="1"/>
    <x v="11"/>
    <x v="1"/>
    <x v="1"/>
    <x v="1"/>
    <x v="3"/>
    <s v="https://tools.sig.systems/site/details/308"/>
    <s v="https://www.google.com/maps/d/edit?hl=es&amp;mid=11XB1lTSP7EcDCDvzypdUPWP6bWCNAEI&amp;ll=39.21145022420528%2C-76.94003711910554&amp;z=21"/>
    <m/>
    <x v="0"/>
    <x v="3"/>
    <x v="0"/>
    <x v="0"/>
    <x v="11"/>
    <x v="11"/>
  </r>
  <r>
    <s v="(AS) Koons Chevrolet Buick GMC - Tysons (NO TOURS)4"/>
    <x v="3"/>
    <x v="1"/>
    <x v="12"/>
    <x v="1"/>
    <x v="1"/>
    <x v="1"/>
    <x v="3"/>
    <s v="https://tools.sig.systems/site/details/352"/>
    <s v="-"/>
    <m/>
    <x v="0"/>
    <x v="9"/>
    <x v="0"/>
    <x v="6"/>
    <x v="12"/>
    <x v="12"/>
  </r>
  <r>
    <s v="(AS) Koons Falls Church Ford (NO TOURS)4"/>
    <x v="3"/>
    <x v="1"/>
    <x v="15"/>
    <x v="1"/>
    <x v="1"/>
    <x v="1"/>
    <x v="3"/>
    <s v="https://tools.sig.systems/site/details/345"/>
    <s v="-"/>
    <m/>
    <x v="0"/>
    <x v="7"/>
    <x v="0"/>
    <x v="0"/>
    <x v="15"/>
    <x v="15"/>
  </r>
  <r>
    <s v="(AS) Koons Owings Mills Kia (NO TOURS)4"/>
    <x v="3"/>
    <x v="1"/>
    <x v="17"/>
    <x v="1"/>
    <x v="1"/>
    <x v="1"/>
    <x v="0"/>
    <s v="https://tools.sig.systems/site/details/336"/>
    <s v="-"/>
    <m/>
    <x v="7"/>
    <x v="13"/>
    <x v="0"/>
    <x v="0"/>
    <x v="17"/>
    <x v="17"/>
  </r>
  <r>
    <s v="(AS) Koons Westminster Toyota (NO TOURS)4"/>
    <x v="3"/>
    <x v="1"/>
    <x v="21"/>
    <x v="1"/>
    <x v="1"/>
    <x v="1"/>
    <x v="0"/>
    <s v="https://tools.sig.systems/site/details/341"/>
    <s v="-"/>
    <m/>
    <x v="0"/>
    <x v="17"/>
    <x v="0"/>
    <x v="0"/>
    <x v="21"/>
    <x v="21"/>
  </r>
  <r>
    <s v="(AS) Koons Woodbridge GMC (NO TOURS)4"/>
    <x v="3"/>
    <x v="1"/>
    <x v="24"/>
    <x v="1"/>
    <x v="1"/>
    <x v="1"/>
    <x v="3"/>
    <s v="https://tools.sig.systems/site/details/343"/>
    <n v="0"/>
    <m/>
    <x v="0"/>
    <x v="7"/>
    <x v="0"/>
    <x v="9"/>
    <x v="24"/>
    <x v="24"/>
  </r>
  <r>
    <s v="(AS) Koons Woodbridge Hyundai (NO TOURS)4"/>
    <x v="3"/>
    <x v="1"/>
    <x v="25"/>
    <x v="1"/>
    <x v="1"/>
    <x v="1"/>
    <x v="5"/>
    <s v="https://tools.sig.systems/site/details/347"/>
    <s v="-"/>
    <m/>
    <x v="0"/>
    <x v="20"/>
    <x v="0"/>
    <x v="0"/>
    <x v="25"/>
    <x v="25"/>
  </r>
  <r>
    <s v="(BRL) Shoemakersville4"/>
    <x v="3"/>
    <x v="1"/>
    <x v="30"/>
    <x v="3"/>
    <x v="1"/>
    <x v="3"/>
    <x v="0"/>
    <s v="https://tools.sig.systems/site/details/302"/>
    <n v="0"/>
    <m/>
    <x v="0"/>
    <x v="23"/>
    <x v="0"/>
    <x v="11"/>
    <x v="30"/>
    <x v="30"/>
  </r>
  <r>
    <s v="(KG) Big Star Cadillac4"/>
    <x v="3"/>
    <x v="1"/>
    <x v="34"/>
    <x v="0"/>
    <x v="0"/>
    <x v="0"/>
    <x v="0"/>
    <s v="https://tools.sig.systems/site/details/316"/>
    <s v="https://www.google.com/maps/d/edit?mid=1jIRkMUnWNPuTgDjQgDP-f33LClT85NU&amp;usp=sharing"/>
    <m/>
    <x v="15"/>
    <x v="1"/>
    <x v="0"/>
    <x v="0"/>
    <x v="34"/>
    <x v="34"/>
  </r>
  <r>
    <s v="(KG) Ken Garff Kia of Avondale4"/>
    <x v="3"/>
    <x v="1"/>
    <x v="36"/>
    <x v="4"/>
    <x v="4"/>
    <x v="4"/>
    <x v="6"/>
    <s v="https://tools.sig.systems/site/details/283"/>
    <s v="https://www.google.com/maps/d/viewer?mid=1bDs0QGFZwL3vEeGKxjVMk_j4azr0-lg&amp;ll=33.4593758581648%2C-112.28793780000001&amp;z=18"/>
    <m/>
    <x v="17"/>
    <x v="1"/>
    <x v="0"/>
    <x v="14"/>
    <x v="36"/>
    <x v="36"/>
  </r>
  <r>
    <s v="(LT) Luther Brookdale Honda (NO TOURS)4"/>
    <x v="3"/>
    <x v="1"/>
    <x v="41"/>
    <x v="6"/>
    <x v="0"/>
    <x v="0"/>
    <x v="0"/>
    <s v="https://tools.sig.systems/site/details/280"/>
    <s v="https://www.google.com/maps/d/viewer?mid=1ot0ILX76JMuvd9yMuqkb4_e0yH1n7TA&amp;ll=45.07815812965141%2C-93.33506855000002&amp;z=17"/>
    <m/>
    <x v="0"/>
    <x v="28"/>
    <x v="7"/>
    <x v="18"/>
    <x v="41"/>
    <x v="41"/>
  </r>
  <r>
    <s v="(LT) Luther Genesis of Minneapolis4"/>
    <x v="3"/>
    <x v="1"/>
    <x v="44"/>
    <x v="0"/>
    <x v="0"/>
    <x v="0"/>
    <x v="0"/>
    <s v="https://tools.sig.systems/site/details/315"/>
    <n v="0"/>
    <m/>
    <x v="0"/>
    <x v="31"/>
    <x v="0"/>
    <x v="0"/>
    <x v="44"/>
    <x v="44"/>
  </r>
  <r>
    <s v="(PE) JLR Englewood (NO TOURS)4"/>
    <x v="3"/>
    <x v="1"/>
    <x v="52"/>
    <x v="5"/>
    <x v="1"/>
    <x v="1"/>
    <x v="0"/>
    <s v="https://tools.sig.systems/site/details/178"/>
    <s v="https://www.google.com/maps/d/viewer?mid=1ubI2iKs1JyYXssuT4oLPnVvFnyLPi_s&amp;ll=40.878808846788026%2C-73.98560655&amp;z=17"/>
    <m/>
    <x v="25"/>
    <x v="1"/>
    <x v="0"/>
    <x v="0"/>
    <x v="15"/>
    <x v="52"/>
  </r>
  <r>
    <s v="(PE) JLR Paramus (NO TOURS)4"/>
    <x v="3"/>
    <x v="1"/>
    <x v="53"/>
    <x v="5"/>
    <x v="1"/>
    <x v="1"/>
    <x v="0"/>
    <s v="https://tools.sig.systems/site/details/177"/>
    <n v="0"/>
    <m/>
    <x v="26"/>
    <x v="1"/>
    <x v="0"/>
    <x v="0"/>
    <x v="51"/>
    <x v="53"/>
  </r>
  <r>
    <s v="(AS) Coggin Collision Center of Kissimmee (NO TOURS)4"/>
    <x v="3"/>
    <x v="2"/>
    <x v="2"/>
    <x v="1"/>
    <x v="1"/>
    <x v="1"/>
    <x v="0"/>
    <s v="https://tools.sig.systems/site/details/331"/>
    <n v="0"/>
    <m/>
    <x v="2"/>
    <x v="1"/>
    <x v="0"/>
    <x v="0"/>
    <x v="2"/>
    <x v="2"/>
  </r>
  <r>
    <s v="(AS) Hare Truck Center (NO TOURS)4"/>
    <x v="3"/>
    <x v="2"/>
    <x v="5"/>
    <x v="1"/>
    <x v="1"/>
    <x v="1"/>
    <x v="0"/>
    <s v="https://tools.sig.systems/site/details/300"/>
    <s v="https://www.google.com/maps/d/edit?mid=1hsX5GGrNcCQgAuzDCDz1OWgEkhsAc78&amp;usp=sharing"/>
    <m/>
    <x v="0"/>
    <x v="3"/>
    <x v="0"/>
    <x v="0"/>
    <x v="5"/>
    <x v="5"/>
  </r>
  <r>
    <s v="(AS) Koons MB of Catonsville (NO TOURS)4"/>
    <x v="3"/>
    <x v="2"/>
    <x v="16"/>
    <x v="1"/>
    <x v="1"/>
    <x v="1"/>
    <x v="0"/>
    <s v="https://tools.sig.systems/site/details/303"/>
    <n v="0"/>
    <m/>
    <x v="0"/>
    <x v="12"/>
    <x v="3"/>
    <x v="3"/>
    <x v="16"/>
    <x v="16"/>
  </r>
  <r>
    <s v="(AS) Koons Sterling Ford - Main Dealership (NO TOURS)4"/>
    <x v="3"/>
    <x v="2"/>
    <x v="18"/>
    <x v="1"/>
    <x v="1"/>
    <x v="1"/>
    <x v="3"/>
    <s v="https://tools.sig.systems/site/details/348"/>
    <n v="0"/>
    <m/>
    <x v="8"/>
    <x v="14"/>
    <x v="0"/>
    <x v="8"/>
    <x v="18"/>
    <x v="18"/>
  </r>
  <r>
    <s v="(AS) Koons White Marsh Chevrolet (NO TOURS)4"/>
    <x v="3"/>
    <x v="2"/>
    <x v="22"/>
    <x v="1"/>
    <x v="1"/>
    <x v="1"/>
    <x v="0"/>
    <s v="https://tools.sig.systems/site/details/339"/>
    <s v="-"/>
    <m/>
    <x v="9"/>
    <x v="18"/>
    <x v="0"/>
    <x v="0"/>
    <x v="22"/>
    <x v="22"/>
  </r>
  <r>
    <s v="(AS) Koons Woodbridge Ford (NO TOURS)4"/>
    <x v="3"/>
    <x v="2"/>
    <x v="23"/>
    <x v="1"/>
    <x v="1"/>
    <x v="1"/>
    <x v="4"/>
    <s v="https://tools.sig.systems/site/details/342"/>
    <n v="0"/>
    <m/>
    <x v="0"/>
    <x v="19"/>
    <x v="0"/>
    <x v="0"/>
    <x v="23"/>
    <x v="23"/>
  </r>
  <r>
    <s v="(AS) Larry H Miller CDJR Fiat (NO TOURS)4"/>
    <x v="3"/>
    <x v="2"/>
    <x v="27"/>
    <x v="2"/>
    <x v="2"/>
    <x v="2"/>
    <x v="0"/>
    <s v="https://tools.sig.systems/site/details/298"/>
    <n v="0"/>
    <m/>
    <x v="10"/>
    <x v="2"/>
    <x v="0"/>
    <x v="0"/>
    <x v="27"/>
    <x v="27"/>
  </r>
  <r>
    <s v="(AS) Plaza Collision ST Louis (NO TOURS)4"/>
    <x v="3"/>
    <x v="2"/>
    <x v="28"/>
    <x v="0"/>
    <x v="0"/>
    <x v="0"/>
    <x v="0"/>
    <s v="https://tools.sig.systems/site/details/350"/>
    <s v="-"/>
    <m/>
    <x v="11"/>
    <x v="7"/>
    <x v="0"/>
    <x v="0"/>
    <x v="28"/>
    <x v="28"/>
  </r>
  <r>
    <s v="(DT) Arlington4"/>
    <x v="3"/>
    <x v="2"/>
    <x v="31"/>
    <x v="0"/>
    <x v="0"/>
    <x v="0"/>
    <x v="0"/>
    <s v="https://tools.sig.systems/site/details/199"/>
    <s v="-"/>
    <m/>
    <x v="12"/>
    <x v="1"/>
    <x v="0"/>
    <x v="0"/>
    <x v="31"/>
    <x v="31"/>
  </r>
  <r>
    <s v="(KG) Ken Garff Volkswagen of Gilbert4"/>
    <x v="3"/>
    <x v="2"/>
    <x v="37"/>
    <x v="4"/>
    <x v="4"/>
    <x v="4"/>
    <x v="6"/>
    <s v="https://tools.sig.systems/site/details/284"/>
    <s v="https://www.google.com/maps/d/viewer?hl=es&amp;mid=19SU7XE9Cg8jhVFpEI21Vi9Zfgdih9Ds&amp;ll=33.29158262977276%2C-111.75783630000002&amp;z=17"/>
    <m/>
    <x v="18"/>
    <x v="1"/>
    <x v="0"/>
    <x v="15"/>
    <x v="37"/>
    <x v="37"/>
  </r>
  <r>
    <s v="(LT) Luther Bloomington Hyundai (NO TOURS)4"/>
    <x v="3"/>
    <x v="2"/>
    <x v="39"/>
    <x v="0"/>
    <x v="0"/>
    <x v="5"/>
    <x v="0"/>
    <s v="https://tools.sig.systems/site/details/318"/>
    <n v="0"/>
    <m/>
    <x v="0"/>
    <x v="26"/>
    <x v="5"/>
    <x v="17"/>
    <x v="39"/>
    <x v="39"/>
  </r>
  <r>
    <s v="(LT) Luther Hopkins Honda (NO TOURS)4"/>
    <x v="3"/>
    <x v="3"/>
    <x v="45"/>
    <x v="5"/>
    <x v="0"/>
    <x v="0"/>
    <x v="0"/>
    <s v="https://tools.sig.systems/site/details/288"/>
    <n v="0"/>
    <m/>
    <x v="0"/>
    <x v="32"/>
    <x v="9"/>
    <x v="20"/>
    <x v="45"/>
    <x v="45"/>
  </r>
  <r>
    <s v="(LT) Luther Landers Recon Center4"/>
    <x v="3"/>
    <x v="2"/>
    <x v="46"/>
    <x v="0"/>
    <x v="0"/>
    <x v="0"/>
    <x v="0"/>
    <s v="https://tools.sig.systems/site/details/323"/>
    <s v="https://www.google.com/maps/d/u/1/edit?mid=1-zEzsc6U6nZom08edp0XAd3_HYFvAyk&amp;usp=sharing"/>
    <m/>
    <x v="21"/>
    <x v="1"/>
    <x v="0"/>
    <x v="0"/>
    <x v="46"/>
    <x v="46"/>
  </r>
  <r>
    <s v="(PE) JLR Darien (NO TOURS)4"/>
    <x v="3"/>
    <x v="2"/>
    <x v="51"/>
    <x v="5"/>
    <x v="1"/>
    <x v="1"/>
    <x v="0"/>
    <s v="https://tools.sig.systems/site/details/189"/>
    <s v="-"/>
    <m/>
    <x v="24"/>
    <x v="1"/>
    <x v="0"/>
    <x v="0"/>
    <x v="15"/>
    <x v="51"/>
  </r>
  <r>
    <s v="(PE) MB of Greenwich4"/>
    <x v="3"/>
    <x v="2"/>
    <x v="54"/>
    <x v="5"/>
    <x v="1"/>
    <x v="1"/>
    <x v="0"/>
    <s v="https://tools.sig.systems/site/details/188"/>
    <s v="https://www.google.com/maps/d/edit?hl=en&amp;mid=1UHmt7tH1ihTa85i0MfQIcTfVvIQg_vM&amp;ll=41.02423447529239%2C-73.63721502222738&amp;z=18"/>
    <m/>
    <x v="27"/>
    <x v="36"/>
    <x v="0"/>
    <x v="0"/>
    <x v="52"/>
    <x v="54"/>
  </r>
  <r>
    <s v="Mario Residence4"/>
    <x v="3"/>
    <x v="2"/>
    <x v="58"/>
    <x v="3"/>
    <x v="1"/>
    <x v="3"/>
    <x v="0"/>
    <s v="https://tools.sig.systems/site/details/148"/>
    <s v="https://www.google.com/maps/d/edit?hl=es&amp;mid=13OmECPqyeB7fXgZmEoM9cnG34HU_v5g&amp;ll=26.046837034777553%2C-80.38753458591658&amp;z=19"/>
    <m/>
    <x v="30"/>
    <x v="39"/>
    <x v="0"/>
    <x v="0"/>
    <x v="55"/>
    <x v="58"/>
  </r>
  <r>
    <s v="(AS) Coggin Honda of Orlando (NO TOURS)4"/>
    <x v="3"/>
    <x v="3"/>
    <x v="3"/>
    <x v="1"/>
    <x v="1"/>
    <x v="1"/>
    <x v="1"/>
    <s v="https://tools.sig.systems/site/details/324"/>
    <n v="0"/>
    <m/>
    <x v="3"/>
    <x v="1"/>
    <x v="0"/>
    <x v="2"/>
    <x v="3"/>
    <x v="3"/>
  </r>
  <r>
    <s v="(AS) Kahlo CDJR (NO TOURS)4"/>
    <x v="3"/>
    <x v="3"/>
    <x v="6"/>
    <x v="1"/>
    <x v="1"/>
    <x v="1"/>
    <x v="0"/>
    <s v="https://tools.sig.systems/site/details/282"/>
    <s v="https://www.google.com/maps/d/edit?mid=1hsX5GGrNcCQgAuzDCDz1OWgEkhsAc78&amp;usp=sharing"/>
    <m/>
    <x v="0"/>
    <x v="4"/>
    <x v="1"/>
    <x v="4"/>
    <x v="6"/>
    <x v="6"/>
  </r>
  <r>
    <s v="(AS) Koons Arlington Toyota - New Car (NO TOURS)4"/>
    <x v="3"/>
    <x v="3"/>
    <x v="8"/>
    <x v="1"/>
    <x v="1"/>
    <x v="1"/>
    <x v="3"/>
    <s v="https://tools.sig.systems/site/details/334"/>
    <s v="-"/>
    <m/>
    <x v="0"/>
    <x v="6"/>
    <x v="0"/>
    <x v="0"/>
    <x v="8"/>
    <x v="8"/>
  </r>
  <r>
    <s v="(AS) Koons Baltimore Ford - Main Dealership (NO TOURS)4"/>
    <x v="3"/>
    <x v="3"/>
    <x v="9"/>
    <x v="1"/>
    <x v="1"/>
    <x v="1"/>
    <x v="0"/>
    <s v="https://tools.sig.systems/site/details/335"/>
    <s v="-"/>
    <m/>
    <x v="6"/>
    <x v="7"/>
    <x v="0"/>
    <x v="5"/>
    <x v="9"/>
    <x v="9"/>
  </r>
  <r>
    <s v="(AS) Koons Chevrolet Buick GMC - Tysons Remote Lot (NO TOURS)4"/>
    <x v="3"/>
    <x v="3"/>
    <x v="13"/>
    <x v="1"/>
    <x v="1"/>
    <x v="1"/>
    <x v="0"/>
    <s v="https://tools.sig.systems/site/details/333"/>
    <s v="-"/>
    <m/>
    <x v="0"/>
    <x v="10"/>
    <x v="2"/>
    <x v="7"/>
    <x v="13"/>
    <x v="13"/>
  </r>
  <r>
    <s v="(AS) Koons Easton Toyota - Main Dealership (NO TOURS)4"/>
    <x v="3"/>
    <x v="3"/>
    <x v="14"/>
    <x v="1"/>
    <x v="1"/>
    <x v="1"/>
    <x v="0"/>
    <s v="https://tools.sig.systems/site/details/340"/>
    <s v="-"/>
    <m/>
    <x v="0"/>
    <x v="11"/>
    <x v="0"/>
    <x v="0"/>
    <x v="14"/>
    <x v="14"/>
  </r>
  <r>
    <s v="(AS) Koons Volvo Cars White Marsh (NO TOURS)4"/>
    <x v="3"/>
    <x v="3"/>
    <x v="20"/>
    <x v="1"/>
    <x v="1"/>
    <x v="1"/>
    <x v="0"/>
    <s v="https://tools.sig.systems/site/details/338"/>
    <n v="0"/>
    <m/>
    <x v="0"/>
    <x v="16"/>
    <x v="0"/>
    <x v="0"/>
    <x v="20"/>
    <x v="20"/>
  </r>
  <r>
    <s v="(DT) Modesto4"/>
    <x v="3"/>
    <x v="3"/>
    <x v="33"/>
    <x v="4"/>
    <x v="3"/>
    <x v="4"/>
    <x v="0"/>
    <s v="https://tools.sig.systems/site/details/267"/>
    <n v="0"/>
    <m/>
    <x v="14"/>
    <x v="24"/>
    <x v="0"/>
    <x v="0"/>
    <x v="33"/>
    <x v="33"/>
  </r>
  <r>
    <s v="(LT) Landers Kia of Little Rock4"/>
    <x v="3"/>
    <x v="3"/>
    <x v="38"/>
    <x v="0"/>
    <x v="0"/>
    <x v="0"/>
    <x v="0"/>
    <s v="https://tools.sig.systems/site/details/322"/>
    <s v="https://www.google.com/maps/d/u/1/edit?mid=1-zEzsc6U6nZom08edp0XAd3_HYFvAyk&amp;usp=sharing"/>
    <m/>
    <x v="19"/>
    <x v="1"/>
    <x v="4"/>
    <x v="16"/>
    <x v="38"/>
    <x v="38"/>
  </r>
  <r>
    <s v="(LT) Luther Bloomington Subaru - Acura4"/>
    <x v="3"/>
    <x v="3"/>
    <x v="40"/>
    <x v="5"/>
    <x v="0"/>
    <x v="5"/>
    <x v="0"/>
    <s v="https://tools.sig.systems/site/details/289"/>
    <n v="0"/>
    <m/>
    <x v="20"/>
    <x v="27"/>
    <x v="6"/>
    <x v="0"/>
    <x v="40"/>
    <x v="40"/>
  </r>
  <r>
    <s v="(LT) Luther North Country Ford4"/>
    <x v="3"/>
    <x v="3"/>
    <x v="47"/>
    <x v="0"/>
    <x v="0"/>
    <x v="0"/>
    <x v="0"/>
    <s v="https://tools.sig.systems/site/details/292"/>
    <n v="0"/>
    <m/>
    <x v="0"/>
    <x v="33"/>
    <x v="10"/>
    <x v="0"/>
    <x v="47"/>
    <x v="47"/>
  </r>
  <r>
    <s v="(SCH) Schumacher of Delray I &amp; III4"/>
    <x v="3"/>
    <x v="3"/>
    <x v="56"/>
    <x v="1"/>
    <x v="1"/>
    <x v="1"/>
    <x v="1"/>
    <s v="https://tools.sig.systems/site/details/159"/>
    <s v="https://www.google.com/maps/d/viewer?mid=1ZLGV-cDM9aCfovhmXHIAXgVOKts0dEI&amp;ll=26.438859950088858%2C-80.07968125000001&amp;z=16"/>
    <m/>
    <x v="29"/>
    <x v="37"/>
    <x v="0"/>
    <x v="0"/>
    <x v="54"/>
    <x v="56"/>
  </r>
  <r>
    <s v="(AS) Koons Chevrolet Buick GMC - Clarksville (NO TOURS)5"/>
    <x v="4"/>
    <x v="0"/>
    <x v="10"/>
    <x v="1"/>
    <x v="1"/>
    <x v="1"/>
    <x v="3"/>
    <s v="https://tools.sig.systems/site/details/306"/>
    <s v="https://www.google.com/maps/d/edit?hl=es&amp;mid=11XB1lTSP7EcDCDvzypdUPWP6bWCNAEI&amp;ll=39.21145022420528%2C-76.94003711910554&amp;z=17"/>
    <m/>
    <x v="0"/>
    <x v="8"/>
    <x v="0"/>
    <x v="0"/>
    <x v="10"/>
    <x v="10"/>
  </r>
  <r>
    <s v="(AS) Koons Sterling Ford - Main Dealership (NO TOURS)5"/>
    <x v="4"/>
    <x v="0"/>
    <x v="18"/>
    <x v="1"/>
    <x v="1"/>
    <x v="1"/>
    <x v="3"/>
    <s v="https://tools.sig.systems/site/details/348"/>
    <n v="0"/>
    <m/>
    <x v="8"/>
    <x v="14"/>
    <x v="0"/>
    <x v="8"/>
    <x v="18"/>
    <x v="18"/>
  </r>
  <r>
    <s v="(AS) Koons Annapolis Toyota (NO TOURS)5"/>
    <x v="4"/>
    <x v="0"/>
    <x v="7"/>
    <x v="1"/>
    <x v="1"/>
    <x v="1"/>
    <x v="2"/>
    <s v="https://tools.sig.systems/site/details/337"/>
    <s v="-"/>
    <m/>
    <x v="5"/>
    <x v="5"/>
    <x v="0"/>
    <x v="0"/>
    <x v="7"/>
    <x v="7"/>
  </r>
  <r>
    <s v="(AS) Plaza Mercedes Benz West (NO TOURS)5"/>
    <x v="4"/>
    <x v="0"/>
    <x v="29"/>
    <x v="0"/>
    <x v="0"/>
    <x v="0"/>
    <x v="0"/>
    <s v="https://tools.sig.systems/site/details/349"/>
    <s v="-"/>
    <m/>
    <x v="0"/>
    <x v="22"/>
    <x v="0"/>
    <x v="10"/>
    <x v="29"/>
    <x v="29"/>
  </r>
  <r>
    <s v="(DT) Charlotte5"/>
    <x v="4"/>
    <x v="0"/>
    <x v="32"/>
    <x v="1"/>
    <x v="1"/>
    <x v="1"/>
    <x v="0"/>
    <s v="https://tools.sig.systems/site/details/299"/>
    <n v="0"/>
    <m/>
    <x v="13"/>
    <x v="1"/>
    <x v="0"/>
    <x v="12"/>
    <x v="32"/>
    <x v="32"/>
  </r>
  <r>
    <s v="(KG) Big Star Hyundai Houston5"/>
    <x v="4"/>
    <x v="0"/>
    <x v="35"/>
    <x v="0"/>
    <x v="0"/>
    <x v="0"/>
    <x v="0"/>
    <s v="https://tools.sig.systems/site/details/287"/>
    <s v="https://www.google.com/maps/d/edit?hl=en&amp;mid=1jIRkMUnWNPuTgDjQgDP-f33LClT85NU&amp;ll=29.55731827236326%2C-95.1601644&amp;z=17"/>
    <m/>
    <x v="16"/>
    <x v="25"/>
    <x v="0"/>
    <x v="13"/>
    <x v="35"/>
    <x v="35"/>
  </r>
  <r>
    <s v="(LT) Luther Brookdale Toyota5"/>
    <x v="4"/>
    <x v="0"/>
    <x v="42"/>
    <x v="6"/>
    <x v="0"/>
    <x v="1"/>
    <x v="0"/>
    <s v="https://tools.sig.systems/site/details/281"/>
    <s v="https://www.google.com/maps/d/viewer?mid=1ot0ILX76JMuvd9yMuqkb4_e0yH1n7TA&amp;ll=45.07815812965141%2C-93.33506855000002&amp;z=17"/>
    <m/>
    <x v="0"/>
    <x v="29"/>
    <x v="3"/>
    <x v="4"/>
    <x v="42"/>
    <x v="42"/>
  </r>
  <r>
    <s v="(LT) Luther Burnsville Hyundai5"/>
    <x v="4"/>
    <x v="0"/>
    <x v="43"/>
    <x v="0"/>
    <x v="0"/>
    <x v="0"/>
    <x v="0"/>
    <s v="https://tools.sig.systems/site/details/307"/>
    <n v="0"/>
    <m/>
    <x v="0"/>
    <x v="30"/>
    <x v="8"/>
    <x v="19"/>
    <x v="43"/>
    <x v="43"/>
  </r>
  <r>
    <s v="(ML) Joe Machens Hyundai5"/>
    <x v="4"/>
    <x v="0"/>
    <x v="49"/>
    <x v="0"/>
    <x v="0"/>
    <x v="0"/>
    <x v="0"/>
    <s v="https://tools.sig.systems/site/details/286"/>
    <s v="https://www.google.com/maps/d/viewer?hl=es&amp;mid=1C1oZdjH3dNvCvqdpIv_Lk0Yn1OCVn-4&amp;ll=38.965368114274455%2C-92.3405954&amp;z=15"/>
    <m/>
    <x v="0"/>
    <x v="35"/>
    <x v="0"/>
    <x v="10"/>
    <x v="49"/>
    <x v="49"/>
  </r>
  <r>
    <s v="(PE) BMW Service Center (NO TOURS)5"/>
    <x v="4"/>
    <x v="0"/>
    <x v="50"/>
    <x v="5"/>
    <x v="1"/>
    <x v="1"/>
    <x v="0"/>
    <s v="https://tools.sig.systems/site/details/184"/>
    <s v="https://www.google.com/maps/d/edit?hl=en&amp;mid=1UHmt7tH1ihTa85i0MfQIcTfVvIQg_vM&amp;ll=41.02423447529239%2C-73.63721502222738&amp;z=18"/>
    <m/>
    <x v="23"/>
    <x v="1"/>
    <x v="0"/>
    <x v="0"/>
    <x v="50"/>
    <x v="50"/>
  </r>
  <r>
    <s v="(PE) JLR Darien (NO TOURS)5"/>
    <x v="4"/>
    <x v="0"/>
    <x v="51"/>
    <x v="5"/>
    <x v="1"/>
    <x v="1"/>
    <x v="0"/>
    <s v="https://tools.sig.systems/site/details/189"/>
    <s v="-"/>
    <m/>
    <x v="24"/>
    <x v="1"/>
    <x v="0"/>
    <x v="0"/>
    <x v="15"/>
    <x v="51"/>
  </r>
  <r>
    <s v="(AS) Coggin BMW Ft. Pierce (NO TOURS)5"/>
    <x v="4"/>
    <x v="1"/>
    <x v="1"/>
    <x v="1"/>
    <x v="1"/>
    <x v="1"/>
    <x v="0"/>
    <s v="https://tools.sig.systems/site/details/119"/>
    <s v="https://www.google.com/maps/d/viewer?mid=1AyViBuyeq7iwDua1SVudJ2A1BYi3IBA&amp;ll=27.38181516363982%2C-80.32568845000002&amp;z=18"/>
    <m/>
    <x v="1"/>
    <x v="1"/>
    <x v="0"/>
    <x v="1"/>
    <x v="1"/>
    <x v="1"/>
  </r>
  <r>
    <s v="(AS) Coggin Collision Center of Kissimmee (NO TOURS)5"/>
    <x v="4"/>
    <x v="1"/>
    <x v="2"/>
    <x v="1"/>
    <x v="1"/>
    <x v="1"/>
    <x v="0"/>
    <s v="https://tools.sig.systems/site/details/331"/>
    <n v="0"/>
    <m/>
    <x v="2"/>
    <x v="1"/>
    <x v="0"/>
    <x v="0"/>
    <x v="2"/>
    <x v="2"/>
  </r>
  <r>
    <s v="(AS) Koons Chevrolet Buick GMC - Clarksville Remote Lot (NO TOURS)5"/>
    <x v="4"/>
    <x v="1"/>
    <x v="11"/>
    <x v="1"/>
    <x v="1"/>
    <x v="1"/>
    <x v="3"/>
    <s v="https://tools.sig.systems/site/details/308"/>
    <s v="https://www.google.com/maps/d/edit?hl=es&amp;mid=11XB1lTSP7EcDCDvzypdUPWP6bWCNAEI&amp;ll=39.21145022420528%2C-76.94003711910554&amp;z=21"/>
    <m/>
    <x v="0"/>
    <x v="3"/>
    <x v="0"/>
    <x v="0"/>
    <x v="11"/>
    <x v="11"/>
  </r>
  <r>
    <s v="(AS) Koons Chevrolet Buick GMC - Tysons (NO TOURS)5"/>
    <x v="4"/>
    <x v="1"/>
    <x v="12"/>
    <x v="1"/>
    <x v="1"/>
    <x v="1"/>
    <x v="3"/>
    <s v="https://tools.sig.systems/site/details/352"/>
    <s v="-"/>
    <m/>
    <x v="0"/>
    <x v="9"/>
    <x v="0"/>
    <x v="6"/>
    <x v="12"/>
    <x v="12"/>
  </r>
  <r>
    <s v="(AS) Koons Falls Church Ford (NO TOURS)5"/>
    <x v="4"/>
    <x v="1"/>
    <x v="15"/>
    <x v="1"/>
    <x v="1"/>
    <x v="1"/>
    <x v="3"/>
    <s v="https://tools.sig.systems/site/details/345"/>
    <s v="-"/>
    <m/>
    <x v="0"/>
    <x v="7"/>
    <x v="0"/>
    <x v="0"/>
    <x v="15"/>
    <x v="15"/>
  </r>
  <r>
    <s v="(AS) Koons Owings Mills Kia (NO TOURS)5"/>
    <x v="4"/>
    <x v="1"/>
    <x v="17"/>
    <x v="1"/>
    <x v="1"/>
    <x v="1"/>
    <x v="0"/>
    <s v="https://tools.sig.systems/site/details/336"/>
    <s v="-"/>
    <m/>
    <x v="7"/>
    <x v="13"/>
    <x v="0"/>
    <x v="0"/>
    <x v="17"/>
    <x v="17"/>
  </r>
  <r>
    <s v="(AS) Koons Westminster Toyota (NO TOURS)5"/>
    <x v="4"/>
    <x v="1"/>
    <x v="21"/>
    <x v="1"/>
    <x v="1"/>
    <x v="1"/>
    <x v="0"/>
    <s v="https://tools.sig.systems/site/details/341"/>
    <s v="-"/>
    <m/>
    <x v="0"/>
    <x v="17"/>
    <x v="0"/>
    <x v="0"/>
    <x v="21"/>
    <x v="21"/>
  </r>
  <r>
    <s v="(AS) Koons Woodbridge GMC (NO TOURS)5"/>
    <x v="4"/>
    <x v="1"/>
    <x v="24"/>
    <x v="1"/>
    <x v="1"/>
    <x v="1"/>
    <x v="3"/>
    <s v="https://tools.sig.systems/site/details/343"/>
    <n v="0"/>
    <m/>
    <x v="0"/>
    <x v="7"/>
    <x v="0"/>
    <x v="9"/>
    <x v="24"/>
    <x v="24"/>
  </r>
  <r>
    <s v="(KG) Big Star Cadillac5"/>
    <x v="4"/>
    <x v="1"/>
    <x v="34"/>
    <x v="0"/>
    <x v="0"/>
    <x v="0"/>
    <x v="0"/>
    <s v="https://tools.sig.systems/site/details/316"/>
    <s v="https://www.google.com/maps/d/edit?mid=1jIRkMUnWNPuTgDjQgDP-f33LClT85NU&amp;usp=sharing"/>
    <m/>
    <x v="15"/>
    <x v="1"/>
    <x v="0"/>
    <x v="0"/>
    <x v="34"/>
    <x v="34"/>
  </r>
  <r>
    <s v="(KG) Ken Garff Kia of Avondale5"/>
    <x v="4"/>
    <x v="1"/>
    <x v="36"/>
    <x v="4"/>
    <x v="4"/>
    <x v="4"/>
    <x v="6"/>
    <s v="https://tools.sig.systems/site/details/283"/>
    <s v="https://www.google.com/maps/d/viewer?mid=1bDs0QGFZwL3vEeGKxjVMk_j4azr0-lg&amp;ll=33.4593758581648%2C-112.28793780000001&amp;z=18"/>
    <m/>
    <x v="17"/>
    <x v="1"/>
    <x v="0"/>
    <x v="14"/>
    <x v="36"/>
    <x v="36"/>
  </r>
  <r>
    <s v="(LT) Luther Brookdale Honda (NO TOURS)5"/>
    <x v="4"/>
    <x v="1"/>
    <x v="41"/>
    <x v="6"/>
    <x v="0"/>
    <x v="0"/>
    <x v="0"/>
    <s v="https://tools.sig.systems/site/details/280"/>
    <s v="https://www.google.com/maps/d/viewer?mid=1ot0ILX76JMuvd9yMuqkb4_e0yH1n7TA&amp;ll=45.07815812965141%2C-93.33506855000002&amp;z=17"/>
    <m/>
    <x v="0"/>
    <x v="28"/>
    <x v="7"/>
    <x v="18"/>
    <x v="41"/>
    <x v="41"/>
  </r>
  <r>
    <s v="(LT) Luther Genesis of Minneapolis5"/>
    <x v="4"/>
    <x v="1"/>
    <x v="44"/>
    <x v="0"/>
    <x v="0"/>
    <x v="0"/>
    <x v="0"/>
    <s v="https://tools.sig.systems/site/details/315"/>
    <n v="0"/>
    <m/>
    <x v="0"/>
    <x v="31"/>
    <x v="0"/>
    <x v="0"/>
    <x v="44"/>
    <x v="44"/>
  </r>
  <r>
    <s v="(PE) JLR Paramus (NO TOURS)5"/>
    <x v="4"/>
    <x v="1"/>
    <x v="53"/>
    <x v="5"/>
    <x v="1"/>
    <x v="1"/>
    <x v="0"/>
    <s v="https://tools.sig.systems/site/details/177"/>
    <n v="0"/>
    <m/>
    <x v="26"/>
    <x v="1"/>
    <x v="0"/>
    <x v="0"/>
    <x v="51"/>
    <x v="53"/>
  </r>
  <r>
    <s v="(PE) Porsche Audi Fairfield (NO TOURS)5"/>
    <x v="4"/>
    <x v="1"/>
    <x v="55"/>
    <x v="5"/>
    <x v="1"/>
    <x v="1"/>
    <x v="0"/>
    <s v="https://tools.sig.systems/site/details/194"/>
    <s v="-"/>
    <m/>
    <x v="28"/>
    <x v="1"/>
    <x v="0"/>
    <x v="4"/>
    <x v="53"/>
    <x v="55"/>
  </r>
  <r>
    <s v="(AS) Hare Truck Center (NO TOURS)5"/>
    <x v="4"/>
    <x v="2"/>
    <x v="5"/>
    <x v="1"/>
    <x v="1"/>
    <x v="1"/>
    <x v="0"/>
    <s v="https://tools.sig.systems/site/details/300"/>
    <s v="https://www.google.com/maps/d/edit?mid=1hsX5GGrNcCQgAuzDCDz1OWgEkhsAc78&amp;usp=sharing"/>
    <m/>
    <x v="0"/>
    <x v="3"/>
    <x v="0"/>
    <x v="0"/>
    <x v="5"/>
    <x v="5"/>
  </r>
  <r>
    <s v="(AS) Koons MB of Catonsville (NO TOURS)5"/>
    <x v="4"/>
    <x v="2"/>
    <x v="16"/>
    <x v="1"/>
    <x v="1"/>
    <x v="1"/>
    <x v="0"/>
    <s v="https://tools.sig.systems/site/details/303"/>
    <n v="0"/>
    <m/>
    <x v="0"/>
    <x v="12"/>
    <x v="3"/>
    <x v="3"/>
    <x v="16"/>
    <x v="16"/>
  </r>
  <r>
    <s v="(AS) Koons Tysons Toyota - Main Dealership (NO TOURS)5"/>
    <x v="4"/>
    <x v="2"/>
    <x v="19"/>
    <x v="1"/>
    <x v="1"/>
    <x v="1"/>
    <x v="0"/>
    <s v="https://tools.sig.systems/site/details/344"/>
    <s v="-"/>
    <m/>
    <x v="0"/>
    <x v="15"/>
    <x v="0"/>
    <x v="0"/>
    <x v="19"/>
    <x v="19"/>
  </r>
  <r>
    <s v="(AS) Koons White Marsh Chevrolet (NO TOURS)5"/>
    <x v="4"/>
    <x v="2"/>
    <x v="22"/>
    <x v="1"/>
    <x v="1"/>
    <x v="1"/>
    <x v="0"/>
    <s v="https://tools.sig.systems/site/details/339"/>
    <s v="-"/>
    <m/>
    <x v="9"/>
    <x v="18"/>
    <x v="0"/>
    <x v="0"/>
    <x v="22"/>
    <x v="22"/>
  </r>
  <r>
    <s v="(AS) Koons Woodbridge Ford (NO TOURS)5"/>
    <x v="4"/>
    <x v="2"/>
    <x v="23"/>
    <x v="1"/>
    <x v="1"/>
    <x v="1"/>
    <x v="4"/>
    <s v="https://tools.sig.systems/site/details/342"/>
    <n v="0"/>
    <m/>
    <x v="0"/>
    <x v="19"/>
    <x v="0"/>
    <x v="0"/>
    <x v="23"/>
    <x v="23"/>
  </r>
  <r>
    <s v="(AS) Larry H Miller CDJR Fiat (NO TOURS)5"/>
    <x v="4"/>
    <x v="2"/>
    <x v="27"/>
    <x v="2"/>
    <x v="2"/>
    <x v="2"/>
    <x v="0"/>
    <s v="https://tools.sig.systems/site/details/298"/>
    <n v="0"/>
    <m/>
    <x v="10"/>
    <x v="2"/>
    <x v="0"/>
    <x v="0"/>
    <x v="27"/>
    <x v="27"/>
  </r>
  <r>
    <s v="(AS) Plaza Collision ST Louis (NO TOURS)5"/>
    <x v="4"/>
    <x v="2"/>
    <x v="28"/>
    <x v="0"/>
    <x v="0"/>
    <x v="0"/>
    <x v="0"/>
    <s v="https://tools.sig.systems/site/details/350"/>
    <s v="-"/>
    <m/>
    <x v="11"/>
    <x v="7"/>
    <x v="0"/>
    <x v="0"/>
    <x v="28"/>
    <x v="28"/>
  </r>
  <r>
    <s v="(KG) Ken Garff Volkswagen of Gilbert5"/>
    <x v="4"/>
    <x v="2"/>
    <x v="37"/>
    <x v="4"/>
    <x v="4"/>
    <x v="4"/>
    <x v="6"/>
    <s v="https://tools.sig.systems/site/details/284"/>
    <s v="https://www.google.com/maps/d/viewer?hl=es&amp;mid=19SU7XE9Cg8jhVFpEI21Vi9Zfgdih9Ds&amp;ll=33.29158262977276%2C-111.75783630000002&amp;z=17"/>
    <m/>
    <x v="18"/>
    <x v="1"/>
    <x v="0"/>
    <x v="15"/>
    <x v="37"/>
    <x v="37"/>
  </r>
  <r>
    <s v="(LT) Luther Hopkins Honda (NO TOURS)5"/>
    <x v="4"/>
    <x v="2"/>
    <x v="45"/>
    <x v="5"/>
    <x v="0"/>
    <x v="0"/>
    <x v="0"/>
    <s v="https://tools.sig.systems/site/details/288"/>
    <n v="0"/>
    <m/>
    <x v="0"/>
    <x v="32"/>
    <x v="9"/>
    <x v="20"/>
    <x v="45"/>
    <x v="45"/>
  </r>
  <r>
    <s v="(PE) MB of Greenwich5"/>
    <x v="4"/>
    <x v="2"/>
    <x v="54"/>
    <x v="5"/>
    <x v="1"/>
    <x v="1"/>
    <x v="0"/>
    <s v="https://tools.sig.systems/site/details/188"/>
    <s v="https://www.google.com/maps/d/edit?hl=en&amp;mid=1UHmt7tH1ihTa85i0MfQIcTfVvIQg_vM&amp;ll=41.02423447529239%2C-73.63721502222738&amp;z=18"/>
    <m/>
    <x v="27"/>
    <x v="36"/>
    <x v="0"/>
    <x v="0"/>
    <x v="52"/>
    <x v="54"/>
  </r>
  <r>
    <s v="Mario Residence5"/>
    <x v="4"/>
    <x v="2"/>
    <x v="58"/>
    <x v="3"/>
    <x v="1"/>
    <x v="3"/>
    <x v="0"/>
    <s v="https://tools.sig.systems/site/details/148"/>
    <s v="https://www.google.com/maps/d/edit?hl=es&amp;mid=13OmECPqyeB7fXgZmEoM9cnG34HU_v5g&amp;ll=26.046837034777553%2C-80.38753458591658&amp;z=19"/>
    <m/>
    <x v="30"/>
    <x v="39"/>
    <x v="0"/>
    <x v="0"/>
    <x v="55"/>
    <x v="58"/>
  </r>
  <r>
    <s v="(AS) Coggin Honda of Orlando (NO TOURS)5"/>
    <x v="4"/>
    <x v="3"/>
    <x v="3"/>
    <x v="1"/>
    <x v="1"/>
    <x v="1"/>
    <x v="1"/>
    <s v="https://tools.sig.systems/site/details/324"/>
    <n v="0"/>
    <m/>
    <x v="3"/>
    <x v="1"/>
    <x v="0"/>
    <x v="2"/>
    <x v="3"/>
    <x v="3"/>
  </r>
  <r>
    <s v="(AS) Kahlo CDJR (NO TOURS)5"/>
    <x v="4"/>
    <x v="3"/>
    <x v="6"/>
    <x v="1"/>
    <x v="1"/>
    <x v="1"/>
    <x v="0"/>
    <s v="https://tools.sig.systems/site/details/282"/>
    <s v="https://www.google.com/maps/d/edit?mid=1hsX5GGrNcCQgAuzDCDz1OWgEkhsAc78&amp;usp=sharing"/>
    <m/>
    <x v="0"/>
    <x v="4"/>
    <x v="1"/>
    <x v="4"/>
    <x v="6"/>
    <x v="6"/>
  </r>
  <r>
    <s v="(AS) Koons Baltimore Ford - Main Dealership (NO TOURS)5"/>
    <x v="4"/>
    <x v="3"/>
    <x v="9"/>
    <x v="1"/>
    <x v="1"/>
    <x v="1"/>
    <x v="0"/>
    <s v="https://tools.sig.systems/site/details/335"/>
    <s v="-"/>
    <m/>
    <x v="6"/>
    <x v="7"/>
    <x v="0"/>
    <x v="5"/>
    <x v="9"/>
    <x v="9"/>
  </r>
  <r>
    <s v="(AS) Koons Easton Toyota - Main Dealership (NO TOURS)5"/>
    <x v="4"/>
    <x v="3"/>
    <x v="14"/>
    <x v="1"/>
    <x v="1"/>
    <x v="1"/>
    <x v="0"/>
    <s v="https://tools.sig.systems/site/details/340"/>
    <s v="-"/>
    <m/>
    <x v="0"/>
    <x v="11"/>
    <x v="0"/>
    <x v="0"/>
    <x v="14"/>
    <x v="14"/>
  </r>
  <r>
    <s v="(AS) Koons Woodbridge Hyundai (NO TOURS)5"/>
    <x v="4"/>
    <x v="3"/>
    <x v="25"/>
    <x v="1"/>
    <x v="1"/>
    <x v="1"/>
    <x v="5"/>
    <s v="https://tools.sig.systems/site/details/347"/>
    <s v="-"/>
    <m/>
    <x v="0"/>
    <x v="20"/>
    <x v="0"/>
    <x v="0"/>
    <x v="25"/>
    <x v="25"/>
  </r>
  <r>
    <s v="(AS) Koons Woodbridge Kia (NO TOURS)5"/>
    <x v="4"/>
    <x v="3"/>
    <x v="26"/>
    <x v="1"/>
    <x v="1"/>
    <x v="1"/>
    <x v="3"/>
    <s v="https://tools.sig.systems/site/details/346"/>
    <s v="-"/>
    <m/>
    <x v="0"/>
    <x v="21"/>
    <x v="0"/>
    <x v="0"/>
    <x v="26"/>
    <x v="26"/>
  </r>
  <r>
    <s v="(DT) Modesto5"/>
    <x v="4"/>
    <x v="3"/>
    <x v="33"/>
    <x v="4"/>
    <x v="3"/>
    <x v="4"/>
    <x v="0"/>
    <s v="https://tools.sig.systems/site/details/267"/>
    <n v="0"/>
    <m/>
    <x v="14"/>
    <x v="24"/>
    <x v="0"/>
    <x v="0"/>
    <x v="33"/>
    <x v="33"/>
  </r>
  <r>
    <s v="(LT) Landers Kia of Little Rock5"/>
    <x v="4"/>
    <x v="3"/>
    <x v="38"/>
    <x v="0"/>
    <x v="0"/>
    <x v="0"/>
    <x v="0"/>
    <s v="https://tools.sig.systems/site/details/322"/>
    <s v="https://www.google.com/maps/d/u/1/edit?mid=1-zEzsc6U6nZom08edp0XAd3_HYFvAyk&amp;usp=sharing"/>
    <m/>
    <x v="19"/>
    <x v="1"/>
    <x v="4"/>
    <x v="16"/>
    <x v="38"/>
    <x v="38"/>
  </r>
  <r>
    <s v="(LT) Luther Bloomington Subaru - Acura5"/>
    <x v="4"/>
    <x v="3"/>
    <x v="40"/>
    <x v="5"/>
    <x v="0"/>
    <x v="5"/>
    <x v="0"/>
    <s v="https://tools.sig.systems/site/details/289"/>
    <n v="0"/>
    <m/>
    <x v="20"/>
    <x v="27"/>
    <x v="6"/>
    <x v="0"/>
    <x v="40"/>
    <x v="40"/>
  </r>
  <r>
    <s v="(LT) Luther North Country Ford5"/>
    <x v="4"/>
    <x v="3"/>
    <x v="47"/>
    <x v="0"/>
    <x v="0"/>
    <x v="0"/>
    <x v="0"/>
    <s v="https://tools.sig.systems/site/details/292"/>
    <n v="0"/>
    <m/>
    <x v="0"/>
    <x v="33"/>
    <x v="10"/>
    <x v="0"/>
    <x v="47"/>
    <x v="47"/>
  </r>
  <r>
    <s v="(PE) JLR Englewood (NO TOURS)5"/>
    <x v="4"/>
    <x v="3"/>
    <x v="52"/>
    <x v="5"/>
    <x v="1"/>
    <x v="1"/>
    <x v="0"/>
    <s v="https://tools.sig.systems/site/details/178"/>
    <s v="https://www.google.com/maps/d/viewer?mid=1ubI2iKs1JyYXssuT4oLPnVvFnyLPi_s&amp;ll=40.878808846788026%2C-73.98560655&amp;z=17"/>
    <m/>
    <x v="25"/>
    <x v="1"/>
    <x v="0"/>
    <x v="0"/>
    <x v="15"/>
    <x v="52"/>
  </r>
  <r>
    <s v="(AS) 3281 Storage Lot (NO TOURS)5"/>
    <x v="4"/>
    <x v="4"/>
    <x v="0"/>
    <x v="0"/>
    <x v="0"/>
    <x v="0"/>
    <x v="7"/>
    <s v="https://tools.sig.systems/site/details/305"/>
    <s v="https://www.google.com/maps/d/edit?hl=es&amp;mid=1uPmsRMsXnp74hPFW2t-sp2totVWF_xY&amp;ll=32.83050137713022%2C-96.83197783061323&amp;z=17"/>
    <m/>
    <x v="0"/>
    <x v="0"/>
    <x v="0"/>
    <x v="0"/>
    <x v="0"/>
    <x v="0"/>
  </r>
  <r>
    <s v="(AS) Hare Chevrolet (NO TOURS)5"/>
    <x v="4"/>
    <x v="4"/>
    <x v="4"/>
    <x v="1"/>
    <x v="1"/>
    <x v="1"/>
    <x v="0"/>
    <s v="https://tools.sig.systems/site/details/301"/>
    <s v="https://www.google.com/maps/d/edit?mid=1hsX5GGrNcCQgAuzDCDz1OWgEkhsAc78&amp;usp=sharing"/>
    <m/>
    <x v="4"/>
    <x v="2"/>
    <x v="0"/>
    <x v="3"/>
    <x v="4"/>
    <x v="4"/>
  </r>
  <r>
    <s v="(AS) Koons Arlington Toyota - New Car (NO TOURS)5"/>
    <x v="4"/>
    <x v="4"/>
    <x v="8"/>
    <x v="1"/>
    <x v="1"/>
    <x v="1"/>
    <x v="1"/>
    <s v="https://tools.sig.systems/site/details/334"/>
    <s v="-"/>
    <m/>
    <x v="0"/>
    <x v="6"/>
    <x v="0"/>
    <x v="0"/>
    <x v="8"/>
    <x v="8"/>
  </r>
  <r>
    <s v="(AS) Koons Chevrolet Buick GMC - Tysons Remote Lot (NO TOURS)5"/>
    <x v="4"/>
    <x v="4"/>
    <x v="13"/>
    <x v="1"/>
    <x v="1"/>
    <x v="1"/>
    <x v="0"/>
    <s v="https://tools.sig.systems/site/details/333"/>
    <s v="-"/>
    <m/>
    <x v="0"/>
    <x v="10"/>
    <x v="2"/>
    <x v="7"/>
    <x v="13"/>
    <x v="13"/>
  </r>
  <r>
    <s v="(AS) Koons Volvo Cars White Marsh (NO TOURS)5"/>
    <x v="4"/>
    <x v="4"/>
    <x v="20"/>
    <x v="1"/>
    <x v="1"/>
    <x v="1"/>
    <x v="3"/>
    <s v="https://tools.sig.systems/site/details/338"/>
    <n v="0"/>
    <m/>
    <x v="0"/>
    <x v="16"/>
    <x v="0"/>
    <x v="0"/>
    <x v="20"/>
    <x v="20"/>
  </r>
  <r>
    <s v="(BRL) Shoemakersville5"/>
    <x v="4"/>
    <x v="4"/>
    <x v="30"/>
    <x v="3"/>
    <x v="1"/>
    <x v="3"/>
    <x v="0"/>
    <s v="https://tools.sig.systems/site/details/302"/>
    <n v="0"/>
    <m/>
    <x v="0"/>
    <x v="23"/>
    <x v="0"/>
    <x v="11"/>
    <x v="30"/>
    <x v="30"/>
  </r>
  <r>
    <s v="(DT) Arlington5"/>
    <x v="4"/>
    <x v="4"/>
    <x v="31"/>
    <x v="0"/>
    <x v="0"/>
    <x v="0"/>
    <x v="0"/>
    <s v="https://tools.sig.systems/site/details/199"/>
    <s v="-"/>
    <m/>
    <x v="12"/>
    <x v="1"/>
    <x v="0"/>
    <x v="0"/>
    <x v="31"/>
    <x v="31"/>
  </r>
  <r>
    <s v="(LT) Luther Bloomington Hyundai (NO TOURS)5"/>
    <x v="4"/>
    <x v="4"/>
    <x v="39"/>
    <x v="0"/>
    <x v="0"/>
    <x v="5"/>
    <x v="0"/>
    <s v="https://tools.sig.systems/site/details/318"/>
    <n v="0"/>
    <m/>
    <x v="0"/>
    <x v="26"/>
    <x v="5"/>
    <x v="17"/>
    <x v="39"/>
    <x v="39"/>
  </r>
  <r>
    <s v="(LT) Luther Landers Recon Center5"/>
    <x v="4"/>
    <x v="4"/>
    <x v="46"/>
    <x v="0"/>
    <x v="0"/>
    <x v="0"/>
    <x v="0"/>
    <s v="https://tools.sig.systems/site/details/323"/>
    <s v="https://www.google.com/maps/d/u/1/edit?mid=1-zEzsc6U6nZom08edp0XAd3_HYFvAyk&amp;usp=sharing"/>
    <m/>
    <x v="21"/>
    <x v="1"/>
    <x v="0"/>
    <x v="0"/>
    <x v="46"/>
    <x v="46"/>
  </r>
  <r>
    <s v="(LT) Luther St. Cloud Subaru5"/>
    <x v="4"/>
    <x v="4"/>
    <x v="48"/>
    <x v="0"/>
    <x v="0"/>
    <x v="6"/>
    <x v="0"/>
    <s v="https://tools.sig.systems/site/details/295"/>
    <n v="0"/>
    <m/>
    <x v="22"/>
    <x v="34"/>
    <x v="11"/>
    <x v="21"/>
    <x v="48"/>
    <x v="48"/>
  </r>
  <r>
    <s v="(SCH) Schumacher of Delray I &amp; III5"/>
    <x v="4"/>
    <x v="4"/>
    <x v="56"/>
    <x v="1"/>
    <x v="1"/>
    <x v="1"/>
    <x v="0"/>
    <s v="https://tools.sig.systems/site/details/159"/>
    <s v="https://www.google.com/maps/d/viewer?mid=1ZLGV-cDM9aCfovhmXHIAXgVOKts0dEI&amp;ll=26.438859950088858%2C-80.07968125000001&amp;z=16"/>
    <m/>
    <x v="29"/>
    <x v="37"/>
    <x v="0"/>
    <x v="0"/>
    <x v="54"/>
    <x v="56"/>
  </r>
  <r>
    <s v="(TC) Lamborghini South Dade5"/>
    <x v="4"/>
    <x v="4"/>
    <x v="57"/>
    <x v="1"/>
    <x v="1"/>
    <x v="1"/>
    <x v="0"/>
    <s v="https://tools.sig.systems/site/details/313"/>
    <n v="0"/>
    <m/>
    <x v="0"/>
    <x v="38"/>
    <x v="0"/>
    <x v="0"/>
    <x v="15"/>
    <x v="57"/>
  </r>
  <r>
    <s v="(AS) 3281 Storage Lot (NO TOURS)6"/>
    <x v="5"/>
    <x v="0"/>
    <x v="0"/>
    <x v="0"/>
    <x v="0"/>
    <x v="0"/>
    <x v="3"/>
    <s v="https://tools.sig.systems/site/details/305"/>
    <s v="https://www.google.com/maps/d/edit?hl=es&amp;mid=1uPmsRMsXnp74hPFW2t-sp2totVWF_xY&amp;ll=32.83050137713022%2C-96.83197783061323&amp;z=17"/>
    <m/>
    <x v="0"/>
    <x v="0"/>
    <x v="0"/>
    <x v="0"/>
    <x v="0"/>
    <x v="0"/>
  </r>
  <r>
    <s v="(AS) Koons Annapolis Toyota (NO TOURS)6"/>
    <x v="5"/>
    <x v="0"/>
    <x v="7"/>
    <x v="1"/>
    <x v="1"/>
    <x v="1"/>
    <x v="3"/>
    <s v="https://tools.sig.systems/site/details/337"/>
    <s v="-"/>
    <m/>
    <x v="5"/>
    <x v="5"/>
    <x v="0"/>
    <x v="0"/>
    <x v="7"/>
    <x v="7"/>
  </r>
  <r>
    <s v="(AS) Koons Chevrolet Buick GMC - Clarksville (NO TOURS)6"/>
    <x v="5"/>
    <x v="0"/>
    <x v="10"/>
    <x v="1"/>
    <x v="1"/>
    <x v="1"/>
    <x v="0"/>
    <s v="https://tools.sig.systems/site/details/306"/>
    <s v="https://www.google.com/maps/d/edit?hl=es&amp;mid=11XB1lTSP7EcDCDvzypdUPWP6bWCNAEI&amp;ll=39.21145022420528%2C-76.94003711910554&amp;z=17"/>
    <m/>
    <x v="0"/>
    <x v="8"/>
    <x v="0"/>
    <x v="0"/>
    <x v="10"/>
    <x v="10"/>
  </r>
  <r>
    <s v="(AS) Koons Sterling Ford - Main Dealership (NO TOURS)6"/>
    <x v="5"/>
    <x v="0"/>
    <x v="18"/>
    <x v="1"/>
    <x v="1"/>
    <x v="1"/>
    <x v="0"/>
    <s v="https://tools.sig.systems/site/details/348"/>
    <n v="0"/>
    <m/>
    <x v="8"/>
    <x v="14"/>
    <x v="0"/>
    <x v="8"/>
    <x v="18"/>
    <x v="18"/>
  </r>
  <r>
    <s v="(AS) Koons Woodbridge Kia (NO TOURS)6"/>
    <x v="5"/>
    <x v="0"/>
    <x v="26"/>
    <x v="1"/>
    <x v="1"/>
    <x v="1"/>
    <x v="0"/>
    <s v="https://tools.sig.systems/site/details/346"/>
    <s v="-"/>
    <m/>
    <x v="0"/>
    <x v="21"/>
    <x v="0"/>
    <x v="0"/>
    <x v="26"/>
    <x v="26"/>
  </r>
  <r>
    <s v="(DT) Charlotte6"/>
    <x v="5"/>
    <x v="0"/>
    <x v="32"/>
    <x v="1"/>
    <x v="1"/>
    <x v="1"/>
    <x v="0"/>
    <s v="https://tools.sig.systems/site/details/299"/>
    <n v="0"/>
    <m/>
    <x v="13"/>
    <x v="1"/>
    <x v="0"/>
    <x v="12"/>
    <x v="32"/>
    <x v="32"/>
  </r>
  <r>
    <s v="(LT) Luther Brookdale Toyota6"/>
    <x v="5"/>
    <x v="0"/>
    <x v="42"/>
    <x v="6"/>
    <x v="0"/>
    <x v="1"/>
    <x v="0"/>
    <s v="https://tools.sig.systems/site/details/281"/>
    <s v="https://www.google.com/maps/d/viewer?mid=1ot0ILX76JMuvd9yMuqkb4_e0yH1n7TA&amp;ll=45.07815812965141%2C-93.33506855000002&amp;z=17"/>
    <m/>
    <x v="0"/>
    <x v="29"/>
    <x v="3"/>
    <x v="4"/>
    <x v="42"/>
    <x v="42"/>
  </r>
  <r>
    <s v="(LT) Luther Burnsville Hyundai6"/>
    <x v="5"/>
    <x v="0"/>
    <x v="43"/>
    <x v="0"/>
    <x v="0"/>
    <x v="0"/>
    <x v="3"/>
    <s v="https://tools.sig.systems/site/details/307"/>
    <n v="0"/>
    <m/>
    <x v="0"/>
    <x v="30"/>
    <x v="8"/>
    <x v="19"/>
    <x v="43"/>
    <x v="43"/>
  </r>
  <r>
    <s v="(ML) Joe Machens Hyundai6"/>
    <x v="5"/>
    <x v="0"/>
    <x v="49"/>
    <x v="0"/>
    <x v="0"/>
    <x v="0"/>
    <x v="3"/>
    <s v="https://tools.sig.systems/site/details/286"/>
    <s v="https://www.google.com/maps/d/viewer?hl=es&amp;mid=1C1oZdjH3dNvCvqdpIv_Lk0Yn1OCVn-4&amp;ll=38.965368114274455%2C-92.3405954&amp;z=15"/>
    <m/>
    <x v="0"/>
    <x v="35"/>
    <x v="0"/>
    <x v="10"/>
    <x v="49"/>
    <x v="49"/>
  </r>
  <r>
    <s v="(PE) BMW Service Center (NO TOURS)6"/>
    <x v="5"/>
    <x v="0"/>
    <x v="50"/>
    <x v="5"/>
    <x v="1"/>
    <x v="1"/>
    <x v="6"/>
    <s v="https://tools.sig.systems/site/details/184"/>
    <s v="https://www.google.com/maps/d/edit?hl=en&amp;mid=1UHmt7tH1ihTa85i0MfQIcTfVvIQg_vM&amp;ll=41.02423447529239%2C-73.63721502222738&amp;z=18"/>
    <m/>
    <x v="23"/>
    <x v="1"/>
    <x v="0"/>
    <x v="0"/>
    <x v="50"/>
    <x v="50"/>
  </r>
  <r>
    <s v="(AS) Coggin BMW Ft. Pierce (NO TOURS)6"/>
    <x v="5"/>
    <x v="1"/>
    <x v="1"/>
    <x v="1"/>
    <x v="1"/>
    <x v="1"/>
    <x v="0"/>
    <s v="https://tools.sig.systems/site/details/119"/>
    <s v="https://www.google.com/maps/d/viewer?mid=1AyViBuyeq7iwDua1SVudJ2A1BYi3IBA&amp;ll=27.38181516363982%2C-80.32568845000002&amp;z=18"/>
    <m/>
    <x v="1"/>
    <x v="1"/>
    <x v="0"/>
    <x v="1"/>
    <x v="1"/>
    <x v="1"/>
  </r>
  <r>
    <s v="(AS) Koons Chevrolet Buick GMC - Clarksville Remote Lot (NO TOURS)6"/>
    <x v="5"/>
    <x v="1"/>
    <x v="11"/>
    <x v="1"/>
    <x v="1"/>
    <x v="1"/>
    <x v="0"/>
    <s v="https://tools.sig.systems/site/details/308"/>
    <s v="https://www.google.com/maps/d/edit?hl=es&amp;mid=11XB1lTSP7EcDCDvzypdUPWP6bWCNAEI&amp;ll=39.21145022420528%2C-76.94003711910554&amp;z=21"/>
    <m/>
    <x v="0"/>
    <x v="3"/>
    <x v="0"/>
    <x v="0"/>
    <x v="11"/>
    <x v="11"/>
  </r>
  <r>
    <s v="(AS) Koons Falls Church Ford (NO TOURS)6"/>
    <x v="5"/>
    <x v="1"/>
    <x v="15"/>
    <x v="1"/>
    <x v="1"/>
    <x v="1"/>
    <x v="3"/>
    <s v="https://tools.sig.systems/site/details/345"/>
    <s v="-"/>
    <m/>
    <x v="0"/>
    <x v="7"/>
    <x v="0"/>
    <x v="0"/>
    <x v="15"/>
    <x v="15"/>
  </r>
  <r>
    <s v="(AS) Koons Owings Mills Kia (NO TOURS)6"/>
    <x v="5"/>
    <x v="1"/>
    <x v="17"/>
    <x v="1"/>
    <x v="1"/>
    <x v="1"/>
    <x v="0"/>
    <s v="https://tools.sig.systems/site/details/336"/>
    <s v="-"/>
    <m/>
    <x v="7"/>
    <x v="13"/>
    <x v="0"/>
    <x v="0"/>
    <x v="17"/>
    <x v="17"/>
  </r>
  <r>
    <s v="(AS) Koons Westminster Toyota (NO TOURS)6"/>
    <x v="5"/>
    <x v="1"/>
    <x v="21"/>
    <x v="1"/>
    <x v="1"/>
    <x v="1"/>
    <x v="0"/>
    <s v="https://tools.sig.systems/site/details/341"/>
    <s v="-"/>
    <m/>
    <x v="0"/>
    <x v="17"/>
    <x v="0"/>
    <x v="0"/>
    <x v="21"/>
    <x v="21"/>
  </r>
  <r>
    <s v="(AS) Koons Woodbridge GMC (NO TOURS)6"/>
    <x v="5"/>
    <x v="1"/>
    <x v="24"/>
    <x v="1"/>
    <x v="1"/>
    <x v="1"/>
    <x v="4"/>
    <s v="https://tools.sig.systems/site/details/343"/>
    <n v="0"/>
    <m/>
    <x v="0"/>
    <x v="7"/>
    <x v="0"/>
    <x v="9"/>
    <x v="24"/>
    <x v="24"/>
  </r>
  <r>
    <s v="(KG) Ken Garff Kia of Avondale6"/>
    <x v="5"/>
    <x v="1"/>
    <x v="36"/>
    <x v="4"/>
    <x v="4"/>
    <x v="4"/>
    <x v="0"/>
    <s v="https://tools.sig.systems/site/details/283"/>
    <s v="https://www.google.com/maps/d/viewer?mid=1bDs0QGFZwL3vEeGKxjVMk_j4azr0-lg&amp;ll=33.4593758581648%2C-112.28793780000001&amp;z=18"/>
    <m/>
    <x v="17"/>
    <x v="1"/>
    <x v="0"/>
    <x v="14"/>
    <x v="36"/>
    <x v="36"/>
  </r>
  <r>
    <s v="(LT) Luther Brookdale Honda (NO TOURS)6"/>
    <x v="5"/>
    <x v="1"/>
    <x v="41"/>
    <x v="6"/>
    <x v="0"/>
    <x v="0"/>
    <x v="6"/>
    <s v="https://tools.sig.systems/site/details/280"/>
    <s v="https://www.google.com/maps/d/viewer?mid=1ot0ILX76JMuvd9yMuqkb4_e0yH1n7TA&amp;ll=45.07815812965141%2C-93.33506855000002&amp;z=17"/>
    <m/>
    <x v="0"/>
    <x v="28"/>
    <x v="7"/>
    <x v="18"/>
    <x v="41"/>
    <x v="41"/>
  </r>
  <r>
    <s v="(LT) Luther Genesis of Minneapolis6"/>
    <x v="5"/>
    <x v="1"/>
    <x v="44"/>
    <x v="0"/>
    <x v="0"/>
    <x v="0"/>
    <x v="0"/>
    <s v="https://tools.sig.systems/site/details/315"/>
    <n v="0"/>
    <m/>
    <x v="0"/>
    <x v="31"/>
    <x v="0"/>
    <x v="0"/>
    <x v="44"/>
    <x v="44"/>
  </r>
  <r>
    <s v="(PE) JLR Englewood (NO TOURS)6"/>
    <x v="5"/>
    <x v="1"/>
    <x v="52"/>
    <x v="5"/>
    <x v="1"/>
    <x v="1"/>
    <x v="0"/>
    <s v="https://tools.sig.systems/site/details/178"/>
    <s v="https://www.google.com/maps/d/viewer?mid=1ubI2iKs1JyYXssuT4oLPnVvFnyLPi_s&amp;ll=40.878808846788026%2C-73.98560655&amp;z=17"/>
    <m/>
    <x v="25"/>
    <x v="1"/>
    <x v="0"/>
    <x v="0"/>
    <x v="15"/>
    <x v="52"/>
  </r>
  <r>
    <s v="(PE) JLR Paramus (NO TOURS)6"/>
    <x v="5"/>
    <x v="1"/>
    <x v="53"/>
    <x v="5"/>
    <x v="1"/>
    <x v="1"/>
    <x v="0"/>
    <s v="https://tools.sig.systems/site/details/177"/>
    <n v="0"/>
    <m/>
    <x v="26"/>
    <x v="1"/>
    <x v="0"/>
    <x v="0"/>
    <x v="51"/>
    <x v="53"/>
  </r>
  <r>
    <s v="(PE) Porsche Audi Fairfield (NO TOURS)6"/>
    <x v="5"/>
    <x v="1"/>
    <x v="55"/>
    <x v="5"/>
    <x v="1"/>
    <x v="1"/>
    <x v="0"/>
    <s v="https://tools.sig.systems/site/details/194"/>
    <s v="-"/>
    <m/>
    <x v="28"/>
    <x v="1"/>
    <x v="0"/>
    <x v="4"/>
    <x v="53"/>
    <x v="55"/>
  </r>
  <r>
    <s v="(AS) Koons Chevrolet Buick GMC - Tysons (NO TOURS)6"/>
    <x v="5"/>
    <x v="2"/>
    <x v="12"/>
    <x v="1"/>
    <x v="1"/>
    <x v="1"/>
    <x v="1"/>
    <s v="https://tools.sig.systems/site/details/352"/>
    <s v="-"/>
    <m/>
    <x v="0"/>
    <x v="9"/>
    <x v="0"/>
    <x v="6"/>
    <x v="12"/>
    <x v="12"/>
  </r>
  <r>
    <s v="(AS) Koons Tysons Toyota - Main Dealership (NO TOURS)6"/>
    <x v="5"/>
    <x v="2"/>
    <x v="19"/>
    <x v="1"/>
    <x v="1"/>
    <x v="1"/>
    <x v="0"/>
    <s v="https://tools.sig.systems/site/details/344"/>
    <s v="-"/>
    <m/>
    <x v="0"/>
    <x v="15"/>
    <x v="0"/>
    <x v="0"/>
    <x v="19"/>
    <x v="19"/>
  </r>
  <r>
    <s v="(AS) Koons White Marsh Chevrolet (NO TOURS)6"/>
    <x v="5"/>
    <x v="2"/>
    <x v="22"/>
    <x v="1"/>
    <x v="1"/>
    <x v="1"/>
    <x v="3"/>
    <s v="https://tools.sig.systems/site/details/339"/>
    <s v="-"/>
    <m/>
    <x v="9"/>
    <x v="18"/>
    <x v="0"/>
    <x v="0"/>
    <x v="22"/>
    <x v="22"/>
  </r>
  <r>
    <s v="(AS) Koons Woodbridge Ford (NO TOURS)6"/>
    <x v="5"/>
    <x v="2"/>
    <x v="23"/>
    <x v="1"/>
    <x v="1"/>
    <x v="1"/>
    <x v="0"/>
    <s v="https://tools.sig.systems/site/details/342"/>
    <n v="0"/>
    <m/>
    <x v="0"/>
    <x v="19"/>
    <x v="0"/>
    <x v="0"/>
    <x v="23"/>
    <x v="23"/>
  </r>
  <r>
    <s v="(AS) Larry H Miller CDJR Fiat (NO TOURS)6"/>
    <x v="5"/>
    <x v="2"/>
    <x v="27"/>
    <x v="2"/>
    <x v="2"/>
    <x v="2"/>
    <x v="0"/>
    <s v="https://tools.sig.systems/site/details/298"/>
    <n v="0"/>
    <m/>
    <x v="10"/>
    <x v="2"/>
    <x v="0"/>
    <x v="0"/>
    <x v="27"/>
    <x v="27"/>
  </r>
  <r>
    <s v="(AS) Plaza Collision ST Louis (NO TOURS)6"/>
    <x v="5"/>
    <x v="2"/>
    <x v="28"/>
    <x v="0"/>
    <x v="0"/>
    <x v="0"/>
    <x v="0"/>
    <s v="https://tools.sig.systems/site/details/350"/>
    <s v="-"/>
    <m/>
    <x v="11"/>
    <x v="7"/>
    <x v="0"/>
    <x v="0"/>
    <x v="28"/>
    <x v="28"/>
  </r>
  <r>
    <s v="(KG) Ken Garff Volkswagen of Gilbert6"/>
    <x v="5"/>
    <x v="2"/>
    <x v="37"/>
    <x v="4"/>
    <x v="4"/>
    <x v="4"/>
    <x v="0"/>
    <s v="https://tools.sig.systems/site/details/284"/>
    <s v="https://www.google.com/maps/d/viewer?hl=es&amp;mid=19SU7XE9Cg8jhVFpEI21Vi9Zfgdih9Ds&amp;ll=33.29158262977276%2C-111.75783630000002&amp;z=17"/>
    <m/>
    <x v="18"/>
    <x v="1"/>
    <x v="0"/>
    <x v="15"/>
    <x v="37"/>
    <x v="37"/>
  </r>
  <r>
    <s v="(LT) Luther Hopkins Honda (NO TOURS)6"/>
    <x v="5"/>
    <x v="2"/>
    <x v="45"/>
    <x v="5"/>
    <x v="0"/>
    <x v="0"/>
    <x v="0"/>
    <s v="https://tools.sig.systems/site/details/288"/>
    <n v="0"/>
    <m/>
    <x v="0"/>
    <x v="32"/>
    <x v="9"/>
    <x v="20"/>
    <x v="45"/>
    <x v="45"/>
  </r>
  <r>
    <s v="(PE) MB of Greenwich6"/>
    <x v="5"/>
    <x v="2"/>
    <x v="54"/>
    <x v="5"/>
    <x v="1"/>
    <x v="1"/>
    <x v="0"/>
    <s v="https://tools.sig.systems/site/details/188"/>
    <s v="https://www.google.com/maps/d/edit?hl=en&amp;mid=1UHmt7tH1ihTa85i0MfQIcTfVvIQg_vM&amp;ll=41.02423447529239%2C-73.63721502222738&amp;z=18"/>
    <m/>
    <x v="27"/>
    <x v="36"/>
    <x v="0"/>
    <x v="0"/>
    <x v="52"/>
    <x v="54"/>
  </r>
  <r>
    <s v="Mario Residence6"/>
    <x v="5"/>
    <x v="2"/>
    <x v="58"/>
    <x v="3"/>
    <x v="1"/>
    <x v="3"/>
    <x v="7"/>
    <s v="https://tools.sig.systems/site/details/148"/>
    <s v="https://www.google.com/maps/d/edit?hl=es&amp;mid=13OmECPqyeB7fXgZmEoM9cnG34HU_v5g&amp;ll=26.046837034777553%2C-80.38753458591658&amp;z=19"/>
    <m/>
    <x v="30"/>
    <x v="39"/>
    <x v="0"/>
    <x v="0"/>
    <x v="55"/>
    <x v="58"/>
  </r>
  <r>
    <s v="(AS) Coggin Honda of Orlando (NO TOURS)6"/>
    <x v="5"/>
    <x v="3"/>
    <x v="3"/>
    <x v="1"/>
    <x v="1"/>
    <x v="1"/>
    <x v="0"/>
    <s v="https://tools.sig.systems/site/details/324"/>
    <n v="0"/>
    <m/>
    <x v="3"/>
    <x v="1"/>
    <x v="0"/>
    <x v="2"/>
    <x v="3"/>
    <x v="3"/>
  </r>
  <r>
    <s v="(AS) Kahlo CDJR (NO TOURS)6"/>
    <x v="5"/>
    <x v="3"/>
    <x v="6"/>
    <x v="1"/>
    <x v="1"/>
    <x v="1"/>
    <x v="1"/>
    <s v="https://tools.sig.systems/site/details/282"/>
    <s v="https://www.google.com/maps/d/edit?mid=1hsX5GGrNcCQgAuzDCDz1OWgEkhsAc78&amp;usp=sharing"/>
    <m/>
    <x v="0"/>
    <x v="4"/>
    <x v="1"/>
    <x v="4"/>
    <x v="6"/>
    <x v="6"/>
  </r>
  <r>
    <s v="(AS) Koons Baltimore Ford - Main Dealership (NO TOURS)6"/>
    <x v="5"/>
    <x v="3"/>
    <x v="9"/>
    <x v="1"/>
    <x v="1"/>
    <x v="1"/>
    <x v="0"/>
    <s v="https://tools.sig.systems/site/details/335"/>
    <s v="-"/>
    <m/>
    <x v="6"/>
    <x v="7"/>
    <x v="0"/>
    <x v="5"/>
    <x v="9"/>
    <x v="9"/>
  </r>
  <r>
    <s v="(AS) Koons Easton Toyota - Main Dealership (NO TOURS)6"/>
    <x v="5"/>
    <x v="3"/>
    <x v="14"/>
    <x v="1"/>
    <x v="1"/>
    <x v="1"/>
    <x v="0"/>
    <s v="https://tools.sig.systems/site/details/340"/>
    <s v="-"/>
    <m/>
    <x v="0"/>
    <x v="11"/>
    <x v="0"/>
    <x v="0"/>
    <x v="14"/>
    <x v="14"/>
  </r>
  <r>
    <s v="(AS) Plaza Mercedes Benz West (NO TOURS)6"/>
    <x v="5"/>
    <x v="3"/>
    <x v="29"/>
    <x v="0"/>
    <x v="0"/>
    <x v="0"/>
    <x v="0"/>
    <s v="https://tools.sig.systems/site/details/349"/>
    <s v="-"/>
    <m/>
    <x v="0"/>
    <x v="22"/>
    <x v="0"/>
    <x v="10"/>
    <x v="29"/>
    <x v="29"/>
  </r>
  <r>
    <s v="(LT) Landers Kia of Little Rock6"/>
    <x v="5"/>
    <x v="3"/>
    <x v="38"/>
    <x v="0"/>
    <x v="0"/>
    <x v="0"/>
    <x v="0"/>
    <s v="https://tools.sig.systems/site/details/322"/>
    <s v="https://www.google.com/maps/d/u/1/edit?mid=1-zEzsc6U6nZom08edp0XAd3_HYFvAyk&amp;usp=sharing"/>
    <m/>
    <x v="19"/>
    <x v="1"/>
    <x v="4"/>
    <x v="16"/>
    <x v="38"/>
    <x v="38"/>
  </r>
  <r>
    <s v="(LT) Luther North Country Ford6"/>
    <x v="5"/>
    <x v="3"/>
    <x v="47"/>
    <x v="0"/>
    <x v="0"/>
    <x v="0"/>
    <x v="0"/>
    <s v="https://tools.sig.systems/site/details/292"/>
    <n v="0"/>
    <m/>
    <x v="0"/>
    <x v="33"/>
    <x v="10"/>
    <x v="0"/>
    <x v="47"/>
    <x v="47"/>
  </r>
  <r>
    <s v="(PE) JLR Darien (NO TOURS)6"/>
    <x v="5"/>
    <x v="3"/>
    <x v="51"/>
    <x v="5"/>
    <x v="1"/>
    <x v="1"/>
    <x v="0"/>
    <s v="https://tools.sig.systems/site/details/189"/>
    <s v="-"/>
    <m/>
    <x v="24"/>
    <x v="1"/>
    <x v="0"/>
    <x v="0"/>
    <x v="15"/>
    <x v="51"/>
  </r>
  <r>
    <s v="(AS) Hare Chevrolet (NO TOURS)6"/>
    <x v="5"/>
    <x v="4"/>
    <x v="4"/>
    <x v="1"/>
    <x v="1"/>
    <x v="1"/>
    <x v="0"/>
    <s v="https://tools.sig.systems/site/details/301"/>
    <s v="https://www.google.com/maps/d/edit?mid=1hsX5GGrNcCQgAuzDCDz1OWgEkhsAc78&amp;usp=sharing"/>
    <m/>
    <x v="4"/>
    <x v="2"/>
    <x v="0"/>
    <x v="3"/>
    <x v="4"/>
    <x v="4"/>
  </r>
  <r>
    <s v="(AS) Koons Woodbridge Hyundai (NO TOURS)6"/>
    <x v="5"/>
    <x v="4"/>
    <x v="25"/>
    <x v="1"/>
    <x v="1"/>
    <x v="1"/>
    <x v="0"/>
    <s v="https://tools.sig.systems/site/details/347"/>
    <s v="-"/>
    <m/>
    <x v="0"/>
    <x v="20"/>
    <x v="0"/>
    <x v="0"/>
    <x v="25"/>
    <x v="25"/>
  </r>
  <r>
    <s v="(BRL) Shoemakersville6"/>
    <x v="5"/>
    <x v="4"/>
    <x v="30"/>
    <x v="3"/>
    <x v="1"/>
    <x v="3"/>
    <x v="0"/>
    <s v="https://tools.sig.systems/site/details/302"/>
    <n v="0"/>
    <m/>
    <x v="0"/>
    <x v="23"/>
    <x v="0"/>
    <x v="11"/>
    <x v="30"/>
    <x v="30"/>
  </r>
  <r>
    <s v="(DT) Arlington6"/>
    <x v="5"/>
    <x v="4"/>
    <x v="31"/>
    <x v="0"/>
    <x v="0"/>
    <x v="0"/>
    <x v="0"/>
    <s v="https://tools.sig.systems/site/details/199"/>
    <s v="-"/>
    <m/>
    <x v="12"/>
    <x v="1"/>
    <x v="0"/>
    <x v="0"/>
    <x v="31"/>
    <x v="31"/>
  </r>
  <r>
    <s v="(KG) Big Star Cadillac6"/>
    <x v="5"/>
    <x v="4"/>
    <x v="34"/>
    <x v="0"/>
    <x v="0"/>
    <x v="0"/>
    <x v="3"/>
    <s v="https://tools.sig.systems/site/details/316"/>
    <s v="https://www.google.com/maps/d/edit?mid=1jIRkMUnWNPuTgDjQgDP-f33LClT85NU&amp;usp=sharing"/>
    <m/>
    <x v="15"/>
    <x v="1"/>
    <x v="0"/>
    <x v="0"/>
    <x v="34"/>
    <x v="34"/>
  </r>
  <r>
    <s v="(LT) Luther Bloomington Hyundai (NO TOURS)6"/>
    <x v="5"/>
    <x v="4"/>
    <x v="39"/>
    <x v="0"/>
    <x v="0"/>
    <x v="5"/>
    <x v="0"/>
    <s v="https://tools.sig.systems/site/details/318"/>
    <n v="0"/>
    <m/>
    <x v="0"/>
    <x v="26"/>
    <x v="5"/>
    <x v="17"/>
    <x v="39"/>
    <x v="39"/>
  </r>
  <r>
    <s v="(LT) Luther Landers Recon Center6"/>
    <x v="5"/>
    <x v="4"/>
    <x v="46"/>
    <x v="0"/>
    <x v="0"/>
    <x v="0"/>
    <x v="0"/>
    <s v="https://tools.sig.systems/site/details/323"/>
    <s v="https://www.google.com/maps/d/u/1/edit?mid=1-zEzsc6U6nZom08edp0XAd3_HYFvAyk&amp;usp=sharing"/>
    <m/>
    <x v="21"/>
    <x v="1"/>
    <x v="0"/>
    <x v="0"/>
    <x v="46"/>
    <x v="46"/>
  </r>
  <r>
    <s v="(SCH) Schumacher of Delray I &amp; III6"/>
    <x v="5"/>
    <x v="4"/>
    <x v="56"/>
    <x v="1"/>
    <x v="1"/>
    <x v="1"/>
    <x v="0"/>
    <s v="https://tools.sig.systems/site/details/159"/>
    <s v="https://www.google.com/maps/d/viewer?mid=1ZLGV-cDM9aCfovhmXHIAXgVOKts0dEI&amp;ll=26.438859950088858%2C-80.07968125000001&amp;z=16"/>
    <m/>
    <x v="29"/>
    <x v="37"/>
    <x v="0"/>
    <x v="0"/>
    <x v="54"/>
    <x v="56"/>
  </r>
  <r>
    <s v="(AS) Coggin Collision Center of Kissimmee (NO TOURS)6"/>
    <x v="5"/>
    <x v="5"/>
    <x v="2"/>
    <x v="1"/>
    <x v="1"/>
    <x v="1"/>
    <x v="0"/>
    <s v="https://tools.sig.systems/site/details/331"/>
    <n v="0"/>
    <m/>
    <x v="2"/>
    <x v="1"/>
    <x v="0"/>
    <x v="0"/>
    <x v="2"/>
    <x v="2"/>
  </r>
  <r>
    <s v="(AS) Hare Truck Center (NO TOURS)6"/>
    <x v="5"/>
    <x v="5"/>
    <x v="5"/>
    <x v="1"/>
    <x v="1"/>
    <x v="1"/>
    <x v="0"/>
    <s v="https://tools.sig.systems/site/details/300"/>
    <s v="https://www.google.com/maps/d/edit?mid=1hsX5GGrNcCQgAuzDCDz1OWgEkhsAc78&amp;usp=sharing"/>
    <m/>
    <x v="0"/>
    <x v="3"/>
    <x v="0"/>
    <x v="0"/>
    <x v="5"/>
    <x v="5"/>
  </r>
  <r>
    <s v="(AS) Koons Arlington Toyota - New Car (NO TOURS)6"/>
    <x v="5"/>
    <x v="5"/>
    <x v="8"/>
    <x v="1"/>
    <x v="1"/>
    <x v="1"/>
    <x v="0"/>
    <s v="https://tools.sig.systems/site/details/334"/>
    <s v="-"/>
    <m/>
    <x v="0"/>
    <x v="6"/>
    <x v="0"/>
    <x v="0"/>
    <x v="8"/>
    <x v="8"/>
  </r>
  <r>
    <s v="(AS) Koons Chevrolet Buick GMC - Tysons Remote Lot (NO TOURS)6"/>
    <x v="5"/>
    <x v="5"/>
    <x v="13"/>
    <x v="1"/>
    <x v="1"/>
    <x v="1"/>
    <x v="0"/>
    <s v="https://tools.sig.systems/site/details/333"/>
    <s v="-"/>
    <m/>
    <x v="0"/>
    <x v="10"/>
    <x v="2"/>
    <x v="7"/>
    <x v="13"/>
    <x v="13"/>
  </r>
  <r>
    <s v="(AS) Koons MB of Catonsville (NO TOURS)6"/>
    <x v="5"/>
    <x v="5"/>
    <x v="16"/>
    <x v="1"/>
    <x v="1"/>
    <x v="1"/>
    <x v="3"/>
    <s v="https://tools.sig.systems/site/details/303"/>
    <n v="0"/>
    <m/>
    <x v="0"/>
    <x v="12"/>
    <x v="3"/>
    <x v="3"/>
    <x v="16"/>
    <x v="16"/>
  </r>
  <r>
    <s v="(AS) Koons Volvo Cars White Marsh (NO TOURS)6"/>
    <x v="5"/>
    <x v="5"/>
    <x v="20"/>
    <x v="1"/>
    <x v="1"/>
    <x v="1"/>
    <x v="0"/>
    <s v="https://tools.sig.systems/site/details/338"/>
    <n v="0"/>
    <m/>
    <x v="0"/>
    <x v="16"/>
    <x v="0"/>
    <x v="0"/>
    <x v="20"/>
    <x v="20"/>
  </r>
  <r>
    <s v="(DT) Modesto6"/>
    <x v="5"/>
    <x v="5"/>
    <x v="33"/>
    <x v="4"/>
    <x v="3"/>
    <x v="4"/>
    <x v="0"/>
    <s v="https://tools.sig.systems/site/details/267"/>
    <n v="0"/>
    <m/>
    <x v="14"/>
    <x v="24"/>
    <x v="0"/>
    <x v="0"/>
    <x v="33"/>
    <x v="33"/>
  </r>
  <r>
    <s v="(KG) Big Star Hyundai Houston6"/>
    <x v="5"/>
    <x v="5"/>
    <x v="35"/>
    <x v="0"/>
    <x v="0"/>
    <x v="0"/>
    <x v="0"/>
    <s v="https://tools.sig.systems/site/details/287"/>
    <s v="https://www.google.com/maps/d/edit?hl=en&amp;mid=1jIRkMUnWNPuTgDjQgDP-f33LClT85NU&amp;ll=29.55731827236326%2C-95.1601644&amp;z=17"/>
    <m/>
    <x v="16"/>
    <x v="25"/>
    <x v="0"/>
    <x v="13"/>
    <x v="35"/>
    <x v="35"/>
  </r>
  <r>
    <s v="(LT) Luther Bloomington Subaru - Acura6"/>
    <x v="5"/>
    <x v="5"/>
    <x v="40"/>
    <x v="5"/>
    <x v="0"/>
    <x v="5"/>
    <x v="0"/>
    <s v="https://tools.sig.systems/site/details/289"/>
    <n v="0"/>
    <m/>
    <x v="20"/>
    <x v="27"/>
    <x v="6"/>
    <x v="0"/>
    <x v="40"/>
    <x v="40"/>
  </r>
  <r>
    <s v="(LT) Luther St. Cloud Subaru6"/>
    <x v="5"/>
    <x v="5"/>
    <x v="48"/>
    <x v="0"/>
    <x v="0"/>
    <x v="6"/>
    <x v="0"/>
    <s v="https://tools.sig.systems/site/details/295"/>
    <n v="0"/>
    <m/>
    <x v="22"/>
    <x v="34"/>
    <x v="11"/>
    <x v="21"/>
    <x v="48"/>
    <x v="48"/>
  </r>
  <r>
    <s v="(TC) Lamborghini South Dade6"/>
    <x v="5"/>
    <x v="5"/>
    <x v="57"/>
    <x v="1"/>
    <x v="1"/>
    <x v="1"/>
    <x v="3"/>
    <s v="https://tools.sig.systems/site/details/313"/>
    <n v="0"/>
    <m/>
    <x v="0"/>
    <x v="38"/>
    <x v="0"/>
    <x v="0"/>
    <x v="15"/>
    <x v="57"/>
  </r>
  <r>
    <s v="(AS) 3281 Storage Lot (NO TOURS)7"/>
    <x v="6"/>
    <x v="0"/>
    <x v="0"/>
    <x v="0"/>
    <x v="0"/>
    <x v="0"/>
    <x v="3"/>
    <s v="https://tools.sig.systems/site/details/305"/>
    <s v="https://www.google.com/maps/d/edit?hl=es&amp;mid=1uPmsRMsXnp74hPFW2t-sp2totVWF_xY&amp;ll=32.83050137713022%2C-96.83197783061323&amp;z=17"/>
    <m/>
    <x v="0"/>
    <x v="0"/>
    <x v="0"/>
    <x v="0"/>
    <x v="0"/>
    <x v="0"/>
  </r>
  <r>
    <s v="(AS) Koons Annapolis Toyota (NO TOURS)7"/>
    <x v="6"/>
    <x v="0"/>
    <x v="7"/>
    <x v="1"/>
    <x v="1"/>
    <x v="1"/>
    <x v="3"/>
    <s v="https://tools.sig.systems/site/details/337"/>
    <s v="-"/>
    <m/>
    <x v="5"/>
    <x v="5"/>
    <x v="0"/>
    <x v="0"/>
    <x v="7"/>
    <x v="7"/>
  </r>
  <r>
    <s v="(AS) Koons Chevrolet Buick GMC - Clarksville (NO TOURS)7"/>
    <x v="6"/>
    <x v="0"/>
    <x v="10"/>
    <x v="1"/>
    <x v="1"/>
    <x v="1"/>
    <x v="6"/>
    <s v="https://tools.sig.systems/site/details/306"/>
    <s v="https://www.google.com/maps/d/edit?hl=es&amp;mid=11XB1lTSP7EcDCDvzypdUPWP6bWCNAEI&amp;ll=39.21145022420528%2C-76.94003711910554&amp;z=17"/>
    <m/>
    <x v="0"/>
    <x v="8"/>
    <x v="0"/>
    <x v="0"/>
    <x v="10"/>
    <x v="10"/>
  </r>
  <r>
    <s v="(AS) Koons Woodbridge Kia (NO TOURS)7"/>
    <x v="6"/>
    <x v="0"/>
    <x v="26"/>
    <x v="1"/>
    <x v="1"/>
    <x v="1"/>
    <x v="0"/>
    <s v="https://tools.sig.systems/site/details/346"/>
    <s v="-"/>
    <m/>
    <x v="0"/>
    <x v="21"/>
    <x v="0"/>
    <x v="0"/>
    <x v="26"/>
    <x v="26"/>
  </r>
  <r>
    <s v="(DT) Charlotte7"/>
    <x v="6"/>
    <x v="0"/>
    <x v="32"/>
    <x v="1"/>
    <x v="1"/>
    <x v="1"/>
    <x v="0"/>
    <s v="https://tools.sig.systems/site/details/299"/>
    <n v="0"/>
    <m/>
    <x v="13"/>
    <x v="1"/>
    <x v="0"/>
    <x v="12"/>
    <x v="32"/>
    <x v="32"/>
  </r>
  <r>
    <s v="(LT) Luther Brookdale Toyota7"/>
    <x v="6"/>
    <x v="0"/>
    <x v="42"/>
    <x v="6"/>
    <x v="0"/>
    <x v="1"/>
    <x v="0"/>
    <s v="https://tools.sig.systems/site/details/281"/>
    <s v="https://www.google.com/maps/d/viewer?mid=1ot0ILX76JMuvd9yMuqkb4_e0yH1n7TA&amp;ll=45.07815812965141%2C-93.33506855000002&amp;z=17"/>
    <m/>
    <x v="0"/>
    <x v="29"/>
    <x v="3"/>
    <x v="4"/>
    <x v="42"/>
    <x v="42"/>
  </r>
  <r>
    <s v="(LT) Luther Burnsville Hyundai7"/>
    <x v="6"/>
    <x v="0"/>
    <x v="43"/>
    <x v="0"/>
    <x v="0"/>
    <x v="0"/>
    <x v="4"/>
    <s v="https://tools.sig.systems/site/details/307"/>
    <n v="0"/>
    <m/>
    <x v="0"/>
    <x v="30"/>
    <x v="8"/>
    <x v="19"/>
    <x v="43"/>
    <x v="43"/>
  </r>
  <r>
    <s v="(PE) BMW Service Center (NO TOURS)7"/>
    <x v="6"/>
    <x v="0"/>
    <x v="50"/>
    <x v="5"/>
    <x v="1"/>
    <x v="1"/>
    <x v="0"/>
    <s v="https://tools.sig.systems/site/details/184"/>
    <s v="https://www.google.com/maps/d/edit?hl=en&amp;mid=1UHmt7tH1ihTa85i0MfQIcTfVvIQg_vM&amp;ll=41.02423447529239%2C-73.63721502222738&amp;z=18"/>
    <m/>
    <x v="23"/>
    <x v="1"/>
    <x v="0"/>
    <x v="0"/>
    <x v="50"/>
    <x v="50"/>
  </r>
  <r>
    <s v="(PE) Porsche Audi Fairfield (NO TOURS)7"/>
    <x v="6"/>
    <x v="0"/>
    <x v="55"/>
    <x v="5"/>
    <x v="1"/>
    <x v="1"/>
    <x v="6"/>
    <s v="https://tools.sig.systems/site/details/194"/>
    <s v="-"/>
    <m/>
    <x v="28"/>
    <x v="1"/>
    <x v="0"/>
    <x v="4"/>
    <x v="53"/>
    <x v="55"/>
  </r>
  <r>
    <s v="(AS) Coggin BMW Ft. Pierce (NO TOURS)7"/>
    <x v="6"/>
    <x v="1"/>
    <x v="1"/>
    <x v="1"/>
    <x v="1"/>
    <x v="1"/>
    <x v="0"/>
    <s v="https://tools.sig.systems/site/details/119"/>
    <s v="https://www.google.com/maps/d/viewer?mid=1AyViBuyeq7iwDua1SVudJ2A1BYi3IBA&amp;ll=27.38181516363982%2C-80.32568845000002&amp;z=18"/>
    <m/>
    <x v="1"/>
    <x v="1"/>
    <x v="0"/>
    <x v="1"/>
    <x v="1"/>
    <x v="1"/>
  </r>
  <r>
    <s v="(AS) Koons Chevrolet Buick GMC - Clarksville Remote Lot (NO TOURS)7"/>
    <x v="6"/>
    <x v="1"/>
    <x v="11"/>
    <x v="1"/>
    <x v="1"/>
    <x v="1"/>
    <x v="0"/>
    <s v="https://tools.sig.systems/site/details/308"/>
    <s v="https://www.google.com/maps/d/edit?hl=es&amp;mid=11XB1lTSP7EcDCDvzypdUPWP6bWCNAEI&amp;ll=39.21145022420528%2C-76.94003711910554&amp;z=21"/>
    <m/>
    <x v="0"/>
    <x v="3"/>
    <x v="0"/>
    <x v="0"/>
    <x v="11"/>
    <x v="11"/>
  </r>
  <r>
    <s v="(AS) Koons Owings Mills Kia (NO TOURS)7"/>
    <x v="6"/>
    <x v="1"/>
    <x v="17"/>
    <x v="1"/>
    <x v="1"/>
    <x v="1"/>
    <x v="0"/>
    <s v="https://tools.sig.systems/site/details/336"/>
    <s v="-"/>
    <m/>
    <x v="7"/>
    <x v="13"/>
    <x v="0"/>
    <x v="0"/>
    <x v="17"/>
    <x v="17"/>
  </r>
  <r>
    <s v="(AS) Koons Westminster Toyota (NO TOURS)7"/>
    <x v="6"/>
    <x v="1"/>
    <x v="21"/>
    <x v="1"/>
    <x v="1"/>
    <x v="1"/>
    <x v="0"/>
    <s v="https://tools.sig.systems/site/details/341"/>
    <s v="-"/>
    <m/>
    <x v="0"/>
    <x v="17"/>
    <x v="0"/>
    <x v="0"/>
    <x v="21"/>
    <x v="21"/>
  </r>
  <r>
    <s v="(AS) Koons Woodbridge GMC (NO TOURS)7"/>
    <x v="6"/>
    <x v="1"/>
    <x v="24"/>
    <x v="1"/>
    <x v="1"/>
    <x v="1"/>
    <x v="1"/>
    <s v="https://tools.sig.systems/site/details/343"/>
    <n v="0"/>
    <m/>
    <x v="0"/>
    <x v="7"/>
    <x v="0"/>
    <x v="9"/>
    <x v="24"/>
    <x v="24"/>
  </r>
  <r>
    <s v="(AS) Plaza Mercedes Benz West (NO TOURS)7"/>
    <x v="6"/>
    <x v="1"/>
    <x v="29"/>
    <x v="0"/>
    <x v="0"/>
    <x v="0"/>
    <x v="0"/>
    <s v="https://tools.sig.systems/site/details/349"/>
    <s v="-"/>
    <m/>
    <x v="0"/>
    <x v="22"/>
    <x v="0"/>
    <x v="10"/>
    <x v="29"/>
    <x v="29"/>
  </r>
  <r>
    <s v="(KG) Ken Garff Kia of Avondale7"/>
    <x v="6"/>
    <x v="1"/>
    <x v="36"/>
    <x v="4"/>
    <x v="4"/>
    <x v="4"/>
    <x v="3"/>
    <s v="https://tools.sig.systems/site/details/283"/>
    <s v="https://www.google.com/maps/d/viewer?mid=1bDs0QGFZwL3vEeGKxjVMk_j4azr0-lg&amp;ll=33.4593758581648%2C-112.28793780000001&amp;z=18"/>
    <m/>
    <x v="17"/>
    <x v="1"/>
    <x v="0"/>
    <x v="14"/>
    <x v="36"/>
    <x v="36"/>
  </r>
  <r>
    <s v="(LT) Luther Genesis of Minneapolis7"/>
    <x v="6"/>
    <x v="1"/>
    <x v="44"/>
    <x v="0"/>
    <x v="0"/>
    <x v="0"/>
    <x v="0"/>
    <s v="https://tools.sig.systems/site/details/315"/>
    <n v="0"/>
    <m/>
    <x v="0"/>
    <x v="31"/>
    <x v="0"/>
    <x v="0"/>
    <x v="44"/>
    <x v="44"/>
  </r>
  <r>
    <s v="(LT) Luther Hopkins Honda (NO TOURS)7"/>
    <x v="6"/>
    <x v="1"/>
    <x v="45"/>
    <x v="5"/>
    <x v="0"/>
    <x v="0"/>
    <x v="0"/>
    <s v="https://tools.sig.systems/site/details/288"/>
    <n v="0"/>
    <m/>
    <x v="0"/>
    <x v="32"/>
    <x v="9"/>
    <x v="20"/>
    <x v="45"/>
    <x v="45"/>
  </r>
  <r>
    <s v="(PE) JLR Englewood (NO TOURS)7"/>
    <x v="6"/>
    <x v="1"/>
    <x v="52"/>
    <x v="5"/>
    <x v="1"/>
    <x v="1"/>
    <x v="0"/>
    <s v="https://tools.sig.systems/site/details/178"/>
    <s v="https://www.google.com/maps/d/viewer?mid=1ubI2iKs1JyYXssuT4oLPnVvFnyLPi_s&amp;ll=40.878808846788026%2C-73.98560655&amp;z=17"/>
    <m/>
    <x v="25"/>
    <x v="1"/>
    <x v="0"/>
    <x v="0"/>
    <x v="15"/>
    <x v="52"/>
  </r>
  <r>
    <s v="(AS) Koons Chevrolet Buick GMC - Tysons (NO TOURS)7"/>
    <x v="6"/>
    <x v="2"/>
    <x v="12"/>
    <x v="1"/>
    <x v="1"/>
    <x v="1"/>
    <x v="0"/>
    <s v="https://tools.sig.systems/site/details/352"/>
    <s v="-"/>
    <m/>
    <x v="0"/>
    <x v="9"/>
    <x v="0"/>
    <x v="6"/>
    <x v="12"/>
    <x v="12"/>
  </r>
  <r>
    <s v="(AS) Koons MB of Catonsville (NO TOURS)7"/>
    <x v="6"/>
    <x v="2"/>
    <x v="16"/>
    <x v="1"/>
    <x v="1"/>
    <x v="1"/>
    <x v="0"/>
    <s v="https://tools.sig.systems/site/details/303"/>
    <n v="0"/>
    <m/>
    <x v="0"/>
    <x v="12"/>
    <x v="3"/>
    <x v="3"/>
    <x v="16"/>
    <x v="16"/>
  </r>
  <r>
    <s v="(AS) Koons Tysons Toyota - Main Dealership (NO TOURS)7"/>
    <x v="6"/>
    <x v="2"/>
    <x v="19"/>
    <x v="1"/>
    <x v="1"/>
    <x v="1"/>
    <x v="7"/>
    <s v="https://tools.sig.systems/site/details/344"/>
    <s v="-"/>
    <m/>
    <x v="0"/>
    <x v="15"/>
    <x v="0"/>
    <x v="0"/>
    <x v="19"/>
    <x v="19"/>
  </r>
  <r>
    <s v="(AS) Koons White Marsh Chevrolet (NO TOURS)7"/>
    <x v="6"/>
    <x v="2"/>
    <x v="22"/>
    <x v="1"/>
    <x v="1"/>
    <x v="1"/>
    <x v="0"/>
    <s v="https://tools.sig.systems/site/details/339"/>
    <s v="-"/>
    <m/>
    <x v="9"/>
    <x v="18"/>
    <x v="0"/>
    <x v="0"/>
    <x v="22"/>
    <x v="22"/>
  </r>
  <r>
    <s v="(AS) Koons Woodbridge Ford (NO TOURS)7"/>
    <x v="6"/>
    <x v="2"/>
    <x v="23"/>
    <x v="1"/>
    <x v="1"/>
    <x v="1"/>
    <x v="1"/>
    <s v="https://tools.sig.systems/site/details/342"/>
    <n v="0"/>
    <m/>
    <x v="0"/>
    <x v="19"/>
    <x v="0"/>
    <x v="0"/>
    <x v="23"/>
    <x v="23"/>
  </r>
  <r>
    <s v="(AS) Larry H Miller CDJR Fiat (NO TOURS)7"/>
    <x v="6"/>
    <x v="2"/>
    <x v="27"/>
    <x v="2"/>
    <x v="2"/>
    <x v="2"/>
    <x v="0"/>
    <s v="https://tools.sig.systems/site/details/298"/>
    <n v="0"/>
    <m/>
    <x v="10"/>
    <x v="2"/>
    <x v="0"/>
    <x v="0"/>
    <x v="27"/>
    <x v="27"/>
  </r>
  <r>
    <s v="(AS) Plaza Collision ST Louis (NO TOURS)7"/>
    <x v="6"/>
    <x v="2"/>
    <x v="28"/>
    <x v="0"/>
    <x v="0"/>
    <x v="0"/>
    <x v="0"/>
    <s v="https://tools.sig.systems/site/details/350"/>
    <s v="-"/>
    <m/>
    <x v="11"/>
    <x v="7"/>
    <x v="0"/>
    <x v="0"/>
    <x v="28"/>
    <x v="28"/>
  </r>
  <r>
    <s v="(KG) Ken Garff Volkswagen of Gilbert7"/>
    <x v="6"/>
    <x v="2"/>
    <x v="37"/>
    <x v="4"/>
    <x v="4"/>
    <x v="4"/>
    <x v="0"/>
    <s v="https://tools.sig.systems/site/details/284"/>
    <s v="https://www.google.com/maps/d/viewer?hl=es&amp;mid=19SU7XE9Cg8jhVFpEI21Vi9Zfgdih9Ds&amp;ll=33.29158262977276%2C-111.75783630000002&amp;z=17"/>
    <m/>
    <x v="18"/>
    <x v="1"/>
    <x v="0"/>
    <x v="15"/>
    <x v="37"/>
    <x v="37"/>
  </r>
  <r>
    <s v="(AS) Coggin Collision Center of Kissimmee (NO TOURS)7"/>
    <x v="6"/>
    <x v="3"/>
    <x v="2"/>
    <x v="1"/>
    <x v="1"/>
    <x v="1"/>
    <x v="0"/>
    <s v="https://tools.sig.systems/site/details/331"/>
    <n v="0"/>
    <m/>
    <x v="2"/>
    <x v="1"/>
    <x v="0"/>
    <x v="0"/>
    <x v="2"/>
    <x v="2"/>
  </r>
  <r>
    <s v="(AS) Coggin Honda of Orlando (NO TOURS)7"/>
    <x v="6"/>
    <x v="3"/>
    <x v="3"/>
    <x v="1"/>
    <x v="1"/>
    <x v="1"/>
    <x v="0"/>
    <s v="https://tools.sig.systems/site/details/324"/>
    <n v="0"/>
    <m/>
    <x v="3"/>
    <x v="1"/>
    <x v="0"/>
    <x v="2"/>
    <x v="3"/>
    <x v="3"/>
  </r>
  <r>
    <s v="(AS) Koons Baltimore Ford - Main Dealership (NO TOURS)7"/>
    <x v="6"/>
    <x v="3"/>
    <x v="9"/>
    <x v="1"/>
    <x v="1"/>
    <x v="1"/>
    <x v="0"/>
    <s v="https://tools.sig.systems/site/details/335"/>
    <s v="-"/>
    <m/>
    <x v="6"/>
    <x v="7"/>
    <x v="0"/>
    <x v="5"/>
    <x v="9"/>
    <x v="9"/>
  </r>
  <r>
    <s v="(AS) Koons Sterling Ford - Main Dealership (NO TOURS)7"/>
    <x v="6"/>
    <x v="3"/>
    <x v="18"/>
    <x v="1"/>
    <x v="1"/>
    <x v="1"/>
    <x v="3"/>
    <s v="https://tools.sig.systems/site/details/348"/>
    <n v="0"/>
    <m/>
    <x v="8"/>
    <x v="14"/>
    <x v="0"/>
    <x v="8"/>
    <x v="18"/>
    <x v="18"/>
  </r>
  <r>
    <s v="(LT) Landers Kia of Little Rock7"/>
    <x v="6"/>
    <x v="3"/>
    <x v="38"/>
    <x v="0"/>
    <x v="0"/>
    <x v="0"/>
    <x v="0"/>
    <s v="https://tools.sig.systems/site/details/322"/>
    <s v="https://www.google.com/maps/d/u/1/edit?mid=1-zEzsc6U6nZom08edp0XAd3_HYFvAyk&amp;usp=sharing"/>
    <m/>
    <x v="19"/>
    <x v="1"/>
    <x v="4"/>
    <x v="16"/>
    <x v="38"/>
    <x v="38"/>
  </r>
  <r>
    <s v="(LT) Luther North Country Ford7"/>
    <x v="6"/>
    <x v="3"/>
    <x v="47"/>
    <x v="0"/>
    <x v="0"/>
    <x v="0"/>
    <x v="0"/>
    <s v="https://tools.sig.systems/site/details/292"/>
    <n v="0"/>
    <m/>
    <x v="0"/>
    <x v="33"/>
    <x v="10"/>
    <x v="0"/>
    <x v="47"/>
    <x v="47"/>
  </r>
  <r>
    <s v="(PE) JLR Paramus (NO TOURS)7"/>
    <x v="6"/>
    <x v="3"/>
    <x v="53"/>
    <x v="5"/>
    <x v="1"/>
    <x v="1"/>
    <x v="0"/>
    <s v="https://tools.sig.systems/site/details/177"/>
    <n v="0"/>
    <m/>
    <x v="26"/>
    <x v="1"/>
    <x v="0"/>
    <x v="0"/>
    <x v="51"/>
    <x v="53"/>
  </r>
  <r>
    <s v="(AS) Hare Chevrolet (NO TOURS)7"/>
    <x v="6"/>
    <x v="4"/>
    <x v="4"/>
    <x v="1"/>
    <x v="1"/>
    <x v="1"/>
    <x v="0"/>
    <s v="https://tools.sig.systems/site/details/301"/>
    <s v="https://www.google.com/maps/d/edit?mid=1hsX5GGrNcCQgAuzDCDz1OWgEkhsAc78&amp;usp=sharing"/>
    <m/>
    <x v="4"/>
    <x v="2"/>
    <x v="0"/>
    <x v="3"/>
    <x v="4"/>
    <x v="4"/>
  </r>
  <r>
    <s v="(AS) Koons Chevrolet Buick GMC - Tysons Remote Lot (NO TOURS)7"/>
    <x v="6"/>
    <x v="4"/>
    <x v="13"/>
    <x v="1"/>
    <x v="1"/>
    <x v="1"/>
    <x v="3"/>
    <s v="https://tools.sig.systems/site/details/333"/>
    <s v="-"/>
    <m/>
    <x v="0"/>
    <x v="10"/>
    <x v="2"/>
    <x v="7"/>
    <x v="13"/>
    <x v="13"/>
  </r>
  <r>
    <s v="(AS) Koons Easton Toyota - Main Dealership (NO TOURS)7"/>
    <x v="6"/>
    <x v="4"/>
    <x v="14"/>
    <x v="1"/>
    <x v="1"/>
    <x v="1"/>
    <x v="0"/>
    <s v="https://tools.sig.systems/site/details/340"/>
    <s v="-"/>
    <m/>
    <x v="0"/>
    <x v="11"/>
    <x v="0"/>
    <x v="0"/>
    <x v="14"/>
    <x v="14"/>
  </r>
  <r>
    <s v="(BRL) Shoemakersville7"/>
    <x v="6"/>
    <x v="4"/>
    <x v="30"/>
    <x v="3"/>
    <x v="1"/>
    <x v="3"/>
    <x v="0"/>
    <s v="https://tools.sig.systems/site/details/302"/>
    <n v="0"/>
    <m/>
    <x v="0"/>
    <x v="23"/>
    <x v="0"/>
    <x v="11"/>
    <x v="30"/>
    <x v="30"/>
  </r>
  <r>
    <s v="(LT) Luther Bloomington Hyundai (NO TOURS)7"/>
    <x v="6"/>
    <x v="4"/>
    <x v="39"/>
    <x v="0"/>
    <x v="0"/>
    <x v="5"/>
    <x v="0"/>
    <s v="https://tools.sig.systems/site/details/318"/>
    <n v="0"/>
    <m/>
    <x v="0"/>
    <x v="26"/>
    <x v="5"/>
    <x v="17"/>
    <x v="39"/>
    <x v="39"/>
  </r>
  <r>
    <s v="(LT) Luther Landers Recon Center7"/>
    <x v="6"/>
    <x v="4"/>
    <x v="46"/>
    <x v="0"/>
    <x v="0"/>
    <x v="0"/>
    <x v="0"/>
    <s v="https://tools.sig.systems/site/details/323"/>
    <s v="https://www.google.com/maps/d/u/1/edit?mid=1-zEzsc6U6nZom08edp0XAd3_HYFvAyk&amp;usp=sharing"/>
    <m/>
    <x v="21"/>
    <x v="1"/>
    <x v="0"/>
    <x v="0"/>
    <x v="46"/>
    <x v="46"/>
  </r>
  <r>
    <s v="(SCH) Schumacher of Delray I &amp; III7"/>
    <x v="6"/>
    <x v="4"/>
    <x v="56"/>
    <x v="1"/>
    <x v="1"/>
    <x v="1"/>
    <x v="0"/>
    <s v="https://tools.sig.systems/site/details/159"/>
    <s v="https://www.google.com/maps/d/viewer?mid=1ZLGV-cDM9aCfovhmXHIAXgVOKts0dEI&amp;ll=26.438859950088858%2C-80.07968125000001&amp;z=16"/>
    <m/>
    <x v="29"/>
    <x v="37"/>
    <x v="0"/>
    <x v="0"/>
    <x v="54"/>
    <x v="56"/>
  </r>
  <r>
    <s v="(AS) Hare Truck Center (NO TOURS)7"/>
    <x v="6"/>
    <x v="5"/>
    <x v="5"/>
    <x v="1"/>
    <x v="1"/>
    <x v="1"/>
    <x v="3"/>
    <s v="https://tools.sig.systems/site/details/300"/>
    <s v="https://www.google.com/maps/d/edit?mid=1hsX5GGrNcCQgAuzDCDz1OWgEkhsAc78&amp;usp=sharing"/>
    <m/>
    <x v="0"/>
    <x v="3"/>
    <x v="0"/>
    <x v="0"/>
    <x v="5"/>
    <x v="5"/>
  </r>
  <r>
    <s v="(AS) Koons Falls Church Ford (NO TOURS)7"/>
    <x v="6"/>
    <x v="5"/>
    <x v="15"/>
    <x v="1"/>
    <x v="1"/>
    <x v="1"/>
    <x v="0"/>
    <s v="https://tools.sig.systems/site/details/345"/>
    <s v="-"/>
    <m/>
    <x v="0"/>
    <x v="7"/>
    <x v="0"/>
    <x v="0"/>
    <x v="15"/>
    <x v="15"/>
  </r>
  <r>
    <s v="(AS) Koons Woodbridge Hyundai (NO TOURS)7"/>
    <x v="6"/>
    <x v="5"/>
    <x v="25"/>
    <x v="1"/>
    <x v="1"/>
    <x v="1"/>
    <x v="0"/>
    <s v="https://tools.sig.systems/site/details/347"/>
    <s v="-"/>
    <m/>
    <x v="0"/>
    <x v="20"/>
    <x v="0"/>
    <x v="0"/>
    <x v="25"/>
    <x v="25"/>
  </r>
  <r>
    <s v="(DT) Modesto7"/>
    <x v="6"/>
    <x v="5"/>
    <x v="33"/>
    <x v="4"/>
    <x v="3"/>
    <x v="4"/>
    <x v="0"/>
    <s v="https://tools.sig.systems/site/details/267"/>
    <n v="0"/>
    <m/>
    <x v="14"/>
    <x v="24"/>
    <x v="0"/>
    <x v="0"/>
    <x v="33"/>
    <x v="33"/>
  </r>
  <r>
    <s v="(KG) Big Star Hyundai Houston7"/>
    <x v="6"/>
    <x v="5"/>
    <x v="35"/>
    <x v="0"/>
    <x v="0"/>
    <x v="0"/>
    <x v="0"/>
    <s v="https://tools.sig.systems/site/details/287"/>
    <s v="https://www.google.com/maps/d/edit?hl=en&amp;mid=1jIRkMUnWNPuTgDjQgDP-f33LClT85NU&amp;ll=29.55731827236326%2C-95.1601644&amp;z=17"/>
    <m/>
    <x v="16"/>
    <x v="25"/>
    <x v="0"/>
    <x v="13"/>
    <x v="35"/>
    <x v="35"/>
  </r>
  <r>
    <s v="(LT) Luther Bloomington Subaru - Acura7"/>
    <x v="6"/>
    <x v="5"/>
    <x v="40"/>
    <x v="5"/>
    <x v="0"/>
    <x v="5"/>
    <x v="0"/>
    <s v="https://tools.sig.systems/site/details/289"/>
    <n v="0"/>
    <m/>
    <x v="20"/>
    <x v="27"/>
    <x v="6"/>
    <x v="0"/>
    <x v="40"/>
    <x v="40"/>
  </r>
  <r>
    <s v="(LT) Luther St. Cloud Subaru7"/>
    <x v="6"/>
    <x v="5"/>
    <x v="48"/>
    <x v="0"/>
    <x v="0"/>
    <x v="6"/>
    <x v="3"/>
    <s v="https://tools.sig.systems/site/details/295"/>
    <n v="0"/>
    <m/>
    <x v="22"/>
    <x v="34"/>
    <x v="11"/>
    <x v="21"/>
    <x v="48"/>
    <x v="48"/>
  </r>
  <r>
    <s v="(PE) JLR Darien (NO TOURS)7"/>
    <x v="6"/>
    <x v="5"/>
    <x v="51"/>
    <x v="5"/>
    <x v="1"/>
    <x v="1"/>
    <x v="3"/>
    <s v="https://tools.sig.systems/site/details/189"/>
    <s v="-"/>
    <m/>
    <x v="24"/>
    <x v="1"/>
    <x v="0"/>
    <x v="0"/>
    <x v="15"/>
    <x v="51"/>
  </r>
  <r>
    <s v="(TC) Lamborghini South Dade7"/>
    <x v="6"/>
    <x v="5"/>
    <x v="57"/>
    <x v="1"/>
    <x v="1"/>
    <x v="1"/>
    <x v="6"/>
    <s v="https://tools.sig.systems/site/details/313"/>
    <n v="0"/>
    <m/>
    <x v="0"/>
    <x v="38"/>
    <x v="0"/>
    <x v="0"/>
    <x v="15"/>
    <x v="57"/>
  </r>
  <r>
    <s v="(AS) Kahlo CDJR (NO TOURS)7"/>
    <x v="6"/>
    <x v="6"/>
    <x v="6"/>
    <x v="1"/>
    <x v="1"/>
    <x v="1"/>
    <x v="0"/>
    <s v="https://tools.sig.systems/site/details/282"/>
    <s v="https://www.google.com/maps/d/edit?mid=1hsX5GGrNcCQgAuzDCDz1OWgEkhsAc78&amp;usp=sharing"/>
    <m/>
    <x v="0"/>
    <x v="4"/>
    <x v="1"/>
    <x v="4"/>
    <x v="6"/>
    <x v="6"/>
  </r>
  <r>
    <s v="(AS) Koons Arlington Toyota - New Car (NO TOURS)7"/>
    <x v="6"/>
    <x v="6"/>
    <x v="8"/>
    <x v="1"/>
    <x v="1"/>
    <x v="1"/>
    <x v="0"/>
    <s v="https://tools.sig.systems/site/details/334"/>
    <s v="-"/>
    <m/>
    <x v="0"/>
    <x v="6"/>
    <x v="0"/>
    <x v="0"/>
    <x v="8"/>
    <x v="8"/>
  </r>
  <r>
    <s v="(AS) Koons Volvo Cars White Marsh (NO TOURS)7"/>
    <x v="6"/>
    <x v="6"/>
    <x v="20"/>
    <x v="1"/>
    <x v="1"/>
    <x v="1"/>
    <x v="0"/>
    <s v="https://tools.sig.systems/site/details/338"/>
    <n v="0"/>
    <m/>
    <x v="0"/>
    <x v="16"/>
    <x v="0"/>
    <x v="0"/>
    <x v="20"/>
    <x v="20"/>
  </r>
  <r>
    <s v="(DT) Arlington7"/>
    <x v="6"/>
    <x v="6"/>
    <x v="31"/>
    <x v="0"/>
    <x v="0"/>
    <x v="0"/>
    <x v="0"/>
    <s v="https://tools.sig.systems/site/details/199"/>
    <s v="-"/>
    <m/>
    <x v="12"/>
    <x v="1"/>
    <x v="0"/>
    <x v="0"/>
    <x v="31"/>
    <x v="31"/>
  </r>
  <r>
    <s v="(KG) Big Star Cadillac7"/>
    <x v="6"/>
    <x v="6"/>
    <x v="34"/>
    <x v="0"/>
    <x v="0"/>
    <x v="0"/>
    <x v="0"/>
    <s v="https://tools.sig.systems/site/details/316"/>
    <s v="https://www.google.com/maps/d/edit?mid=1jIRkMUnWNPuTgDjQgDP-f33LClT85NU&amp;usp=sharing"/>
    <m/>
    <x v="15"/>
    <x v="1"/>
    <x v="0"/>
    <x v="0"/>
    <x v="34"/>
    <x v="34"/>
  </r>
  <r>
    <s v="(LT) Luther Brookdale Honda (NO TOURS)7"/>
    <x v="6"/>
    <x v="6"/>
    <x v="41"/>
    <x v="6"/>
    <x v="0"/>
    <x v="0"/>
    <x v="6"/>
    <s v="https://tools.sig.systems/site/details/280"/>
    <s v="https://www.google.com/maps/d/viewer?mid=1ot0ILX76JMuvd9yMuqkb4_e0yH1n7TA&amp;ll=45.07815812965141%2C-93.33506855000002&amp;z=17"/>
    <m/>
    <x v="0"/>
    <x v="28"/>
    <x v="7"/>
    <x v="18"/>
    <x v="41"/>
    <x v="41"/>
  </r>
  <r>
    <s v="(ML) Joe Machens Hyundai7"/>
    <x v="6"/>
    <x v="6"/>
    <x v="49"/>
    <x v="0"/>
    <x v="0"/>
    <x v="0"/>
    <x v="0"/>
    <s v="https://tools.sig.systems/site/details/286"/>
    <s v="https://www.google.com/maps/d/viewer?hl=es&amp;mid=1C1oZdjH3dNvCvqdpIv_Lk0Yn1OCVn-4&amp;ll=38.965368114274455%2C-92.3405954&amp;z=15"/>
    <m/>
    <x v="0"/>
    <x v="35"/>
    <x v="0"/>
    <x v="10"/>
    <x v="49"/>
    <x v="49"/>
  </r>
  <r>
    <s v="(PE) MB of Greenwich7"/>
    <x v="6"/>
    <x v="6"/>
    <x v="54"/>
    <x v="5"/>
    <x v="1"/>
    <x v="1"/>
    <x v="0"/>
    <s v="https://tools.sig.systems/site/details/188"/>
    <s v="https://www.google.com/maps/d/edit?hl=en&amp;mid=1UHmt7tH1ihTa85i0MfQIcTfVvIQg_vM&amp;ll=41.02423447529239%2C-73.63721502222738&amp;z=18"/>
    <m/>
    <x v="27"/>
    <x v="36"/>
    <x v="0"/>
    <x v="0"/>
    <x v="52"/>
    <x v="54"/>
  </r>
  <r>
    <s v="Mario Residence7"/>
    <x v="6"/>
    <x v="6"/>
    <x v="58"/>
    <x v="3"/>
    <x v="1"/>
    <x v="3"/>
    <x v="1"/>
    <s v="https://tools.sig.systems/site/details/148"/>
    <s v="https://www.google.com/maps/d/edit?hl=es&amp;mid=13OmECPqyeB7fXgZmEoM9cnG34HU_v5g&amp;ll=26.046837034777553%2C-80.38753458591658&amp;z=19"/>
    <m/>
    <x v="30"/>
    <x v="39"/>
    <x v="0"/>
    <x v="0"/>
    <x v="55"/>
    <x v="58"/>
  </r>
  <r>
    <s v="(AS) 3281 Storage Lot (NO TOURS)8"/>
    <x v="7"/>
    <x v="0"/>
    <x v="0"/>
    <x v="0"/>
    <x v="0"/>
    <x v="0"/>
    <x v="0"/>
    <s v="https://tools.sig.systems/site/details/305"/>
    <s v="https://www.google.com/maps/d/edit?hl=es&amp;mid=1uPmsRMsXnp74hPFW2t-sp2totVWF_xY&amp;ll=32.83050137713022%2C-96.83197783061323&amp;z=17"/>
    <m/>
    <x v="0"/>
    <x v="0"/>
    <x v="0"/>
    <x v="0"/>
    <x v="0"/>
    <x v="0"/>
  </r>
  <r>
    <s v="(AS) Koons Chevrolet Buick GMC - Clarksville (NO TOURS)8"/>
    <x v="7"/>
    <x v="0"/>
    <x v="10"/>
    <x v="1"/>
    <x v="1"/>
    <x v="1"/>
    <x v="3"/>
    <s v="https://tools.sig.systems/site/details/306"/>
    <s v="https://www.google.com/maps/d/edit?hl=es&amp;mid=11XB1lTSP7EcDCDvzypdUPWP6bWCNAEI&amp;ll=39.21145022420528%2C-76.94003711910554&amp;z=17"/>
    <m/>
    <x v="0"/>
    <x v="8"/>
    <x v="0"/>
    <x v="0"/>
    <x v="10"/>
    <x v="10"/>
  </r>
  <r>
    <s v="(AS) Koons Easton Toyota - Main Dealership (NO TOURS)8"/>
    <x v="7"/>
    <x v="0"/>
    <x v="14"/>
    <x v="1"/>
    <x v="1"/>
    <x v="1"/>
    <x v="0"/>
    <s v="https://tools.sig.systems/site/details/340"/>
    <s v="-"/>
    <m/>
    <x v="0"/>
    <x v="11"/>
    <x v="0"/>
    <x v="0"/>
    <x v="14"/>
    <x v="14"/>
  </r>
  <r>
    <s v="(AS) Plaza Mercedes Benz West (NO TOURS)8"/>
    <x v="7"/>
    <x v="0"/>
    <x v="29"/>
    <x v="0"/>
    <x v="0"/>
    <x v="0"/>
    <x v="0"/>
    <s v="https://tools.sig.systems/site/details/349"/>
    <s v="-"/>
    <m/>
    <x v="0"/>
    <x v="22"/>
    <x v="0"/>
    <x v="10"/>
    <x v="29"/>
    <x v="29"/>
  </r>
  <r>
    <s v="(DT) Charlotte8"/>
    <x v="7"/>
    <x v="0"/>
    <x v="32"/>
    <x v="1"/>
    <x v="1"/>
    <x v="1"/>
    <x v="0"/>
    <s v="https://tools.sig.systems/site/details/299"/>
    <n v="0"/>
    <m/>
    <x v="13"/>
    <x v="1"/>
    <x v="0"/>
    <x v="12"/>
    <x v="32"/>
    <x v="32"/>
  </r>
  <r>
    <s v="(LT) Luther Brookdale Toyota8"/>
    <x v="7"/>
    <x v="0"/>
    <x v="42"/>
    <x v="6"/>
    <x v="0"/>
    <x v="1"/>
    <x v="0"/>
    <s v="https://tools.sig.systems/site/details/281"/>
    <s v="https://www.google.com/maps/d/viewer?mid=1ot0ILX76JMuvd9yMuqkb4_e0yH1n7TA&amp;ll=45.07815812965141%2C-93.33506855000002&amp;z=17"/>
    <m/>
    <x v="0"/>
    <x v="29"/>
    <x v="3"/>
    <x v="4"/>
    <x v="42"/>
    <x v="42"/>
  </r>
  <r>
    <s v="(LT) Luther Burnsville Hyundai8"/>
    <x v="7"/>
    <x v="0"/>
    <x v="43"/>
    <x v="0"/>
    <x v="0"/>
    <x v="0"/>
    <x v="7"/>
    <s v="https://tools.sig.systems/site/details/307"/>
    <n v="0"/>
    <m/>
    <x v="0"/>
    <x v="30"/>
    <x v="8"/>
    <x v="19"/>
    <x v="43"/>
    <x v="43"/>
  </r>
  <r>
    <s v="(PE) BMW Service Center (NO TOURS)8"/>
    <x v="7"/>
    <x v="0"/>
    <x v="50"/>
    <x v="5"/>
    <x v="1"/>
    <x v="1"/>
    <x v="0"/>
    <s v="https://tools.sig.systems/site/details/184"/>
    <s v="https://www.google.com/maps/d/edit?hl=en&amp;mid=1UHmt7tH1ihTa85i0MfQIcTfVvIQg_vM&amp;ll=41.02423447529239%2C-73.63721502222738&amp;z=18"/>
    <m/>
    <x v="23"/>
    <x v="1"/>
    <x v="0"/>
    <x v="0"/>
    <x v="50"/>
    <x v="50"/>
  </r>
  <r>
    <s v="(AS) Coggin BMW Ft. Pierce (NO TOURS)8"/>
    <x v="7"/>
    <x v="1"/>
    <x v="1"/>
    <x v="1"/>
    <x v="1"/>
    <x v="1"/>
    <x v="1"/>
    <s v="https://tools.sig.systems/site/details/119"/>
    <s v="https://www.google.com/maps/d/viewer?mid=1AyViBuyeq7iwDua1SVudJ2A1BYi3IBA&amp;ll=27.38181516363982%2C-80.32568845000002&amp;z=18"/>
    <m/>
    <x v="1"/>
    <x v="1"/>
    <x v="0"/>
    <x v="1"/>
    <x v="1"/>
    <x v="1"/>
  </r>
  <r>
    <s v="(AS) Koons Chevrolet Buick GMC - Clarksville Remote Lot (NO TOURS)8"/>
    <x v="7"/>
    <x v="1"/>
    <x v="11"/>
    <x v="1"/>
    <x v="1"/>
    <x v="1"/>
    <x v="0"/>
    <s v="https://tools.sig.systems/site/details/308"/>
    <s v="https://www.google.com/maps/d/edit?hl=es&amp;mid=11XB1lTSP7EcDCDvzypdUPWP6bWCNAEI&amp;ll=39.21145022420528%2C-76.94003711910554&amp;z=21"/>
    <m/>
    <x v="0"/>
    <x v="3"/>
    <x v="0"/>
    <x v="0"/>
    <x v="11"/>
    <x v="11"/>
  </r>
  <r>
    <s v="(AS) Koons Owings Mills Kia (NO TOURS)8"/>
    <x v="7"/>
    <x v="1"/>
    <x v="17"/>
    <x v="1"/>
    <x v="1"/>
    <x v="1"/>
    <x v="0"/>
    <s v="https://tools.sig.systems/site/details/336"/>
    <s v="-"/>
    <m/>
    <x v="7"/>
    <x v="13"/>
    <x v="0"/>
    <x v="0"/>
    <x v="17"/>
    <x v="17"/>
  </r>
  <r>
    <s v="(AS) Koons Westminster Toyota (NO TOURS)8"/>
    <x v="7"/>
    <x v="1"/>
    <x v="21"/>
    <x v="1"/>
    <x v="1"/>
    <x v="1"/>
    <x v="0"/>
    <s v="https://tools.sig.systems/site/details/341"/>
    <s v="-"/>
    <m/>
    <x v="0"/>
    <x v="17"/>
    <x v="0"/>
    <x v="0"/>
    <x v="21"/>
    <x v="21"/>
  </r>
  <r>
    <s v="(AS) Koons Woodbridge GMC (NO TOURS)8"/>
    <x v="7"/>
    <x v="1"/>
    <x v="24"/>
    <x v="1"/>
    <x v="1"/>
    <x v="1"/>
    <x v="0"/>
    <s v="https://tools.sig.systems/site/details/343"/>
    <n v="0"/>
    <m/>
    <x v="0"/>
    <x v="7"/>
    <x v="0"/>
    <x v="9"/>
    <x v="24"/>
    <x v="24"/>
  </r>
  <r>
    <s v="(DT) Modesto8"/>
    <x v="7"/>
    <x v="1"/>
    <x v="33"/>
    <x v="4"/>
    <x v="3"/>
    <x v="4"/>
    <x v="0"/>
    <s v="https://tools.sig.systems/site/details/267"/>
    <n v="0"/>
    <m/>
    <x v="14"/>
    <x v="24"/>
    <x v="0"/>
    <x v="0"/>
    <x v="33"/>
    <x v="33"/>
  </r>
  <r>
    <s v="(KG) Ken Garff Kia of Avondale8"/>
    <x v="7"/>
    <x v="1"/>
    <x v="36"/>
    <x v="4"/>
    <x v="4"/>
    <x v="4"/>
    <x v="0"/>
    <s v="https://tools.sig.systems/site/details/283"/>
    <s v="https://www.google.com/maps/d/viewer?mid=1bDs0QGFZwL3vEeGKxjVMk_j4azr0-lg&amp;ll=33.4593758581648%2C-112.28793780000001&amp;z=18"/>
    <m/>
    <x v="17"/>
    <x v="1"/>
    <x v="0"/>
    <x v="14"/>
    <x v="36"/>
    <x v="36"/>
  </r>
  <r>
    <s v="(LT) Landers Kia of Little Rock8"/>
    <x v="7"/>
    <x v="1"/>
    <x v="38"/>
    <x v="0"/>
    <x v="0"/>
    <x v="0"/>
    <x v="3"/>
    <s v="https://tools.sig.systems/site/details/322"/>
    <s v="https://www.google.com/maps/d/u/1/edit?mid=1-zEzsc6U6nZom08edp0XAd3_HYFvAyk&amp;usp=sharing"/>
    <m/>
    <x v="19"/>
    <x v="1"/>
    <x v="4"/>
    <x v="16"/>
    <x v="38"/>
    <x v="38"/>
  </r>
  <r>
    <s v="(LT) Luther Genesis of Minneapolis8"/>
    <x v="7"/>
    <x v="1"/>
    <x v="44"/>
    <x v="0"/>
    <x v="0"/>
    <x v="0"/>
    <x v="0"/>
    <s v="https://tools.sig.systems/site/details/315"/>
    <n v="0"/>
    <m/>
    <x v="0"/>
    <x v="31"/>
    <x v="0"/>
    <x v="0"/>
    <x v="44"/>
    <x v="44"/>
  </r>
  <r>
    <s v="(PE) JLR Englewood (NO TOURS)8"/>
    <x v="7"/>
    <x v="1"/>
    <x v="52"/>
    <x v="5"/>
    <x v="1"/>
    <x v="1"/>
    <x v="0"/>
    <s v="https://tools.sig.systems/site/details/178"/>
    <s v="https://www.google.com/maps/d/viewer?mid=1ubI2iKs1JyYXssuT4oLPnVvFnyLPi_s&amp;ll=40.878808846788026%2C-73.98560655&amp;z=17"/>
    <m/>
    <x v="25"/>
    <x v="1"/>
    <x v="0"/>
    <x v="0"/>
    <x v="15"/>
    <x v="52"/>
  </r>
  <r>
    <s v="(AS) Koons MB of Catonsville (NO TOURS)8"/>
    <x v="7"/>
    <x v="2"/>
    <x v="16"/>
    <x v="1"/>
    <x v="1"/>
    <x v="1"/>
    <x v="0"/>
    <s v="https://tools.sig.systems/site/details/303"/>
    <n v="0"/>
    <m/>
    <x v="0"/>
    <x v="12"/>
    <x v="3"/>
    <x v="3"/>
    <x v="16"/>
    <x v="16"/>
  </r>
  <r>
    <s v="(AS) Koons White Marsh Chevrolet (NO TOURS)8"/>
    <x v="7"/>
    <x v="2"/>
    <x v="22"/>
    <x v="1"/>
    <x v="1"/>
    <x v="1"/>
    <x v="0"/>
    <s v="https://tools.sig.systems/site/details/339"/>
    <s v="-"/>
    <m/>
    <x v="9"/>
    <x v="18"/>
    <x v="0"/>
    <x v="0"/>
    <x v="22"/>
    <x v="22"/>
  </r>
  <r>
    <s v="(AS) Koons Woodbridge Ford (NO TOURS)8"/>
    <x v="7"/>
    <x v="2"/>
    <x v="23"/>
    <x v="1"/>
    <x v="1"/>
    <x v="1"/>
    <x v="3"/>
    <s v="https://tools.sig.systems/site/details/342"/>
    <n v="0"/>
    <m/>
    <x v="0"/>
    <x v="19"/>
    <x v="0"/>
    <x v="0"/>
    <x v="23"/>
    <x v="23"/>
  </r>
  <r>
    <s v="(AS) Plaza Collision ST Louis (NO TOURS)8"/>
    <x v="7"/>
    <x v="2"/>
    <x v="28"/>
    <x v="0"/>
    <x v="0"/>
    <x v="0"/>
    <x v="0"/>
    <s v="https://tools.sig.systems/site/details/350"/>
    <s v="-"/>
    <m/>
    <x v="11"/>
    <x v="7"/>
    <x v="0"/>
    <x v="0"/>
    <x v="28"/>
    <x v="28"/>
  </r>
  <r>
    <s v="(LT) Luther Hopkins Honda (NO TOURS)8"/>
    <x v="7"/>
    <x v="2"/>
    <x v="45"/>
    <x v="5"/>
    <x v="0"/>
    <x v="0"/>
    <x v="0"/>
    <s v="https://tools.sig.systems/site/details/288"/>
    <n v="0"/>
    <m/>
    <x v="0"/>
    <x v="32"/>
    <x v="9"/>
    <x v="20"/>
    <x v="45"/>
    <x v="45"/>
  </r>
  <r>
    <s v="(PE) MB of Greenwich8"/>
    <x v="7"/>
    <x v="2"/>
    <x v="54"/>
    <x v="5"/>
    <x v="1"/>
    <x v="1"/>
    <x v="0"/>
    <s v="https://tools.sig.systems/site/details/188"/>
    <s v="https://www.google.com/maps/d/edit?hl=en&amp;mid=1UHmt7tH1ihTa85i0MfQIcTfVvIQg_vM&amp;ll=41.02423447529239%2C-73.63721502222738&amp;z=18"/>
    <m/>
    <x v="27"/>
    <x v="36"/>
    <x v="0"/>
    <x v="0"/>
    <x v="52"/>
    <x v="54"/>
  </r>
  <r>
    <s v="(AS) Coggin Collision Center of Kissimmee (NO TOURS)8"/>
    <x v="7"/>
    <x v="3"/>
    <x v="2"/>
    <x v="1"/>
    <x v="1"/>
    <x v="1"/>
    <x v="0"/>
    <s v="https://tools.sig.systems/site/details/331"/>
    <n v="0"/>
    <m/>
    <x v="2"/>
    <x v="1"/>
    <x v="0"/>
    <x v="0"/>
    <x v="2"/>
    <x v="2"/>
  </r>
  <r>
    <s v="(AS) Coggin Honda of Orlando (NO TOURS)8"/>
    <x v="7"/>
    <x v="3"/>
    <x v="3"/>
    <x v="1"/>
    <x v="1"/>
    <x v="1"/>
    <x v="0"/>
    <s v="https://tools.sig.systems/site/details/324"/>
    <n v="0"/>
    <m/>
    <x v="3"/>
    <x v="1"/>
    <x v="0"/>
    <x v="2"/>
    <x v="3"/>
    <x v="3"/>
  </r>
  <r>
    <s v="(AS) Koons Baltimore Ford - Main Dealership (NO TOURS)8"/>
    <x v="7"/>
    <x v="3"/>
    <x v="9"/>
    <x v="1"/>
    <x v="1"/>
    <x v="1"/>
    <x v="4"/>
    <s v="https://tools.sig.systems/site/details/335"/>
    <s v="-"/>
    <m/>
    <x v="6"/>
    <x v="7"/>
    <x v="0"/>
    <x v="5"/>
    <x v="9"/>
    <x v="9"/>
  </r>
  <r>
    <s v="(AS) Koons Falls Church Ford (NO TOURS)8"/>
    <x v="7"/>
    <x v="3"/>
    <x v="15"/>
    <x v="1"/>
    <x v="1"/>
    <x v="1"/>
    <x v="0"/>
    <s v="https://tools.sig.systems/site/details/345"/>
    <s v="-"/>
    <m/>
    <x v="0"/>
    <x v="7"/>
    <x v="0"/>
    <x v="0"/>
    <x v="15"/>
    <x v="15"/>
  </r>
  <r>
    <s v="(LT) Luther North Country Ford8"/>
    <x v="7"/>
    <x v="3"/>
    <x v="47"/>
    <x v="0"/>
    <x v="0"/>
    <x v="0"/>
    <x v="0"/>
    <s v="https://tools.sig.systems/site/details/292"/>
    <n v="0"/>
    <m/>
    <x v="0"/>
    <x v="33"/>
    <x v="10"/>
    <x v="0"/>
    <x v="47"/>
    <x v="47"/>
  </r>
  <r>
    <s v="(PE) JLR Paramus (NO TOURS)8"/>
    <x v="7"/>
    <x v="3"/>
    <x v="53"/>
    <x v="5"/>
    <x v="1"/>
    <x v="1"/>
    <x v="0"/>
    <s v="https://tools.sig.systems/site/details/177"/>
    <n v="0"/>
    <m/>
    <x v="26"/>
    <x v="1"/>
    <x v="0"/>
    <x v="0"/>
    <x v="51"/>
    <x v="53"/>
  </r>
  <r>
    <s v="(AS) Hare Chevrolet (NO TOURS)8"/>
    <x v="7"/>
    <x v="4"/>
    <x v="4"/>
    <x v="1"/>
    <x v="1"/>
    <x v="1"/>
    <x v="5"/>
    <s v="https://tools.sig.systems/site/details/301"/>
    <s v="https://www.google.com/maps/d/edit?mid=1hsX5GGrNcCQgAuzDCDz1OWgEkhsAc78&amp;usp=sharing"/>
    <m/>
    <x v="4"/>
    <x v="2"/>
    <x v="0"/>
    <x v="3"/>
    <x v="4"/>
    <x v="4"/>
  </r>
  <r>
    <s v="(BRL) Shoemakersville8"/>
    <x v="7"/>
    <x v="4"/>
    <x v="30"/>
    <x v="3"/>
    <x v="1"/>
    <x v="3"/>
    <x v="5"/>
    <s v="https://tools.sig.systems/site/details/302"/>
    <n v="0"/>
    <m/>
    <x v="0"/>
    <x v="23"/>
    <x v="0"/>
    <x v="11"/>
    <x v="30"/>
    <x v="30"/>
  </r>
  <r>
    <s v="(LT) Luther Bloomington Hyundai (NO TOURS)8"/>
    <x v="7"/>
    <x v="4"/>
    <x v="39"/>
    <x v="0"/>
    <x v="0"/>
    <x v="5"/>
    <x v="5"/>
    <s v="https://tools.sig.systems/site/details/318"/>
    <n v="0"/>
    <m/>
    <x v="0"/>
    <x v="26"/>
    <x v="5"/>
    <x v="17"/>
    <x v="39"/>
    <x v="39"/>
  </r>
  <r>
    <s v="(LT) Luther Landers Recon Center8"/>
    <x v="7"/>
    <x v="4"/>
    <x v="46"/>
    <x v="0"/>
    <x v="0"/>
    <x v="0"/>
    <x v="5"/>
    <s v="https://tools.sig.systems/site/details/323"/>
    <s v="https://www.google.com/maps/d/u/1/edit?mid=1-zEzsc6U6nZom08edp0XAd3_HYFvAyk&amp;usp=sharing"/>
    <m/>
    <x v="21"/>
    <x v="1"/>
    <x v="0"/>
    <x v="0"/>
    <x v="46"/>
    <x v="46"/>
  </r>
  <r>
    <s v="(SCH) Schumacher of Delray I &amp; III8"/>
    <x v="7"/>
    <x v="4"/>
    <x v="56"/>
    <x v="1"/>
    <x v="1"/>
    <x v="1"/>
    <x v="5"/>
    <s v="https://tools.sig.systems/site/details/159"/>
    <s v="https://www.google.com/maps/d/viewer?mid=1ZLGV-cDM9aCfovhmXHIAXgVOKts0dEI&amp;ll=26.438859950088858%2C-80.07968125000001&amp;z=16"/>
    <m/>
    <x v="29"/>
    <x v="37"/>
    <x v="0"/>
    <x v="0"/>
    <x v="54"/>
    <x v="56"/>
  </r>
  <r>
    <s v="(AS) Hare Truck Center (NO TOURS)8"/>
    <x v="7"/>
    <x v="5"/>
    <x v="5"/>
    <x v="1"/>
    <x v="1"/>
    <x v="1"/>
    <x v="5"/>
    <s v="https://tools.sig.systems/site/details/300"/>
    <s v="https://www.google.com/maps/d/edit?mid=1hsX5GGrNcCQgAuzDCDz1OWgEkhsAc78&amp;usp=sharing"/>
    <m/>
    <x v="0"/>
    <x v="3"/>
    <x v="0"/>
    <x v="0"/>
    <x v="5"/>
    <x v="5"/>
  </r>
  <r>
    <s v="(AS) Koons Woodbridge Hyundai (NO TOURS)8"/>
    <x v="7"/>
    <x v="5"/>
    <x v="25"/>
    <x v="1"/>
    <x v="1"/>
    <x v="1"/>
    <x v="5"/>
    <s v="https://tools.sig.systems/site/details/347"/>
    <s v="-"/>
    <m/>
    <x v="0"/>
    <x v="20"/>
    <x v="0"/>
    <x v="0"/>
    <x v="25"/>
    <x v="25"/>
  </r>
  <r>
    <s v="(KG) Big Star Hyundai Houston8"/>
    <x v="7"/>
    <x v="5"/>
    <x v="35"/>
    <x v="0"/>
    <x v="0"/>
    <x v="0"/>
    <x v="5"/>
    <s v="https://tools.sig.systems/site/details/287"/>
    <s v="https://www.google.com/maps/d/edit?hl=en&amp;mid=1jIRkMUnWNPuTgDjQgDP-f33LClT85NU&amp;ll=29.55731827236326%2C-95.1601644&amp;z=17"/>
    <m/>
    <x v="16"/>
    <x v="25"/>
    <x v="0"/>
    <x v="13"/>
    <x v="35"/>
    <x v="35"/>
  </r>
  <r>
    <s v="(KG) Ken Garff Volkswagen of Gilbert8"/>
    <x v="7"/>
    <x v="5"/>
    <x v="37"/>
    <x v="4"/>
    <x v="4"/>
    <x v="4"/>
    <x v="5"/>
    <s v="https://tools.sig.systems/site/details/284"/>
    <s v="https://www.google.com/maps/d/viewer?hl=es&amp;mid=19SU7XE9Cg8jhVFpEI21Vi9Zfgdih9Ds&amp;ll=33.29158262977276%2C-111.75783630000002&amp;z=17"/>
    <m/>
    <x v="18"/>
    <x v="1"/>
    <x v="0"/>
    <x v="15"/>
    <x v="37"/>
    <x v="37"/>
  </r>
  <r>
    <s v="(LT) Luther Bloomington Subaru - Acura8"/>
    <x v="7"/>
    <x v="5"/>
    <x v="40"/>
    <x v="5"/>
    <x v="0"/>
    <x v="5"/>
    <x v="3"/>
    <s v="https://tools.sig.systems/site/details/289"/>
    <n v="0"/>
    <m/>
    <x v="20"/>
    <x v="27"/>
    <x v="6"/>
    <x v="0"/>
    <x v="40"/>
    <x v="40"/>
  </r>
  <r>
    <s v="(LT) Luther St. Cloud Subaru8"/>
    <x v="7"/>
    <x v="5"/>
    <x v="48"/>
    <x v="0"/>
    <x v="0"/>
    <x v="6"/>
    <x v="3"/>
    <s v="https://tools.sig.systems/site/details/295"/>
    <n v="0"/>
    <m/>
    <x v="22"/>
    <x v="34"/>
    <x v="11"/>
    <x v="21"/>
    <x v="48"/>
    <x v="48"/>
  </r>
  <r>
    <s v="(PE) Porsche Audi Fairfield (NO TOURS)8"/>
    <x v="7"/>
    <x v="5"/>
    <x v="55"/>
    <x v="5"/>
    <x v="1"/>
    <x v="1"/>
    <x v="3"/>
    <s v="https://tools.sig.systems/site/details/194"/>
    <s v="-"/>
    <m/>
    <x v="28"/>
    <x v="1"/>
    <x v="0"/>
    <x v="4"/>
    <x v="53"/>
    <x v="55"/>
  </r>
  <r>
    <s v="(TC) Lamborghini South Dade8"/>
    <x v="7"/>
    <x v="5"/>
    <x v="57"/>
    <x v="1"/>
    <x v="1"/>
    <x v="1"/>
    <x v="3"/>
    <s v="https://tools.sig.systems/site/details/313"/>
    <n v="0"/>
    <m/>
    <x v="0"/>
    <x v="38"/>
    <x v="0"/>
    <x v="0"/>
    <x v="15"/>
    <x v="57"/>
  </r>
  <r>
    <s v="(AS) Kahlo CDJR (NO TOURS)8"/>
    <x v="7"/>
    <x v="6"/>
    <x v="6"/>
    <x v="1"/>
    <x v="1"/>
    <x v="1"/>
    <x v="3"/>
    <s v="https://tools.sig.systems/site/details/282"/>
    <s v="https://www.google.com/maps/d/edit?mid=1hsX5GGrNcCQgAuzDCDz1OWgEkhsAc78&amp;usp=sharing"/>
    <m/>
    <x v="0"/>
    <x v="4"/>
    <x v="1"/>
    <x v="4"/>
    <x v="6"/>
    <x v="6"/>
  </r>
  <r>
    <s v="(AS) Koons Chevrolet Buick GMC - Tysons (NO TOURS)8"/>
    <x v="7"/>
    <x v="6"/>
    <x v="12"/>
    <x v="1"/>
    <x v="1"/>
    <x v="1"/>
    <x v="3"/>
    <s v="https://tools.sig.systems/site/details/352"/>
    <s v="-"/>
    <m/>
    <x v="0"/>
    <x v="9"/>
    <x v="0"/>
    <x v="6"/>
    <x v="12"/>
    <x v="12"/>
  </r>
  <r>
    <s v="(AS) Koons Tysons Toyota - Main Dealership (NO TOURS)8"/>
    <x v="7"/>
    <x v="6"/>
    <x v="19"/>
    <x v="1"/>
    <x v="1"/>
    <x v="1"/>
    <x v="3"/>
    <s v="https://tools.sig.systems/site/details/344"/>
    <s v="-"/>
    <m/>
    <x v="0"/>
    <x v="15"/>
    <x v="0"/>
    <x v="0"/>
    <x v="19"/>
    <x v="19"/>
  </r>
  <r>
    <s v="(AS) Koons Woodbridge Kia (NO TOURS)8"/>
    <x v="7"/>
    <x v="6"/>
    <x v="26"/>
    <x v="1"/>
    <x v="1"/>
    <x v="1"/>
    <x v="3"/>
    <s v="https://tools.sig.systems/site/details/346"/>
    <s v="-"/>
    <m/>
    <x v="0"/>
    <x v="21"/>
    <x v="0"/>
    <x v="0"/>
    <x v="26"/>
    <x v="26"/>
  </r>
  <r>
    <s v="(AS) Larry H Miller CDJR Fiat (NO TOURS)8"/>
    <x v="7"/>
    <x v="6"/>
    <x v="27"/>
    <x v="2"/>
    <x v="2"/>
    <x v="2"/>
    <x v="3"/>
    <s v="https://tools.sig.systems/site/details/298"/>
    <n v="0"/>
    <m/>
    <x v="10"/>
    <x v="2"/>
    <x v="0"/>
    <x v="0"/>
    <x v="27"/>
    <x v="27"/>
  </r>
  <r>
    <s v="(KG) Big Star Cadillac8"/>
    <x v="7"/>
    <x v="6"/>
    <x v="34"/>
    <x v="0"/>
    <x v="0"/>
    <x v="0"/>
    <x v="3"/>
    <s v="https://tools.sig.systems/site/details/316"/>
    <s v="https://www.google.com/maps/d/edit?mid=1jIRkMUnWNPuTgDjQgDP-f33LClT85NU&amp;usp=sharing"/>
    <m/>
    <x v="15"/>
    <x v="1"/>
    <x v="0"/>
    <x v="0"/>
    <x v="34"/>
    <x v="34"/>
  </r>
  <r>
    <s v="(ML) Joe Machens Hyundai8"/>
    <x v="7"/>
    <x v="6"/>
    <x v="49"/>
    <x v="0"/>
    <x v="0"/>
    <x v="0"/>
    <x v="3"/>
    <s v="https://tools.sig.systems/site/details/286"/>
    <s v="https://www.google.com/maps/d/viewer?hl=es&amp;mid=1C1oZdjH3dNvCvqdpIv_Lk0Yn1OCVn-4&amp;ll=38.965368114274455%2C-92.3405954&amp;z=15"/>
    <m/>
    <x v="0"/>
    <x v="35"/>
    <x v="0"/>
    <x v="10"/>
    <x v="49"/>
    <x v="49"/>
  </r>
  <r>
    <s v="Mario Residence8"/>
    <x v="7"/>
    <x v="6"/>
    <x v="58"/>
    <x v="3"/>
    <x v="1"/>
    <x v="3"/>
    <x v="3"/>
    <s v="https://tools.sig.systems/site/details/148"/>
    <s v="https://www.google.com/maps/d/edit?hl=es&amp;mid=13OmECPqyeB7fXgZmEoM9cnG34HU_v5g&amp;ll=26.046837034777553%2C-80.38753458591658&amp;z=19"/>
    <m/>
    <x v="30"/>
    <x v="39"/>
    <x v="0"/>
    <x v="0"/>
    <x v="55"/>
    <x v="58"/>
  </r>
  <r>
    <s v="(AS) Koons Annapolis Toyota (NO TOURS)8"/>
    <x v="7"/>
    <x v="7"/>
    <x v="7"/>
    <x v="1"/>
    <x v="1"/>
    <x v="1"/>
    <x v="3"/>
    <s v="https://tools.sig.systems/site/details/337"/>
    <s v="-"/>
    <m/>
    <x v="5"/>
    <x v="5"/>
    <x v="0"/>
    <x v="0"/>
    <x v="7"/>
    <x v="7"/>
  </r>
  <r>
    <s v="(AS) Koons Arlington Toyota - New Car (NO TOURS)8"/>
    <x v="7"/>
    <x v="7"/>
    <x v="8"/>
    <x v="1"/>
    <x v="1"/>
    <x v="1"/>
    <x v="3"/>
    <s v="https://tools.sig.systems/site/details/334"/>
    <s v="-"/>
    <m/>
    <x v="0"/>
    <x v="6"/>
    <x v="0"/>
    <x v="0"/>
    <x v="8"/>
    <x v="8"/>
  </r>
  <r>
    <s v="(AS) Koons Chevrolet Buick GMC - Tysons Remote Lot (NO TOURS)8"/>
    <x v="7"/>
    <x v="7"/>
    <x v="13"/>
    <x v="1"/>
    <x v="1"/>
    <x v="1"/>
    <x v="3"/>
    <s v="https://tools.sig.systems/site/details/333"/>
    <s v="-"/>
    <m/>
    <x v="0"/>
    <x v="10"/>
    <x v="2"/>
    <x v="7"/>
    <x v="13"/>
    <x v="13"/>
  </r>
  <r>
    <s v="(AS) Koons Sterling Ford - Main Dealership (NO TOURS)8"/>
    <x v="7"/>
    <x v="7"/>
    <x v="18"/>
    <x v="1"/>
    <x v="1"/>
    <x v="1"/>
    <x v="3"/>
    <s v="https://tools.sig.systems/site/details/348"/>
    <n v="0"/>
    <m/>
    <x v="8"/>
    <x v="14"/>
    <x v="0"/>
    <x v="8"/>
    <x v="18"/>
    <x v="18"/>
  </r>
  <r>
    <s v="(AS) Koons Volvo Cars White Marsh (NO TOURS)8"/>
    <x v="7"/>
    <x v="7"/>
    <x v="20"/>
    <x v="1"/>
    <x v="1"/>
    <x v="1"/>
    <x v="3"/>
    <s v="https://tools.sig.systems/site/details/338"/>
    <n v="0"/>
    <m/>
    <x v="0"/>
    <x v="16"/>
    <x v="0"/>
    <x v="0"/>
    <x v="20"/>
    <x v="20"/>
  </r>
  <r>
    <s v="(DT) Arlington8"/>
    <x v="7"/>
    <x v="7"/>
    <x v="31"/>
    <x v="0"/>
    <x v="0"/>
    <x v="0"/>
    <x v="0"/>
    <s v="https://tools.sig.systems/site/details/199"/>
    <s v="-"/>
    <m/>
    <x v="12"/>
    <x v="1"/>
    <x v="0"/>
    <x v="0"/>
    <x v="31"/>
    <x v="31"/>
  </r>
  <r>
    <s v="(LT) Luther Brookdale Honda (NO TOURS)8"/>
    <x v="7"/>
    <x v="7"/>
    <x v="41"/>
    <x v="6"/>
    <x v="0"/>
    <x v="0"/>
    <x v="0"/>
    <s v="https://tools.sig.systems/site/details/280"/>
    <s v="https://www.google.com/maps/d/viewer?mid=1ot0ILX76JMuvd9yMuqkb4_e0yH1n7TA&amp;ll=45.07815812965141%2C-93.33506855000002&amp;z=17"/>
    <m/>
    <x v="0"/>
    <x v="28"/>
    <x v="7"/>
    <x v="18"/>
    <x v="41"/>
    <x v="41"/>
  </r>
  <r>
    <s v="(PE) JLR Darien (NO TOURS)8"/>
    <x v="7"/>
    <x v="7"/>
    <x v="51"/>
    <x v="5"/>
    <x v="1"/>
    <x v="1"/>
    <x v="0"/>
    <s v="https://tools.sig.systems/site/details/189"/>
    <s v="-"/>
    <m/>
    <x v="24"/>
    <x v="1"/>
    <x v="0"/>
    <x v="0"/>
    <x v="15"/>
    <x v="51"/>
  </r>
  <r>
    <s v="(AS) 3281 Storage Lot (NO TOURS)9"/>
    <x v="8"/>
    <x v="0"/>
    <x v="0"/>
    <x v="0"/>
    <x v="0"/>
    <x v="0"/>
    <x v="0"/>
    <s v="https://tools.sig.systems/site/details/305"/>
    <s v="https://www.google.com/maps/d/edit?hl=es&amp;mid=1uPmsRMsXnp74hPFW2t-sp2totVWF_xY&amp;ll=32.83050137713022%2C-96.83197783061323&amp;z=17"/>
    <m/>
    <x v="0"/>
    <x v="0"/>
    <x v="0"/>
    <x v="0"/>
    <x v="0"/>
    <x v="0"/>
  </r>
  <r>
    <s v="(AS) Koons Chevrolet Buick GMC - Clarksville (NO TOURS)9"/>
    <x v="8"/>
    <x v="0"/>
    <x v="10"/>
    <x v="1"/>
    <x v="1"/>
    <x v="1"/>
    <x v="0"/>
    <s v="https://tools.sig.systems/site/details/306"/>
    <s v="https://www.google.com/maps/d/edit?hl=es&amp;mid=11XB1lTSP7EcDCDvzypdUPWP6bWCNAEI&amp;ll=39.21145022420528%2C-76.94003711910554&amp;z=17"/>
    <m/>
    <x v="0"/>
    <x v="8"/>
    <x v="0"/>
    <x v="0"/>
    <x v="10"/>
    <x v="10"/>
  </r>
  <r>
    <s v="(DT) Charlotte9"/>
    <x v="8"/>
    <x v="0"/>
    <x v="32"/>
    <x v="1"/>
    <x v="1"/>
    <x v="1"/>
    <x v="0"/>
    <s v="https://tools.sig.systems/site/details/299"/>
    <n v="0"/>
    <m/>
    <x v="13"/>
    <x v="1"/>
    <x v="0"/>
    <x v="12"/>
    <x v="32"/>
    <x v="32"/>
  </r>
  <r>
    <s v="(LT) Luther Brookdale Toyota9"/>
    <x v="8"/>
    <x v="0"/>
    <x v="42"/>
    <x v="6"/>
    <x v="0"/>
    <x v="1"/>
    <x v="0"/>
    <s v="https://tools.sig.systems/site/details/281"/>
    <s v="https://www.google.com/maps/d/viewer?mid=1ot0ILX76JMuvd9yMuqkb4_e0yH1n7TA&amp;ll=45.07815812965141%2C-93.33506855000002&amp;z=17"/>
    <m/>
    <x v="0"/>
    <x v="29"/>
    <x v="3"/>
    <x v="4"/>
    <x v="42"/>
    <x v="42"/>
  </r>
  <r>
    <s v="(LT) Luther Burnsville Hyundai9"/>
    <x v="8"/>
    <x v="0"/>
    <x v="43"/>
    <x v="0"/>
    <x v="0"/>
    <x v="0"/>
    <x v="0"/>
    <s v="https://tools.sig.systems/site/details/307"/>
    <n v="0"/>
    <m/>
    <x v="0"/>
    <x v="30"/>
    <x v="8"/>
    <x v="19"/>
    <x v="43"/>
    <x v="43"/>
  </r>
  <r>
    <s v="(PE) BMW Service Center (NO TOURS)9"/>
    <x v="8"/>
    <x v="0"/>
    <x v="50"/>
    <x v="5"/>
    <x v="1"/>
    <x v="1"/>
    <x v="0"/>
    <s v="https://tools.sig.systems/site/details/184"/>
    <s v="https://www.google.com/maps/d/edit?hl=en&amp;mid=1UHmt7tH1ihTa85i0MfQIcTfVvIQg_vM&amp;ll=41.02423447529239%2C-73.63721502222738&amp;z=18"/>
    <m/>
    <x v="23"/>
    <x v="1"/>
    <x v="0"/>
    <x v="0"/>
    <x v="50"/>
    <x v="50"/>
  </r>
  <r>
    <s v="(PE) MB of Greenwich9"/>
    <x v="8"/>
    <x v="0"/>
    <x v="54"/>
    <x v="5"/>
    <x v="1"/>
    <x v="1"/>
    <x v="0"/>
    <s v="https://tools.sig.systems/site/details/188"/>
    <s v="https://www.google.com/maps/d/edit?hl=en&amp;mid=1UHmt7tH1ihTa85i0MfQIcTfVvIQg_vM&amp;ll=41.02423447529239%2C-73.63721502222738&amp;z=18"/>
    <m/>
    <x v="27"/>
    <x v="36"/>
    <x v="0"/>
    <x v="0"/>
    <x v="52"/>
    <x v="54"/>
  </r>
  <r>
    <s v="(AS) Coggin BMW Ft. Pierce (NO TOURS)9"/>
    <x v="8"/>
    <x v="1"/>
    <x v="1"/>
    <x v="1"/>
    <x v="1"/>
    <x v="1"/>
    <x v="0"/>
    <s v="https://tools.sig.systems/site/details/119"/>
    <s v="https://www.google.com/maps/d/viewer?mid=1AyViBuyeq7iwDua1SVudJ2A1BYi3IBA&amp;ll=27.38181516363982%2C-80.32568845000002&amp;z=18"/>
    <m/>
    <x v="1"/>
    <x v="1"/>
    <x v="0"/>
    <x v="1"/>
    <x v="1"/>
    <x v="1"/>
  </r>
  <r>
    <s v="(AS) Koons Baltimore Ford - Main Dealership (NO TOURS)9"/>
    <x v="8"/>
    <x v="1"/>
    <x v="9"/>
    <x v="1"/>
    <x v="1"/>
    <x v="1"/>
    <x v="0"/>
    <s v="https://tools.sig.systems/site/details/335"/>
    <s v="-"/>
    <m/>
    <x v="6"/>
    <x v="7"/>
    <x v="0"/>
    <x v="5"/>
    <x v="9"/>
    <x v="9"/>
  </r>
  <r>
    <s v="(AS) Koons Chevrolet Buick GMC - Clarksville Remote Lot (NO TOURS)9"/>
    <x v="8"/>
    <x v="1"/>
    <x v="11"/>
    <x v="1"/>
    <x v="1"/>
    <x v="1"/>
    <x v="0"/>
    <s v="https://tools.sig.systems/site/details/308"/>
    <s v="https://www.google.com/maps/d/edit?hl=es&amp;mid=11XB1lTSP7EcDCDvzypdUPWP6bWCNAEI&amp;ll=39.21145022420528%2C-76.94003711910554&amp;z=21"/>
    <m/>
    <x v="0"/>
    <x v="3"/>
    <x v="0"/>
    <x v="0"/>
    <x v="11"/>
    <x v="11"/>
  </r>
  <r>
    <s v="(AS) Koons Westminster Toyota (NO TOURS)9"/>
    <x v="8"/>
    <x v="1"/>
    <x v="21"/>
    <x v="1"/>
    <x v="1"/>
    <x v="1"/>
    <x v="0"/>
    <s v="https://tools.sig.systems/site/details/341"/>
    <s v="-"/>
    <m/>
    <x v="0"/>
    <x v="17"/>
    <x v="0"/>
    <x v="0"/>
    <x v="21"/>
    <x v="21"/>
  </r>
  <r>
    <s v="(AS) Koons Woodbridge GMC (NO TOURS)9"/>
    <x v="8"/>
    <x v="1"/>
    <x v="24"/>
    <x v="1"/>
    <x v="1"/>
    <x v="1"/>
    <x v="0"/>
    <s v="https://tools.sig.systems/site/details/343"/>
    <n v="0"/>
    <m/>
    <x v="0"/>
    <x v="7"/>
    <x v="0"/>
    <x v="9"/>
    <x v="24"/>
    <x v="24"/>
  </r>
  <r>
    <s v="(DT) Modesto9"/>
    <x v="8"/>
    <x v="1"/>
    <x v="33"/>
    <x v="4"/>
    <x v="3"/>
    <x v="4"/>
    <x v="0"/>
    <s v="https://tools.sig.systems/site/details/267"/>
    <n v="0"/>
    <m/>
    <x v="14"/>
    <x v="24"/>
    <x v="0"/>
    <x v="0"/>
    <x v="33"/>
    <x v="33"/>
  </r>
  <r>
    <s v="(KG) Ken Garff Kia of Avondale9"/>
    <x v="8"/>
    <x v="1"/>
    <x v="36"/>
    <x v="4"/>
    <x v="4"/>
    <x v="4"/>
    <x v="0"/>
    <s v="https://tools.sig.systems/site/details/283"/>
    <s v="https://www.google.com/maps/d/viewer?mid=1bDs0QGFZwL3vEeGKxjVMk_j4azr0-lg&amp;ll=33.4593758581648%2C-112.28793780000001&amp;z=18"/>
    <m/>
    <x v="17"/>
    <x v="1"/>
    <x v="0"/>
    <x v="14"/>
    <x v="36"/>
    <x v="36"/>
  </r>
  <r>
    <s v="(LT) Luther Genesis of Minneapolis9"/>
    <x v="8"/>
    <x v="1"/>
    <x v="44"/>
    <x v="0"/>
    <x v="0"/>
    <x v="0"/>
    <x v="0"/>
    <s v="https://tools.sig.systems/site/details/315"/>
    <n v="0"/>
    <m/>
    <x v="0"/>
    <x v="31"/>
    <x v="0"/>
    <x v="0"/>
    <x v="44"/>
    <x v="44"/>
  </r>
  <r>
    <s v="(AS) Koons MB of Catonsville (NO TOURS)9"/>
    <x v="8"/>
    <x v="2"/>
    <x v="16"/>
    <x v="1"/>
    <x v="1"/>
    <x v="1"/>
    <x v="0"/>
    <s v="https://tools.sig.systems/site/details/303"/>
    <n v="0"/>
    <m/>
    <x v="0"/>
    <x v="12"/>
    <x v="3"/>
    <x v="3"/>
    <x v="16"/>
    <x v="16"/>
  </r>
  <r>
    <s v="(AS) Koons Tysons Toyota - Main Dealership (NO TOURS)9"/>
    <x v="8"/>
    <x v="2"/>
    <x v="19"/>
    <x v="1"/>
    <x v="1"/>
    <x v="1"/>
    <x v="0"/>
    <s v="https://tools.sig.systems/site/details/344"/>
    <s v="-"/>
    <m/>
    <x v="0"/>
    <x v="15"/>
    <x v="0"/>
    <x v="0"/>
    <x v="19"/>
    <x v="19"/>
  </r>
  <r>
    <s v="(AS) Koons White Marsh Chevrolet (NO TOURS)9"/>
    <x v="8"/>
    <x v="2"/>
    <x v="22"/>
    <x v="1"/>
    <x v="1"/>
    <x v="1"/>
    <x v="0"/>
    <s v="https://tools.sig.systems/site/details/339"/>
    <s v="-"/>
    <m/>
    <x v="9"/>
    <x v="18"/>
    <x v="0"/>
    <x v="0"/>
    <x v="22"/>
    <x v="22"/>
  </r>
  <r>
    <s v="(AS) Plaza Collision ST Louis (NO TOURS)9"/>
    <x v="8"/>
    <x v="2"/>
    <x v="28"/>
    <x v="0"/>
    <x v="0"/>
    <x v="0"/>
    <x v="0"/>
    <s v="https://tools.sig.systems/site/details/350"/>
    <s v="-"/>
    <m/>
    <x v="11"/>
    <x v="7"/>
    <x v="0"/>
    <x v="0"/>
    <x v="28"/>
    <x v="28"/>
  </r>
  <r>
    <s v="(LT) Luther Hopkins Honda (NO TOURS)9"/>
    <x v="8"/>
    <x v="2"/>
    <x v="45"/>
    <x v="5"/>
    <x v="0"/>
    <x v="0"/>
    <x v="0"/>
    <s v="https://tools.sig.systems/site/details/288"/>
    <n v="0"/>
    <m/>
    <x v="0"/>
    <x v="32"/>
    <x v="9"/>
    <x v="20"/>
    <x v="45"/>
    <x v="45"/>
  </r>
  <r>
    <s v="(AS) Coggin Honda of Orlando (NO TOURS)9"/>
    <x v="8"/>
    <x v="3"/>
    <x v="3"/>
    <x v="1"/>
    <x v="1"/>
    <x v="1"/>
    <x v="0"/>
    <s v="https://tools.sig.systems/site/details/324"/>
    <n v="0"/>
    <m/>
    <x v="3"/>
    <x v="1"/>
    <x v="0"/>
    <x v="2"/>
    <x v="3"/>
    <x v="3"/>
  </r>
  <r>
    <s v="(AS) Koons Easton Toyota - Main Dealership (NO TOURS)9"/>
    <x v="8"/>
    <x v="3"/>
    <x v="14"/>
    <x v="1"/>
    <x v="1"/>
    <x v="1"/>
    <x v="0"/>
    <s v="https://tools.sig.systems/site/details/340"/>
    <s v="-"/>
    <m/>
    <x v="0"/>
    <x v="11"/>
    <x v="0"/>
    <x v="0"/>
    <x v="14"/>
    <x v="14"/>
  </r>
  <r>
    <s v="(AS) Koons Falls Church Ford (NO TOURS)9"/>
    <x v="8"/>
    <x v="3"/>
    <x v="15"/>
    <x v="1"/>
    <x v="1"/>
    <x v="1"/>
    <x v="0"/>
    <s v="https://tools.sig.systems/site/details/345"/>
    <s v="-"/>
    <m/>
    <x v="0"/>
    <x v="7"/>
    <x v="0"/>
    <x v="0"/>
    <x v="15"/>
    <x v="15"/>
  </r>
  <r>
    <s v="(AS) Koons Owings Mills Kia (NO TOURS)9"/>
    <x v="8"/>
    <x v="3"/>
    <x v="17"/>
    <x v="1"/>
    <x v="1"/>
    <x v="1"/>
    <x v="0"/>
    <s v="https://tools.sig.systems/site/details/336"/>
    <s v="-"/>
    <m/>
    <x v="7"/>
    <x v="13"/>
    <x v="0"/>
    <x v="0"/>
    <x v="17"/>
    <x v="17"/>
  </r>
  <r>
    <s v="(LT) Landers Kia of Little Rock9"/>
    <x v="8"/>
    <x v="3"/>
    <x v="38"/>
    <x v="0"/>
    <x v="0"/>
    <x v="0"/>
    <x v="0"/>
    <s v="https://tools.sig.systems/site/details/322"/>
    <s v="https://www.google.com/maps/d/u/1/edit?mid=1-zEzsc6U6nZom08edp0XAd3_HYFvAyk&amp;usp=sharing"/>
    <m/>
    <x v="19"/>
    <x v="1"/>
    <x v="4"/>
    <x v="16"/>
    <x v="38"/>
    <x v="38"/>
  </r>
  <r>
    <s v="(PE) JLR Englewood (NO TOURS)9"/>
    <x v="8"/>
    <x v="3"/>
    <x v="52"/>
    <x v="5"/>
    <x v="1"/>
    <x v="1"/>
    <x v="0"/>
    <s v="https://tools.sig.systems/site/details/178"/>
    <s v="https://www.google.com/maps/d/viewer?mid=1ubI2iKs1JyYXssuT4oLPnVvFnyLPi_s&amp;ll=40.878808846788026%2C-73.98560655&amp;z=17"/>
    <m/>
    <x v="25"/>
    <x v="1"/>
    <x v="0"/>
    <x v="0"/>
    <x v="15"/>
    <x v="52"/>
  </r>
  <r>
    <s v="(AS) Hare Chevrolet (NO TOURS)9"/>
    <x v="8"/>
    <x v="4"/>
    <x v="4"/>
    <x v="1"/>
    <x v="1"/>
    <x v="1"/>
    <x v="0"/>
    <s v="https://tools.sig.systems/site/details/301"/>
    <s v="https://www.google.com/maps/d/edit?mid=1hsX5GGrNcCQgAuzDCDz1OWgEkhsAc78&amp;usp=sharing"/>
    <m/>
    <x v="4"/>
    <x v="2"/>
    <x v="0"/>
    <x v="3"/>
    <x v="4"/>
    <x v="4"/>
  </r>
  <r>
    <s v="(LT) Luther Bloomington Hyundai (NO TOURS)9"/>
    <x v="8"/>
    <x v="4"/>
    <x v="39"/>
    <x v="0"/>
    <x v="0"/>
    <x v="5"/>
    <x v="0"/>
    <s v="https://tools.sig.systems/site/details/318"/>
    <n v="0"/>
    <m/>
    <x v="0"/>
    <x v="26"/>
    <x v="5"/>
    <x v="17"/>
    <x v="39"/>
    <x v="39"/>
  </r>
  <r>
    <s v="(LT) Luther Landers Recon Center9"/>
    <x v="8"/>
    <x v="4"/>
    <x v="46"/>
    <x v="0"/>
    <x v="0"/>
    <x v="0"/>
    <x v="0"/>
    <s v="https://tools.sig.systems/site/details/323"/>
    <s v="https://www.google.com/maps/d/u/1/edit?mid=1-zEzsc6U6nZom08edp0XAd3_HYFvAyk&amp;usp=sharing"/>
    <m/>
    <x v="21"/>
    <x v="1"/>
    <x v="0"/>
    <x v="0"/>
    <x v="46"/>
    <x v="46"/>
  </r>
  <r>
    <s v="(SCH) Schumacher of Delray I &amp; III9"/>
    <x v="8"/>
    <x v="4"/>
    <x v="56"/>
    <x v="1"/>
    <x v="1"/>
    <x v="1"/>
    <x v="0"/>
    <s v="https://tools.sig.systems/site/details/159"/>
    <s v="https://www.google.com/maps/d/viewer?mid=1ZLGV-cDM9aCfovhmXHIAXgVOKts0dEI&amp;ll=26.438859950088858%2C-80.07968125000001&amp;z=16"/>
    <m/>
    <x v="29"/>
    <x v="37"/>
    <x v="0"/>
    <x v="0"/>
    <x v="54"/>
    <x v="56"/>
  </r>
  <r>
    <s v="(AS) Hare Truck Center (NO TOURS)9"/>
    <x v="8"/>
    <x v="5"/>
    <x v="5"/>
    <x v="1"/>
    <x v="1"/>
    <x v="1"/>
    <x v="0"/>
    <s v="https://tools.sig.systems/site/details/300"/>
    <s v="https://www.google.com/maps/d/edit?mid=1hsX5GGrNcCQgAuzDCDz1OWgEkhsAc78&amp;usp=sharing"/>
    <m/>
    <x v="0"/>
    <x v="3"/>
    <x v="0"/>
    <x v="0"/>
    <x v="5"/>
    <x v="5"/>
  </r>
  <r>
    <s v="(AS) Koons Sterling Ford - Main Dealership (NO TOURS)9"/>
    <x v="8"/>
    <x v="5"/>
    <x v="18"/>
    <x v="1"/>
    <x v="1"/>
    <x v="1"/>
    <x v="0"/>
    <s v="https://tools.sig.systems/site/details/348"/>
    <n v="0"/>
    <m/>
    <x v="8"/>
    <x v="14"/>
    <x v="0"/>
    <x v="8"/>
    <x v="18"/>
    <x v="18"/>
  </r>
  <r>
    <s v="(KG) Big Star Hyundai Houston9"/>
    <x v="8"/>
    <x v="5"/>
    <x v="35"/>
    <x v="0"/>
    <x v="0"/>
    <x v="0"/>
    <x v="0"/>
    <s v="https://tools.sig.systems/site/details/287"/>
    <s v="https://www.google.com/maps/d/edit?hl=en&amp;mid=1jIRkMUnWNPuTgDjQgDP-f33LClT85NU&amp;ll=29.55731827236326%2C-95.1601644&amp;z=17"/>
    <m/>
    <x v="16"/>
    <x v="25"/>
    <x v="0"/>
    <x v="13"/>
    <x v="35"/>
    <x v="35"/>
  </r>
  <r>
    <s v="(LT) Luther Bloomington Subaru - Acura9"/>
    <x v="8"/>
    <x v="5"/>
    <x v="40"/>
    <x v="5"/>
    <x v="0"/>
    <x v="5"/>
    <x v="0"/>
    <s v="https://tools.sig.systems/site/details/289"/>
    <n v="0"/>
    <m/>
    <x v="20"/>
    <x v="27"/>
    <x v="6"/>
    <x v="0"/>
    <x v="40"/>
    <x v="40"/>
  </r>
  <r>
    <s v="(LT) Luther St. Cloud Subaru9"/>
    <x v="8"/>
    <x v="5"/>
    <x v="48"/>
    <x v="0"/>
    <x v="0"/>
    <x v="6"/>
    <x v="0"/>
    <s v="https://tools.sig.systems/site/details/295"/>
    <n v="0"/>
    <m/>
    <x v="22"/>
    <x v="34"/>
    <x v="11"/>
    <x v="21"/>
    <x v="48"/>
    <x v="48"/>
  </r>
  <r>
    <s v="(TC) Lamborghini South Dade9"/>
    <x v="8"/>
    <x v="5"/>
    <x v="57"/>
    <x v="1"/>
    <x v="1"/>
    <x v="1"/>
    <x v="0"/>
    <s v="https://tools.sig.systems/site/details/313"/>
    <n v="0"/>
    <m/>
    <x v="0"/>
    <x v="38"/>
    <x v="0"/>
    <x v="0"/>
    <x v="15"/>
    <x v="57"/>
  </r>
  <r>
    <s v="(AS) Kahlo CDJR (NO TOURS)9"/>
    <x v="8"/>
    <x v="6"/>
    <x v="6"/>
    <x v="1"/>
    <x v="1"/>
    <x v="1"/>
    <x v="0"/>
    <s v="https://tools.sig.systems/site/details/282"/>
    <s v="https://www.google.com/maps/d/edit?mid=1hsX5GGrNcCQgAuzDCDz1OWgEkhsAc78&amp;usp=sharing"/>
    <m/>
    <x v="0"/>
    <x v="4"/>
    <x v="1"/>
    <x v="4"/>
    <x v="6"/>
    <x v="6"/>
  </r>
  <r>
    <s v="(AS) Koons Chevrolet Buick GMC - Tysons (NO TOURS)9"/>
    <x v="8"/>
    <x v="6"/>
    <x v="12"/>
    <x v="1"/>
    <x v="1"/>
    <x v="1"/>
    <x v="0"/>
    <s v="https://tools.sig.systems/site/details/352"/>
    <s v="-"/>
    <m/>
    <x v="0"/>
    <x v="9"/>
    <x v="0"/>
    <x v="6"/>
    <x v="12"/>
    <x v="12"/>
  </r>
  <r>
    <s v="(AS) Koons Woodbridge Kia (NO TOURS)9"/>
    <x v="8"/>
    <x v="6"/>
    <x v="26"/>
    <x v="1"/>
    <x v="1"/>
    <x v="1"/>
    <x v="0"/>
    <s v="https://tools.sig.systems/site/details/346"/>
    <s v="-"/>
    <m/>
    <x v="0"/>
    <x v="21"/>
    <x v="0"/>
    <x v="0"/>
    <x v="26"/>
    <x v="26"/>
  </r>
  <r>
    <s v="(KG) Big Star Cadillac9"/>
    <x v="8"/>
    <x v="6"/>
    <x v="34"/>
    <x v="0"/>
    <x v="0"/>
    <x v="0"/>
    <x v="0"/>
    <s v="https://tools.sig.systems/site/details/316"/>
    <s v="https://www.google.com/maps/d/edit?mid=1jIRkMUnWNPuTgDjQgDP-f33LClT85NU&amp;usp=sharing"/>
    <m/>
    <x v="15"/>
    <x v="1"/>
    <x v="0"/>
    <x v="0"/>
    <x v="34"/>
    <x v="34"/>
  </r>
  <r>
    <s v="(LT) Luther Brookdale Honda (NO TOURS)9"/>
    <x v="8"/>
    <x v="6"/>
    <x v="41"/>
    <x v="6"/>
    <x v="0"/>
    <x v="0"/>
    <x v="0"/>
    <s v="https://tools.sig.systems/site/details/280"/>
    <s v="https://www.google.com/maps/d/viewer?mid=1ot0ILX76JMuvd9yMuqkb4_e0yH1n7TA&amp;ll=45.07815812965141%2C-93.33506855000002&amp;z=17"/>
    <m/>
    <x v="0"/>
    <x v="28"/>
    <x v="7"/>
    <x v="18"/>
    <x v="41"/>
    <x v="41"/>
  </r>
  <r>
    <s v="(ML) Joe Machens Hyundai9"/>
    <x v="8"/>
    <x v="6"/>
    <x v="49"/>
    <x v="0"/>
    <x v="0"/>
    <x v="0"/>
    <x v="0"/>
    <s v="https://tools.sig.systems/site/details/286"/>
    <s v="https://www.google.com/maps/d/viewer?hl=es&amp;mid=1C1oZdjH3dNvCvqdpIv_Lk0Yn1OCVn-4&amp;ll=38.965368114274455%2C-92.3405954&amp;z=15"/>
    <m/>
    <x v="0"/>
    <x v="35"/>
    <x v="0"/>
    <x v="10"/>
    <x v="49"/>
    <x v="49"/>
  </r>
  <r>
    <s v="Mario Residence9"/>
    <x v="8"/>
    <x v="6"/>
    <x v="58"/>
    <x v="3"/>
    <x v="1"/>
    <x v="3"/>
    <x v="0"/>
    <s v="https://tools.sig.systems/site/details/148"/>
    <s v="https://www.google.com/maps/d/edit?hl=es&amp;mid=13OmECPqyeB7fXgZmEoM9cnG34HU_v5g&amp;ll=26.046837034777553%2C-80.38753458591658&amp;z=19"/>
    <m/>
    <x v="30"/>
    <x v="39"/>
    <x v="0"/>
    <x v="0"/>
    <x v="55"/>
    <x v="58"/>
  </r>
  <r>
    <s v="(AS) Koons Annapolis Toyota (NO TOURS)9"/>
    <x v="8"/>
    <x v="7"/>
    <x v="7"/>
    <x v="1"/>
    <x v="1"/>
    <x v="1"/>
    <x v="0"/>
    <s v="https://tools.sig.systems/site/details/337"/>
    <s v="-"/>
    <m/>
    <x v="5"/>
    <x v="5"/>
    <x v="0"/>
    <x v="0"/>
    <x v="7"/>
    <x v="7"/>
  </r>
  <r>
    <s v="(AS) Koons Arlington Toyota - New Car (NO TOURS)9"/>
    <x v="8"/>
    <x v="7"/>
    <x v="8"/>
    <x v="1"/>
    <x v="1"/>
    <x v="1"/>
    <x v="0"/>
    <s v="https://tools.sig.systems/site/details/334"/>
    <s v="-"/>
    <m/>
    <x v="0"/>
    <x v="6"/>
    <x v="0"/>
    <x v="0"/>
    <x v="8"/>
    <x v="8"/>
  </r>
  <r>
    <s v="(AS) Koons Chevrolet Buick GMC - Tysons Remote Lot (NO TOURS)9"/>
    <x v="8"/>
    <x v="7"/>
    <x v="13"/>
    <x v="1"/>
    <x v="1"/>
    <x v="1"/>
    <x v="0"/>
    <s v="https://tools.sig.systems/site/details/333"/>
    <s v="-"/>
    <m/>
    <x v="0"/>
    <x v="10"/>
    <x v="2"/>
    <x v="7"/>
    <x v="13"/>
    <x v="13"/>
  </r>
  <r>
    <s v="(AS) Koons Volvo Cars White Marsh (NO TOURS)9"/>
    <x v="8"/>
    <x v="7"/>
    <x v="20"/>
    <x v="1"/>
    <x v="1"/>
    <x v="1"/>
    <x v="0"/>
    <s v="https://tools.sig.systems/site/details/338"/>
    <n v="0"/>
    <m/>
    <x v="0"/>
    <x v="16"/>
    <x v="0"/>
    <x v="0"/>
    <x v="20"/>
    <x v="20"/>
  </r>
  <r>
    <s v="(AS) Larry H Miller CDJR Fiat (NO TOURS)9"/>
    <x v="8"/>
    <x v="7"/>
    <x v="27"/>
    <x v="2"/>
    <x v="2"/>
    <x v="2"/>
    <x v="0"/>
    <s v="https://tools.sig.systems/site/details/298"/>
    <n v="0"/>
    <m/>
    <x v="10"/>
    <x v="2"/>
    <x v="0"/>
    <x v="0"/>
    <x v="27"/>
    <x v="27"/>
  </r>
  <r>
    <s v="(DT) Arlington9"/>
    <x v="8"/>
    <x v="7"/>
    <x v="31"/>
    <x v="0"/>
    <x v="0"/>
    <x v="0"/>
    <x v="0"/>
    <s v="https://tools.sig.systems/site/details/199"/>
    <s v="-"/>
    <m/>
    <x v="12"/>
    <x v="1"/>
    <x v="0"/>
    <x v="0"/>
    <x v="31"/>
    <x v="31"/>
  </r>
  <r>
    <s v="(KG) Ken Garff Volkswagen of Gilbert9"/>
    <x v="8"/>
    <x v="7"/>
    <x v="37"/>
    <x v="4"/>
    <x v="4"/>
    <x v="4"/>
    <x v="0"/>
    <s v="https://tools.sig.systems/site/details/284"/>
    <s v="https://www.google.com/maps/d/viewer?hl=es&amp;mid=19SU7XE9Cg8jhVFpEI21Vi9Zfgdih9Ds&amp;ll=33.29158262977276%2C-111.75783630000002&amp;z=17"/>
    <m/>
    <x v="18"/>
    <x v="1"/>
    <x v="0"/>
    <x v="15"/>
    <x v="37"/>
    <x v="37"/>
  </r>
  <r>
    <s v="(PE) JLR Darien (NO TOURS)9"/>
    <x v="8"/>
    <x v="7"/>
    <x v="51"/>
    <x v="5"/>
    <x v="1"/>
    <x v="1"/>
    <x v="0"/>
    <s v="https://tools.sig.systems/site/details/189"/>
    <s v="-"/>
    <m/>
    <x v="24"/>
    <x v="1"/>
    <x v="0"/>
    <x v="0"/>
    <x v="15"/>
    <x v="51"/>
  </r>
  <r>
    <s v="(PE) JLR Paramus (NO TOURS)9"/>
    <x v="8"/>
    <x v="7"/>
    <x v="53"/>
    <x v="5"/>
    <x v="1"/>
    <x v="1"/>
    <x v="0"/>
    <s v="https://tools.sig.systems/site/details/177"/>
    <n v="0"/>
    <m/>
    <x v="26"/>
    <x v="1"/>
    <x v="0"/>
    <x v="0"/>
    <x v="51"/>
    <x v="53"/>
  </r>
  <r>
    <s v="(AS) Coggin Collision Center of Kissimmee (NO TOURS)9"/>
    <x v="8"/>
    <x v="8"/>
    <x v="2"/>
    <x v="1"/>
    <x v="1"/>
    <x v="1"/>
    <x v="0"/>
    <s v="https://tools.sig.systems/site/details/331"/>
    <n v="0"/>
    <m/>
    <x v="2"/>
    <x v="1"/>
    <x v="0"/>
    <x v="0"/>
    <x v="2"/>
    <x v="2"/>
  </r>
  <r>
    <s v="(AS) Koons Woodbridge Ford (NO TOURS)9"/>
    <x v="8"/>
    <x v="8"/>
    <x v="23"/>
    <x v="1"/>
    <x v="1"/>
    <x v="1"/>
    <x v="4"/>
    <s v="https://tools.sig.systems/site/details/342"/>
    <n v="0"/>
    <m/>
    <x v="0"/>
    <x v="19"/>
    <x v="0"/>
    <x v="0"/>
    <x v="23"/>
    <x v="23"/>
  </r>
  <r>
    <s v="(AS) Koons Woodbridge Hyundai (NO TOURS)9"/>
    <x v="8"/>
    <x v="8"/>
    <x v="25"/>
    <x v="1"/>
    <x v="1"/>
    <x v="1"/>
    <x v="5"/>
    <s v="https://tools.sig.systems/site/details/347"/>
    <s v="-"/>
    <m/>
    <x v="0"/>
    <x v="20"/>
    <x v="0"/>
    <x v="0"/>
    <x v="25"/>
    <x v="25"/>
  </r>
  <r>
    <s v="(AS) Plaza Mercedes Benz West (NO TOURS)9"/>
    <x v="8"/>
    <x v="8"/>
    <x v="29"/>
    <x v="0"/>
    <x v="0"/>
    <x v="0"/>
    <x v="0"/>
    <s v="https://tools.sig.systems/site/details/349"/>
    <s v="-"/>
    <m/>
    <x v="0"/>
    <x v="22"/>
    <x v="0"/>
    <x v="10"/>
    <x v="29"/>
    <x v="29"/>
  </r>
  <r>
    <s v="(BRL) Shoemakersville9"/>
    <x v="8"/>
    <x v="8"/>
    <x v="30"/>
    <x v="3"/>
    <x v="1"/>
    <x v="3"/>
    <x v="0"/>
    <s v="https://tools.sig.systems/site/details/302"/>
    <n v="0"/>
    <m/>
    <x v="0"/>
    <x v="23"/>
    <x v="0"/>
    <x v="11"/>
    <x v="30"/>
    <x v="30"/>
  </r>
  <r>
    <s v="(LT) Luther North Country Ford9"/>
    <x v="8"/>
    <x v="8"/>
    <x v="47"/>
    <x v="0"/>
    <x v="0"/>
    <x v="0"/>
    <x v="3"/>
    <s v="https://tools.sig.systems/site/details/292"/>
    <n v="0"/>
    <m/>
    <x v="0"/>
    <x v="33"/>
    <x v="10"/>
    <x v="0"/>
    <x v="47"/>
    <x v="47"/>
  </r>
  <r>
    <s v="(PE) Porsche Audi Fairfield (NO TOURS)9"/>
    <x v="8"/>
    <x v="8"/>
    <x v="55"/>
    <x v="5"/>
    <x v="1"/>
    <x v="1"/>
    <x v="0"/>
    <s v="https://tools.sig.systems/site/details/194"/>
    <s v="-"/>
    <m/>
    <x v="28"/>
    <x v="1"/>
    <x v="0"/>
    <x v="4"/>
    <x v="53"/>
    <x v="55"/>
  </r>
  <r>
    <s v="(AS) Koons Tysons Toyota - UC Recon (NO TOURS)1"/>
    <x v="0"/>
    <x v="0"/>
    <x v="59"/>
    <x v="1"/>
    <x v="1"/>
    <x v="1"/>
    <x v="0"/>
    <s v="https://tools.sig.systems/site/details/355"/>
    <s v="-"/>
    <m/>
    <x v="0"/>
    <x v="40"/>
    <x v="0"/>
    <x v="0"/>
    <x v="15"/>
    <x v="59"/>
  </r>
  <r>
    <s v="(AS) Koons Tysons Toyota - UC Recon (NO TOURS)2"/>
    <x v="1"/>
    <x v="1"/>
    <x v="59"/>
    <x v="1"/>
    <x v="1"/>
    <x v="1"/>
    <x v="0"/>
    <s v="https://tools.sig.systems/site/details/355"/>
    <s v="-"/>
    <m/>
    <x v="0"/>
    <x v="40"/>
    <x v="0"/>
    <x v="0"/>
    <x v="15"/>
    <x v="59"/>
  </r>
  <r>
    <s v="(AS) Koons Tysons Toyota - UC Recon (NO TOURS)3"/>
    <x v="2"/>
    <x v="2"/>
    <x v="59"/>
    <x v="1"/>
    <x v="1"/>
    <x v="1"/>
    <x v="0"/>
    <s v="https://tools.sig.systems/site/details/355"/>
    <s v="-"/>
    <m/>
    <x v="0"/>
    <x v="40"/>
    <x v="0"/>
    <x v="0"/>
    <x v="15"/>
    <x v="59"/>
  </r>
  <r>
    <s v="(AS) Koons Tysons Toyota - UC Recon (NO TOURS)4"/>
    <x v="3"/>
    <x v="0"/>
    <x v="59"/>
    <x v="1"/>
    <x v="1"/>
    <x v="1"/>
    <x v="0"/>
    <s v="https://tools.sig.systems/site/details/355"/>
    <s v="-"/>
    <m/>
    <x v="0"/>
    <x v="40"/>
    <x v="0"/>
    <x v="0"/>
    <x v="15"/>
    <x v="59"/>
  </r>
  <r>
    <s v="(AS) Koons Tysons Toyota - UC Recon (NO TOURS)5"/>
    <x v="4"/>
    <x v="2"/>
    <x v="59"/>
    <x v="1"/>
    <x v="1"/>
    <x v="1"/>
    <x v="0"/>
    <s v="https://tools.sig.systems/site/details/355"/>
    <s v="-"/>
    <m/>
    <x v="0"/>
    <x v="40"/>
    <x v="0"/>
    <x v="0"/>
    <x v="15"/>
    <x v="59"/>
  </r>
  <r>
    <s v="(AS) Koons Tysons Toyota - UC Recon (NO TOURS)6"/>
    <x v="5"/>
    <x v="2"/>
    <x v="59"/>
    <x v="1"/>
    <x v="1"/>
    <x v="1"/>
    <x v="0"/>
    <s v="https://tools.sig.systems/site/details/355"/>
    <s v="-"/>
    <m/>
    <x v="0"/>
    <x v="40"/>
    <x v="0"/>
    <x v="0"/>
    <x v="15"/>
    <x v="59"/>
  </r>
  <r>
    <s v="(AS) Koons Tysons Toyota - UC Recon (NO TOURS)7"/>
    <x v="6"/>
    <x v="2"/>
    <x v="59"/>
    <x v="1"/>
    <x v="1"/>
    <x v="1"/>
    <x v="0"/>
    <s v="https://tools.sig.systems/site/details/355"/>
    <s v="-"/>
    <m/>
    <x v="0"/>
    <x v="40"/>
    <x v="0"/>
    <x v="0"/>
    <x v="15"/>
    <x v="59"/>
  </r>
  <r>
    <s v="(AS) Koons Tysons Toyota - UC Recon (NO TOURS)8"/>
    <x v="7"/>
    <x v="6"/>
    <x v="59"/>
    <x v="1"/>
    <x v="1"/>
    <x v="1"/>
    <x v="3"/>
    <s v="https://tools.sig.systems/site/details/355"/>
    <s v="-"/>
    <m/>
    <x v="0"/>
    <x v="40"/>
    <x v="0"/>
    <x v="0"/>
    <x v="15"/>
    <x v="59"/>
  </r>
  <r>
    <s v="(AS) Koons Tysons Toyota - UC Recon (NO TOURS)9"/>
    <x v="8"/>
    <x v="2"/>
    <x v="59"/>
    <x v="1"/>
    <x v="1"/>
    <x v="1"/>
    <x v="3"/>
    <s v="https://tools.sig.systems/site/details/355"/>
    <s v="-"/>
    <m/>
    <x v="0"/>
    <x v="40"/>
    <x v="0"/>
    <x v="0"/>
    <x v="15"/>
    <x v="59"/>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r>
    <s v=""/>
    <x v="9"/>
    <x v="9"/>
    <x v="60"/>
    <x v="7"/>
    <x v="5"/>
    <x v="7"/>
    <x v="3"/>
    <e v="#N/A"/>
    <e v="#N/A"/>
    <m/>
    <x v="31"/>
    <x v="41"/>
    <x v="12"/>
    <x v="22"/>
    <x v="56"/>
    <x v="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56D754-E1B2-4CC8-AB32-C8A711EF8BCB}" name="Total sites 1" cacheId="1"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C15:C16" firstHeaderRow="1" firstDataRow="1" firstDataCol="0"/>
  <pivotFields count="17">
    <pivotField showAll="0"/>
    <pivotField showAll="0">
      <items count="42">
        <item h="1" x="0"/>
        <item h="1" x="1"/>
        <item h="1" x="2"/>
        <item x="3"/>
        <item h="1" x="4"/>
        <item h="1" x="5"/>
        <item h="1" x="6"/>
        <item h="1" x="7"/>
        <item h="1" x="8"/>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9"/>
        <item t="default"/>
      </items>
    </pivotField>
    <pivotField showAll="0">
      <items count="43">
        <item h="1" m="1" x="41"/>
        <item h="1" x="0"/>
        <item h="1" x="1"/>
        <item h="1" x="2"/>
        <item x="3"/>
        <item h="1" x="4"/>
        <item h="1" x="5"/>
        <item h="1" x="6"/>
        <item h="1" x="7"/>
        <item h="1" x="8"/>
        <item h="1" m="1" x="16"/>
        <item h="1" m="1" x="15"/>
        <item h="1" m="1" x="10"/>
        <item h="1" m="1" x="14"/>
        <item h="1" m="1" x="17"/>
        <item h="1" m="1" x="13"/>
        <item h="1" m="1" x="11"/>
        <item h="1" m="1" x="12"/>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9"/>
        <item t="default"/>
      </items>
    </pivotField>
    <pivotField dataField="1" showAll="0">
      <items count="456">
        <item m="1" x="376"/>
        <item m="1" x="269"/>
        <item m="1" x="432"/>
        <item m="1" x="304"/>
        <item m="1" x="351"/>
        <item m="1" x="449"/>
        <item m="1" x="298"/>
        <item m="1" x="435"/>
        <item m="1" x="254"/>
        <item m="1" x="258"/>
        <item m="1" x="299"/>
        <item m="1" x="433"/>
        <item m="1" x="331"/>
        <item m="1" x="237"/>
        <item m="1" x="287"/>
        <item m="1" x="344"/>
        <item m="1" x="345"/>
        <item m="1" x="238"/>
        <item m="1" x="255"/>
        <item m="1" x="239"/>
        <item m="1" x="280"/>
        <item m="1" x="281"/>
        <item m="1" x="257"/>
        <item m="1" x="442"/>
        <item m="1" x="379"/>
        <item m="1" x="240"/>
        <item m="1" x="241"/>
        <item m="1" x="293"/>
        <item m="1" x="294"/>
        <item m="1" x="265"/>
        <item m="1" x="242"/>
        <item m="1" x="271"/>
        <item m="1" x="401"/>
        <item m="1" x="243"/>
        <item m="1" x="244"/>
        <item m="1" x="291"/>
        <item m="1" x="259"/>
        <item m="1" x="245"/>
        <item m="1" x="310"/>
        <item m="1" x="342"/>
        <item m="1" x="343"/>
        <item m="1" x="261"/>
        <item m="1" x="262"/>
        <item m="1" x="355"/>
        <item m="1" x="260"/>
        <item m="1" x="443"/>
        <item m="1" x="322"/>
        <item m="1" x="453"/>
        <item m="1" x="246"/>
        <item m="1" x="251"/>
        <item m="1" x="247"/>
        <item m="1" x="282"/>
        <item m="1" x="249"/>
        <item m="1" x="253"/>
        <item m="1" x="295"/>
        <item m="1" x="286"/>
        <item m="1" x="292"/>
        <item m="1" x="300"/>
        <item m="1" x="252"/>
        <item m="1" x="272"/>
        <item m="1" x="323"/>
        <item m="1" x="373"/>
        <item m="1" x="408"/>
        <item m="1" x="250"/>
        <item m="1" x="296"/>
        <item m="1" x="363"/>
        <item m="1" x="278"/>
        <item m="1" x="439"/>
        <item m="1" x="324"/>
        <item m="1" x="312"/>
        <item m="1" x="326"/>
        <item m="1" x="313"/>
        <item m="1" x="314"/>
        <item m="1" x="315"/>
        <item m="1" x="274"/>
        <item m="1" x="372"/>
        <item m="1" x="276"/>
        <item m="1" x="263"/>
        <item m="1" x="347"/>
        <item m="1" x="267"/>
        <item m="1" x="430"/>
        <item m="1" x="425"/>
        <item m="1" x="325"/>
        <item m="1" x="284"/>
        <item m="1" x="288"/>
        <item m="1" x="318"/>
        <item m="1" x="317"/>
        <item m="1" x="289"/>
        <item m="1" x="328"/>
        <item m="1" x="327"/>
        <item m="1" x="361"/>
        <item m="1" x="452"/>
        <item m="1" x="434"/>
        <item m="1" x="385"/>
        <item m="1" x="319"/>
        <item m="1" x="378"/>
        <item m="1" x="369"/>
        <item m="1" x="383"/>
        <item m="1" x="320"/>
        <item m="1" x="112"/>
        <item m="1" x="113"/>
        <item m="1" x="114"/>
        <item m="1" x="115"/>
        <item m="1" x="235"/>
        <item m="1" x="116"/>
        <item m="1" x="117"/>
        <item m="1" x="118"/>
        <item m="1" x="119"/>
        <item m="1" x="120"/>
        <item m="1" x="121"/>
        <item m="1" x="436"/>
        <item m="1" x="377"/>
        <item m="1" x="335"/>
        <item m="1" x="336"/>
        <item m="1" x="333"/>
        <item m="1" x="334"/>
        <item m="1" x="126"/>
        <item m="1" x="127"/>
        <item m="1" x="128"/>
        <item m="1" x="230"/>
        <item m="1" x="427"/>
        <item m="1" x="234"/>
        <item m="1" x="132"/>
        <item m="1" x="133"/>
        <item m="1" x="134"/>
        <item m="1" x="135"/>
        <item m="1" x="136"/>
        <item m="1" x="137"/>
        <item m="1" x="138"/>
        <item m="1" x="139"/>
        <item m="1" x="140"/>
        <item m="1" x="141"/>
        <item m="1" x="142"/>
        <item m="1" x="143"/>
        <item m="1" x="231"/>
        <item m="1" x="232"/>
        <item m="1" x="146"/>
        <item m="1" x="147"/>
        <item m="1" x="148"/>
        <item m="1" x="149"/>
        <item m="1" x="150"/>
        <item m="1" x="151"/>
        <item x="31"/>
        <item m="1" x="152"/>
        <item m="1" x="153"/>
        <item m="1" x="154"/>
        <item m="1" x="155"/>
        <item m="1" x="156"/>
        <item x="33"/>
        <item m="1" x="157"/>
        <item m="1" x="409"/>
        <item m="1" x="158"/>
        <item m="1" x="159"/>
        <item m="1" x="387"/>
        <item m="1" x="356"/>
        <item m="1" x="450"/>
        <item m="1" x="440"/>
        <item m="1" x="354"/>
        <item m="1" x="388"/>
        <item m="1" x="167"/>
        <item m="1" x="168"/>
        <item m="1" x="386"/>
        <item m="1" x="169"/>
        <item m="1" x="451"/>
        <item m="1" x="444"/>
        <item m="1" x="426"/>
        <item m="1" x="173"/>
        <item m="1" x="174"/>
        <item m="1" x="175"/>
        <item m="1" x="233"/>
        <item m="1" x="413"/>
        <item m="1" x="352"/>
        <item m="1" x="179"/>
        <item m="1" x="418"/>
        <item m="1" x="181"/>
        <item m="1" x="399"/>
        <item m="1" x="183"/>
        <item m="1" x="389"/>
        <item m="1" x="185"/>
        <item m="1" x="382"/>
        <item m="1" x="447"/>
        <item m="1" x="420"/>
        <item m="1" x="188"/>
        <item m="1" x="190"/>
        <item m="1" x="194"/>
        <item m="1" x="196"/>
        <item m="1" x="197"/>
        <item m="1" x="198"/>
        <item m="1" x="199"/>
        <item m="1" x="406"/>
        <item m="1" x="402"/>
        <item m="1" x="403"/>
        <item m="1" x="203"/>
        <item m="1" x="204"/>
        <item m="1" x="375"/>
        <item m="1" x="205"/>
        <item m="1" x="206"/>
        <item x="50"/>
        <item m="1" x="207"/>
        <item m="1" x="208"/>
        <item m="1" x="209"/>
        <item m="1" x="210"/>
        <item m="1" x="212"/>
        <item x="52"/>
        <item x="53"/>
        <item m="1" x="213"/>
        <item m="1" x="214"/>
        <item m="1" x="229"/>
        <item m="1" x="353"/>
        <item x="55"/>
        <item m="1" x="215"/>
        <item m="1" x="346"/>
        <item m="1" x="218"/>
        <item m="1" x="219"/>
        <item m="1" x="370"/>
        <item m="1" x="220"/>
        <item m="1" x="411"/>
        <item m="1" x="390"/>
        <item m="1" x="222"/>
        <item m="1" x="341"/>
        <item m="1" x="350"/>
        <item m="1" x="224"/>
        <item m="1" x="338"/>
        <item m="1" x="339"/>
        <item m="1" x="337"/>
        <item m="1" x="226"/>
        <item m="1" x="417"/>
        <item m="1" x="332"/>
        <item m="1" x="381"/>
        <item m="1" x="359"/>
        <item m="1" x="400"/>
        <item m="1" x="308"/>
        <item m="1" x="172"/>
        <item m="1" x="405"/>
        <item m="1" x="309"/>
        <item m="1" x="200"/>
        <item m="1" x="368"/>
        <item m="1" x="365"/>
        <item m="1" x="187"/>
        <item m="1" x="393"/>
        <item m="1" x="184"/>
        <item m="1" x="195"/>
        <item m="1" x="422"/>
        <item m="1" x="189"/>
        <item m="1" x="270"/>
        <item m="1" x="186"/>
        <item x="49"/>
        <item m="1" x="191"/>
        <item m="1" x="264"/>
        <item m="1" x="421"/>
        <item x="60"/>
        <item m="1" x="415"/>
        <item m="1" x="202"/>
        <item m="1" x="123"/>
        <item m="1" x="396"/>
        <item m="1" x="371"/>
        <item m="1" x="397"/>
        <item m="1" x="428"/>
        <item m="1" x="384"/>
        <item x="51"/>
        <item m="1" x="423"/>
        <item m="1" x="349"/>
        <item m="1" x="398"/>
        <item m="1" x="360"/>
        <item m="1" x="437"/>
        <item m="1" x="348"/>
        <item m="1" x="340"/>
        <item m="1" x="438"/>
        <item m="1" x="414"/>
        <item m="1" x="407"/>
        <item m="1" x="321"/>
        <item m="1" x="201"/>
        <item m="1" x="170"/>
        <item m="1" x="285"/>
        <item m="1" x="306"/>
        <item m="1" x="275"/>
        <item m="1" x="316"/>
        <item m="1" x="395"/>
        <item m="1" x="424"/>
        <item m="1" x="454"/>
        <item m="1" x="431"/>
        <item m="1" x="178"/>
        <item m="1" x="182"/>
        <item m="1" x="122"/>
        <item m="1" x="171"/>
        <item m="1" x="392"/>
        <item m="1" x="211"/>
        <item m="1" x="394"/>
        <item m="1" x="441"/>
        <item m="1" x="358"/>
        <item m="1" x="301"/>
        <item m="1" x="419"/>
        <item m="1" x="302"/>
        <item m="1" x="362"/>
        <item m="1" x="329"/>
        <item m="1" x="445"/>
        <item m="1" x="305"/>
        <item m="1" x="380"/>
        <item m="1" x="364"/>
        <item m="1" x="303"/>
        <item m="1" x="367"/>
        <item m="1" x="130"/>
        <item m="1" x="429"/>
        <item m="1" x="391"/>
        <item m="1" x="216"/>
        <item m="1" x="357"/>
        <item m="1" x="446"/>
        <item m="1" x="366"/>
        <item m="1" x="266"/>
        <item m="1" x="268"/>
        <item m="1" x="416"/>
        <item m="1" x="412"/>
        <item m="1" x="256"/>
        <item m="1" x="177"/>
        <item m="1" x="297"/>
        <item m="1" x="311"/>
        <item m="1" x="273"/>
        <item m="1" x="290"/>
        <item m="1" x="448"/>
        <item m="1" x="221"/>
        <item m="1" x="180"/>
        <item m="1" x="410"/>
        <item m="1" x="374"/>
        <item m="1" x="217"/>
        <item m="1" x="404"/>
        <item m="1" x="192"/>
        <item m="1" x="164"/>
        <item m="1" x="161"/>
        <item m="1" x="330"/>
        <item m="1" x="162"/>
        <item m="1" x="163"/>
        <item m="1" x="160"/>
        <item m="1" x="165"/>
        <item m="1" x="283"/>
        <item m="1" x="248"/>
        <item m="1" x="236"/>
        <item m="1" x="193"/>
        <item x="58"/>
        <item m="1" x="279"/>
        <item m="1" x="277"/>
        <item m="1" x="223"/>
        <item m="1" x="225"/>
        <item m="1" x="124"/>
        <item m="1" x="125"/>
        <item m="1" x="227"/>
        <item m="1" x="307"/>
        <item m="1" x="166"/>
        <item m="1" x="131"/>
        <item m="1" x="228"/>
        <item m="1" x="176"/>
        <item x="34"/>
        <item m="1" x="144"/>
        <item m="1" x="145"/>
        <item m="1" x="129"/>
        <item m="1" x="107"/>
        <item x="30"/>
        <item x="54"/>
        <item m="1" x="71"/>
        <item x="1"/>
        <item m="1" x="96"/>
        <item x="40"/>
        <item m="1" x="104"/>
        <item x="42"/>
        <item m="1" x="102"/>
        <item x="47"/>
        <item x="48"/>
        <item x="35"/>
        <item m="1" x="111"/>
        <item x="37"/>
        <item m="1" x="101"/>
        <item m="1" x="95"/>
        <item m="1" x="92"/>
        <item m="1" x="94"/>
        <item m="1" x="108"/>
        <item x="32"/>
        <item x="27"/>
        <item m="1" x="109"/>
        <item m="1" x="110"/>
        <item m="1" x="97"/>
        <item m="1" x="98"/>
        <item x="16"/>
        <item x="57"/>
        <item m="1" x="61"/>
        <item x="38"/>
        <item x="46"/>
        <item m="1" x="106"/>
        <item x="44"/>
        <item m="1" x="105"/>
        <item m="1" x="93"/>
        <item x="41"/>
        <item m="1" x="103"/>
        <item x="43"/>
        <item x="2"/>
        <item x="36"/>
        <item x="45"/>
        <item m="1" x="86"/>
        <item m="1" x="87"/>
        <item m="1" x="100"/>
        <item m="1" x="88"/>
        <item m="1" x="62"/>
        <item x="9"/>
        <item m="1" x="89"/>
        <item m="1" x="99"/>
        <item m="1" x="90"/>
        <item m="1" x="91"/>
        <item m="1" x="79"/>
        <item m="1" x="80"/>
        <item m="1" x="81"/>
        <item m="1" x="82"/>
        <item m="1" x="83"/>
        <item m="1" x="84"/>
        <item m="1" x="85"/>
        <item m="1" x="72"/>
        <item m="1" x="73"/>
        <item m="1" x="74"/>
        <item m="1" x="75"/>
        <item m="1" x="76"/>
        <item m="1" x="77"/>
        <item m="1" x="78"/>
        <item x="24"/>
        <item x="23"/>
        <item x="13"/>
        <item x="8"/>
        <item x="20"/>
        <item x="12"/>
        <item x="0"/>
        <item x="3"/>
        <item x="4"/>
        <item x="5"/>
        <item x="6"/>
        <item x="10"/>
        <item m="1" x="64"/>
        <item x="56"/>
        <item x="15"/>
        <item x="22"/>
        <item m="1" x="70"/>
        <item x="29"/>
        <item m="1" x="67"/>
        <item m="1" x="68"/>
        <item m="1" x="69"/>
        <item m="1" x="66"/>
        <item m="1" x="63"/>
        <item m="1" x="65"/>
        <item x="25"/>
        <item x="26"/>
        <item x="18"/>
        <item x="11"/>
        <item x="17"/>
        <item x="21"/>
        <item x="14"/>
        <item x="19"/>
        <item x="28"/>
        <item x="7"/>
        <item x="59"/>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Sites" fld="3" subtotal="count" baseField="0" baseItem="0"/>
  </dataFields>
  <formats count="17">
    <format dxfId="3061">
      <pivotArea field="3" type="button" dataOnly="0" labelOnly="1" outline="0"/>
    </format>
    <format dxfId="3060">
      <pivotArea dataOnly="0" labelOnly="1" outline="0" axis="axisValues" fieldPosition="0"/>
    </format>
    <format dxfId="3059">
      <pivotArea outline="0" collapsedLevelsAreSubtotals="1" fieldPosition="0"/>
    </format>
    <format dxfId="3058">
      <pivotArea outline="0" collapsedLevelsAreSubtotals="1" fieldPosition="0"/>
    </format>
    <format dxfId="3057">
      <pivotArea type="all" dataOnly="0" outline="0" fieldPosition="0"/>
    </format>
    <format dxfId="3056">
      <pivotArea outline="0" collapsedLevelsAreSubtotals="1" fieldPosition="0"/>
    </format>
    <format dxfId="3055">
      <pivotArea dataOnly="0" labelOnly="1" outline="0" axis="axisValues" fieldPosition="0"/>
    </format>
    <format dxfId="3054">
      <pivotArea type="all" dataOnly="0" outline="0" fieldPosition="0"/>
    </format>
    <format dxfId="3053">
      <pivotArea outline="0" collapsedLevelsAreSubtotals="1" fieldPosition="0"/>
    </format>
    <format dxfId="3052">
      <pivotArea dataOnly="0" labelOnly="1" outline="0" axis="axisValues" fieldPosition="0"/>
    </format>
    <format dxfId="3051">
      <pivotArea type="all" dataOnly="0" outline="0" fieldPosition="0"/>
    </format>
    <format dxfId="3050">
      <pivotArea outline="0" collapsedLevelsAreSubtotals="1" fieldPosition="0"/>
    </format>
    <format dxfId="3049">
      <pivotArea dataOnly="0" labelOnly="1" outline="0" axis="axisValues" fieldPosition="0"/>
    </format>
    <format dxfId="3048">
      <pivotArea dataOnly="0" labelOnly="1" outline="0" axis="axisValues" fieldPosition="0"/>
    </format>
    <format dxfId="3047">
      <pivotArea type="all" dataOnly="0" outline="0" fieldPosition="0"/>
    </format>
    <format dxfId="3046">
      <pivotArea outline="0" collapsedLevelsAreSubtotals="1" fieldPosition="0"/>
    </format>
    <format dxfId="30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F2293B-1279-4754-9F92-85E5AAA7021A}" name="Split Principal" cacheId="1"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A18:F31" firstHeaderRow="1" firstDataRow="1" firstDataCol="5"/>
  <pivotFields count="17">
    <pivotField compact="0" outline="0" showAll="0"/>
    <pivotField axis="axisRow" compact="0" outline="0" showAll="0" defaultSubtotal="0">
      <items count="41">
        <item h="1" m="1" x="17"/>
        <item h="1" m="1" x="18"/>
        <item h="1" m="1" x="12"/>
        <item h="1" m="1" x="19"/>
        <item h="1" m="1" x="13"/>
        <item h="1" m="1" x="14"/>
        <item h="1" m="1" x="15"/>
        <item h="1" m="1" x="16"/>
        <item h="1" m="1" x="11"/>
        <item h="1" m="1" x="10"/>
        <item h="1" x="4"/>
        <item h="1" x="5"/>
        <item h="1" x="6"/>
        <item h="1" x="7"/>
        <item h="1" x="8"/>
        <item h="1" m="1" x="20"/>
        <item h="1" m="1" x="21"/>
        <item h="1" m="1" x="22"/>
        <item h="1" m="1" x="23"/>
        <item h="1" m="1" x="24"/>
        <item h="1" m="1" x="25"/>
        <item h="1" m="1" x="26"/>
        <item h="1" m="1" x="27"/>
        <item h="1" m="1" x="28"/>
        <item h="1" m="1" x="29"/>
        <item h="1" m="1" x="30"/>
        <item h="1" m="1" x="31"/>
        <item x="3"/>
        <item h="1" m="1" x="32"/>
        <item h="1" m="1" x="33"/>
        <item h="1" m="1" x="34"/>
        <item h="1" m="1" x="35"/>
        <item h="1" m="1" x="36"/>
        <item h="1" m="1" x="37"/>
        <item h="1" m="1" x="38"/>
        <item h="1" m="1" x="39"/>
        <item h="1" m="1" x="40"/>
        <item h="1" x="0"/>
        <item h="1" x="1"/>
        <item h="1" x="2"/>
        <item h="1" x="9"/>
      </items>
    </pivotField>
    <pivotField dataField="1" compact="0" outline="0" showAll="0" defaultSubtotal="0">
      <items count="42">
        <item h="1" m="1" x="41"/>
        <item h="1" x="0"/>
        <item h="1" x="1"/>
        <item h="1" x="2"/>
        <item x="3"/>
        <item h="1" x="4"/>
        <item h="1" x="5"/>
        <item h="1" x="6"/>
        <item h="1" x="7"/>
        <item h="1" x="8"/>
        <item h="1" m="1" x="16"/>
        <item h="1" m="1" x="15"/>
        <item h="1" m="1" x="10"/>
        <item h="1" m="1" x="14"/>
        <item h="1" m="1" x="17"/>
        <item h="1" m="1" x="13"/>
        <item h="1" m="1" x="11"/>
        <item h="1" m="1" x="12"/>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9"/>
      </items>
    </pivotField>
    <pivotField name="Sites" axis="axisRow" compact="0" outline="0" showAll="0" nonAutoSortDefault="1" defaultSubtotal="0">
      <items count="455">
        <item m="1" x="269"/>
        <item m="1" x="270"/>
        <item m="1" x="304"/>
        <item m="1" x="309"/>
        <item m="1" x="298"/>
        <item m="1" x="305"/>
        <item m="1" x="254"/>
        <item m="1" x="258"/>
        <item m="1" x="299"/>
        <item m="1" x="433"/>
        <item m="1" x="331"/>
        <item m="1" x="237"/>
        <item m="1" x="287"/>
        <item m="1" x="344"/>
        <item m="1" x="345"/>
        <item m="1" x="238"/>
        <item m="1" x="255"/>
        <item m="1" x="239"/>
        <item m="1" x="280"/>
        <item m="1" x="281"/>
        <item m="1" x="257"/>
        <item m="1" x="256"/>
        <item m="1" x="240"/>
        <item m="1" x="241"/>
        <item m="1" x="293"/>
        <item m="1" x="294"/>
        <item m="1" x="265"/>
        <item m="1" x="242"/>
        <item m="1" x="271"/>
        <item m="1" x="321"/>
        <item m="1" x="243"/>
        <item m="1" x="244"/>
        <item m="1" x="291"/>
        <item m="1" x="268"/>
        <item m="1" x="259"/>
        <item m="1" x="245"/>
        <item m="1" x="310"/>
        <item m="1" x="342"/>
        <item m="1" x="343"/>
        <item m="1" x="261"/>
        <item m="1" x="262"/>
        <item m="1" x="311"/>
        <item m="1" x="260"/>
        <item m="1" x="322"/>
        <item m="1" x="308"/>
        <item m="1" x="246"/>
        <item m="1" x="251"/>
        <item m="1" x="247"/>
        <item m="1" x="282"/>
        <item m="1" x="249"/>
        <item m="1" x="253"/>
        <item m="1" x="295"/>
        <item m="1" x="286"/>
        <item m="1" x="292"/>
        <item m="1" x="300"/>
        <item m="1" x="252"/>
        <item m="1" x="272"/>
        <item m="1" x="323"/>
        <item m="1" x="264"/>
        <item m="1" x="273"/>
        <item m="1" x="250"/>
        <item m="1" x="296"/>
        <item m="1" x="297"/>
        <item m="1" x="278"/>
        <item m="1" x="306"/>
        <item m="1" x="324"/>
        <item m="1" x="312"/>
        <item m="1" x="326"/>
        <item m="1" x="313"/>
        <item m="1" x="314"/>
        <item m="1" x="315"/>
        <item m="1" x="274"/>
        <item m="1" x="275"/>
        <item m="1" x="276"/>
        <item m="1" x="263"/>
        <item m="1" x="266"/>
        <item m="1" x="267"/>
        <item m="1" x="430"/>
        <item m="1" x="316"/>
        <item m="1" x="325"/>
        <item m="1" x="284"/>
        <item m="1" x="288"/>
        <item m="1" x="318"/>
        <item m="1" x="317"/>
        <item m="1" x="289"/>
        <item m="1" x="328"/>
        <item m="1" x="327"/>
        <item m="1" x="285"/>
        <item m="1" x="301"/>
        <item m="1" x="290"/>
        <item m="1" x="319"/>
        <item m="1" x="302"/>
        <item m="1" x="329"/>
        <item m="1" x="303"/>
        <item m="1" x="320"/>
        <item m="1" x="112"/>
        <item m="1" x="113"/>
        <item m="1" x="114"/>
        <item m="1" x="115"/>
        <item m="1" x="235"/>
        <item m="1" x="116"/>
        <item m="1" x="117"/>
        <item m="1" x="118"/>
        <item m="1" x="119"/>
        <item m="1" x="120"/>
        <item m="1" x="121"/>
        <item m="1" x="122"/>
        <item m="1" x="123"/>
        <item m="1" x="335"/>
        <item m="1" x="336"/>
        <item m="1" x="333"/>
        <item m="1" x="334"/>
        <item m="1" x="126"/>
        <item m="1" x="127"/>
        <item m="1" x="128"/>
        <item m="1" x="230"/>
        <item m="1" x="130"/>
        <item m="1" x="234"/>
        <item m="1" x="132"/>
        <item m="1" x="133"/>
        <item m="1" x="134"/>
        <item m="1" x="135"/>
        <item m="1" x="136"/>
        <item m="1" x="137"/>
        <item m="1" x="138"/>
        <item m="1" x="139"/>
        <item m="1" x="140"/>
        <item m="1" x="141"/>
        <item m="1" x="142"/>
        <item m="1" x="143"/>
        <item m="1" x="231"/>
        <item m="1" x="232"/>
        <item m="1" x="146"/>
        <item m="1" x="147"/>
        <item m="1" x="148"/>
        <item m="1" x="149"/>
        <item m="1" x="150"/>
        <item m="1" x="151"/>
        <item x="31"/>
        <item m="1" x="152"/>
        <item m="1" x="153"/>
        <item m="1" x="154"/>
        <item m="1" x="156"/>
        <item m="1" x="155"/>
        <item x="33"/>
        <item m="1" x="157"/>
        <item m="1" x="158"/>
        <item m="1" x="159"/>
        <item m="1" x="387"/>
        <item m="1" x="356"/>
        <item m="1" x="431"/>
        <item m="1" x="450"/>
        <item m="1" x="440"/>
        <item m="1" x="358"/>
        <item m="1" x="388"/>
        <item m="1" x="167"/>
        <item m="1" x="168"/>
        <item m="1" x="169"/>
        <item m="1" x="170"/>
        <item m="1" x="171"/>
        <item m="1" x="172"/>
        <item m="1" x="173"/>
        <item m="1" x="174"/>
        <item m="1" x="175"/>
        <item n="(KG) Northwest CDJR" m="1" x="233"/>
        <item m="1" x="177"/>
        <item m="1" x="178"/>
        <item m="1" x="179"/>
        <item m="1" x="180"/>
        <item m="1" x="181"/>
        <item m="1" x="182"/>
        <item m="1" x="183"/>
        <item m="1" x="184"/>
        <item m="1" x="185"/>
        <item m="1" x="186"/>
        <item m="1" x="187"/>
        <item m="1" x="188"/>
        <item m="1" x="189"/>
        <item m="1" x="190"/>
        <item x="49"/>
        <item m="1" x="191"/>
        <item m="1" x="194"/>
        <item m="1" x="195"/>
        <item m="1" x="196"/>
        <item m="1" x="197"/>
        <item m="1" x="198"/>
        <item m="1" x="199"/>
        <item m="1" x="200"/>
        <item m="1" x="201"/>
        <item m="1" x="202"/>
        <item m="1" x="203"/>
        <item m="1" x="204"/>
        <item m="1" x="205"/>
        <item m="1" x="206"/>
        <item x="50"/>
        <item m="1" x="207"/>
        <item m="1" x="208"/>
        <item m="1" x="209"/>
        <item m="1" x="210"/>
        <item m="1" x="211"/>
        <item x="51"/>
        <item m="1" x="212"/>
        <item x="52"/>
        <item m="1" x="213"/>
        <item m="1" x="214"/>
        <item m="1" x="229"/>
        <item x="55"/>
        <item m="1" x="215"/>
        <item m="1" x="216"/>
        <item m="1" x="217"/>
        <item m="1" x="218"/>
        <item m="1" x="219"/>
        <item m="1" x="220"/>
        <item m="1" x="221"/>
        <item m="1" x="222"/>
        <item m="1" x="341"/>
        <item m="1" x="340"/>
        <item m="1" x="224"/>
        <item m="1" x="338"/>
        <item m="1" x="339"/>
        <item m="1" x="337"/>
        <item m="1" x="226"/>
        <item m="1" x="332"/>
        <item m="1" x="376"/>
        <item m="1" x="432"/>
        <item m="1" x="351"/>
        <item m="1" x="449"/>
        <item m="1" x="435"/>
        <item m="1" x="442"/>
        <item m="1" x="379"/>
        <item m="1" x="401"/>
        <item m="1" x="355"/>
        <item m="1" x="443"/>
        <item m="1" x="453"/>
        <item m="1" x="373"/>
        <item m="1" x="408"/>
        <item m="1" x="363"/>
        <item m="1" x="439"/>
        <item m="1" x="372"/>
        <item m="1" x="347"/>
        <item m="1" x="425"/>
        <item m="1" x="361"/>
        <item m="1" x="452"/>
        <item m="1" x="434"/>
        <item m="1" x="378"/>
        <item m="1" x="369"/>
        <item m="1" x="383"/>
        <item m="1" x="436"/>
        <item m="1" x="377"/>
        <item m="1" x="427"/>
        <item m="1" x="409"/>
        <item m="1" x="354"/>
        <item m="1" x="451"/>
        <item m="1" x="444"/>
        <item m="1" x="426"/>
        <item m="1" x="413"/>
        <item m="1" x="352"/>
        <item m="1" x="418"/>
        <item m="1" x="399"/>
        <item m="1" x="389"/>
        <item m="1" x="382"/>
        <item m="1" x="447"/>
        <item m="1" x="406"/>
        <item m="1" x="402"/>
        <item m="1" x="403"/>
        <item m="1" x="375"/>
        <item m="1" x="353"/>
        <item m="1" x="346"/>
        <item m="1" x="411"/>
        <item m="1" x="390"/>
        <item m="1" x="350"/>
        <item m="1" x="417"/>
        <item m="1" x="370"/>
        <item m="1" x="420"/>
        <item m="1" x="385"/>
        <item m="1" x="386"/>
        <item m="1" x="381"/>
        <item m="1" x="359"/>
        <item m="1" x="400"/>
        <item m="1" x="405"/>
        <item m="1" x="368"/>
        <item m="1" x="365"/>
        <item m="1" x="393"/>
        <item m="1" x="422"/>
        <item m="1" x="421"/>
        <item x="60"/>
        <item m="1" x="415"/>
        <item m="1" x="396"/>
        <item m="1" x="371"/>
        <item m="1" x="397"/>
        <item m="1" x="428"/>
        <item m="1" x="384"/>
        <item m="1" x="423"/>
        <item m="1" x="349"/>
        <item m="1" x="398"/>
        <item m="1" x="360"/>
        <item m="1" x="437"/>
        <item m="1" x="348"/>
        <item m="1" x="438"/>
        <item m="1" x="414"/>
        <item m="1" x="407"/>
        <item m="1" x="395"/>
        <item m="1" x="424"/>
        <item m="1" x="454"/>
        <item m="1" x="392"/>
        <item m="1" x="394"/>
        <item m="1" x="441"/>
        <item m="1" x="419"/>
        <item m="1" x="362"/>
        <item m="1" x="445"/>
        <item m="1" x="380"/>
        <item m="1" x="364"/>
        <item m="1" x="367"/>
        <item m="1" x="429"/>
        <item m="1" x="391"/>
        <item m="1" x="357"/>
        <item m="1" x="446"/>
        <item m="1" x="366"/>
        <item m="1" x="416"/>
        <item m="1" x="412"/>
        <item m="1" x="448"/>
        <item m="1" x="410"/>
        <item m="1" x="374"/>
        <item m="1" x="404"/>
        <item m="1" x="192"/>
        <item m="1" x="164"/>
        <item m="1" x="161"/>
        <item m="1" x="330"/>
        <item m="1" x="162"/>
        <item m="1" x="163"/>
        <item m="1" x="160"/>
        <item m="1" x="165"/>
        <item m="1" x="283"/>
        <item m="1" x="248"/>
        <item m="1" x="236"/>
        <item m="1" x="193"/>
        <item x="58"/>
        <item x="53"/>
        <item m="1" x="279"/>
        <item m="1" x="277"/>
        <item m="1" x="223"/>
        <item m="1" x="225"/>
        <item m="1" x="124"/>
        <item m="1" x="125"/>
        <item m="1" x="227"/>
        <item m="1" x="307"/>
        <item m="1" x="166"/>
        <item m="1" x="131"/>
        <item m="1" x="228"/>
        <item m="1" x="176"/>
        <item x="34"/>
        <item m="1" x="144"/>
        <item m="1" x="145"/>
        <item m="1" x="129"/>
        <item m="1" x="107"/>
        <item x="30"/>
        <item x="54"/>
        <item m="1" x="71"/>
        <item x="1"/>
        <item m="1" x="96"/>
        <item x="40"/>
        <item m="1" x="104"/>
        <item x="42"/>
        <item m="1" x="102"/>
        <item x="47"/>
        <item x="48"/>
        <item x="35"/>
        <item m="1" x="111"/>
        <item x="37"/>
        <item m="1" x="101"/>
        <item m="1" x="95"/>
        <item m="1" x="92"/>
        <item m="1" x="108"/>
        <item m="1" x="94"/>
        <item x="32"/>
        <item x="27"/>
        <item m="1" x="109"/>
        <item m="1" x="110"/>
        <item m="1" x="97"/>
        <item m="1" x="98"/>
        <item x="16"/>
        <item x="57"/>
        <item m="1" x="61"/>
        <item x="38"/>
        <item x="46"/>
        <item m="1" x="106"/>
        <item x="44"/>
        <item m="1" x="105"/>
        <item m="1" x="93"/>
        <item x="41"/>
        <item m="1" x="103"/>
        <item x="43"/>
        <item x="2"/>
        <item x="36"/>
        <item x="45"/>
        <item m="1" x="86"/>
        <item m="1" x="87"/>
        <item m="1" x="100"/>
        <item m="1" x="88"/>
        <item m="1" x="62"/>
        <item x="9"/>
        <item m="1" x="89"/>
        <item m="1" x="99"/>
        <item m="1" x="90"/>
        <item m="1" x="91"/>
        <item m="1" x="79"/>
        <item m="1" x="80"/>
        <item m="1" x="81"/>
        <item m="1" x="82"/>
        <item m="1" x="83"/>
        <item m="1" x="84"/>
        <item m="1" x="85"/>
        <item m="1" x="72"/>
        <item x="23"/>
        <item m="1" x="73"/>
        <item m="1" x="74"/>
        <item m="1" x="75"/>
        <item m="1" x="76"/>
        <item m="1" x="77"/>
        <item m="1" x="78"/>
        <item x="24"/>
        <item x="13"/>
        <item x="8"/>
        <item x="20"/>
        <item x="12"/>
        <item x="0"/>
        <item x="3"/>
        <item x="4"/>
        <item x="5"/>
        <item x="6"/>
        <item x="10"/>
        <item m="1" x="64"/>
        <item x="56"/>
        <item x="15"/>
        <item x="22"/>
        <item m="1" x="70"/>
        <item x="29"/>
        <item m="1" x="67"/>
        <item m="1" x="68"/>
        <item m="1" x="69"/>
        <item m="1" x="66"/>
        <item m="1" x="63"/>
        <item m="1" x="65"/>
        <item x="25"/>
        <item x="26"/>
        <item x="18"/>
        <item x="11"/>
        <item x="17"/>
        <item x="21"/>
        <item x="14"/>
        <item x="19"/>
        <item x="28"/>
        <item x="7"/>
        <item x="59"/>
        <item x="39"/>
      </items>
    </pivotField>
    <pivotField name="Log Time" axis="axisRow" compact="0" outline="0" showAll="0" defaultSubtotal="0">
      <items count="18">
        <item m="1" x="12"/>
        <item m="1" x="17"/>
        <item m="1" x="13"/>
        <item x="3"/>
        <item x="6"/>
        <item x="5"/>
        <item x="1"/>
        <item m="1" x="9"/>
        <item x="0"/>
        <item m="1" x="15"/>
        <item x="2"/>
        <item x="4"/>
        <item m="1" x="14"/>
        <item m="1" x="8"/>
        <item m="1" x="16"/>
        <item m="1" x="11"/>
        <item m="1" x="10"/>
        <item x="7"/>
      </items>
    </pivotField>
    <pivotField compact="0" outline="0" showAll="0" defaultSubtotal="0">
      <items count="8">
        <item x="0"/>
        <item x="1"/>
        <item x="2"/>
        <item x="3"/>
        <item m="1" x="7"/>
        <item m="1" x="6"/>
        <item x="4"/>
        <item x="5"/>
      </items>
    </pivotField>
    <pivotField axis="axisRow" compact="0" outline="0" showAll="0" defaultSubtotal="0">
      <items count="16">
        <item m="1" x="9"/>
        <item m="1" x="13"/>
        <item m="1" x="15"/>
        <item x="1"/>
        <item x="0"/>
        <item x="2"/>
        <item m="1" x="14"/>
        <item x="4"/>
        <item m="1" x="12"/>
        <item m="1" x="11"/>
        <item m="1" x="8"/>
        <item x="3"/>
        <item x="5"/>
        <item x="6"/>
        <item m="1" x="10"/>
        <item x="7"/>
      </items>
    </pivotField>
    <pivotField compact="0" outline="0" showAll="0" defaultSubtotal="0">
      <items count="8">
        <item x="3"/>
        <item x="1"/>
        <item x="6"/>
        <item x="7"/>
        <item x="5"/>
        <item x="0"/>
        <item x="4"/>
        <item x="2"/>
      </items>
    </pivotField>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9">
        <item x="0"/>
        <item x="1"/>
        <item x="58"/>
        <item x="56"/>
        <item x="53"/>
        <item x="52"/>
        <item x="50"/>
        <item x="54"/>
        <item x="33"/>
        <item x="41"/>
        <item x="42"/>
        <item x="49"/>
        <item x="45"/>
        <item x="40"/>
        <item x="47"/>
        <item x="48"/>
        <item x="27"/>
        <item x="16"/>
        <item x="43"/>
        <item x="57"/>
        <item x="44"/>
        <item x="39"/>
        <item x="46"/>
        <item x="2"/>
        <item x="24"/>
        <item x="23"/>
        <item m="1" x="62"/>
        <item x="9"/>
        <item x="13"/>
        <item m="1" x="66"/>
        <item m="1" x="63"/>
        <item m="1" x="67"/>
        <item m="1" x="64"/>
        <item x="51"/>
        <item x="3"/>
        <item x="4"/>
        <item x="5"/>
        <item x="6"/>
        <item x="10"/>
        <item x="11"/>
        <item x="30"/>
        <item x="15"/>
        <item x="22"/>
        <item x="29"/>
        <item x="38"/>
        <item x="35"/>
        <item x="8"/>
        <item x="20"/>
        <item x="31"/>
        <item x="32"/>
        <item x="34"/>
        <item x="36"/>
        <item x="37"/>
        <item m="1" x="61"/>
        <item x="55"/>
        <item x="12"/>
        <item x="25"/>
        <item x="26"/>
        <item x="18"/>
        <item m="1" x="65"/>
        <item x="21"/>
        <item x="14"/>
        <item x="19"/>
        <item x="28"/>
        <item x="60"/>
        <item x="17"/>
        <item x="7"/>
        <item x="59"/>
        <item t="default"/>
      </items>
    </pivotField>
  </pivotFields>
  <rowFields count="5">
    <field x="1"/>
    <field x="4"/>
    <field x="3"/>
    <field x="6"/>
    <field x="16"/>
  </rowFields>
  <rowItems count="13">
    <i>
      <x v="27"/>
      <x v="5"/>
      <x v="360"/>
      <x v="12"/>
      <x v="13"/>
    </i>
    <i r="2">
      <x v="394"/>
      <x v="4"/>
      <x v="12"/>
    </i>
    <i r="1">
      <x v="6"/>
      <x v="400"/>
      <x v="3"/>
      <x v="27"/>
    </i>
    <i r="2">
      <x v="421"/>
      <x v="3"/>
      <x v="28"/>
    </i>
    <i r="2">
      <x v="422"/>
      <x v="3"/>
      <x v="46"/>
    </i>
    <i r="2">
      <x v="423"/>
      <x v="3"/>
      <x v="47"/>
    </i>
    <i r="2">
      <x v="426"/>
      <x v="3"/>
      <x v="34"/>
    </i>
    <i r="2">
      <x v="429"/>
      <x v="3"/>
      <x v="37"/>
    </i>
    <i r="2">
      <x v="432"/>
      <x v="3"/>
      <x v="3"/>
    </i>
    <i r="2">
      <x v="449"/>
      <x v="3"/>
      <x v="61"/>
    </i>
    <i r="1">
      <x v="8"/>
      <x v="364"/>
      <x v="4"/>
      <x v="14"/>
    </i>
    <i r="2">
      <x v="383"/>
      <x v="4"/>
      <x v="44"/>
    </i>
    <i r="1">
      <x v="11"/>
      <x v="144"/>
      <x v="7"/>
      <x v="8"/>
    </i>
  </rowItems>
  <colItems count="1">
    <i/>
  </colItems>
  <dataFields count="1">
    <dataField name="Suma de Station" fld="2" baseField="0" baseItem="0"/>
  </dataFields>
  <formats count="754">
    <format dxfId="3815">
      <pivotArea field="3" type="button" dataOnly="0" labelOnly="1" outline="0" axis="axisRow" fieldPosition="2"/>
    </format>
    <format dxfId="3814">
      <pivotArea field="3" type="button" dataOnly="0" labelOnly="1" outline="0" axis="axisRow" fieldPosition="2"/>
    </format>
    <format dxfId="3813">
      <pivotArea field="5" type="button" dataOnly="0" labelOnly="1" outline="0"/>
    </format>
    <format dxfId="3812">
      <pivotArea field="4" type="button" dataOnly="0" labelOnly="1" outline="0" axis="axisRow" fieldPosition="1"/>
    </format>
    <format dxfId="3811">
      <pivotArea field="1" type="button" dataOnly="0" labelOnly="1" outline="0" axis="axisRow" fieldPosition="0"/>
    </format>
    <format dxfId="3810">
      <pivotArea field="6" type="button" dataOnly="0" labelOnly="1" outline="0" axis="axisRow" fieldPosition="3"/>
    </format>
    <format dxfId="3809">
      <pivotArea field="7" type="button" dataOnly="0" labelOnly="1" outline="0"/>
    </format>
    <format dxfId="3808">
      <pivotArea dataOnly="0" labelOnly="1" outline="0" fieldPosition="0">
        <references count="2">
          <reference field="1" count="0" selected="0"/>
          <reference field="4" count="1">
            <x v="0"/>
          </reference>
        </references>
      </pivotArea>
    </format>
    <format dxfId="3807">
      <pivotArea dataOnly="0" labelOnly="1" outline="0" fieldPosition="0">
        <references count="2">
          <reference field="1" count="1" selected="0">
            <x v="1"/>
          </reference>
          <reference field="4" count="1">
            <x v="0"/>
          </reference>
        </references>
      </pivotArea>
    </format>
    <format dxfId="3806">
      <pivotArea dataOnly="0" labelOnly="1" outline="0" fieldPosition="0">
        <references count="2">
          <reference field="1" count="1" selected="0">
            <x v="3"/>
          </reference>
          <reference field="4" count="1">
            <x v="0"/>
          </reference>
        </references>
      </pivotArea>
    </format>
    <format dxfId="3805">
      <pivotArea dataOnly="0" labelOnly="1" outline="0" fieldPosition="0">
        <references count="2">
          <reference field="1" count="1" selected="0">
            <x v="4"/>
          </reference>
          <reference field="4" count="1">
            <x v="0"/>
          </reference>
        </references>
      </pivotArea>
    </format>
    <format dxfId="3804">
      <pivotArea dataOnly="0" labelOnly="1" outline="0" fieldPosition="0">
        <references count="2">
          <reference field="1" count="1" selected="0">
            <x v="5"/>
          </reference>
          <reference field="4" count="1">
            <x v="0"/>
          </reference>
        </references>
      </pivotArea>
    </format>
    <format dxfId="3803">
      <pivotArea dataOnly="0" labelOnly="1" outline="0" fieldPosition="0">
        <references count="2">
          <reference field="1" count="1" selected="0">
            <x v="8"/>
          </reference>
          <reference field="4" count="1">
            <x v="0"/>
          </reference>
        </references>
      </pivotArea>
    </format>
    <format dxfId="3802">
      <pivotArea dataOnly="0" labelOnly="1" outline="0" fieldPosition="0">
        <references count="2">
          <reference field="1" count="1" selected="0">
            <x v="10"/>
          </reference>
          <reference field="4" count="1">
            <x v="0"/>
          </reference>
        </references>
      </pivotArea>
    </format>
    <format dxfId="3801">
      <pivotArea dataOnly="0" labelOnly="1" outline="0" fieldPosition="0">
        <references count="2">
          <reference field="1" count="1" selected="0">
            <x v="11"/>
          </reference>
          <reference field="4" count="1">
            <x v="0"/>
          </reference>
        </references>
      </pivotArea>
    </format>
    <format dxfId="3800">
      <pivotArea dataOnly="0" labelOnly="1" outline="0" fieldPosition="0">
        <references count="2">
          <reference field="1" count="1" selected="0">
            <x v="12"/>
          </reference>
          <reference field="4" count="1">
            <x v="0"/>
          </reference>
        </references>
      </pivotArea>
    </format>
    <format dxfId="3799">
      <pivotArea dataOnly="0" labelOnly="1" outline="0" fieldPosition="0">
        <references count="2">
          <reference field="1" count="1" selected="0">
            <x v="13"/>
          </reference>
          <reference field="4" count="1">
            <x v="0"/>
          </reference>
        </references>
      </pivotArea>
    </format>
    <format dxfId="3798">
      <pivotArea dataOnly="0" labelOnly="1" outline="0" fieldPosition="0">
        <references count="2">
          <reference field="1" count="1" selected="0">
            <x v="15"/>
          </reference>
          <reference field="4" count="1">
            <x v="0"/>
          </reference>
        </references>
      </pivotArea>
    </format>
    <format dxfId="3797">
      <pivotArea dataOnly="0" labelOnly="1" outline="0" fieldPosition="0">
        <references count="2">
          <reference field="1" count="1" selected="0">
            <x v="16"/>
          </reference>
          <reference field="4" count="1">
            <x v="0"/>
          </reference>
        </references>
      </pivotArea>
    </format>
    <format dxfId="3796">
      <pivotArea dataOnly="0" labelOnly="1" outline="0" fieldPosition="0">
        <references count="2">
          <reference field="1" count="1" selected="0">
            <x v="17"/>
          </reference>
          <reference field="4" count="1">
            <x v="0"/>
          </reference>
        </references>
      </pivotArea>
    </format>
    <format dxfId="3795">
      <pivotArea dataOnly="0" labelOnly="1" outline="0" fieldPosition="0">
        <references count="2">
          <reference field="1" count="1" selected="0">
            <x v="18"/>
          </reference>
          <reference field="4" count="1">
            <x v="0"/>
          </reference>
        </references>
      </pivotArea>
    </format>
    <format dxfId="3794">
      <pivotArea dataOnly="0" labelOnly="1" outline="0" fieldPosition="0">
        <references count="2">
          <reference field="1" count="1" selected="0">
            <x v="19"/>
          </reference>
          <reference field="4" count="1">
            <x v="0"/>
          </reference>
        </references>
      </pivotArea>
    </format>
    <format dxfId="3793">
      <pivotArea dataOnly="0" labelOnly="1" outline="0" fieldPosition="0">
        <references count="2">
          <reference field="1" count="1" selected="0">
            <x v="20"/>
          </reference>
          <reference field="4" count="1">
            <x v="0"/>
          </reference>
        </references>
      </pivotArea>
    </format>
    <format dxfId="3792">
      <pivotArea dataOnly="0" labelOnly="1" outline="0" fieldPosition="0">
        <references count="2">
          <reference field="1" count="1" selected="0">
            <x v="21"/>
          </reference>
          <reference field="4" count="1">
            <x v="0"/>
          </reference>
        </references>
      </pivotArea>
    </format>
    <format dxfId="3791">
      <pivotArea dataOnly="0" labelOnly="1" outline="0" fieldPosition="0">
        <references count="2">
          <reference field="1" count="1" selected="0">
            <x v="22"/>
          </reference>
          <reference field="4" count="1">
            <x v="0"/>
          </reference>
        </references>
      </pivotArea>
    </format>
    <format dxfId="3790">
      <pivotArea dataOnly="0" labelOnly="1" outline="0" fieldPosition="0">
        <references count="2">
          <reference field="1" count="1" selected="0">
            <x v="24"/>
          </reference>
          <reference field="4" count="1">
            <x v="0"/>
          </reference>
        </references>
      </pivotArea>
    </format>
    <format dxfId="3789">
      <pivotArea dataOnly="0" labelOnly="1" outline="0" fieldPosition="0">
        <references count="2">
          <reference field="1" count="0" selected="0"/>
          <reference field="4" count="1">
            <x v="0"/>
          </reference>
        </references>
      </pivotArea>
    </format>
    <format dxfId="3788">
      <pivotArea dataOnly="0" labelOnly="1" outline="0" fieldPosition="0">
        <references count="1">
          <reference field="1" count="0"/>
        </references>
      </pivotArea>
    </format>
    <format dxfId="3787">
      <pivotArea dataOnly="0" labelOnly="1" outline="0" fieldPosition="0">
        <references count="2">
          <reference field="1" count="0" selected="0"/>
          <reference field="4" count="1">
            <x v="5"/>
          </reference>
        </references>
      </pivotArea>
    </format>
    <format dxfId="3786">
      <pivotArea dataOnly="0" labelOnly="1" outline="0" fieldPosition="0">
        <references count="2">
          <reference field="1" count="0" selected="0"/>
          <reference field="4" count="1">
            <x v="6"/>
          </reference>
        </references>
      </pivotArea>
    </format>
    <format dxfId="3785">
      <pivotArea dataOnly="0" labelOnly="1" outline="0" fieldPosition="0">
        <references count="2">
          <reference field="1" count="0" selected="0"/>
          <reference field="4" count="1">
            <x v="7"/>
          </reference>
        </references>
      </pivotArea>
    </format>
    <format dxfId="3784">
      <pivotArea dataOnly="0" labelOnly="1" outline="0" fieldPosition="0">
        <references count="2">
          <reference field="1" count="0" selected="0"/>
          <reference field="4" count="1">
            <x v="8"/>
          </reference>
        </references>
      </pivotArea>
    </format>
    <format dxfId="3783">
      <pivotArea dataOnly="0" labelOnly="1" outline="0" fieldPosition="0">
        <references count="2">
          <reference field="1" count="0" selected="0"/>
          <reference field="4" count="1">
            <x v="10"/>
          </reference>
        </references>
      </pivotArea>
    </format>
    <format dxfId="3782">
      <pivotArea dataOnly="0" labelOnly="1" outline="0" fieldPosition="0">
        <references count="2">
          <reference field="1" count="0" selected="0"/>
          <reference field="4" count="1">
            <x v="11"/>
          </reference>
        </references>
      </pivotArea>
    </format>
    <format dxfId="3781">
      <pivotArea dataOnly="0" labelOnly="1" outline="0" fieldPosition="0">
        <references count="2">
          <reference field="1" count="0" selected="0"/>
          <reference field="4" count="1">
            <x v="12"/>
          </reference>
        </references>
      </pivotArea>
    </format>
    <format dxfId="3780">
      <pivotArea dataOnly="0" labelOnly="1" outline="0" fieldPosition="0">
        <references count="2">
          <reference field="1" count="0" selected="0"/>
          <reference field="4" count="1">
            <x v="0"/>
          </reference>
        </references>
      </pivotArea>
    </format>
    <format dxfId="3779">
      <pivotArea dataOnly="0" labelOnly="1" outline="0" fieldPosition="0">
        <references count="2">
          <reference field="1" count="0" selected="0"/>
          <reference field="4" count="0"/>
        </references>
      </pivotArea>
    </format>
    <format dxfId="3778">
      <pivotArea dataOnly="0" labelOnly="1" outline="0" fieldPosition="0">
        <references count="2">
          <reference field="1" count="0" selected="0"/>
          <reference field="4" count="7">
            <x v="0"/>
            <x v="5"/>
            <x v="6"/>
            <x v="8"/>
            <x v="10"/>
            <x v="11"/>
            <x v="12"/>
          </reference>
        </references>
      </pivotArea>
    </format>
    <format dxfId="3777">
      <pivotArea field="5" type="button" dataOnly="0" labelOnly="1" outline="0"/>
    </format>
    <format dxfId="3776">
      <pivotArea dataOnly="0" labelOnly="1" outline="0" fieldPosition="0">
        <references count="1">
          <reference field="1" count="27">
            <x v="0"/>
            <x v="1"/>
            <x v="2"/>
            <x v="3"/>
            <x v="4"/>
            <x v="5"/>
            <x v="6"/>
            <x v="7"/>
            <x v="8"/>
            <x v="9"/>
            <x v="10"/>
            <x v="11"/>
            <x v="12"/>
            <x v="13"/>
            <x v="14"/>
            <x v="15"/>
            <x v="16"/>
            <x v="17"/>
            <x v="18"/>
            <x v="19"/>
            <x v="20"/>
            <x v="21"/>
            <x v="22"/>
            <x v="23"/>
            <x v="24"/>
            <x v="25"/>
            <x v="27"/>
          </reference>
        </references>
      </pivotArea>
    </format>
    <format dxfId="3775">
      <pivotArea dataOnly="0" labelOnly="1" outline="0" offset="IV1" fieldPosition="0">
        <references count="1">
          <reference field="1" count="1">
            <x v="26"/>
          </reference>
        </references>
      </pivotArea>
    </format>
    <format dxfId="3774">
      <pivotArea dataOnly="0" labelOnly="1" outline="0" fieldPosition="0">
        <references count="2">
          <reference field="1" count="1" selected="0">
            <x v="0"/>
          </reference>
          <reference field="4" count="0"/>
        </references>
      </pivotArea>
    </format>
    <format dxfId="3773">
      <pivotArea dataOnly="0" labelOnly="1" outline="0" fieldPosition="0">
        <references count="2">
          <reference field="1" count="1" selected="0">
            <x v="1"/>
          </reference>
          <reference field="4" count="0"/>
        </references>
      </pivotArea>
    </format>
    <format dxfId="3772">
      <pivotArea dataOnly="0" labelOnly="1" outline="0" fieldPosition="0">
        <references count="2">
          <reference field="1" count="1" selected="0">
            <x v="2"/>
          </reference>
          <reference field="4" count="0"/>
        </references>
      </pivotArea>
    </format>
    <format dxfId="3771">
      <pivotArea dataOnly="0" labelOnly="1" outline="0" fieldPosition="0">
        <references count="2">
          <reference field="1" count="1" selected="0">
            <x v="3"/>
          </reference>
          <reference field="4" count="0"/>
        </references>
      </pivotArea>
    </format>
    <format dxfId="3770">
      <pivotArea dataOnly="0" labelOnly="1" outline="0" fieldPosition="0">
        <references count="2">
          <reference field="1" count="1" selected="0">
            <x v="4"/>
          </reference>
          <reference field="4" count="0"/>
        </references>
      </pivotArea>
    </format>
    <format dxfId="3769">
      <pivotArea dataOnly="0" labelOnly="1" outline="0" fieldPosition="0">
        <references count="2">
          <reference field="1" count="1" selected="0">
            <x v="5"/>
          </reference>
          <reference field="4" count="0"/>
        </references>
      </pivotArea>
    </format>
    <format dxfId="3768">
      <pivotArea dataOnly="0" labelOnly="1" outline="0" fieldPosition="0">
        <references count="2">
          <reference field="1" count="1" selected="0">
            <x v="6"/>
          </reference>
          <reference field="4" count="0"/>
        </references>
      </pivotArea>
    </format>
    <format dxfId="3767">
      <pivotArea dataOnly="0" labelOnly="1" outline="0" fieldPosition="0">
        <references count="2">
          <reference field="1" count="1" selected="0">
            <x v="7"/>
          </reference>
          <reference field="4" count="0"/>
        </references>
      </pivotArea>
    </format>
    <format dxfId="3766">
      <pivotArea dataOnly="0" labelOnly="1" outline="0" fieldPosition="0">
        <references count="2">
          <reference field="1" count="1" selected="0">
            <x v="8"/>
          </reference>
          <reference field="4" count="0"/>
        </references>
      </pivotArea>
    </format>
    <format dxfId="3765">
      <pivotArea dataOnly="0" labelOnly="1" outline="0" fieldPosition="0">
        <references count="2">
          <reference field="1" count="1" selected="0">
            <x v="9"/>
          </reference>
          <reference field="4" count="0"/>
        </references>
      </pivotArea>
    </format>
    <format dxfId="3764">
      <pivotArea dataOnly="0" labelOnly="1" outline="0" fieldPosition="0">
        <references count="2">
          <reference field="1" count="1" selected="0">
            <x v="27"/>
          </reference>
          <reference field="4" count="0"/>
        </references>
      </pivotArea>
    </format>
    <format dxfId="3763">
      <pivotArea dataOnly="0" labelOnly="1" outline="0" fieldPosition="0">
        <references count="2">
          <reference field="1" count="1" selected="0">
            <x v="10"/>
          </reference>
          <reference field="4" count="0"/>
        </references>
      </pivotArea>
    </format>
    <format dxfId="3762">
      <pivotArea dataOnly="0" labelOnly="1" outline="0" fieldPosition="0">
        <references count="2">
          <reference field="1" count="1" selected="0">
            <x v="11"/>
          </reference>
          <reference field="4" count="0"/>
        </references>
      </pivotArea>
    </format>
    <format dxfId="3761">
      <pivotArea dataOnly="0" labelOnly="1" outline="0" fieldPosition="0">
        <references count="2">
          <reference field="1" count="1" selected="0">
            <x v="12"/>
          </reference>
          <reference field="4" count="0"/>
        </references>
      </pivotArea>
    </format>
    <format dxfId="3760">
      <pivotArea dataOnly="0" labelOnly="1" outline="0" fieldPosition="0">
        <references count="2">
          <reference field="1" count="1" selected="0">
            <x v="13"/>
          </reference>
          <reference field="4" count="0"/>
        </references>
      </pivotArea>
    </format>
    <format dxfId="3759">
      <pivotArea dataOnly="0" labelOnly="1" outline="0" fieldPosition="0">
        <references count="2">
          <reference field="1" count="1" selected="0">
            <x v="14"/>
          </reference>
          <reference field="4" count="0"/>
        </references>
      </pivotArea>
    </format>
    <format dxfId="3758">
      <pivotArea dataOnly="0" labelOnly="1" outline="0" fieldPosition="0">
        <references count="2">
          <reference field="1" count="1" selected="0">
            <x v="15"/>
          </reference>
          <reference field="4" count="0"/>
        </references>
      </pivotArea>
    </format>
    <format dxfId="3757">
      <pivotArea dataOnly="0" labelOnly="1" outline="0" fieldPosition="0">
        <references count="2">
          <reference field="1" count="1" selected="0">
            <x v="16"/>
          </reference>
          <reference field="4" count="0"/>
        </references>
      </pivotArea>
    </format>
    <format dxfId="3756">
      <pivotArea dataOnly="0" labelOnly="1" outline="0" fieldPosition="0">
        <references count="2">
          <reference field="1" count="1" selected="0">
            <x v="17"/>
          </reference>
          <reference field="4" count="0"/>
        </references>
      </pivotArea>
    </format>
    <format dxfId="3755">
      <pivotArea dataOnly="0" labelOnly="1" outline="0" fieldPosition="0">
        <references count="2">
          <reference field="1" count="1" selected="0">
            <x v="18"/>
          </reference>
          <reference field="4" count="0"/>
        </references>
      </pivotArea>
    </format>
    <format dxfId="3754">
      <pivotArea dataOnly="0" labelOnly="1" outline="0" fieldPosition="0">
        <references count="2">
          <reference field="1" count="1" selected="0">
            <x v="19"/>
          </reference>
          <reference field="4" count="0"/>
        </references>
      </pivotArea>
    </format>
    <format dxfId="3753">
      <pivotArea dataOnly="0" labelOnly="1" outline="0" fieldPosition="0">
        <references count="2">
          <reference field="1" count="1" selected="0">
            <x v="20"/>
          </reference>
          <reference field="4" count="0"/>
        </references>
      </pivotArea>
    </format>
    <format dxfId="3752">
      <pivotArea dataOnly="0" labelOnly="1" outline="0" fieldPosition="0">
        <references count="2">
          <reference field="1" count="1" selected="0">
            <x v="21"/>
          </reference>
          <reference field="4" count="0"/>
        </references>
      </pivotArea>
    </format>
    <format dxfId="3751">
      <pivotArea dataOnly="0" labelOnly="1" outline="0" fieldPosition="0">
        <references count="2">
          <reference field="1" count="1" selected="0">
            <x v="22"/>
          </reference>
          <reference field="4" count="0"/>
        </references>
      </pivotArea>
    </format>
    <format dxfId="3750">
      <pivotArea dataOnly="0" labelOnly="1" outline="0" fieldPosition="0">
        <references count="2">
          <reference field="1" count="1" selected="0">
            <x v="23"/>
          </reference>
          <reference field="4" count="0"/>
        </references>
      </pivotArea>
    </format>
    <format dxfId="3749">
      <pivotArea dataOnly="0" labelOnly="1" outline="0" fieldPosition="0">
        <references count="2">
          <reference field="1" count="1" selected="0">
            <x v="24"/>
          </reference>
          <reference field="4" count="0"/>
        </references>
      </pivotArea>
    </format>
    <format dxfId="3748">
      <pivotArea dataOnly="0" labelOnly="1" outline="0" fieldPosition="0">
        <references count="2">
          <reference field="1" count="1" selected="0">
            <x v="25"/>
          </reference>
          <reference field="4" count="0"/>
        </references>
      </pivotArea>
    </format>
    <format dxfId="3747">
      <pivotArea dataOnly="0" labelOnly="1" outline="0" offset="IV1" fieldPosition="0">
        <references count="2">
          <reference field="1" count="1" selected="0">
            <x v="26"/>
          </reference>
          <reference field="4" count="1">
            <x v="0"/>
          </reference>
        </references>
      </pivotArea>
    </format>
    <format dxfId="3746">
      <pivotArea dataOnly="0" labelOnly="1" outline="0" fieldPosition="0">
        <references count="3">
          <reference field="1" count="1" selected="0">
            <x v="0"/>
          </reference>
          <reference field="3" count="1">
            <x v="76"/>
          </reference>
          <reference field="4" count="1" selected="0">
            <x v="0"/>
          </reference>
        </references>
      </pivotArea>
    </format>
    <format dxfId="3745">
      <pivotArea dataOnly="0" labelOnly="1" outline="0" fieldPosition="0">
        <references count="2">
          <reference field="1" count="0" selected="0"/>
          <reference field="4" count="1">
            <x v="5"/>
          </reference>
        </references>
      </pivotArea>
    </format>
    <format dxfId="3744">
      <pivotArea dataOnly="0" labelOnly="1" outline="0" fieldPosition="0">
        <references count="2">
          <reference field="1" count="0" selected="0"/>
          <reference field="4" count="1">
            <x v="6"/>
          </reference>
        </references>
      </pivotArea>
    </format>
    <format dxfId="3743">
      <pivotArea dataOnly="0" labelOnly="1" outline="0" offset="IV2:IV256" fieldPosition="0">
        <references count="1">
          <reference field="1" count="0"/>
        </references>
      </pivotArea>
    </format>
    <format dxfId="3742">
      <pivotArea dataOnly="0" labelOnly="1" outline="0" fieldPosition="0">
        <references count="2">
          <reference field="1" count="0" selected="0"/>
          <reference field="4" count="1">
            <x v="7"/>
          </reference>
        </references>
      </pivotArea>
    </format>
    <format dxfId="3741">
      <pivotArea dataOnly="0" labelOnly="1" outline="0" fieldPosition="0">
        <references count="2">
          <reference field="1" count="0" selected="0"/>
          <reference field="4" count="1">
            <x v="8"/>
          </reference>
        </references>
      </pivotArea>
    </format>
    <format dxfId="3740">
      <pivotArea dataOnly="0" labelOnly="1" outline="0" fieldPosition="0">
        <references count="2">
          <reference field="1" count="0" selected="0"/>
          <reference field="4" count="1">
            <x v="10"/>
          </reference>
        </references>
      </pivotArea>
    </format>
    <format dxfId="3739">
      <pivotArea dataOnly="0" labelOnly="1" outline="0" fieldPosition="0">
        <references count="2">
          <reference field="1" count="0" selected="0"/>
          <reference field="4" count="1">
            <x v="11"/>
          </reference>
        </references>
      </pivotArea>
    </format>
    <format dxfId="3738">
      <pivotArea dataOnly="0" labelOnly="1" outline="0" fieldPosition="0">
        <references count="2">
          <reference field="1" count="0" selected="0"/>
          <reference field="4" count="1">
            <x v="12"/>
          </reference>
        </references>
      </pivotArea>
    </format>
    <format dxfId="3737">
      <pivotArea dataOnly="0" labelOnly="1" outline="0" offset="IV1" fieldPosition="0">
        <references count="1">
          <reference field="1" count="0"/>
        </references>
      </pivotArea>
    </format>
    <format dxfId="3736">
      <pivotArea dataOnly="0" labelOnly="1" outline="0" offset="IV1" fieldPosition="0">
        <references count="1">
          <reference field="1" count="0"/>
        </references>
      </pivotArea>
    </format>
    <format dxfId="3735">
      <pivotArea field="3" type="button" dataOnly="0" labelOnly="1" outline="0" axis="axisRow" fieldPosition="2"/>
    </format>
    <format dxfId="3734">
      <pivotArea dataOnly="0" labelOnly="1" outline="0" fieldPosition="0">
        <references count="1">
          <reference field="1" count="0"/>
        </references>
      </pivotArea>
    </format>
    <format dxfId="3733">
      <pivotArea dataOnly="0" labelOnly="1" outline="0" fieldPosition="0">
        <references count="3">
          <reference field="1" count="1" selected="0">
            <x v="0"/>
          </reference>
          <reference field="3" count="4">
            <x v="75"/>
            <x v="76"/>
            <x v="167"/>
            <x v="222"/>
          </reference>
          <reference field="4" count="1" selected="0">
            <x v="0"/>
          </reference>
        </references>
      </pivotArea>
    </format>
    <format dxfId="3732">
      <pivotArea dataOnly="0" labelOnly="1" outline="0" fieldPosition="0">
        <references count="3">
          <reference field="1" count="1" selected="0">
            <x v="0"/>
          </reference>
          <reference field="3" count="19">
            <x v="65"/>
            <x v="70"/>
            <x v="192"/>
            <x v="193"/>
            <x v="194"/>
            <x v="195"/>
            <x v="196"/>
            <x v="197"/>
            <x v="198"/>
            <x v="199"/>
            <x v="200"/>
            <x v="201"/>
            <x v="202"/>
            <x v="203"/>
            <x v="204"/>
            <x v="205"/>
            <x v="206"/>
            <x v="207"/>
            <x v="337"/>
          </reference>
          <reference field="4" count="1" selected="0">
            <x v="5"/>
          </reference>
        </references>
      </pivotArea>
    </format>
    <format dxfId="3731">
      <pivotArea dataOnly="0" labelOnly="1" outline="0" fieldPosition="0">
        <references count="3">
          <reference field="1" count="1" selected="0">
            <x v="0"/>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268"/>
          </reference>
          <reference field="4" count="1" selected="0">
            <x v="6"/>
          </reference>
        </references>
      </pivotArea>
    </format>
    <format dxfId="3730">
      <pivotArea dataOnly="0" labelOnly="1" outline="0" fieldPosition="0">
        <references count="3">
          <reference field="1" count="1" selected="0">
            <x v="0"/>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729">
      <pivotArea dataOnly="0" labelOnly="1" outline="0" fieldPosition="0">
        <references count="3">
          <reference field="1" count="1" selected="0">
            <x v="0"/>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728">
      <pivotArea dataOnly="0" labelOnly="1" outline="0" fieldPosition="0">
        <references count="3">
          <reference field="1" count="1" selected="0">
            <x v="0"/>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727">
      <pivotArea dataOnly="0" labelOnly="1" outline="0" fieldPosition="0">
        <references count="3">
          <reference field="1" count="1" selected="0">
            <x v="0"/>
          </reference>
          <reference field="3" count="13">
            <x v="23"/>
            <x v="30"/>
            <x v="80"/>
            <x v="90"/>
            <x v="92"/>
            <x v="141"/>
            <x v="143"/>
            <x v="144"/>
            <x v="161"/>
            <x v="163"/>
            <x v="210"/>
            <x v="211"/>
            <x v="212"/>
          </reference>
          <reference field="4" count="1" selected="0">
            <x v="11"/>
          </reference>
        </references>
      </pivotArea>
    </format>
    <format dxfId="3726">
      <pivotArea dataOnly="0" labelOnly="1" outline="0" fieldPosition="0">
        <references count="3">
          <reference field="1" count="1" selected="0">
            <x v="0"/>
          </reference>
          <reference field="3" count="19">
            <x v="1"/>
            <x v="2"/>
            <x v="5"/>
            <x v="9"/>
            <x v="15"/>
            <x v="17"/>
            <x v="46"/>
            <x v="48"/>
            <x v="50"/>
            <x v="54"/>
            <x v="55"/>
            <x v="57"/>
            <x v="60"/>
            <x v="69"/>
            <x v="72"/>
            <x v="73"/>
            <x v="78"/>
            <x v="79"/>
            <x v="82"/>
          </reference>
          <reference field="4" count="1" selected="0">
            <x v="12"/>
          </reference>
        </references>
      </pivotArea>
    </format>
    <format dxfId="3725">
      <pivotArea dataOnly="0" labelOnly="1" outline="0" fieldPosition="0">
        <references count="3">
          <reference field="1" count="1" selected="0">
            <x v="1"/>
          </reference>
          <reference field="3" count="4">
            <x v="75"/>
            <x v="76"/>
            <x v="167"/>
            <x v="222"/>
          </reference>
          <reference field="4" count="1" selected="0">
            <x v="0"/>
          </reference>
        </references>
      </pivotArea>
    </format>
    <format dxfId="3724">
      <pivotArea dataOnly="0" labelOnly="1" outline="0" fieldPosition="0">
        <references count="3">
          <reference field="1" count="1" selected="0">
            <x v="1"/>
          </reference>
          <reference field="3" count="19">
            <x v="65"/>
            <x v="70"/>
            <x v="192"/>
            <x v="193"/>
            <x v="194"/>
            <x v="195"/>
            <x v="196"/>
            <x v="197"/>
            <x v="198"/>
            <x v="199"/>
            <x v="200"/>
            <x v="201"/>
            <x v="202"/>
            <x v="203"/>
            <x v="204"/>
            <x v="205"/>
            <x v="206"/>
            <x v="207"/>
            <x v="337"/>
          </reference>
          <reference field="4" count="1" selected="0">
            <x v="5"/>
          </reference>
        </references>
      </pivotArea>
    </format>
    <format dxfId="3723">
      <pivotArea dataOnly="0" labelOnly="1" outline="0" fieldPosition="0">
        <references count="3">
          <reference field="1" count="1" selected="0">
            <x v="1"/>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268"/>
          </reference>
          <reference field="4" count="1" selected="0">
            <x v="6"/>
          </reference>
        </references>
      </pivotArea>
    </format>
    <format dxfId="3722">
      <pivotArea dataOnly="0" labelOnly="1" outline="0" fieldPosition="0">
        <references count="3">
          <reference field="1" count="1" selected="0">
            <x v="1"/>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721">
      <pivotArea dataOnly="0" labelOnly="1" outline="0" fieldPosition="0">
        <references count="3">
          <reference field="1" count="1" selected="0">
            <x v="1"/>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720">
      <pivotArea dataOnly="0" labelOnly="1" outline="0" fieldPosition="0">
        <references count="3">
          <reference field="1" count="1" selected="0">
            <x v="1"/>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719">
      <pivotArea dataOnly="0" labelOnly="1" outline="0" fieldPosition="0">
        <references count="3">
          <reference field="1" count="1" selected="0">
            <x v="1"/>
          </reference>
          <reference field="3" count="13">
            <x v="23"/>
            <x v="30"/>
            <x v="80"/>
            <x v="90"/>
            <x v="92"/>
            <x v="141"/>
            <x v="143"/>
            <x v="144"/>
            <x v="161"/>
            <x v="163"/>
            <x v="210"/>
            <x v="211"/>
            <x v="212"/>
          </reference>
          <reference field="4" count="1" selected="0">
            <x v="11"/>
          </reference>
        </references>
      </pivotArea>
    </format>
    <format dxfId="3718">
      <pivotArea dataOnly="0" labelOnly="1" outline="0" fieldPosition="0">
        <references count="3">
          <reference field="1" count="1" selected="0">
            <x v="1"/>
          </reference>
          <reference field="3" count="19">
            <x v="1"/>
            <x v="2"/>
            <x v="5"/>
            <x v="9"/>
            <x v="15"/>
            <x v="17"/>
            <x v="46"/>
            <x v="48"/>
            <x v="50"/>
            <x v="54"/>
            <x v="55"/>
            <x v="57"/>
            <x v="60"/>
            <x v="69"/>
            <x v="72"/>
            <x v="73"/>
            <x v="78"/>
            <x v="79"/>
            <x v="82"/>
          </reference>
          <reference field="4" count="1" selected="0">
            <x v="12"/>
          </reference>
        </references>
      </pivotArea>
    </format>
    <format dxfId="3717">
      <pivotArea dataOnly="0" labelOnly="1" outline="0" fieldPosition="0">
        <references count="3">
          <reference field="1" count="1" selected="0">
            <x v="2"/>
          </reference>
          <reference field="3" count="4">
            <x v="75"/>
            <x v="76"/>
            <x v="167"/>
            <x v="222"/>
          </reference>
          <reference field="4" count="1" selected="0">
            <x v="0"/>
          </reference>
        </references>
      </pivotArea>
    </format>
    <format dxfId="3716">
      <pivotArea dataOnly="0" labelOnly="1" outline="0" fieldPosition="0">
        <references count="3">
          <reference field="1" count="1" selected="0">
            <x v="2"/>
          </reference>
          <reference field="3" count="19">
            <x v="65"/>
            <x v="70"/>
            <x v="192"/>
            <x v="193"/>
            <x v="194"/>
            <x v="195"/>
            <x v="196"/>
            <x v="197"/>
            <x v="198"/>
            <x v="199"/>
            <x v="200"/>
            <x v="201"/>
            <x v="202"/>
            <x v="203"/>
            <x v="204"/>
            <x v="205"/>
            <x v="206"/>
            <x v="207"/>
            <x v="337"/>
          </reference>
          <reference field="4" count="1" selected="0">
            <x v="5"/>
          </reference>
        </references>
      </pivotArea>
    </format>
    <format dxfId="3715">
      <pivotArea dataOnly="0" labelOnly="1" outline="0" fieldPosition="0">
        <references count="3">
          <reference field="1" count="1" selected="0">
            <x v="2"/>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3714">
      <pivotArea dataOnly="0" labelOnly="1" outline="0" fieldPosition="0">
        <references count="3">
          <reference field="1" count="1" selected="0">
            <x v="2"/>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713">
      <pivotArea dataOnly="0" labelOnly="1" outline="0" fieldPosition="0">
        <references count="3">
          <reference field="1" count="1" selected="0">
            <x v="2"/>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712">
      <pivotArea dataOnly="0" labelOnly="1" outline="0" fieldPosition="0">
        <references count="3">
          <reference field="1" count="1" selected="0">
            <x v="2"/>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711">
      <pivotArea dataOnly="0" labelOnly="1" outline="0" fieldPosition="0">
        <references count="3">
          <reference field="1" count="1" selected="0">
            <x v="2"/>
          </reference>
          <reference field="3" count="13">
            <x v="23"/>
            <x v="30"/>
            <x v="80"/>
            <x v="90"/>
            <x v="92"/>
            <x v="141"/>
            <x v="143"/>
            <x v="144"/>
            <x v="161"/>
            <x v="163"/>
            <x v="210"/>
            <x v="211"/>
            <x v="212"/>
          </reference>
          <reference field="4" count="1" selected="0">
            <x v="11"/>
          </reference>
        </references>
      </pivotArea>
    </format>
    <format dxfId="3710">
      <pivotArea dataOnly="0" labelOnly="1" outline="0" fieldPosition="0">
        <references count="3">
          <reference field="1" count="1" selected="0">
            <x v="2"/>
          </reference>
          <reference field="3" count="19">
            <x v="1"/>
            <x v="2"/>
            <x v="5"/>
            <x v="9"/>
            <x v="15"/>
            <x v="17"/>
            <x v="46"/>
            <x v="48"/>
            <x v="50"/>
            <x v="54"/>
            <x v="55"/>
            <x v="57"/>
            <x v="60"/>
            <x v="69"/>
            <x v="72"/>
            <x v="73"/>
            <x v="78"/>
            <x v="79"/>
            <x v="82"/>
          </reference>
          <reference field="4" count="1" selected="0">
            <x v="12"/>
          </reference>
        </references>
      </pivotArea>
    </format>
    <format dxfId="3709">
      <pivotArea dataOnly="0" labelOnly="1" outline="0" fieldPosition="0">
        <references count="3">
          <reference field="1" count="1" selected="0">
            <x v="3"/>
          </reference>
          <reference field="3" count="4">
            <x v="75"/>
            <x v="76"/>
            <x v="167"/>
            <x v="222"/>
          </reference>
          <reference field="4" count="1" selected="0">
            <x v="0"/>
          </reference>
        </references>
      </pivotArea>
    </format>
    <format dxfId="3708">
      <pivotArea dataOnly="0" labelOnly="1" outline="0" fieldPosition="0">
        <references count="3">
          <reference field="1" count="1" selected="0">
            <x v="3"/>
          </reference>
          <reference field="3" count="16">
            <x v="65"/>
            <x v="70"/>
            <x v="192"/>
            <x v="193"/>
            <x v="194"/>
            <x v="196"/>
            <x v="197"/>
            <x v="198"/>
            <x v="199"/>
            <x v="200"/>
            <x v="202"/>
            <x v="203"/>
            <x v="204"/>
            <x v="205"/>
            <x v="206"/>
            <x v="337"/>
          </reference>
          <reference field="4" count="1" selected="0">
            <x v="5"/>
          </reference>
        </references>
      </pivotArea>
    </format>
    <format dxfId="3707">
      <pivotArea dataOnly="0" labelOnly="1" outline="0" fieldPosition="0">
        <references count="3">
          <reference field="1" count="1" selected="0">
            <x v="3"/>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3706">
      <pivotArea dataOnly="0" labelOnly="1" outline="0" fieldPosition="0">
        <references count="3">
          <reference field="1" count="1" selected="0">
            <x v="3"/>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705">
      <pivotArea dataOnly="0" labelOnly="1" outline="0" fieldPosition="0">
        <references count="3">
          <reference field="1" count="1" selected="0">
            <x v="3"/>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704">
      <pivotArea dataOnly="0" labelOnly="1" outline="0" fieldPosition="0">
        <references count="3">
          <reference field="1" count="1" selected="0">
            <x v="3"/>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703">
      <pivotArea dataOnly="0" labelOnly="1" outline="0" fieldPosition="0">
        <references count="3">
          <reference field="1" count="1" selected="0">
            <x v="3"/>
          </reference>
          <reference field="3" count="13">
            <x v="23"/>
            <x v="30"/>
            <x v="80"/>
            <x v="90"/>
            <x v="92"/>
            <x v="141"/>
            <x v="143"/>
            <x v="144"/>
            <x v="161"/>
            <x v="163"/>
            <x v="210"/>
            <x v="211"/>
            <x v="212"/>
          </reference>
          <reference field="4" count="1" selected="0">
            <x v="11"/>
          </reference>
        </references>
      </pivotArea>
    </format>
    <format dxfId="3702">
      <pivotArea dataOnly="0" labelOnly="1" outline="0" fieldPosition="0">
        <references count="3">
          <reference field="1" count="1" selected="0">
            <x v="3"/>
          </reference>
          <reference field="3" count="22">
            <x v="1"/>
            <x v="2"/>
            <x v="5"/>
            <x v="9"/>
            <x v="15"/>
            <x v="17"/>
            <x v="46"/>
            <x v="48"/>
            <x v="50"/>
            <x v="54"/>
            <x v="55"/>
            <x v="57"/>
            <x v="60"/>
            <x v="69"/>
            <x v="72"/>
            <x v="73"/>
            <x v="78"/>
            <x v="79"/>
            <x v="82"/>
            <x v="195"/>
            <x v="201"/>
            <x v="207"/>
          </reference>
          <reference field="4" count="1" selected="0">
            <x v="12"/>
          </reference>
        </references>
      </pivotArea>
    </format>
    <format dxfId="3701">
      <pivotArea dataOnly="0" labelOnly="1" outline="0" fieldPosition="0">
        <references count="3">
          <reference field="1" count="1" selected="0">
            <x v="4"/>
          </reference>
          <reference field="3" count="4">
            <x v="75"/>
            <x v="76"/>
            <x v="167"/>
            <x v="222"/>
          </reference>
          <reference field="4" count="1" selected="0">
            <x v="0"/>
          </reference>
        </references>
      </pivotArea>
    </format>
    <format dxfId="3700">
      <pivotArea dataOnly="0" labelOnly="1" outline="0" fieldPosition="0">
        <references count="3">
          <reference field="1" count="1" selected="0">
            <x v="4"/>
          </reference>
          <reference field="3" count="19">
            <x v="65"/>
            <x v="70"/>
            <x v="192"/>
            <x v="193"/>
            <x v="194"/>
            <x v="195"/>
            <x v="196"/>
            <x v="197"/>
            <x v="198"/>
            <x v="199"/>
            <x v="200"/>
            <x v="201"/>
            <x v="202"/>
            <x v="203"/>
            <x v="204"/>
            <x v="205"/>
            <x v="206"/>
            <x v="207"/>
            <x v="337"/>
          </reference>
          <reference field="4" count="1" selected="0">
            <x v="5"/>
          </reference>
        </references>
      </pivotArea>
    </format>
    <format dxfId="3699">
      <pivotArea dataOnly="0" labelOnly="1" outline="0" fieldPosition="0">
        <references count="3">
          <reference field="1" count="1" selected="0">
            <x v="4"/>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3698">
      <pivotArea dataOnly="0" labelOnly="1" outline="0" fieldPosition="0">
        <references count="3">
          <reference field="1" count="1" selected="0">
            <x v="4"/>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697">
      <pivotArea dataOnly="0" labelOnly="1" outline="0" fieldPosition="0">
        <references count="3">
          <reference field="1" count="1" selected="0">
            <x v="4"/>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696">
      <pivotArea dataOnly="0" labelOnly="1" outline="0" fieldPosition="0">
        <references count="3">
          <reference field="1" count="1" selected="0">
            <x v="4"/>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695">
      <pivotArea dataOnly="0" labelOnly="1" outline="0" fieldPosition="0">
        <references count="3">
          <reference field="1" count="1" selected="0">
            <x v="4"/>
          </reference>
          <reference field="3" count="13">
            <x v="23"/>
            <x v="30"/>
            <x v="80"/>
            <x v="90"/>
            <x v="92"/>
            <x v="141"/>
            <x v="143"/>
            <x v="144"/>
            <x v="161"/>
            <x v="163"/>
            <x v="210"/>
            <x v="211"/>
            <x v="212"/>
          </reference>
          <reference field="4" count="1" selected="0">
            <x v="11"/>
          </reference>
        </references>
      </pivotArea>
    </format>
    <format dxfId="3694">
      <pivotArea dataOnly="0" labelOnly="1" outline="0" fieldPosition="0">
        <references count="3">
          <reference field="1" count="1" selected="0">
            <x v="4"/>
          </reference>
          <reference field="3" count="19">
            <x v="1"/>
            <x v="2"/>
            <x v="5"/>
            <x v="9"/>
            <x v="15"/>
            <x v="17"/>
            <x v="46"/>
            <x v="48"/>
            <x v="50"/>
            <x v="54"/>
            <x v="55"/>
            <x v="57"/>
            <x v="60"/>
            <x v="69"/>
            <x v="72"/>
            <x v="73"/>
            <x v="78"/>
            <x v="79"/>
            <x v="82"/>
          </reference>
          <reference field="4" count="1" selected="0">
            <x v="12"/>
          </reference>
        </references>
      </pivotArea>
    </format>
    <format dxfId="3693">
      <pivotArea dataOnly="0" labelOnly="1" outline="0" fieldPosition="0">
        <references count="3">
          <reference field="1" count="1" selected="0">
            <x v="5"/>
          </reference>
          <reference field="3" count="4">
            <x v="75"/>
            <x v="76"/>
            <x v="167"/>
            <x v="222"/>
          </reference>
          <reference field="4" count="1" selected="0">
            <x v="0"/>
          </reference>
        </references>
      </pivotArea>
    </format>
    <format dxfId="3692">
      <pivotArea dataOnly="0" labelOnly="1" outline="0" fieldPosition="0">
        <references count="3">
          <reference field="1" count="1" selected="0">
            <x v="5"/>
          </reference>
          <reference field="3" count="19">
            <x v="65"/>
            <x v="70"/>
            <x v="192"/>
            <x v="193"/>
            <x v="194"/>
            <x v="195"/>
            <x v="196"/>
            <x v="197"/>
            <x v="198"/>
            <x v="199"/>
            <x v="200"/>
            <x v="201"/>
            <x v="202"/>
            <x v="203"/>
            <x v="204"/>
            <x v="205"/>
            <x v="206"/>
            <x v="207"/>
            <x v="337"/>
          </reference>
          <reference field="4" count="1" selected="0">
            <x v="5"/>
          </reference>
        </references>
      </pivotArea>
    </format>
    <format dxfId="3691">
      <pivotArea dataOnly="0" labelOnly="1" outline="0" fieldPosition="0">
        <references count="3">
          <reference field="1" count="1" selected="0">
            <x v="5"/>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3690">
      <pivotArea dataOnly="0" labelOnly="1" outline="0" fieldPosition="0">
        <references count="3">
          <reference field="1" count="1" selected="0">
            <x v="5"/>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689">
      <pivotArea dataOnly="0" labelOnly="1" outline="0" fieldPosition="0">
        <references count="3">
          <reference field="1" count="1" selected="0">
            <x v="5"/>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688">
      <pivotArea dataOnly="0" labelOnly="1" outline="0" fieldPosition="0">
        <references count="3">
          <reference field="1" count="1" selected="0">
            <x v="5"/>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687">
      <pivotArea dataOnly="0" labelOnly="1" outline="0" fieldPosition="0">
        <references count="3">
          <reference field="1" count="1" selected="0">
            <x v="5"/>
          </reference>
          <reference field="3" count="13">
            <x v="23"/>
            <x v="30"/>
            <x v="80"/>
            <x v="90"/>
            <x v="92"/>
            <x v="141"/>
            <x v="143"/>
            <x v="144"/>
            <x v="161"/>
            <x v="163"/>
            <x v="210"/>
            <x v="211"/>
            <x v="212"/>
          </reference>
          <reference field="4" count="1" selected="0">
            <x v="11"/>
          </reference>
        </references>
      </pivotArea>
    </format>
    <format dxfId="3686">
      <pivotArea dataOnly="0" labelOnly="1" outline="0" fieldPosition="0">
        <references count="3">
          <reference field="1" count="1" selected="0">
            <x v="5"/>
          </reference>
          <reference field="3" count="19">
            <x v="1"/>
            <x v="2"/>
            <x v="5"/>
            <x v="9"/>
            <x v="15"/>
            <x v="17"/>
            <x v="46"/>
            <x v="48"/>
            <x v="50"/>
            <x v="54"/>
            <x v="55"/>
            <x v="57"/>
            <x v="60"/>
            <x v="69"/>
            <x v="72"/>
            <x v="73"/>
            <x v="78"/>
            <x v="79"/>
            <x v="82"/>
          </reference>
          <reference field="4" count="1" selected="0">
            <x v="12"/>
          </reference>
        </references>
      </pivotArea>
    </format>
    <format dxfId="3685">
      <pivotArea dataOnly="0" labelOnly="1" outline="0" fieldPosition="0">
        <references count="3">
          <reference field="1" count="1" selected="0">
            <x v="6"/>
          </reference>
          <reference field="3" count="4">
            <x v="75"/>
            <x v="76"/>
            <x v="167"/>
            <x v="222"/>
          </reference>
          <reference field="4" count="1" selected="0">
            <x v="0"/>
          </reference>
        </references>
      </pivotArea>
    </format>
    <format dxfId="3684">
      <pivotArea dataOnly="0" labelOnly="1" outline="0" fieldPosition="0">
        <references count="3">
          <reference field="1" count="1" selected="0">
            <x v="6"/>
          </reference>
          <reference field="3" count="19">
            <x v="65"/>
            <x v="70"/>
            <x v="192"/>
            <x v="193"/>
            <x v="194"/>
            <x v="195"/>
            <x v="196"/>
            <x v="197"/>
            <x v="198"/>
            <x v="199"/>
            <x v="200"/>
            <x v="201"/>
            <x v="202"/>
            <x v="203"/>
            <x v="204"/>
            <x v="205"/>
            <x v="206"/>
            <x v="207"/>
            <x v="337"/>
          </reference>
          <reference field="4" count="1" selected="0">
            <x v="5"/>
          </reference>
        </references>
      </pivotArea>
    </format>
    <format dxfId="3683">
      <pivotArea dataOnly="0" labelOnly="1" outline="0" fieldPosition="0">
        <references count="3">
          <reference field="1" count="1" selected="0">
            <x v="6"/>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3682">
      <pivotArea dataOnly="0" labelOnly="1" outline="0" fieldPosition="0">
        <references count="3">
          <reference field="1" count="1" selected="0">
            <x v="6"/>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681">
      <pivotArea dataOnly="0" labelOnly="1" outline="0" fieldPosition="0">
        <references count="3">
          <reference field="1" count="1" selected="0">
            <x v="6"/>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680">
      <pivotArea dataOnly="0" labelOnly="1" outline="0" fieldPosition="0">
        <references count="3">
          <reference field="1" count="1" selected="0">
            <x v="6"/>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679">
      <pivotArea dataOnly="0" labelOnly="1" outline="0" fieldPosition="0">
        <references count="3">
          <reference field="1" count="1" selected="0">
            <x v="6"/>
          </reference>
          <reference field="3" count="13">
            <x v="23"/>
            <x v="30"/>
            <x v="80"/>
            <x v="90"/>
            <x v="92"/>
            <x v="141"/>
            <x v="143"/>
            <x v="144"/>
            <x v="161"/>
            <x v="163"/>
            <x v="210"/>
            <x v="211"/>
            <x v="212"/>
          </reference>
          <reference field="4" count="1" selected="0">
            <x v="11"/>
          </reference>
        </references>
      </pivotArea>
    </format>
    <format dxfId="3678">
      <pivotArea dataOnly="0" labelOnly="1" outline="0" fieldPosition="0">
        <references count="3">
          <reference field="1" count="1" selected="0">
            <x v="6"/>
          </reference>
          <reference field="3" count="19">
            <x v="1"/>
            <x v="2"/>
            <x v="5"/>
            <x v="9"/>
            <x v="15"/>
            <x v="17"/>
            <x v="46"/>
            <x v="48"/>
            <x v="50"/>
            <x v="54"/>
            <x v="55"/>
            <x v="57"/>
            <x v="60"/>
            <x v="69"/>
            <x v="72"/>
            <x v="73"/>
            <x v="78"/>
            <x v="79"/>
            <x v="82"/>
          </reference>
          <reference field="4" count="1" selected="0">
            <x v="12"/>
          </reference>
        </references>
      </pivotArea>
    </format>
    <format dxfId="3677">
      <pivotArea dataOnly="0" labelOnly="1" outline="0" fieldPosition="0">
        <references count="3">
          <reference field="1" count="1" selected="0">
            <x v="7"/>
          </reference>
          <reference field="3" count="4">
            <x v="75"/>
            <x v="76"/>
            <x v="167"/>
            <x v="222"/>
          </reference>
          <reference field="4" count="1" selected="0">
            <x v="0"/>
          </reference>
        </references>
      </pivotArea>
    </format>
    <format dxfId="3676">
      <pivotArea dataOnly="0" labelOnly="1" outline="0" fieldPosition="0">
        <references count="3">
          <reference field="1" count="1" selected="0">
            <x v="7"/>
          </reference>
          <reference field="3" count="19">
            <x v="65"/>
            <x v="70"/>
            <x v="192"/>
            <x v="193"/>
            <x v="194"/>
            <x v="195"/>
            <x v="196"/>
            <x v="197"/>
            <x v="198"/>
            <x v="199"/>
            <x v="200"/>
            <x v="201"/>
            <x v="202"/>
            <x v="203"/>
            <x v="204"/>
            <x v="205"/>
            <x v="206"/>
            <x v="207"/>
            <x v="337"/>
          </reference>
          <reference field="4" count="1" selected="0">
            <x v="5"/>
          </reference>
        </references>
      </pivotArea>
    </format>
    <format dxfId="3675">
      <pivotArea dataOnly="0" labelOnly="1" outline="0" fieldPosition="0">
        <references count="3">
          <reference field="1" count="1" selected="0">
            <x v="7"/>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3674">
      <pivotArea dataOnly="0" labelOnly="1" outline="0" fieldPosition="0">
        <references count="3">
          <reference field="1" count="1" selected="0">
            <x v="7"/>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673">
      <pivotArea dataOnly="0" labelOnly="1" outline="0" fieldPosition="0">
        <references count="3">
          <reference field="1" count="1" selected="0">
            <x v="7"/>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672">
      <pivotArea dataOnly="0" labelOnly="1" outline="0" fieldPosition="0">
        <references count="3">
          <reference field="1" count="1" selected="0">
            <x v="7"/>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671">
      <pivotArea dataOnly="0" labelOnly="1" outline="0" fieldPosition="0">
        <references count="3">
          <reference field="1" count="1" selected="0">
            <x v="7"/>
          </reference>
          <reference field="3" count="13">
            <x v="23"/>
            <x v="30"/>
            <x v="80"/>
            <x v="90"/>
            <x v="92"/>
            <x v="141"/>
            <x v="143"/>
            <x v="144"/>
            <x v="161"/>
            <x v="163"/>
            <x v="210"/>
            <x v="211"/>
            <x v="212"/>
          </reference>
          <reference field="4" count="1" selected="0">
            <x v="11"/>
          </reference>
        </references>
      </pivotArea>
    </format>
    <format dxfId="3670">
      <pivotArea dataOnly="0" labelOnly="1" outline="0" fieldPosition="0">
        <references count="3">
          <reference field="1" count="1" selected="0">
            <x v="7"/>
          </reference>
          <reference field="3" count="19">
            <x v="1"/>
            <x v="2"/>
            <x v="5"/>
            <x v="9"/>
            <x v="15"/>
            <x v="17"/>
            <x v="46"/>
            <x v="48"/>
            <x v="50"/>
            <x v="54"/>
            <x v="55"/>
            <x v="57"/>
            <x v="60"/>
            <x v="69"/>
            <x v="72"/>
            <x v="73"/>
            <x v="78"/>
            <x v="79"/>
            <x v="82"/>
          </reference>
          <reference field="4" count="1" selected="0">
            <x v="12"/>
          </reference>
        </references>
      </pivotArea>
    </format>
    <format dxfId="3669">
      <pivotArea dataOnly="0" labelOnly="1" outline="0" fieldPosition="0">
        <references count="3">
          <reference field="1" count="1" selected="0">
            <x v="8"/>
          </reference>
          <reference field="3" count="4">
            <x v="75"/>
            <x v="76"/>
            <x v="167"/>
            <x v="222"/>
          </reference>
          <reference field="4" count="1" selected="0">
            <x v="0"/>
          </reference>
        </references>
      </pivotArea>
    </format>
    <format dxfId="3668">
      <pivotArea dataOnly="0" labelOnly="1" outline="0" fieldPosition="0">
        <references count="3">
          <reference field="1" count="1" selected="0">
            <x v="8"/>
          </reference>
          <reference field="3" count="19">
            <x v="65"/>
            <x v="70"/>
            <x v="192"/>
            <x v="193"/>
            <x v="194"/>
            <x v="195"/>
            <x v="196"/>
            <x v="197"/>
            <x v="198"/>
            <x v="199"/>
            <x v="200"/>
            <x v="201"/>
            <x v="202"/>
            <x v="203"/>
            <x v="204"/>
            <x v="205"/>
            <x v="206"/>
            <x v="207"/>
            <x v="337"/>
          </reference>
          <reference field="4" count="1" selected="0">
            <x v="5"/>
          </reference>
        </references>
      </pivotArea>
    </format>
    <format dxfId="3667">
      <pivotArea dataOnly="0" labelOnly="1" outline="0" fieldPosition="0">
        <references count="3">
          <reference field="1" count="1" selected="0">
            <x v="8"/>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3666">
      <pivotArea dataOnly="0" labelOnly="1" outline="0" fieldPosition="0">
        <references count="3">
          <reference field="1" count="1" selected="0">
            <x v="8"/>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665">
      <pivotArea dataOnly="0" labelOnly="1" outline="0" fieldPosition="0">
        <references count="3">
          <reference field="1" count="1" selected="0">
            <x v="8"/>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664">
      <pivotArea dataOnly="0" labelOnly="1" outline="0" fieldPosition="0">
        <references count="3">
          <reference field="1" count="1" selected="0">
            <x v="8"/>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663">
      <pivotArea dataOnly="0" labelOnly="1" outline="0" fieldPosition="0">
        <references count="3">
          <reference field="1" count="1" selected="0">
            <x v="8"/>
          </reference>
          <reference field="3" count="13">
            <x v="23"/>
            <x v="30"/>
            <x v="80"/>
            <x v="90"/>
            <x v="92"/>
            <x v="141"/>
            <x v="143"/>
            <x v="144"/>
            <x v="161"/>
            <x v="163"/>
            <x v="210"/>
            <x v="211"/>
            <x v="212"/>
          </reference>
          <reference field="4" count="1" selected="0">
            <x v="11"/>
          </reference>
        </references>
      </pivotArea>
    </format>
    <format dxfId="3662">
      <pivotArea dataOnly="0" labelOnly="1" outline="0" fieldPosition="0">
        <references count="3">
          <reference field="1" count="1" selected="0">
            <x v="8"/>
          </reference>
          <reference field="3" count="19">
            <x v="1"/>
            <x v="2"/>
            <x v="5"/>
            <x v="9"/>
            <x v="15"/>
            <x v="17"/>
            <x v="46"/>
            <x v="48"/>
            <x v="50"/>
            <x v="54"/>
            <x v="55"/>
            <x v="57"/>
            <x v="60"/>
            <x v="69"/>
            <x v="72"/>
            <x v="73"/>
            <x v="78"/>
            <x v="79"/>
            <x v="82"/>
          </reference>
          <reference field="4" count="1" selected="0">
            <x v="12"/>
          </reference>
        </references>
      </pivotArea>
    </format>
    <format dxfId="3661">
      <pivotArea dataOnly="0" labelOnly="1" outline="0" fieldPosition="0">
        <references count="3">
          <reference field="1" count="1" selected="0">
            <x v="9"/>
          </reference>
          <reference field="3" count="4">
            <x v="75"/>
            <x v="76"/>
            <x v="167"/>
            <x v="222"/>
          </reference>
          <reference field="4" count="1" selected="0">
            <x v="0"/>
          </reference>
        </references>
      </pivotArea>
    </format>
    <format dxfId="3660">
      <pivotArea dataOnly="0" labelOnly="1" outline="0" fieldPosition="0">
        <references count="3">
          <reference field="1" count="1" selected="0">
            <x v="9"/>
          </reference>
          <reference field="3" count="19">
            <x v="65"/>
            <x v="70"/>
            <x v="192"/>
            <x v="193"/>
            <x v="194"/>
            <x v="195"/>
            <x v="196"/>
            <x v="197"/>
            <x v="198"/>
            <x v="199"/>
            <x v="200"/>
            <x v="201"/>
            <x v="202"/>
            <x v="203"/>
            <x v="204"/>
            <x v="205"/>
            <x v="206"/>
            <x v="207"/>
            <x v="337"/>
          </reference>
          <reference field="4" count="1" selected="0">
            <x v="5"/>
          </reference>
        </references>
      </pivotArea>
    </format>
    <format dxfId="3659">
      <pivotArea dataOnly="0" labelOnly="1" outline="0" fieldPosition="0">
        <references count="3">
          <reference field="1" count="1" selected="0">
            <x v="9"/>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3658">
      <pivotArea dataOnly="0" labelOnly="1" outline="0" fieldPosition="0">
        <references count="3">
          <reference field="1" count="1" selected="0">
            <x v="9"/>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657">
      <pivotArea dataOnly="0" labelOnly="1" outline="0" fieldPosition="0">
        <references count="3">
          <reference field="1" count="1" selected="0">
            <x v="9"/>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656">
      <pivotArea dataOnly="0" labelOnly="1" outline="0" fieldPosition="0">
        <references count="3">
          <reference field="1" count="1" selected="0">
            <x v="9"/>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655">
      <pivotArea dataOnly="0" labelOnly="1" outline="0" fieldPosition="0">
        <references count="3">
          <reference field="1" count="1" selected="0">
            <x v="9"/>
          </reference>
          <reference field="3" count="14">
            <x v="1"/>
            <x v="23"/>
            <x v="30"/>
            <x v="80"/>
            <x v="90"/>
            <x v="92"/>
            <x v="141"/>
            <x v="143"/>
            <x v="144"/>
            <x v="161"/>
            <x v="163"/>
            <x v="210"/>
            <x v="211"/>
            <x v="212"/>
          </reference>
          <reference field="4" count="1" selected="0">
            <x v="11"/>
          </reference>
        </references>
      </pivotArea>
    </format>
    <format dxfId="3654">
      <pivotArea dataOnly="0" labelOnly="1" outline="0" fieldPosition="0">
        <references count="3">
          <reference field="1" count="1" selected="0">
            <x v="9"/>
          </reference>
          <reference field="3" count="18">
            <x v="2"/>
            <x v="5"/>
            <x v="9"/>
            <x v="15"/>
            <x v="17"/>
            <x v="46"/>
            <x v="48"/>
            <x v="50"/>
            <x v="54"/>
            <x v="55"/>
            <x v="57"/>
            <x v="60"/>
            <x v="69"/>
            <x v="72"/>
            <x v="73"/>
            <x v="78"/>
            <x v="79"/>
            <x v="82"/>
          </reference>
          <reference field="4" count="1" selected="0">
            <x v="12"/>
          </reference>
        </references>
      </pivotArea>
    </format>
    <format dxfId="3653">
      <pivotArea dataOnly="0" labelOnly="1" outline="0" fieldPosition="0">
        <references count="3">
          <reference field="1" count="1" selected="0">
            <x v="27"/>
          </reference>
          <reference field="3" count="4">
            <x v="75"/>
            <x v="76"/>
            <x v="167"/>
            <x v="222"/>
          </reference>
          <reference field="4" count="1" selected="0">
            <x v="0"/>
          </reference>
        </references>
      </pivotArea>
    </format>
    <format dxfId="3652">
      <pivotArea dataOnly="0" labelOnly="1" outline="0" fieldPosition="0">
        <references count="3">
          <reference field="1" count="1" selected="0">
            <x v="27"/>
          </reference>
          <reference field="3" count="19">
            <x v="65"/>
            <x v="70"/>
            <x v="192"/>
            <x v="193"/>
            <x v="194"/>
            <x v="195"/>
            <x v="196"/>
            <x v="197"/>
            <x v="198"/>
            <x v="199"/>
            <x v="200"/>
            <x v="201"/>
            <x v="202"/>
            <x v="203"/>
            <x v="204"/>
            <x v="205"/>
            <x v="206"/>
            <x v="207"/>
            <x v="337"/>
          </reference>
          <reference field="4" count="1" selected="0">
            <x v="5"/>
          </reference>
        </references>
      </pivotArea>
    </format>
    <format dxfId="3651">
      <pivotArea dataOnly="0" labelOnly="1" outline="0" fieldPosition="0">
        <references count="3">
          <reference field="1" count="1" selected="0">
            <x v="27"/>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18"/>
          </reference>
          <reference field="4" count="1" selected="0">
            <x v="6"/>
          </reference>
        </references>
      </pivotArea>
    </format>
    <format dxfId="3650">
      <pivotArea dataOnly="0" labelOnly="1" outline="0" fieldPosition="0">
        <references count="3">
          <reference field="1" count="1" selected="0">
            <x v="27"/>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649">
      <pivotArea dataOnly="0" labelOnly="1" outline="0" fieldPosition="0">
        <references count="3">
          <reference field="1" count="1" selected="0">
            <x v="27"/>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648">
      <pivotArea dataOnly="0" labelOnly="1" outline="0" fieldPosition="0">
        <references count="3">
          <reference field="1" count="1" selected="0">
            <x v="27"/>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647">
      <pivotArea dataOnly="0" labelOnly="1" outline="0" fieldPosition="0">
        <references count="3">
          <reference field="1" count="1" selected="0">
            <x v="27"/>
          </reference>
          <reference field="3" count="13">
            <x v="23"/>
            <x v="30"/>
            <x v="80"/>
            <x v="90"/>
            <x v="92"/>
            <x v="141"/>
            <x v="143"/>
            <x v="144"/>
            <x v="161"/>
            <x v="163"/>
            <x v="210"/>
            <x v="211"/>
            <x v="212"/>
          </reference>
          <reference field="4" count="1" selected="0">
            <x v="11"/>
          </reference>
        </references>
      </pivotArea>
    </format>
    <format dxfId="3646">
      <pivotArea dataOnly="0" labelOnly="1" outline="0" fieldPosition="0">
        <references count="3">
          <reference field="1" count="1" selected="0">
            <x v="27"/>
          </reference>
          <reference field="3" count="19">
            <x v="1"/>
            <x v="2"/>
            <x v="5"/>
            <x v="9"/>
            <x v="15"/>
            <x v="17"/>
            <x v="46"/>
            <x v="48"/>
            <x v="50"/>
            <x v="54"/>
            <x v="55"/>
            <x v="57"/>
            <x v="60"/>
            <x v="69"/>
            <x v="72"/>
            <x v="73"/>
            <x v="78"/>
            <x v="79"/>
            <x v="82"/>
          </reference>
          <reference field="4" count="1" selected="0">
            <x v="12"/>
          </reference>
        </references>
      </pivotArea>
    </format>
    <format dxfId="3645">
      <pivotArea dataOnly="0" labelOnly="1" outline="0" fieldPosition="0">
        <references count="3">
          <reference field="1" count="1" selected="0">
            <x v="10"/>
          </reference>
          <reference field="3" count="4">
            <x v="75"/>
            <x v="76"/>
            <x v="167"/>
            <x v="222"/>
          </reference>
          <reference field="4" count="1" selected="0">
            <x v="0"/>
          </reference>
        </references>
      </pivotArea>
    </format>
    <format dxfId="3644">
      <pivotArea dataOnly="0" labelOnly="1" outline="0" fieldPosition="0">
        <references count="3">
          <reference field="1" count="1" selected="0">
            <x v="10"/>
          </reference>
          <reference field="3" count="19">
            <x v="65"/>
            <x v="70"/>
            <x v="192"/>
            <x v="193"/>
            <x v="194"/>
            <x v="195"/>
            <x v="196"/>
            <x v="197"/>
            <x v="198"/>
            <x v="199"/>
            <x v="200"/>
            <x v="201"/>
            <x v="202"/>
            <x v="203"/>
            <x v="204"/>
            <x v="205"/>
            <x v="206"/>
            <x v="207"/>
            <x v="337"/>
          </reference>
          <reference field="4" count="1" selected="0">
            <x v="5"/>
          </reference>
        </references>
      </pivotArea>
    </format>
    <format dxfId="3643">
      <pivotArea dataOnly="0" labelOnly="1" outline="0" fieldPosition="0">
        <references count="3">
          <reference field="1" count="1" selected="0">
            <x v="10"/>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18"/>
          </reference>
          <reference field="4" count="1" selected="0">
            <x v="6"/>
          </reference>
        </references>
      </pivotArea>
    </format>
    <format dxfId="3642">
      <pivotArea dataOnly="0" labelOnly="1" outline="0" fieldPosition="0">
        <references count="3">
          <reference field="1" count="1" selected="0">
            <x v="10"/>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641">
      <pivotArea dataOnly="0" labelOnly="1" outline="0" fieldPosition="0">
        <references count="3">
          <reference field="1" count="1" selected="0">
            <x v="10"/>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640">
      <pivotArea dataOnly="0" labelOnly="1" outline="0" fieldPosition="0">
        <references count="3">
          <reference field="1" count="1" selected="0">
            <x v="10"/>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639">
      <pivotArea dataOnly="0" labelOnly="1" outline="0" fieldPosition="0">
        <references count="3">
          <reference field="1" count="1" selected="0">
            <x v="10"/>
          </reference>
          <reference field="3" count="13">
            <x v="23"/>
            <x v="30"/>
            <x v="80"/>
            <x v="90"/>
            <x v="92"/>
            <x v="141"/>
            <x v="143"/>
            <x v="144"/>
            <x v="161"/>
            <x v="163"/>
            <x v="210"/>
            <x v="211"/>
            <x v="212"/>
          </reference>
          <reference field="4" count="1" selected="0">
            <x v="11"/>
          </reference>
        </references>
      </pivotArea>
    </format>
    <format dxfId="3638">
      <pivotArea dataOnly="0" labelOnly="1" outline="0" fieldPosition="0">
        <references count="3">
          <reference field="1" count="1" selected="0">
            <x v="10"/>
          </reference>
          <reference field="3" count="19">
            <x v="1"/>
            <x v="2"/>
            <x v="5"/>
            <x v="9"/>
            <x v="15"/>
            <x v="17"/>
            <x v="46"/>
            <x v="48"/>
            <x v="50"/>
            <x v="54"/>
            <x v="55"/>
            <x v="57"/>
            <x v="60"/>
            <x v="69"/>
            <x v="72"/>
            <x v="73"/>
            <x v="78"/>
            <x v="79"/>
            <x v="82"/>
          </reference>
          <reference field="4" count="1" selected="0">
            <x v="12"/>
          </reference>
        </references>
      </pivotArea>
    </format>
    <format dxfId="3637">
      <pivotArea dataOnly="0" labelOnly="1" outline="0" fieldPosition="0">
        <references count="3">
          <reference field="1" count="1" selected="0">
            <x v="11"/>
          </reference>
          <reference field="3" count="4">
            <x v="75"/>
            <x v="76"/>
            <x v="167"/>
            <x v="222"/>
          </reference>
          <reference field="4" count="1" selected="0">
            <x v="0"/>
          </reference>
        </references>
      </pivotArea>
    </format>
    <format dxfId="3636">
      <pivotArea dataOnly="0" labelOnly="1" outline="0" fieldPosition="0">
        <references count="3">
          <reference field="1" count="1" selected="0">
            <x v="11"/>
          </reference>
          <reference field="3" count="19">
            <x v="65"/>
            <x v="70"/>
            <x v="192"/>
            <x v="193"/>
            <x v="194"/>
            <x v="195"/>
            <x v="196"/>
            <x v="197"/>
            <x v="198"/>
            <x v="199"/>
            <x v="200"/>
            <x v="201"/>
            <x v="202"/>
            <x v="203"/>
            <x v="204"/>
            <x v="205"/>
            <x v="206"/>
            <x v="207"/>
            <x v="337"/>
          </reference>
          <reference field="4" count="1" selected="0">
            <x v="5"/>
          </reference>
        </references>
      </pivotArea>
    </format>
    <format dxfId="3635">
      <pivotArea dataOnly="0" labelOnly="1" outline="0" fieldPosition="0">
        <references count="3">
          <reference field="1" count="1" selected="0">
            <x v="11"/>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0"/>
          </reference>
          <reference field="4" count="1" selected="0">
            <x v="6"/>
          </reference>
        </references>
      </pivotArea>
    </format>
    <format dxfId="3634">
      <pivotArea dataOnly="0" labelOnly="1" outline="0" fieldPosition="0">
        <references count="3">
          <reference field="1" count="1" selected="0">
            <x v="11"/>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633">
      <pivotArea dataOnly="0" labelOnly="1" outline="0" fieldPosition="0">
        <references count="3">
          <reference field="1" count="1" selected="0">
            <x v="11"/>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632">
      <pivotArea dataOnly="0" labelOnly="1" outline="0" fieldPosition="0">
        <references count="3">
          <reference field="1" count="1" selected="0">
            <x v="11"/>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631">
      <pivotArea dataOnly="0" labelOnly="1" outline="0" fieldPosition="0">
        <references count="3">
          <reference field="1" count="1" selected="0">
            <x v="11"/>
          </reference>
          <reference field="3" count="13">
            <x v="23"/>
            <x v="30"/>
            <x v="80"/>
            <x v="90"/>
            <x v="92"/>
            <x v="141"/>
            <x v="143"/>
            <x v="144"/>
            <x v="161"/>
            <x v="163"/>
            <x v="210"/>
            <x v="211"/>
            <x v="212"/>
          </reference>
          <reference field="4" count="1" selected="0">
            <x v="11"/>
          </reference>
        </references>
      </pivotArea>
    </format>
    <format dxfId="3630">
      <pivotArea dataOnly="0" labelOnly="1" outline="0" fieldPosition="0">
        <references count="3">
          <reference field="1" count="1" selected="0">
            <x v="11"/>
          </reference>
          <reference field="3" count="19">
            <x v="1"/>
            <x v="2"/>
            <x v="5"/>
            <x v="9"/>
            <x v="15"/>
            <x v="17"/>
            <x v="46"/>
            <x v="48"/>
            <x v="50"/>
            <x v="54"/>
            <x v="55"/>
            <x v="57"/>
            <x v="60"/>
            <x v="69"/>
            <x v="72"/>
            <x v="73"/>
            <x v="78"/>
            <x v="79"/>
            <x v="82"/>
          </reference>
          <reference field="4" count="1" selected="0">
            <x v="12"/>
          </reference>
        </references>
      </pivotArea>
    </format>
    <format dxfId="3629">
      <pivotArea dataOnly="0" labelOnly="1" outline="0" fieldPosition="0">
        <references count="3">
          <reference field="1" count="1" selected="0">
            <x v="12"/>
          </reference>
          <reference field="3" count="4">
            <x v="75"/>
            <x v="76"/>
            <x v="167"/>
            <x v="222"/>
          </reference>
          <reference field="4" count="1" selected="0">
            <x v="0"/>
          </reference>
        </references>
      </pivotArea>
    </format>
    <format dxfId="3628">
      <pivotArea dataOnly="0" labelOnly="1" outline="0" fieldPosition="0">
        <references count="3">
          <reference field="1" count="1" selected="0">
            <x v="12"/>
          </reference>
          <reference field="3" count="19">
            <x v="65"/>
            <x v="70"/>
            <x v="192"/>
            <x v="193"/>
            <x v="194"/>
            <x v="195"/>
            <x v="196"/>
            <x v="197"/>
            <x v="198"/>
            <x v="199"/>
            <x v="200"/>
            <x v="201"/>
            <x v="202"/>
            <x v="203"/>
            <x v="204"/>
            <x v="205"/>
            <x v="206"/>
            <x v="207"/>
            <x v="337"/>
          </reference>
          <reference field="4" count="1" selected="0">
            <x v="5"/>
          </reference>
        </references>
      </pivotArea>
    </format>
    <format dxfId="3627">
      <pivotArea dataOnly="0" labelOnly="1" outline="0" fieldPosition="0">
        <references count="3">
          <reference field="1" count="1" selected="0">
            <x v="12"/>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18"/>
          </reference>
          <reference field="4" count="1" selected="0">
            <x v="6"/>
          </reference>
        </references>
      </pivotArea>
    </format>
    <format dxfId="3626">
      <pivotArea dataOnly="0" labelOnly="1" outline="0" fieldPosition="0">
        <references count="3">
          <reference field="1" count="1" selected="0">
            <x v="12"/>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625">
      <pivotArea dataOnly="0" labelOnly="1" outline="0" fieldPosition="0">
        <references count="3">
          <reference field="1" count="1" selected="0">
            <x v="12"/>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624">
      <pivotArea dataOnly="0" labelOnly="1" outline="0" fieldPosition="0">
        <references count="3">
          <reference field="1" count="1" selected="0">
            <x v="12"/>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623">
      <pivotArea dataOnly="0" labelOnly="1" outline="0" fieldPosition="0">
        <references count="3">
          <reference field="1" count="1" selected="0">
            <x v="12"/>
          </reference>
          <reference field="3" count="13">
            <x v="23"/>
            <x v="30"/>
            <x v="80"/>
            <x v="90"/>
            <x v="92"/>
            <x v="141"/>
            <x v="143"/>
            <x v="144"/>
            <x v="161"/>
            <x v="163"/>
            <x v="210"/>
            <x v="211"/>
            <x v="212"/>
          </reference>
          <reference field="4" count="1" selected="0">
            <x v="11"/>
          </reference>
        </references>
      </pivotArea>
    </format>
    <format dxfId="3622">
      <pivotArea dataOnly="0" labelOnly="1" outline="0" fieldPosition="0">
        <references count="3">
          <reference field="1" count="1" selected="0">
            <x v="12"/>
          </reference>
          <reference field="3" count="19">
            <x v="1"/>
            <x v="2"/>
            <x v="5"/>
            <x v="9"/>
            <x v="15"/>
            <x v="17"/>
            <x v="46"/>
            <x v="48"/>
            <x v="50"/>
            <x v="54"/>
            <x v="55"/>
            <x v="57"/>
            <x v="60"/>
            <x v="69"/>
            <x v="72"/>
            <x v="73"/>
            <x v="78"/>
            <x v="79"/>
            <x v="82"/>
          </reference>
          <reference field="4" count="1" selected="0">
            <x v="12"/>
          </reference>
        </references>
      </pivotArea>
    </format>
    <format dxfId="3621">
      <pivotArea dataOnly="0" labelOnly="1" outline="0" fieldPosition="0">
        <references count="3">
          <reference field="1" count="1" selected="0">
            <x v="13"/>
          </reference>
          <reference field="3" count="4">
            <x v="75"/>
            <x v="76"/>
            <x v="167"/>
            <x v="222"/>
          </reference>
          <reference field="4" count="1" selected="0">
            <x v="0"/>
          </reference>
        </references>
      </pivotArea>
    </format>
    <format dxfId="3620">
      <pivotArea dataOnly="0" labelOnly="1" outline="0" fieldPosition="0">
        <references count="3">
          <reference field="1" count="1" selected="0">
            <x v="13"/>
          </reference>
          <reference field="3" count="19">
            <x v="65"/>
            <x v="70"/>
            <x v="192"/>
            <x v="193"/>
            <x v="194"/>
            <x v="195"/>
            <x v="196"/>
            <x v="197"/>
            <x v="198"/>
            <x v="199"/>
            <x v="200"/>
            <x v="201"/>
            <x v="202"/>
            <x v="203"/>
            <x v="204"/>
            <x v="205"/>
            <x v="206"/>
            <x v="207"/>
            <x v="337"/>
          </reference>
          <reference field="4" count="1" selected="0">
            <x v="5"/>
          </reference>
        </references>
      </pivotArea>
    </format>
    <format dxfId="3619">
      <pivotArea dataOnly="0" labelOnly="1" outline="0" fieldPosition="0">
        <references count="3">
          <reference field="1" count="1" selected="0">
            <x v="13"/>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3618">
      <pivotArea dataOnly="0" labelOnly="1" outline="0" fieldPosition="0">
        <references count="3">
          <reference field="1" count="1" selected="0">
            <x v="13"/>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617">
      <pivotArea dataOnly="0" labelOnly="1" outline="0" fieldPosition="0">
        <references count="3">
          <reference field="1" count="1" selected="0">
            <x v="13"/>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616">
      <pivotArea dataOnly="0" labelOnly="1" outline="0" fieldPosition="0">
        <references count="3">
          <reference field="1" count="1" selected="0">
            <x v="13"/>
          </reference>
          <reference field="3" count="44">
            <x v="0"/>
            <x v="4"/>
            <x v="8"/>
            <x v="10"/>
            <x v="11"/>
            <x v="12"/>
            <x v="13"/>
            <x v="14"/>
            <x v="18"/>
            <x v="19"/>
            <x v="26"/>
            <x v="31"/>
            <x v="35"/>
            <x v="37"/>
            <x v="38"/>
            <x v="39"/>
            <x v="40"/>
            <x v="42"/>
            <x v="43"/>
            <x v="45"/>
            <x v="49"/>
            <x v="53"/>
            <x v="58"/>
            <x v="63"/>
            <x v="64"/>
            <x v="67"/>
            <x v="71"/>
            <x v="74"/>
            <x v="77"/>
            <x v="81"/>
            <x v="84"/>
            <x v="85"/>
            <x v="86"/>
            <x v="114"/>
            <x v="115"/>
            <x v="133"/>
            <x v="134"/>
            <x v="135"/>
            <x v="136"/>
            <x v="137"/>
            <x v="139"/>
            <x v="140"/>
            <x v="162"/>
            <x v="211"/>
          </reference>
          <reference field="4" count="1" selected="0">
            <x v="10"/>
          </reference>
        </references>
      </pivotArea>
    </format>
    <format dxfId="3615">
      <pivotArea dataOnly="0" labelOnly="1" outline="0" fieldPosition="0">
        <references count="3">
          <reference field="1" count="1" selected="0">
            <x v="13"/>
          </reference>
          <reference field="3" count="12">
            <x v="23"/>
            <x v="30"/>
            <x v="80"/>
            <x v="90"/>
            <x v="92"/>
            <x v="141"/>
            <x v="143"/>
            <x v="144"/>
            <x v="161"/>
            <x v="163"/>
            <x v="210"/>
            <x v="212"/>
          </reference>
          <reference field="4" count="1" selected="0">
            <x v="11"/>
          </reference>
        </references>
      </pivotArea>
    </format>
    <format dxfId="3614">
      <pivotArea dataOnly="0" labelOnly="1" outline="0" fieldPosition="0">
        <references count="3">
          <reference field="1" count="1" selected="0">
            <x v="13"/>
          </reference>
          <reference field="3" count="19">
            <x v="1"/>
            <x v="2"/>
            <x v="5"/>
            <x v="9"/>
            <x v="15"/>
            <x v="17"/>
            <x v="46"/>
            <x v="48"/>
            <x v="50"/>
            <x v="54"/>
            <x v="55"/>
            <x v="57"/>
            <x v="60"/>
            <x v="69"/>
            <x v="72"/>
            <x v="73"/>
            <x v="78"/>
            <x v="79"/>
            <x v="82"/>
          </reference>
          <reference field="4" count="1" selected="0">
            <x v="12"/>
          </reference>
        </references>
      </pivotArea>
    </format>
    <format dxfId="3613">
      <pivotArea dataOnly="0" labelOnly="1" outline="0" fieldPosition="0">
        <references count="3">
          <reference field="1" count="1" selected="0">
            <x v="14"/>
          </reference>
          <reference field="3" count="4">
            <x v="75"/>
            <x v="76"/>
            <x v="167"/>
            <x v="222"/>
          </reference>
          <reference field="4" count="1" selected="0">
            <x v="0"/>
          </reference>
        </references>
      </pivotArea>
    </format>
    <format dxfId="3612">
      <pivotArea dataOnly="0" labelOnly="1" outline="0" fieldPosition="0">
        <references count="3">
          <reference field="1" count="1" selected="0">
            <x v="14"/>
          </reference>
          <reference field="3" count="19">
            <x v="65"/>
            <x v="70"/>
            <x v="192"/>
            <x v="193"/>
            <x v="194"/>
            <x v="195"/>
            <x v="196"/>
            <x v="197"/>
            <x v="198"/>
            <x v="199"/>
            <x v="200"/>
            <x v="201"/>
            <x v="202"/>
            <x v="203"/>
            <x v="204"/>
            <x v="205"/>
            <x v="206"/>
            <x v="207"/>
            <x v="337"/>
          </reference>
          <reference field="4" count="1" selected="0">
            <x v="5"/>
          </reference>
        </references>
      </pivotArea>
    </format>
    <format dxfId="3611">
      <pivotArea dataOnly="0" labelOnly="1" outline="0" fieldPosition="0">
        <references count="3">
          <reference field="1" count="1" selected="0">
            <x v="14"/>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3610">
      <pivotArea dataOnly="0" labelOnly="1" outline="0" fieldPosition="0">
        <references count="3">
          <reference field="1" count="1" selected="0">
            <x v="14"/>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609">
      <pivotArea dataOnly="0" labelOnly="1" outline="0" fieldPosition="0">
        <references count="3">
          <reference field="1" count="1" selected="0">
            <x v="14"/>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608">
      <pivotArea dataOnly="0" labelOnly="1" outline="0" fieldPosition="0">
        <references count="3">
          <reference field="1" count="1" selected="0">
            <x v="14"/>
          </reference>
          <reference field="3" count="44">
            <x v="0"/>
            <x v="4"/>
            <x v="8"/>
            <x v="10"/>
            <x v="11"/>
            <x v="12"/>
            <x v="13"/>
            <x v="14"/>
            <x v="18"/>
            <x v="19"/>
            <x v="26"/>
            <x v="31"/>
            <x v="35"/>
            <x v="37"/>
            <x v="38"/>
            <x v="39"/>
            <x v="40"/>
            <x v="42"/>
            <x v="43"/>
            <x v="45"/>
            <x v="49"/>
            <x v="53"/>
            <x v="58"/>
            <x v="63"/>
            <x v="64"/>
            <x v="67"/>
            <x v="71"/>
            <x v="74"/>
            <x v="77"/>
            <x v="81"/>
            <x v="84"/>
            <x v="85"/>
            <x v="86"/>
            <x v="114"/>
            <x v="115"/>
            <x v="133"/>
            <x v="134"/>
            <x v="135"/>
            <x v="136"/>
            <x v="137"/>
            <x v="139"/>
            <x v="140"/>
            <x v="162"/>
            <x v="211"/>
          </reference>
          <reference field="4" count="1" selected="0">
            <x v="10"/>
          </reference>
        </references>
      </pivotArea>
    </format>
    <format dxfId="3607">
      <pivotArea dataOnly="0" labelOnly="1" outline="0" fieldPosition="0">
        <references count="3">
          <reference field="1" count="1" selected="0">
            <x v="14"/>
          </reference>
          <reference field="3" count="12">
            <x v="23"/>
            <x v="30"/>
            <x v="80"/>
            <x v="90"/>
            <x v="92"/>
            <x v="141"/>
            <x v="143"/>
            <x v="144"/>
            <x v="161"/>
            <x v="163"/>
            <x v="210"/>
            <x v="212"/>
          </reference>
          <reference field="4" count="1" selected="0">
            <x v="11"/>
          </reference>
        </references>
      </pivotArea>
    </format>
    <format dxfId="3606">
      <pivotArea dataOnly="0" labelOnly="1" outline="0" fieldPosition="0">
        <references count="3">
          <reference field="1" count="1" selected="0">
            <x v="14"/>
          </reference>
          <reference field="3" count="19">
            <x v="1"/>
            <x v="2"/>
            <x v="5"/>
            <x v="9"/>
            <x v="15"/>
            <x v="17"/>
            <x v="46"/>
            <x v="48"/>
            <x v="50"/>
            <x v="54"/>
            <x v="55"/>
            <x v="57"/>
            <x v="60"/>
            <x v="69"/>
            <x v="72"/>
            <x v="73"/>
            <x v="78"/>
            <x v="79"/>
            <x v="82"/>
          </reference>
          <reference field="4" count="1" selected="0">
            <x v="12"/>
          </reference>
        </references>
      </pivotArea>
    </format>
    <format dxfId="3605">
      <pivotArea dataOnly="0" labelOnly="1" outline="0" fieldPosition="0">
        <references count="3">
          <reference field="1" count="1" selected="0">
            <x v="15"/>
          </reference>
          <reference field="3" count="4">
            <x v="75"/>
            <x v="76"/>
            <x v="167"/>
            <x v="222"/>
          </reference>
          <reference field="4" count="1" selected="0">
            <x v="0"/>
          </reference>
        </references>
      </pivotArea>
    </format>
    <format dxfId="3604">
      <pivotArea dataOnly="0" labelOnly="1" outline="0" fieldPosition="0">
        <references count="3">
          <reference field="1" count="1" selected="0">
            <x v="15"/>
          </reference>
          <reference field="3" count="19">
            <x v="65"/>
            <x v="70"/>
            <x v="192"/>
            <x v="193"/>
            <x v="194"/>
            <x v="195"/>
            <x v="196"/>
            <x v="197"/>
            <x v="198"/>
            <x v="199"/>
            <x v="200"/>
            <x v="201"/>
            <x v="202"/>
            <x v="203"/>
            <x v="204"/>
            <x v="205"/>
            <x v="206"/>
            <x v="207"/>
            <x v="337"/>
          </reference>
          <reference field="4" count="1" selected="0">
            <x v="5"/>
          </reference>
        </references>
      </pivotArea>
    </format>
    <format dxfId="3603">
      <pivotArea dataOnly="0" labelOnly="1" outline="0" fieldPosition="0">
        <references count="3">
          <reference field="1" count="1" selected="0">
            <x v="15"/>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3602">
      <pivotArea dataOnly="0" labelOnly="1" outline="0" fieldPosition="0">
        <references count="3">
          <reference field="1" count="1" selected="0">
            <x v="15"/>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601">
      <pivotArea dataOnly="0" labelOnly="1" outline="0" fieldPosition="0">
        <references count="3">
          <reference field="1" count="1" selected="0">
            <x v="15"/>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600">
      <pivotArea dataOnly="0" labelOnly="1" outline="0" fieldPosition="0">
        <references count="3">
          <reference field="1" count="1" selected="0">
            <x v="15"/>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599">
      <pivotArea dataOnly="0" labelOnly="1" outline="0" fieldPosition="0">
        <references count="3">
          <reference field="1" count="1" selected="0">
            <x v="15"/>
          </reference>
          <reference field="3" count="13">
            <x v="23"/>
            <x v="30"/>
            <x v="80"/>
            <x v="90"/>
            <x v="92"/>
            <x v="141"/>
            <x v="143"/>
            <x v="144"/>
            <x v="161"/>
            <x v="163"/>
            <x v="210"/>
            <x v="211"/>
            <x v="212"/>
          </reference>
          <reference field="4" count="1" selected="0">
            <x v="11"/>
          </reference>
        </references>
      </pivotArea>
    </format>
    <format dxfId="3598">
      <pivotArea dataOnly="0" labelOnly="1" outline="0" fieldPosition="0">
        <references count="3">
          <reference field="1" count="1" selected="0">
            <x v="15"/>
          </reference>
          <reference field="3" count="19">
            <x v="1"/>
            <x v="2"/>
            <x v="5"/>
            <x v="9"/>
            <x v="15"/>
            <x v="17"/>
            <x v="46"/>
            <x v="48"/>
            <x v="50"/>
            <x v="54"/>
            <x v="55"/>
            <x v="57"/>
            <x v="60"/>
            <x v="69"/>
            <x v="72"/>
            <x v="73"/>
            <x v="78"/>
            <x v="79"/>
            <x v="82"/>
          </reference>
          <reference field="4" count="1" selected="0">
            <x v="12"/>
          </reference>
        </references>
      </pivotArea>
    </format>
    <format dxfId="3597">
      <pivotArea dataOnly="0" labelOnly="1" outline="0" fieldPosition="0">
        <references count="3">
          <reference field="1" count="1" selected="0">
            <x v="16"/>
          </reference>
          <reference field="3" count="4">
            <x v="75"/>
            <x v="76"/>
            <x v="167"/>
            <x v="222"/>
          </reference>
          <reference field="4" count="1" selected="0">
            <x v="0"/>
          </reference>
        </references>
      </pivotArea>
    </format>
    <format dxfId="3596">
      <pivotArea dataOnly="0" labelOnly="1" outline="0" fieldPosition="0">
        <references count="3">
          <reference field="1" count="1" selected="0">
            <x v="16"/>
          </reference>
          <reference field="3" count="19">
            <x v="65"/>
            <x v="70"/>
            <x v="192"/>
            <x v="193"/>
            <x v="194"/>
            <x v="195"/>
            <x v="196"/>
            <x v="197"/>
            <x v="198"/>
            <x v="199"/>
            <x v="200"/>
            <x v="201"/>
            <x v="202"/>
            <x v="203"/>
            <x v="204"/>
            <x v="205"/>
            <x v="206"/>
            <x v="207"/>
            <x v="337"/>
          </reference>
          <reference field="4" count="1" selected="0">
            <x v="5"/>
          </reference>
        </references>
      </pivotArea>
    </format>
    <format dxfId="3595">
      <pivotArea dataOnly="0" labelOnly="1" outline="0" fieldPosition="0">
        <references count="3">
          <reference field="1" count="1" selected="0">
            <x v="16"/>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3594">
      <pivotArea dataOnly="0" labelOnly="1" outline="0" fieldPosition="0">
        <references count="3">
          <reference field="1" count="1" selected="0">
            <x v="16"/>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593">
      <pivotArea dataOnly="0" labelOnly="1" outline="0" fieldPosition="0">
        <references count="3">
          <reference field="1" count="1" selected="0">
            <x v="16"/>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592">
      <pivotArea dataOnly="0" labelOnly="1" outline="0" fieldPosition="0">
        <references count="3">
          <reference field="1" count="1" selected="0">
            <x v="16"/>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591">
      <pivotArea dataOnly="0" labelOnly="1" outline="0" fieldPosition="0">
        <references count="3">
          <reference field="1" count="1" selected="0">
            <x v="16"/>
          </reference>
          <reference field="3" count="13">
            <x v="23"/>
            <x v="30"/>
            <x v="80"/>
            <x v="90"/>
            <x v="92"/>
            <x v="141"/>
            <x v="143"/>
            <x v="144"/>
            <x v="161"/>
            <x v="163"/>
            <x v="210"/>
            <x v="211"/>
            <x v="212"/>
          </reference>
          <reference field="4" count="1" selected="0">
            <x v="11"/>
          </reference>
        </references>
      </pivotArea>
    </format>
    <format dxfId="3590">
      <pivotArea dataOnly="0" labelOnly="1" outline="0" fieldPosition="0">
        <references count="3">
          <reference field="1" count="1" selected="0">
            <x v="16"/>
          </reference>
          <reference field="3" count="19">
            <x v="1"/>
            <x v="2"/>
            <x v="5"/>
            <x v="9"/>
            <x v="15"/>
            <x v="17"/>
            <x v="46"/>
            <x v="48"/>
            <x v="50"/>
            <x v="54"/>
            <x v="55"/>
            <x v="57"/>
            <x v="60"/>
            <x v="69"/>
            <x v="72"/>
            <x v="73"/>
            <x v="78"/>
            <x v="79"/>
            <x v="82"/>
          </reference>
          <reference field="4" count="1" selected="0">
            <x v="12"/>
          </reference>
        </references>
      </pivotArea>
    </format>
    <format dxfId="3589">
      <pivotArea dataOnly="0" labelOnly="1" outline="0" fieldPosition="0">
        <references count="3">
          <reference field="1" count="1" selected="0">
            <x v="17"/>
          </reference>
          <reference field="3" count="4">
            <x v="75"/>
            <x v="76"/>
            <x v="167"/>
            <x v="222"/>
          </reference>
          <reference field="4" count="1" selected="0">
            <x v="0"/>
          </reference>
        </references>
      </pivotArea>
    </format>
    <format dxfId="3588">
      <pivotArea dataOnly="0" labelOnly="1" outline="0" fieldPosition="0">
        <references count="3">
          <reference field="1" count="1" selected="0">
            <x v="17"/>
          </reference>
          <reference field="3" count="19">
            <x v="65"/>
            <x v="70"/>
            <x v="192"/>
            <x v="193"/>
            <x v="194"/>
            <x v="195"/>
            <x v="196"/>
            <x v="197"/>
            <x v="198"/>
            <x v="199"/>
            <x v="200"/>
            <x v="201"/>
            <x v="202"/>
            <x v="203"/>
            <x v="204"/>
            <x v="205"/>
            <x v="206"/>
            <x v="207"/>
            <x v="337"/>
          </reference>
          <reference field="4" count="1" selected="0">
            <x v="5"/>
          </reference>
        </references>
      </pivotArea>
    </format>
    <format dxfId="3587">
      <pivotArea dataOnly="0" labelOnly="1" outline="0" fieldPosition="0">
        <references count="3">
          <reference field="1" count="1" selected="0">
            <x v="17"/>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3586">
      <pivotArea dataOnly="0" labelOnly="1" outline="0" fieldPosition="0">
        <references count="3">
          <reference field="1" count="1" selected="0">
            <x v="17"/>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585">
      <pivotArea dataOnly="0" labelOnly="1" outline="0" fieldPosition="0">
        <references count="3">
          <reference field="1" count="1" selected="0">
            <x v="17"/>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584">
      <pivotArea dataOnly="0" labelOnly="1" outline="0" fieldPosition="0">
        <references count="3">
          <reference field="1" count="1" selected="0">
            <x v="17"/>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583">
      <pivotArea dataOnly="0" labelOnly="1" outline="0" fieldPosition="0">
        <references count="3">
          <reference field="1" count="1" selected="0">
            <x v="17"/>
          </reference>
          <reference field="3" count="13">
            <x v="23"/>
            <x v="30"/>
            <x v="80"/>
            <x v="90"/>
            <x v="92"/>
            <x v="141"/>
            <x v="143"/>
            <x v="144"/>
            <x v="161"/>
            <x v="163"/>
            <x v="210"/>
            <x v="211"/>
            <x v="212"/>
          </reference>
          <reference field="4" count="1" selected="0">
            <x v="11"/>
          </reference>
        </references>
      </pivotArea>
    </format>
    <format dxfId="3582">
      <pivotArea dataOnly="0" labelOnly="1" outline="0" fieldPosition="0">
        <references count="3">
          <reference field="1" count="1" selected="0">
            <x v="17"/>
          </reference>
          <reference field="3" count="19">
            <x v="1"/>
            <x v="2"/>
            <x v="5"/>
            <x v="9"/>
            <x v="15"/>
            <x v="17"/>
            <x v="46"/>
            <x v="48"/>
            <x v="50"/>
            <x v="54"/>
            <x v="55"/>
            <x v="57"/>
            <x v="60"/>
            <x v="69"/>
            <x v="72"/>
            <x v="73"/>
            <x v="78"/>
            <x v="79"/>
            <x v="82"/>
          </reference>
          <reference field="4" count="1" selected="0">
            <x v="12"/>
          </reference>
        </references>
      </pivotArea>
    </format>
    <format dxfId="3581">
      <pivotArea dataOnly="0" labelOnly="1" outline="0" fieldPosition="0">
        <references count="3">
          <reference field="1" count="1" selected="0">
            <x v="18"/>
          </reference>
          <reference field="3" count="4">
            <x v="75"/>
            <x v="76"/>
            <x v="167"/>
            <x v="222"/>
          </reference>
          <reference field="4" count="1" selected="0">
            <x v="0"/>
          </reference>
        </references>
      </pivotArea>
    </format>
    <format dxfId="3580">
      <pivotArea dataOnly="0" labelOnly="1" outline="0" fieldPosition="0">
        <references count="3">
          <reference field="1" count="1" selected="0">
            <x v="18"/>
          </reference>
          <reference field="3" count="19">
            <x v="65"/>
            <x v="70"/>
            <x v="192"/>
            <x v="193"/>
            <x v="194"/>
            <x v="195"/>
            <x v="196"/>
            <x v="197"/>
            <x v="198"/>
            <x v="199"/>
            <x v="200"/>
            <x v="201"/>
            <x v="202"/>
            <x v="203"/>
            <x v="204"/>
            <x v="205"/>
            <x v="206"/>
            <x v="207"/>
            <x v="337"/>
          </reference>
          <reference field="4" count="1" selected="0">
            <x v="5"/>
          </reference>
        </references>
      </pivotArea>
    </format>
    <format dxfId="3579">
      <pivotArea dataOnly="0" labelOnly="1" outline="0" fieldPosition="0">
        <references count="3">
          <reference field="1" count="1" selected="0">
            <x v="18"/>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3578">
      <pivotArea dataOnly="0" labelOnly="1" outline="0" fieldPosition="0">
        <references count="3">
          <reference field="1" count="1" selected="0">
            <x v="18"/>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577">
      <pivotArea dataOnly="0" labelOnly="1" outline="0" fieldPosition="0">
        <references count="3">
          <reference field="1" count="1" selected="0">
            <x v="18"/>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576">
      <pivotArea dataOnly="0" labelOnly="1" outline="0" fieldPosition="0">
        <references count="3">
          <reference field="1" count="1" selected="0">
            <x v="18"/>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575">
      <pivotArea dataOnly="0" labelOnly="1" outline="0" fieldPosition="0">
        <references count="3">
          <reference field="1" count="1" selected="0">
            <x v="18"/>
          </reference>
          <reference field="3" count="12">
            <x v="23"/>
            <x v="30"/>
            <x v="80"/>
            <x v="90"/>
            <x v="92"/>
            <x v="141"/>
            <x v="143"/>
            <x v="144"/>
            <x v="161"/>
            <x v="210"/>
            <x v="211"/>
            <x v="212"/>
          </reference>
          <reference field="4" count="1" selected="0">
            <x v="11"/>
          </reference>
        </references>
      </pivotArea>
    </format>
    <format dxfId="3574">
      <pivotArea dataOnly="0" labelOnly="1" outline="0" fieldPosition="0">
        <references count="3">
          <reference field="1" count="1" selected="0">
            <x v="18"/>
          </reference>
          <reference field="3" count="20">
            <x v="1"/>
            <x v="2"/>
            <x v="5"/>
            <x v="9"/>
            <x v="15"/>
            <x v="17"/>
            <x v="46"/>
            <x v="48"/>
            <x v="50"/>
            <x v="54"/>
            <x v="55"/>
            <x v="57"/>
            <x v="60"/>
            <x v="69"/>
            <x v="72"/>
            <x v="73"/>
            <x v="78"/>
            <x v="79"/>
            <x v="82"/>
            <x v="163"/>
          </reference>
          <reference field="4" count="1" selected="0">
            <x v="12"/>
          </reference>
        </references>
      </pivotArea>
    </format>
    <format dxfId="3573">
      <pivotArea dataOnly="0" labelOnly="1" outline="0" fieldPosition="0">
        <references count="3">
          <reference field="1" count="1" selected="0">
            <x v="19"/>
          </reference>
          <reference field="3" count="4">
            <x v="75"/>
            <x v="76"/>
            <x v="167"/>
            <x v="222"/>
          </reference>
          <reference field="4" count="1" selected="0">
            <x v="0"/>
          </reference>
        </references>
      </pivotArea>
    </format>
    <format dxfId="3572">
      <pivotArea dataOnly="0" labelOnly="1" outline="0" fieldPosition="0">
        <references count="3">
          <reference field="1" count="1" selected="0">
            <x v="19"/>
          </reference>
          <reference field="3" count="19">
            <x v="65"/>
            <x v="70"/>
            <x v="192"/>
            <x v="193"/>
            <x v="194"/>
            <x v="195"/>
            <x v="196"/>
            <x v="197"/>
            <x v="198"/>
            <x v="199"/>
            <x v="200"/>
            <x v="201"/>
            <x v="202"/>
            <x v="203"/>
            <x v="204"/>
            <x v="205"/>
            <x v="206"/>
            <x v="207"/>
            <x v="337"/>
          </reference>
          <reference field="4" count="1" selected="0">
            <x v="5"/>
          </reference>
        </references>
      </pivotArea>
    </format>
    <format dxfId="3571">
      <pivotArea dataOnly="0" labelOnly="1" outline="0" fieldPosition="0">
        <references count="3">
          <reference field="1" count="1" selected="0">
            <x v="19"/>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3570">
      <pivotArea dataOnly="0" labelOnly="1" outline="0" fieldPosition="0">
        <references count="3">
          <reference field="1" count="1" selected="0">
            <x v="19"/>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569">
      <pivotArea dataOnly="0" labelOnly="1" outline="0" fieldPosition="0">
        <references count="3">
          <reference field="1" count="1" selected="0">
            <x v="19"/>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568">
      <pivotArea dataOnly="0" labelOnly="1" outline="0" fieldPosition="0">
        <references count="3">
          <reference field="1" count="1" selected="0">
            <x v="19"/>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567">
      <pivotArea dataOnly="0" labelOnly="1" outline="0" fieldPosition="0">
        <references count="3">
          <reference field="1" count="1" selected="0">
            <x v="19"/>
          </reference>
          <reference field="3" count="12">
            <x v="23"/>
            <x v="30"/>
            <x v="80"/>
            <x v="90"/>
            <x v="92"/>
            <x v="141"/>
            <x v="143"/>
            <x v="144"/>
            <x v="161"/>
            <x v="210"/>
            <x v="211"/>
            <x v="212"/>
          </reference>
          <reference field="4" count="1" selected="0">
            <x v="11"/>
          </reference>
        </references>
      </pivotArea>
    </format>
    <format dxfId="3566">
      <pivotArea dataOnly="0" labelOnly="1" outline="0" fieldPosition="0">
        <references count="3">
          <reference field="1" count="1" selected="0">
            <x v="19"/>
          </reference>
          <reference field="3" count="20">
            <x v="1"/>
            <x v="2"/>
            <x v="5"/>
            <x v="9"/>
            <x v="15"/>
            <x v="17"/>
            <x v="46"/>
            <x v="48"/>
            <x v="50"/>
            <x v="54"/>
            <x v="55"/>
            <x v="57"/>
            <x v="60"/>
            <x v="69"/>
            <x v="72"/>
            <x v="73"/>
            <x v="78"/>
            <x v="79"/>
            <x v="82"/>
            <x v="163"/>
          </reference>
          <reference field="4" count="1" selected="0">
            <x v="12"/>
          </reference>
        </references>
      </pivotArea>
    </format>
    <format dxfId="3565">
      <pivotArea dataOnly="0" labelOnly="1" outline="0" fieldPosition="0">
        <references count="3">
          <reference field="1" count="1" selected="0">
            <x v="20"/>
          </reference>
          <reference field="3" count="4">
            <x v="75"/>
            <x v="76"/>
            <x v="167"/>
            <x v="222"/>
          </reference>
          <reference field="4" count="1" selected="0">
            <x v="0"/>
          </reference>
        </references>
      </pivotArea>
    </format>
    <format dxfId="3564">
      <pivotArea dataOnly="0" labelOnly="1" outline="0" fieldPosition="0">
        <references count="3">
          <reference field="1" count="1" selected="0">
            <x v="20"/>
          </reference>
          <reference field="3" count="21">
            <x v="65"/>
            <x v="70"/>
            <x v="104"/>
            <x v="118"/>
            <x v="192"/>
            <x v="193"/>
            <x v="194"/>
            <x v="195"/>
            <x v="196"/>
            <x v="197"/>
            <x v="198"/>
            <x v="199"/>
            <x v="200"/>
            <x v="201"/>
            <x v="202"/>
            <x v="203"/>
            <x v="204"/>
            <x v="205"/>
            <x v="206"/>
            <x v="207"/>
            <x v="337"/>
          </reference>
          <reference field="4" count="1" selected="0">
            <x v="5"/>
          </reference>
        </references>
      </pivotArea>
    </format>
    <format dxfId="3563">
      <pivotArea dataOnly="0" labelOnly="1" outline="0" fieldPosition="0">
        <references count="3">
          <reference field="1" count="1" selected="0">
            <x v="20"/>
          </reference>
          <reference field="3" count="37">
            <x v="24"/>
            <x v="25"/>
            <x v="28"/>
            <x v="33"/>
            <x v="88"/>
            <x v="96"/>
            <x v="97"/>
            <x v="98"/>
            <x v="99"/>
            <x v="100"/>
            <x v="101"/>
            <x v="102"/>
            <x v="103"/>
            <x v="105"/>
            <x v="112"/>
            <x v="116"/>
            <x v="117"/>
            <x v="142"/>
            <x v="148"/>
            <x v="149"/>
            <x v="150"/>
            <x v="151"/>
            <x v="152"/>
            <x v="153"/>
            <x v="154"/>
            <x v="155"/>
            <x v="169"/>
            <x v="213"/>
            <x v="214"/>
            <x v="215"/>
            <x v="216"/>
            <x v="217"/>
            <x v="218"/>
            <x v="219"/>
            <x v="220"/>
            <x v="221"/>
            <x v="321"/>
          </reference>
          <reference field="4" count="1" selected="0">
            <x v="6"/>
          </reference>
        </references>
      </pivotArea>
    </format>
    <format dxfId="3562">
      <pivotArea dataOnly="0" labelOnly="1" outline="0" fieldPosition="0">
        <references count="3">
          <reference field="1" count="1" selected="0">
            <x v="20"/>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561">
      <pivotArea dataOnly="0" labelOnly="1" outline="0" fieldPosition="0">
        <references count="3">
          <reference field="1" count="1" selected="0">
            <x v="20"/>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560">
      <pivotArea dataOnly="0" labelOnly="1" outline="0" fieldPosition="0">
        <references count="3">
          <reference field="1" count="1" selected="0">
            <x v="20"/>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559">
      <pivotArea dataOnly="0" labelOnly="1" outline="0" fieldPosition="0">
        <references count="3">
          <reference field="1" count="1" selected="0">
            <x v="20"/>
          </reference>
          <reference field="3" count="12">
            <x v="23"/>
            <x v="30"/>
            <x v="80"/>
            <x v="90"/>
            <x v="92"/>
            <x v="141"/>
            <x v="143"/>
            <x v="144"/>
            <x v="161"/>
            <x v="210"/>
            <x v="211"/>
            <x v="212"/>
          </reference>
          <reference field="4" count="1" selected="0">
            <x v="11"/>
          </reference>
        </references>
      </pivotArea>
    </format>
    <format dxfId="3558">
      <pivotArea dataOnly="0" labelOnly="1" outline="0" fieldPosition="0">
        <references count="3">
          <reference field="1" count="1" selected="0">
            <x v="20"/>
          </reference>
          <reference field="3" count="20">
            <x v="1"/>
            <x v="2"/>
            <x v="5"/>
            <x v="9"/>
            <x v="15"/>
            <x v="17"/>
            <x v="46"/>
            <x v="48"/>
            <x v="50"/>
            <x v="54"/>
            <x v="55"/>
            <x v="57"/>
            <x v="60"/>
            <x v="69"/>
            <x v="72"/>
            <x v="73"/>
            <x v="78"/>
            <x v="79"/>
            <x v="82"/>
            <x v="163"/>
          </reference>
          <reference field="4" count="1" selected="0">
            <x v="12"/>
          </reference>
        </references>
      </pivotArea>
    </format>
    <format dxfId="3557">
      <pivotArea dataOnly="0" labelOnly="1" outline="0" fieldPosition="0">
        <references count="3">
          <reference field="1" count="1" selected="0">
            <x v="21"/>
          </reference>
          <reference field="3" count="4">
            <x v="75"/>
            <x v="76"/>
            <x v="167"/>
            <x v="222"/>
          </reference>
          <reference field="4" count="1" selected="0">
            <x v="0"/>
          </reference>
        </references>
      </pivotArea>
    </format>
    <format dxfId="3556">
      <pivotArea dataOnly="0" labelOnly="1" outline="0" fieldPosition="0">
        <references count="3">
          <reference field="1" count="1" selected="0">
            <x v="21"/>
          </reference>
          <reference field="3" count="19">
            <x v="65"/>
            <x v="70"/>
            <x v="192"/>
            <x v="193"/>
            <x v="194"/>
            <x v="195"/>
            <x v="196"/>
            <x v="197"/>
            <x v="198"/>
            <x v="199"/>
            <x v="200"/>
            <x v="201"/>
            <x v="202"/>
            <x v="203"/>
            <x v="204"/>
            <x v="205"/>
            <x v="206"/>
            <x v="207"/>
            <x v="337"/>
          </reference>
          <reference field="4" count="1" selected="0">
            <x v="5"/>
          </reference>
        </references>
      </pivotArea>
    </format>
    <format dxfId="3555">
      <pivotArea dataOnly="0" labelOnly="1" outline="0" fieldPosition="0">
        <references count="3">
          <reference field="1" count="1" selected="0">
            <x v="21"/>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3554">
      <pivotArea dataOnly="0" labelOnly="1" outline="0" fieldPosition="0">
        <references count="3">
          <reference field="1" count="1" selected="0">
            <x v="21"/>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553">
      <pivotArea dataOnly="0" labelOnly="1" outline="0" fieldPosition="0">
        <references count="3">
          <reference field="1" count="1" selected="0">
            <x v="21"/>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552">
      <pivotArea dataOnly="0" labelOnly="1" outline="0" fieldPosition="0">
        <references count="3">
          <reference field="1" count="1" selected="0">
            <x v="21"/>
          </reference>
          <reference field="3" count="44">
            <x v="0"/>
            <x v="4"/>
            <x v="8"/>
            <x v="10"/>
            <x v="11"/>
            <x v="12"/>
            <x v="13"/>
            <x v="14"/>
            <x v="18"/>
            <x v="19"/>
            <x v="26"/>
            <x v="31"/>
            <x v="35"/>
            <x v="37"/>
            <x v="38"/>
            <x v="39"/>
            <x v="40"/>
            <x v="42"/>
            <x v="43"/>
            <x v="45"/>
            <x v="49"/>
            <x v="53"/>
            <x v="58"/>
            <x v="63"/>
            <x v="64"/>
            <x v="67"/>
            <x v="71"/>
            <x v="74"/>
            <x v="77"/>
            <x v="80"/>
            <x v="81"/>
            <x v="84"/>
            <x v="85"/>
            <x v="86"/>
            <x v="114"/>
            <x v="115"/>
            <x v="133"/>
            <x v="134"/>
            <x v="135"/>
            <x v="136"/>
            <x v="137"/>
            <x v="139"/>
            <x v="140"/>
            <x v="162"/>
          </reference>
          <reference field="4" count="1" selected="0">
            <x v="10"/>
          </reference>
        </references>
      </pivotArea>
    </format>
    <format dxfId="3551">
      <pivotArea dataOnly="0" labelOnly="1" outline="0" fieldPosition="0">
        <references count="3">
          <reference field="1" count="1" selected="0">
            <x v="21"/>
          </reference>
          <reference field="3" count="11">
            <x v="23"/>
            <x v="30"/>
            <x v="90"/>
            <x v="92"/>
            <x v="141"/>
            <x v="143"/>
            <x v="144"/>
            <x v="161"/>
            <x v="210"/>
            <x v="211"/>
            <x v="212"/>
          </reference>
          <reference field="4" count="1" selected="0">
            <x v="11"/>
          </reference>
        </references>
      </pivotArea>
    </format>
    <format dxfId="3550">
      <pivotArea dataOnly="0" labelOnly="1" outline="0" fieldPosition="0">
        <references count="3">
          <reference field="1" count="1" selected="0">
            <x v="21"/>
          </reference>
          <reference field="3" count="20">
            <x v="1"/>
            <x v="2"/>
            <x v="5"/>
            <x v="9"/>
            <x v="15"/>
            <x v="17"/>
            <x v="46"/>
            <x v="48"/>
            <x v="50"/>
            <x v="54"/>
            <x v="55"/>
            <x v="57"/>
            <x v="60"/>
            <x v="69"/>
            <x v="72"/>
            <x v="73"/>
            <x v="78"/>
            <x v="79"/>
            <x v="82"/>
            <x v="163"/>
          </reference>
          <reference field="4" count="1" selected="0">
            <x v="12"/>
          </reference>
        </references>
      </pivotArea>
    </format>
    <format dxfId="3549">
      <pivotArea dataOnly="0" labelOnly="1" outline="0" fieldPosition="0">
        <references count="3">
          <reference field="1" count="1" selected="0">
            <x v="22"/>
          </reference>
          <reference field="3" count="4">
            <x v="75"/>
            <x v="76"/>
            <x v="167"/>
            <x v="222"/>
          </reference>
          <reference field="4" count="1" selected="0">
            <x v="0"/>
          </reference>
        </references>
      </pivotArea>
    </format>
    <format dxfId="3548">
      <pivotArea dataOnly="0" labelOnly="1" outline="0" fieldPosition="0">
        <references count="3">
          <reference field="1" count="1" selected="0">
            <x v="22"/>
          </reference>
          <reference field="3" count="19">
            <x v="65"/>
            <x v="70"/>
            <x v="192"/>
            <x v="193"/>
            <x v="194"/>
            <x v="195"/>
            <x v="196"/>
            <x v="197"/>
            <x v="198"/>
            <x v="199"/>
            <x v="200"/>
            <x v="201"/>
            <x v="202"/>
            <x v="203"/>
            <x v="204"/>
            <x v="205"/>
            <x v="206"/>
            <x v="207"/>
            <x v="337"/>
          </reference>
          <reference field="4" count="1" selected="0">
            <x v="5"/>
          </reference>
        </references>
      </pivotArea>
    </format>
    <format dxfId="3547">
      <pivotArea dataOnly="0" labelOnly="1" outline="0" fieldPosition="0">
        <references count="3">
          <reference field="1" count="1" selected="0">
            <x v="22"/>
          </reference>
          <reference field="3" count="44">
            <x v="3"/>
            <x v="24"/>
            <x v="25"/>
            <x v="28"/>
            <x v="33"/>
            <x v="41"/>
            <x v="44"/>
            <x v="66"/>
            <x v="88"/>
            <x v="96"/>
            <x v="97"/>
            <x v="98"/>
            <x v="99"/>
            <x v="100"/>
            <x v="101"/>
            <x v="102"/>
            <x v="103"/>
            <x v="104"/>
            <x v="105"/>
            <x v="112"/>
            <x v="116"/>
            <x v="117"/>
            <x v="118"/>
            <x v="129"/>
            <x v="142"/>
            <x v="148"/>
            <x v="149"/>
            <x v="150"/>
            <x v="151"/>
            <x v="152"/>
            <x v="153"/>
            <x v="154"/>
            <x v="155"/>
            <x v="169"/>
            <x v="213"/>
            <x v="214"/>
            <x v="215"/>
            <x v="216"/>
            <x v="217"/>
            <x v="218"/>
            <x v="219"/>
            <x v="220"/>
            <x v="221"/>
            <x v="321"/>
          </reference>
          <reference field="4" count="1" selected="0">
            <x v="6"/>
          </reference>
        </references>
      </pivotArea>
    </format>
    <format dxfId="3546">
      <pivotArea dataOnly="0" labelOnly="1" outline="0" fieldPosition="0">
        <references count="3">
          <reference field="1" count="1" selected="0">
            <x v="22"/>
          </reference>
          <reference field="3" count="50">
            <x v="6"/>
            <x v="7"/>
            <x v="16"/>
            <x v="20"/>
            <x v="22"/>
            <x v="27"/>
            <x v="32"/>
            <x v="34"/>
            <x v="36"/>
            <x v="47"/>
            <x v="51"/>
            <x v="52"/>
            <x v="56"/>
            <x v="61"/>
            <x v="68"/>
            <x v="83"/>
            <x v="94"/>
            <x v="95"/>
            <x v="108"/>
            <x v="109"/>
            <x v="110"/>
            <x v="111"/>
            <x v="113"/>
            <x v="119"/>
            <x v="120"/>
            <x v="121"/>
            <x v="122"/>
            <x v="123"/>
            <x v="124"/>
            <x v="125"/>
            <x v="126"/>
            <x v="127"/>
            <x v="128"/>
            <x v="130"/>
            <x v="131"/>
            <x v="138"/>
            <x v="146"/>
            <x v="147"/>
            <x v="156"/>
            <x v="157"/>
            <x v="164"/>
            <x v="171"/>
            <x v="173"/>
            <x v="176"/>
            <x v="178"/>
            <x v="181"/>
            <x v="183"/>
            <x v="184"/>
            <x v="185"/>
            <x v="186"/>
          </reference>
          <reference field="4" count="1" selected="0">
            <x v="8"/>
          </reference>
        </references>
      </pivotArea>
    </format>
    <format dxfId="3545">
      <pivotArea dataOnly="0" labelOnly="1" outline="0" fieldPosition="0">
        <references count="3">
          <reference field="1" count="1" selected="0">
            <x v="22"/>
          </reference>
          <reference field="3" count="31">
            <x v="21"/>
            <x v="29"/>
            <x v="59"/>
            <x v="62"/>
            <x v="87"/>
            <x v="89"/>
            <x v="91"/>
            <x v="93"/>
            <x v="106"/>
            <x v="107"/>
            <x v="145"/>
            <x v="158"/>
            <x v="159"/>
            <x v="160"/>
            <x v="165"/>
            <x v="166"/>
            <x v="168"/>
            <x v="170"/>
            <x v="172"/>
            <x v="174"/>
            <x v="175"/>
            <x v="177"/>
            <x v="179"/>
            <x v="180"/>
            <x v="182"/>
            <x v="187"/>
            <x v="188"/>
            <x v="189"/>
            <x v="190"/>
            <x v="191"/>
            <x v="208"/>
          </reference>
          <reference field="4" count="1" selected="0">
            <x v="8"/>
          </reference>
        </references>
      </pivotArea>
    </format>
    <format dxfId="3544">
      <pivotArea dataOnly="0" labelOnly="1" outline="0" fieldPosition="0">
        <references count="3">
          <reference field="1" count="1" selected="0">
            <x v="22"/>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543">
      <pivotArea dataOnly="0" labelOnly="1" outline="0" fieldPosition="0">
        <references count="3">
          <reference field="1" count="1" selected="0">
            <x v="22"/>
          </reference>
          <reference field="3" count="12">
            <x v="23"/>
            <x v="30"/>
            <x v="80"/>
            <x v="90"/>
            <x v="92"/>
            <x v="141"/>
            <x v="143"/>
            <x v="144"/>
            <x v="161"/>
            <x v="210"/>
            <x v="211"/>
            <x v="212"/>
          </reference>
          <reference field="4" count="1" selected="0">
            <x v="11"/>
          </reference>
        </references>
      </pivotArea>
    </format>
    <format dxfId="3542">
      <pivotArea dataOnly="0" labelOnly="1" outline="0" fieldPosition="0">
        <references count="3">
          <reference field="1" count="1" selected="0">
            <x v="22"/>
          </reference>
          <reference field="3" count="20">
            <x v="1"/>
            <x v="2"/>
            <x v="5"/>
            <x v="9"/>
            <x v="15"/>
            <x v="17"/>
            <x v="46"/>
            <x v="48"/>
            <x v="50"/>
            <x v="54"/>
            <x v="55"/>
            <x v="57"/>
            <x v="60"/>
            <x v="69"/>
            <x v="72"/>
            <x v="73"/>
            <x v="78"/>
            <x v="79"/>
            <x v="82"/>
            <x v="163"/>
          </reference>
          <reference field="4" count="1" selected="0">
            <x v="12"/>
          </reference>
        </references>
      </pivotArea>
    </format>
    <format dxfId="3541">
      <pivotArea dataOnly="0" labelOnly="1" outline="0" fieldPosition="0">
        <references count="3">
          <reference field="1" count="1" selected="0">
            <x v="23"/>
          </reference>
          <reference field="3" count="4">
            <x v="75"/>
            <x v="76"/>
            <x v="167"/>
            <x v="222"/>
          </reference>
          <reference field="4" count="1" selected="0">
            <x v="0"/>
          </reference>
        </references>
      </pivotArea>
    </format>
    <format dxfId="3540">
      <pivotArea dataOnly="0" labelOnly="1" outline="0" fieldPosition="0">
        <references count="3">
          <reference field="1" count="1" selected="0">
            <x v="23"/>
          </reference>
          <reference field="3" count="19">
            <x v="65"/>
            <x v="70"/>
            <x v="192"/>
            <x v="193"/>
            <x v="194"/>
            <x v="195"/>
            <x v="196"/>
            <x v="197"/>
            <x v="198"/>
            <x v="199"/>
            <x v="200"/>
            <x v="201"/>
            <x v="202"/>
            <x v="203"/>
            <x v="204"/>
            <x v="205"/>
            <x v="206"/>
            <x v="207"/>
            <x v="337"/>
          </reference>
          <reference field="4" count="1" selected="0">
            <x v="5"/>
          </reference>
        </references>
      </pivotArea>
    </format>
    <format dxfId="3539">
      <pivotArea dataOnly="0" labelOnly="1" outline="0" fieldPosition="0">
        <references count="3">
          <reference field="1" count="1" selected="0">
            <x v="23"/>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3538">
      <pivotArea dataOnly="0" labelOnly="1" outline="0" fieldPosition="0">
        <references count="3">
          <reference field="1" count="1" selected="0">
            <x v="23"/>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537">
      <pivotArea dataOnly="0" labelOnly="1" outline="0" fieldPosition="0">
        <references count="3">
          <reference field="1" count="1" selected="0">
            <x v="23"/>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536">
      <pivotArea dataOnly="0" labelOnly="1" outline="0" fieldPosition="0">
        <references count="3">
          <reference field="1" count="1" selected="0">
            <x v="23"/>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535">
      <pivotArea dataOnly="0" labelOnly="1" outline="0" fieldPosition="0">
        <references count="3">
          <reference field="1" count="1" selected="0">
            <x v="23"/>
          </reference>
          <reference field="3" count="12">
            <x v="23"/>
            <x v="30"/>
            <x v="80"/>
            <x v="90"/>
            <x v="92"/>
            <x v="141"/>
            <x v="143"/>
            <x v="144"/>
            <x v="161"/>
            <x v="210"/>
            <x v="211"/>
            <x v="212"/>
          </reference>
          <reference field="4" count="1" selected="0">
            <x v="11"/>
          </reference>
        </references>
      </pivotArea>
    </format>
    <format dxfId="3534">
      <pivotArea dataOnly="0" labelOnly="1" outline="0" fieldPosition="0">
        <references count="3">
          <reference field="1" count="1" selected="0">
            <x v="23"/>
          </reference>
          <reference field="3" count="20">
            <x v="1"/>
            <x v="2"/>
            <x v="5"/>
            <x v="9"/>
            <x v="15"/>
            <x v="17"/>
            <x v="46"/>
            <x v="48"/>
            <x v="50"/>
            <x v="54"/>
            <x v="55"/>
            <x v="57"/>
            <x v="60"/>
            <x v="69"/>
            <x v="72"/>
            <x v="73"/>
            <x v="78"/>
            <x v="79"/>
            <x v="82"/>
            <x v="163"/>
          </reference>
          <reference field="4" count="1" selected="0">
            <x v="12"/>
          </reference>
        </references>
      </pivotArea>
    </format>
    <format dxfId="3533">
      <pivotArea dataOnly="0" labelOnly="1" outline="0" fieldPosition="0">
        <references count="3">
          <reference field="1" count="1" selected="0">
            <x v="24"/>
          </reference>
          <reference field="3" count="4">
            <x v="75"/>
            <x v="76"/>
            <x v="167"/>
            <x v="222"/>
          </reference>
          <reference field="4" count="1" selected="0">
            <x v="0"/>
          </reference>
        </references>
      </pivotArea>
    </format>
    <format dxfId="3532">
      <pivotArea dataOnly="0" labelOnly="1" outline="0" fieldPosition="0">
        <references count="3">
          <reference field="1" count="1" selected="0">
            <x v="24"/>
          </reference>
          <reference field="3" count="19">
            <x v="65"/>
            <x v="70"/>
            <x v="192"/>
            <x v="193"/>
            <x v="194"/>
            <x v="195"/>
            <x v="196"/>
            <x v="197"/>
            <x v="198"/>
            <x v="199"/>
            <x v="200"/>
            <x v="201"/>
            <x v="202"/>
            <x v="203"/>
            <x v="204"/>
            <x v="205"/>
            <x v="206"/>
            <x v="207"/>
            <x v="337"/>
          </reference>
          <reference field="4" count="1" selected="0">
            <x v="5"/>
          </reference>
        </references>
      </pivotArea>
    </format>
    <format dxfId="3531">
      <pivotArea dataOnly="0" labelOnly="1" outline="0" fieldPosition="0">
        <references count="3">
          <reference field="1" count="1" selected="0">
            <x v="24"/>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3530">
      <pivotArea dataOnly="0" labelOnly="1" outline="0" fieldPosition="0">
        <references count="3">
          <reference field="1" count="1" selected="0">
            <x v="24"/>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529">
      <pivotArea dataOnly="0" labelOnly="1" outline="0" fieldPosition="0">
        <references count="3">
          <reference field="1" count="1" selected="0">
            <x v="24"/>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528">
      <pivotArea dataOnly="0" labelOnly="1" outline="0" fieldPosition="0">
        <references count="3">
          <reference field="1" count="1" selected="0">
            <x v="24"/>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527">
      <pivotArea dataOnly="0" labelOnly="1" outline="0" fieldPosition="0">
        <references count="3">
          <reference field="1" count="1" selected="0">
            <x v="24"/>
          </reference>
          <reference field="3" count="12">
            <x v="23"/>
            <x v="30"/>
            <x v="80"/>
            <x v="90"/>
            <x v="92"/>
            <x v="141"/>
            <x v="143"/>
            <x v="144"/>
            <x v="161"/>
            <x v="210"/>
            <x v="211"/>
            <x v="212"/>
          </reference>
          <reference field="4" count="1" selected="0">
            <x v="11"/>
          </reference>
        </references>
      </pivotArea>
    </format>
    <format dxfId="3526">
      <pivotArea dataOnly="0" labelOnly="1" outline="0" fieldPosition="0">
        <references count="3">
          <reference field="1" count="1" selected="0">
            <x v="24"/>
          </reference>
          <reference field="3" count="20">
            <x v="1"/>
            <x v="2"/>
            <x v="5"/>
            <x v="9"/>
            <x v="15"/>
            <x v="17"/>
            <x v="46"/>
            <x v="48"/>
            <x v="50"/>
            <x v="54"/>
            <x v="55"/>
            <x v="57"/>
            <x v="60"/>
            <x v="69"/>
            <x v="72"/>
            <x v="73"/>
            <x v="78"/>
            <x v="79"/>
            <x v="82"/>
            <x v="163"/>
          </reference>
          <reference field="4" count="1" selected="0">
            <x v="12"/>
          </reference>
        </references>
      </pivotArea>
    </format>
    <format dxfId="3525">
      <pivotArea dataOnly="0" labelOnly="1" outline="0" fieldPosition="0">
        <references count="3">
          <reference field="1" count="1" selected="0">
            <x v="25"/>
          </reference>
          <reference field="3" count="4">
            <x v="75"/>
            <x v="76"/>
            <x v="167"/>
            <x v="222"/>
          </reference>
          <reference field="4" count="1" selected="0">
            <x v="0"/>
          </reference>
        </references>
      </pivotArea>
    </format>
    <format dxfId="3524">
      <pivotArea dataOnly="0" labelOnly="1" outline="0" fieldPosition="0">
        <references count="3">
          <reference field="1" count="1" selected="0">
            <x v="25"/>
          </reference>
          <reference field="3" count="19">
            <x v="65"/>
            <x v="70"/>
            <x v="192"/>
            <x v="193"/>
            <x v="194"/>
            <x v="195"/>
            <x v="196"/>
            <x v="197"/>
            <x v="198"/>
            <x v="199"/>
            <x v="200"/>
            <x v="201"/>
            <x v="202"/>
            <x v="203"/>
            <x v="204"/>
            <x v="205"/>
            <x v="206"/>
            <x v="207"/>
            <x v="337"/>
          </reference>
          <reference field="4" count="1" selected="0">
            <x v="5"/>
          </reference>
        </references>
      </pivotArea>
    </format>
    <format dxfId="3523">
      <pivotArea dataOnly="0" labelOnly="1" outline="0" fieldPosition="0">
        <references count="3">
          <reference field="1" count="1" selected="0">
            <x v="25"/>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3522">
      <pivotArea dataOnly="0" labelOnly="1" outline="0" fieldPosition="0">
        <references count="3">
          <reference field="1" count="1" selected="0">
            <x v="25"/>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521">
      <pivotArea dataOnly="0" labelOnly="1" outline="0" fieldPosition="0">
        <references count="3">
          <reference field="1" count="1" selected="0">
            <x v="25"/>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520">
      <pivotArea dataOnly="0" labelOnly="1" outline="0" fieldPosition="0">
        <references count="3">
          <reference field="1" count="1" selected="0">
            <x v="25"/>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519">
      <pivotArea dataOnly="0" labelOnly="1" outline="0" fieldPosition="0">
        <references count="3">
          <reference field="1" count="1" selected="0">
            <x v="25"/>
          </reference>
          <reference field="3" count="12">
            <x v="23"/>
            <x v="30"/>
            <x v="80"/>
            <x v="90"/>
            <x v="92"/>
            <x v="141"/>
            <x v="143"/>
            <x v="144"/>
            <x v="161"/>
            <x v="210"/>
            <x v="211"/>
            <x v="212"/>
          </reference>
          <reference field="4" count="1" selected="0">
            <x v="11"/>
          </reference>
        </references>
      </pivotArea>
    </format>
    <format dxfId="3518">
      <pivotArea dataOnly="0" labelOnly="1" outline="0" fieldPosition="0">
        <references count="3">
          <reference field="1" count="1" selected="0">
            <x v="25"/>
          </reference>
          <reference field="3" count="20">
            <x v="1"/>
            <x v="2"/>
            <x v="5"/>
            <x v="9"/>
            <x v="15"/>
            <x v="17"/>
            <x v="46"/>
            <x v="48"/>
            <x v="50"/>
            <x v="54"/>
            <x v="55"/>
            <x v="57"/>
            <x v="60"/>
            <x v="69"/>
            <x v="72"/>
            <x v="73"/>
            <x v="78"/>
            <x v="79"/>
            <x v="82"/>
            <x v="163"/>
          </reference>
          <reference field="4" count="1" selected="0">
            <x v="12"/>
          </reference>
        </references>
      </pivotArea>
    </format>
    <format dxfId="3517">
      <pivotArea dataOnly="0" labelOnly="1" outline="0" fieldPosition="0">
        <references count="3">
          <reference field="1" count="1" selected="0">
            <x v="26"/>
          </reference>
          <reference field="3" count="4">
            <x v="75"/>
            <x v="76"/>
            <x v="167"/>
            <x v="222"/>
          </reference>
          <reference field="4" count="1" selected="0">
            <x v="0"/>
          </reference>
        </references>
      </pivotArea>
    </format>
    <format dxfId="3516">
      <pivotArea dataOnly="0" labelOnly="1" outline="0" fieldPosition="0">
        <references count="3">
          <reference field="1" count="1" selected="0">
            <x v="26"/>
          </reference>
          <reference field="3" count="19">
            <x v="65"/>
            <x v="70"/>
            <x v="192"/>
            <x v="193"/>
            <x v="194"/>
            <x v="195"/>
            <x v="196"/>
            <x v="197"/>
            <x v="198"/>
            <x v="199"/>
            <x v="200"/>
            <x v="201"/>
            <x v="202"/>
            <x v="203"/>
            <x v="204"/>
            <x v="205"/>
            <x v="206"/>
            <x v="207"/>
            <x v="337"/>
          </reference>
          <reference field="4" count="1" selected="0">
            <x v="5"/>
          </reference>
        </references>
      </pivotArea>
    </format>
    <format dxfId="3515">
      <pivotArea dataOnly="0" labelOnly="1" outline="0" fieldPosition="0">
        <references count="3">
          <reference field="1" count="1" selected="0">
            <x v="26"/>
          </reference>
          <reference field="3" count="39">
            <x v="24"/>
            <x v="25"/>
            <x v="28"/>
            <x v="33"/>
            <x v="88"/>
            <x v="96"/>
            <x v="97"/>
            <x v="98"/>
            <x v="99"/>
            <x v="100"/>
            <x v="101"/>
            <x v="102"/>
            <x v="103"/>
            <x v="104"/>
            <x v="105"/>
            <x v="112"/>
            <x v="116"/>
            <x v="117"/>
            <x v="118"/>
            <x v="142"/>
            <x v="148"/>
            <x v="149"/>
            <x v="150"/>
            <x v="151"/>
            <x v="152"/>
            <x v="153"/>
            <x v="154"/>
            <x v="155"/>
            <x v="169"/>
            <x v="213"/>
            <x v="214"/>
            <x v="215"/>
            <x v="216"/>
            <x v="217"/>
            <x v="218"/>
            <x v="219"/>
            <x v="220"/>
            <x v="221"/>
            <x v="321"/>
          </reference>
          <reference field="4" count="1" selected="0">
            <x v="6"/>
          </reference>
        </references>
      </pivotArea>
    </format>
    <format dxfId="3514">
      <pivotArea dataOnly="0" labelOnly="1" outline="0" fieldPosition="0">
        <references count="3">
          <reference field="1" count="1" selected="0">
            <x v="26"/>
          </reference>
          <reference field="3" count="50">
            <x v="6"/>
            <x v="7"/>
            <x v="16"/>
            <x v="20"/>
            <x v="22"/>
            <x v="27"/>
            <x v="32"/>
            <x v="34"/>
            <x v="36"/>
            <x v="47"/>
            <x v="51"/>
            <x v="52"/>
            <x v="56"/>
            <x v="61"/>
            <x v="66"/>
            <x v="68"/>
            <x v="83"/>
            <x v="94"/>
            <x v="95"/>
            <x v="108"/>
            <x v="109"/>
            <x v="110"/>
            <x v="111"/>
            <x v="113"/>
            <x v="119"/>
            <x v="120"/>
            <x v="121"/>
            <x v="122"/>
            <x v="123"/>
            <x v="124"/>
            <x v="125"/>
            <x v="126"/>
            <x v="127"/>
            <x v="128"/>
            <x v="129"/>
            <x v="130"/>
            <x v="131"/>
            <x v="138"/>
            <x v="146"/>
            <x v="147"/>
            <x v="156"/>
            <x v="157"/>
            <x v="164"/>
            <x v="171"/>
            <x v="173"/>
            <x v="176"/>
            <x v="178"/>
            <x v="181"/>
            <x v="183"/>
            <x v="184"/>
          </reference>
          <reference field="4" count="1" selected="0">
            <x v="8"/>
          </reference>
        </references>
      </pivotArea>
    </format>
    <format dxfId="3513">
      <pivotArea dataOnly="0" labelOnly="1" outline="0" fieldPosition="0">
        <references count="3">
          <reference field="1" count="1" selected="0">
            <x v="26"/>
          </reference>
          <reference field="3" count="36">
            <x v="3"/>
            <x v="21"/>
            <x v="29"/>
            <x v="41"/>
            <x v="44"/>
            <x v="59"/>
            <x v="62"/>
            <x v="87"/>
            <x v="89"/>
            <x v="91"/>
            <x v="93"/>
            <x v="106"/>
            <x v="107"/>
            <x v="145"/>
            <x v="158"/>
            <x v="159"/>
            <x v="160"/>
            <x v="165"/>
            <x v="166"/>
            <x v="168"/>
            <x v="170"/>
            <x v="172"/>
            <x v="174"/>
            <x v="175"/>
            <x v="177"/>
            <x v="179"/>
            <x v="180"/>
            <x v="182"/>
            <x v="185"/>
            <x v="186"/>
            <x v="187"/>
            <x v="188"/>
            <x v="189"/>
            <x v="190"/>
            <x v="191"/>
            <x v="208"/>
          </reference>
          <reference field="4" count="1" selected="0">
            <x v="8"/>
          </reference>
        </references>
      </pivotArea>
    </format>
    <format dxfId="3512">
      <pivotArea dataOnly="0" labelOnly="1" outline="0" fieldPosition="0">
        <references count="3">
          <reference field="1" count="1" selected="0">
            <x v="26"/>
          </reference>
          <reference field="3" count="43">
            <x v="0"/>
            <x v="4"/>
            <x v="8"/>
            <x v="10"/>
            <x v="11"/>
            <x v="12"/>
            <x v="13"/>
            <x v="14"/>
            <x v="18"/>
            <x v="19"/>
            <x v="26"/>
            <x v="31"/>
            <x v="35"/>
            <x v="37"/>
            <x v="38"/>
            <x v="39"/>
            <x v="40"/>
            <x v="42"/>
            <x v="43"/>
            <x v="45"/>
            <x v="49"/>
            <x v="53"/>
            <x v="58"/>
            <x v="63"/>
            <x v="64"/>
            <x v="67"/>
            <x v="71"/>
            <x v="74"/>
            <x v="77"/>
            <x v="81"/>
            <x v="84"/>
            <x v="85"/>
            <x v="86"/>
            <x v="114"/>
            <x v="115"/>
            <x v="133"/>
            <x v="134"/>
            <x v="135"/>
            <x v="136"/>
            <x v="137"/>
            <x v="139"/>
            <x v="140"/>
            <x v="162"/>
          </reference>
          <reference field="4" count="1" selected="0">
            <x v="10"/>
          </reference>
        </references>
      </pivotArea>
    </format>
    <format dxfId="3511">
      <pivotArea dataOnly="0" labelOnly="1" outline="0" fieldPosition="0">
        <references count="3">
          <reference field="1" count="1" selected="0">
            <x v="26"/>
          </reference>
          <reference field="3" count="12">
            <x v="23"/>
            <x v="30"/>
            <x v="80"/>
            <x v="90"/>
            <x v="92"/>
            <x v="141"/>
            <x v="143"/>
            <x v="144"/>
            <x v="161"/>
            <x v="210"/>
            <x v="211"/>
            <x v="212"/>
          </reference>
          <reference field="4" count="1" selected="0">
            <x v="11"/>
          </reference>
        </references>
      </pivotArea>
    </format>
    <format dxfId="3510">
      <pivotArea dataOnly="0" labelOnly="1" outline="0" fieldPosition="0">
        <references count="3">
          <reference field="1" count="1" selected="0">
            <x v="26"/>
          </reference>
          <reference field="3" count="20">
            <x v="1"/>
            <x v="2"/>
            <x v="5"/>
            <x v="9"/>
            <x v="15"/>
            <x v="17"/>
            <x v="46"/>
            <x v="48"/>
            <x v="50"/>
            <x v="54"/>
            <x v="55"/>
            <x v="57"/>
            <x v="60"/>
            <x v="69"/>
            <x v="72"/>
            <x v="73"/>
            <x v="78"/>
            <x v="79"/>
            <x v="82"/>
            <x v="163"/>
          </reference>
          <reference field="4" count="1" selected="0">
            <x v="12"/>
          </reference>
        </references>
      </pivotArea>
    </format>
    <format dxfId="3509">
      <pivotArea field="1" type="button" dataOnly="0" labelOnly="1" outline="0" axis="axisRow" fieldPosition="0"/>
    </format>
    <format dxfId="3508">
      <pivotArea field="4" type="button" dataOnly="0" labelOnly="1" outline="0" axis="axisRow" fieldPosition="1"/>
    </format>
    <format dxfId="3507">
      <pivotArea field="3" type="button" dataOnly="0" labelOnly="1" outline="0" axis="axisRow" fieldPosition="2"/>
    </format>
    <format dxfId="3506">
      <pivotArea dataOnly="0" labelOnly="1" outline="0" axis="axisValues" fieldPosition="0"/>
    </format>
    <format dxfId="3505">
      <pivotArea dataOnly="0" labelOnly="1" outline="0" fieldPosition="0">
        <references count="3">
          <reference field="1" count="0" selected="0"/>
          <reference field="3" count="1">
            <x v="320"/>
          </reference>
          <reference field="4" count="1" selected="0">
            <x v="6"/>
          </reference>
        </references>
      </pivotArea>
    </format>
    <format dxfId="3504">
      <pivotArea dataOnly="0" labelOnly="1" outline="0" fieldPosition="0">
        <references count="2">
          <reference field="1" count="0" selected="0"/>
          <reference field="4" count="0"/>
        </references>
      </pivotArea>
    </format>
    <format dxfId="3503">
      <pivotArea dataOnly="0" labelOnly="1" outline="0" fieldPosition="0">
        <references count="3">
          <reference field="1" count="0" selected="0"/>
          <reference field="3" count="3">
            <x v="75"/>
            <x v="76"/>
            <x v="222"/>
          </reference>
          <reference field="4" count="1" selected="0">
            <x v="0"/>
          </reference>
        </references>
      </pivotArea>
    </format>
    <format dxfId="3502">
      <pivotArea dataOnly="0" labelOnly="1" outline="0" fieldPosition="0">
        <references count="3">
          <reference field="1" count="0" selected="0"/>
          <reference field="3" count="5">
            <x v="195"/>
            <x v="197"/>
            <x v="200"/>
            <x v="201"/>
            <x v="202"/>
          </reference>
          <reference field="4" count="1" selected="0">
            <x v="5"/>
          </reference>
        </references>
      </pivotArea>
    </format>
    <format dxfId="3501">
      <pivotArea dataOnly="0" labelOnly="1" outline="0" fieldPosition="0">
        <references count="3">
          <reference field="1" count="0" selected="0"/>
          <reference field="3" count="8">
            <x v="33"/>
            <x v="97"/>
            <x v="152"/>
            <x v="209"/>
            <x v="213"/>
            <x v="218"/>
            <x v="219"/>
            <x v="220"/>
          </reference>
          <reference field="4" count="1" selected="0">
            <x v="6"/>
          </reference>
        </references>
      </pivotArea>
    </format>
    <format dxfId="3500">
      <pivotArea dataOnly="0" labelOnly="1" outline="0" fieldPosition="0">
        <references count="3">
          <reference field="1" count="0" selected="0"/>
          <reference field="3" count="1">
            <x v="132"/>
          </reference>
          <reference field="4" count="1" selected="0">
            <x v="7"/>
          </reference>
        </references>
      </pivotArea>
    </format>
    <format dxfId="3499">
      <pivotArea dataOnly="0" labelOnly="1" outline="0" fieldPosition="0">
        <references count="3">
          <reference field="1" count="0" selected="0"/>
          <reference field="3" count="23">
            <x v="6"/>
            <x v="7"/>
            <x v="16"/>
            <x v="20"/>
            <x v="21"/>
            <x v="34"/>
            <x v="93"/>
            <x v="95"/>
            <x v="113"/>
            <x v="119"/>
            <x v="122"/>
            <x v="124"/>
            <x v="138"/>
            <x v="146"/>
            <x v="147"/>
            <x v="164"/>
            <x v="165"/>
            <x v="168"/>
            <x v="171"/>
            <x v="172"/>
            <x v="176"/>
            <x v="177"/>
            <x v="191"/>
          </reference>
          <reference field="4" count="1" selected="0">
            <x v="8"/>
          </reference>
        </references>
      </pivotArea>
    </format>
    <format dxfId="3498">
      <pivotArea dataOnly="0" labelOnly="1" outline="0" fieldPosition="0">
        <references count="3">
          <reference field="1" count="0" selected="0"/>
          <reference field="3" count="11">
            <x v="26"/>
            <x v="35"/>
            <x v="39"/>
            <x v="40"/>
            <x v="42"/>
            <x v="58"/>
            <x v="67"/>
            <x v="74"/>
            <x v="115"/>
            <x v="137"/>
            <x v="140"/>
          </reference>
          <reference field="4" count="1" selected="0">
            <x v="10"/>
          </reference>
        </references>
      </pivotArea>
    </format>
    <format dxfId="3497">
      <pivotArea dataOnly="0" labelOnly="1" outline="0" fieldPosition="0">
        <references count="3">
          <reference field="1" count="0" selected="0"/>
          <reference field="3" count="2">
            <x v="141"/>
            <x v="210"/>
          </reference>
          <reference field="4" count="1" selected="0">
            <x v="11"/>
          </reference>
        </references>
      </pivotArea>
    </format>
    <format dxfId="3496">
      <pivotArea dataOnly="0" labelOnly="1" outline="0" fieldPosition="0">
        <references count="3">
          <reference field="1" count="0" selected="0"/>
          <reference field="3" count="4">
            <x v="46"/>
            <x v="50"/>
            <x v="55"/>
            <x v="60"/>
          </reference>
          <reference field="4" count="1" selected="0">
            <x v="12"/>
          </reference>
        </references>
      </pivotArea>
    </format>
    <format dxfId="3495">
      <pivotArea outline="0" fieldPosition="0">
        <references count="3">
          <reference field="1" count="0" selected="0"/>
          <reference field="3" count="54" selected="0">
            <x v="13"/>
            <x v="14"/>
            <x v="22"/>
            <x v="24"/>
            <x v="25"/>
            <x v="27"/>
            <x v="28"/>
            <x v="29"/>
            <x v="30"/>
            <x v="31"/>
            <x v="32"/>
            <x v="36"/>
            <x v="44"/>
            <x v="52"/>
            <x v="62"/>
            <x v="63"/>
            <x v="64"/>
            <x v="70"/>
            <x v="80"/>
            <x v="81"/>
            <x v="87"/>
            <x v="94"/>
            <x v="98"/>
            <x v="100"/>
            <x v="103"/>
            <x v="104"/>
            <x v="105"/>
            <x v="110"/>
            <x v="111"/>
            <x v="130"/>
            <x v="131"/>
            <x v="133"/>
            <x v="134"/>
            <x v="136"/>
            <x v="142"/>
            <x v="143"/>
            <x v="144"/>
            <x v="149"/>
            <x v="154"/>
            <x v="156"/>
            <x v="158"/>
            <x v="163"/>
            <x v="186"/>
            <x v="188"/>
            <x v="189"/>
            <x v="192"/>
            <x v="205"/>
            <x v="206"/>
            <x v="207"/>
            <x v="211"/>
            <x v="214"/>
            <x v="215"/>
            <x v="216"/>
            <x v="337"/>
          </reference>
          <reference field="4" count="5" selected="0">
            <x v="5"/>
            <x v="6"/>
            <x v="8"/>
            <x v="10"/>
            <x v="11"/>
          </reference>
        </references>
      </pivotArea>
    </format>
    <format dxfId="3494">
      <pivotArea outline="0" fieldPosition="0">
        <references count="3">
          <reference field="1" count="0" selected="0"/>
          <reference field="3" count="3" selected="0">
            <x v="48"/>
            <x v="72"/>
            <x v="73"/>
          </reference>
          <reference field="4" count="1" selected="0">
            <x v="12"/>
          </reference>
        </references>
      </pivotArea>
    </format>
    <format dxfId="3493">
      <pivotArea dataOnly="0" labelOnly="1" outline="0" fieldPosition="0">
        <references count="3">
          <reference field="1" count="0" selected="0"/>
          <reference field="3" count="6">
            <x v="70"/>
            <x v="192"/>
            <x v="205"/>
            <x v="206"/>
            <x v="207"/>
            <x v="337"/>
          </reference>
          <reference field="4" count="1" selected="0">
            <x v="5"/>
          </reference>
        </references>
      </pivotArea>
    </format>
    <format dxfId="3492">
      <pivotArea dataOnly="0" labelOnly="1" outline="0" fieldPosition="0">
        <references count="3">
          <reference field="1" count="0" selected="0"/>
          <reference field="3" count="14">
            <x v="24"/>
            <x v="25"/>
            <x v="28"/>
            <x v="98"/>
            <x v="100"/>
            <x v="103"/>
            <x v="104"/>
            <x v="105"/>
            <x v="142"/>
            <x v="149"/>
            <x v="154"/>
            <x v="214"/>
            <x v="215"/>
            <x v="216"/>
          </reference>
          <reference field="4" count="1" selected="0">
            <x v="6"/>
          </reference>
        </references>
      </pivotArea>
    </format>
    <format dxfId="3491">
      <pivotArea dataOnly="0" labelOnly="1" outline="0" fieldPosition="0">
        <references count="3">
          <reference field="1" count="0" selected="0"/>
          <reference field="3" count="19">
            <x v="22"/>
            <x v="27"/>
            <x v="29"/>
            <x v="32"/>
            <x v="36"/>
            <x v="44"/>
            <x v="52"/>
            <x v="62"/>
            <x v="87"/>
            <x v="94"/>
            <x v="110"/>
            <x v="111"/>
            <x v="130"/>
            <x v="131"/>
            <x v="156"/>
            <x v="158"/>
            <x v="186"/>
            <x v="188"/>
            <x v="189"/>
          </reference>
          <reference field="4" count="1" selected="0">
            <x v="8"/>
          </reference>
        </references>
      </pivotArea>
    </format>
    <format dxfId="3490">
      <pivotArea dataOnly="0" labelOnly="1" outline="0" fieldPosition="0">
        <references count="3">
          <reference field="1" count="0" selected="0"/>
          <reference field="3" count="9">
            <x v="13"/>
            <x v="14"/>
            <x v="31"/>
            <x v="63"/>
            <x v="64"/>
            <x v="81"/>
            <x v="133"/>
            <x v="134"/>
            <x v="136"/>
          </reference>
          <reference field="4" count="1" selected="0">
            <x v="10"/>
          </reference>
        </references>
      </pivotArea>
    </format>
    <format dxfId="3489">
      <pivotArea dataOnly="0" labelOnly="1" outline="0" fieldPosition="0">
        <references count="3">
          <reference field="1" count="0" selected="0"/>
          <reference field="3" count="6">
            <x v="30"/>
            <x v="80"/>
            <x v="143"/>
            <x v="144"/>
            <x v="163"/>
            <x v="211"/>
          </reference>
          <reference field="4" count="1" selected="0">
            <x v="11"/>
          </reference>
        </references>
      </pivotArea>
    </format>
    <format dxfId="3488">
      <pivotArea dataOnly="0" labelOnly="1" outline="0" fieldPosition="0">
        <references count="3">
          <reference field="1" count="0" selected="0"/>
          <reference field="3" count="3">
            <x v="48"/>
            <x v="72"/>
            <x v="73"/>
          </reference>
          <reference field="4" count="1" selected="0">
            <x v="12"/>
          </reference>
        </references>
      </pivotArea>
    </format>
    <format dxfId="3487">
      <pivotArea dataOnly="0" labelOnly="1" outline="0" fieldPosition="0">
        <references count="2">
          <reference field="1" count="0" selected="0"/>
          <reference field="4" count="7">
            <x v="0"/>
            <x v="5"/>
            <x v="6"/>
            <x v="8"/>
            <x v="10"/>
            <x v="11"/>
            <x v="12"/>
          </reference>
        </references>
      </pivotArea>
    </format>
    <format dxfId="3486">
      <pivotArea dataOnly="0" labelOnly="1" outline="0" fieldPosition="0">
        <references count="3">
          <reference field="1" count="0" selected="0"/>
          <reference field="3" count="1">
            <x v="167"/>
          </reference>
          <reference field="4" count="1" selected="0">
            <x v="0"/>
          </reference>
        </references>
      </pivotArea>
    </format>
    <format dxfId="3485">
      <pivotArea dataOnly="0" labelOnly="1" outline="0" fieldPosition="0">
        <references count="3">
          <reference field="1" count="0" selected="0"/>
          <reference field="3" count="3">
            <x v="194"/>
            <x v="196"/>
            <x v="203"/>
          </reference>
          <reference field="4" count="1" selected="0">
            <x v="5"/>
          </reference>
        </references>
      </pivotArea>
    </format>
    <format dxfId="3484">
      <pivotArea dataOnly="0" labelOnly="1" outline="0" fieldPosition="0">
        <references count="3">
          <reference field="1" count="0" selected="0"/>
          <reference field="3" count="11">
            <x v="96"/>
            <x v="99"/>
            <x v="101"/>
            <x v="102"/>
            <x v="148"/>
            <x v="150"/>
            <x v="151"/>
            <x v="155"/>
            <x v="169"/>
            <x v="217"/>
            <x v="221"/>
          </reference>
          <reference field="4" count="1" selected="0">
            <x v="6"/>
          </reference>
        </references>
      </pivotArea>
    </format>
    <format dxfId="3483">
      <pivotArea dataOnly="0" labelOnly="1" outline="0" fieldPosition="0">
        <references count="3">
          <reference field="1" count="0" selected="0"/>
          <reference field="3" count="23">
            <x v="3"/>
            <x v="41"/>
            <x v="47"/>
            <x v="51"/>
            <x v="56"/>
            <x v="106"/>
            <x v="108"/>
            <x v="109"/>
            <x v="120"/>
            <x v="121"/>
            <x v="126"/>
            <x v="129"/>
            <x v="145"/>
            <x v="159"/>
            <x v="160"/>
            <x v="166"/>
            <x v="170"/>
            <x v="173"/>
            <x v="179"/>
            <x v="183"/>
            <x v="185"/>
            <x v="187"/>
            <x v="208"/>
          </reference>
          <reference field="4" count="1" selected="0">
            <x v="8"/>
          </reference>
        </references>
      </pivotArea>
    </format>
    <format dxfId="3482">
      <pivotArea dataOnly="0" labelOnly="1" outline="0" fieldPosition="0">
        <references count="3">
          <reference field="1" count="0" selected="0"/>
          <reference field="3" count="10">
            <x v="0"/>
            <x v="4"/>
            <x v="8"/>
            <x v="10"/>
            <x v="11"/>
            <x v="84"/>
            <x v="85"/>
            <x v="86"/>
            <x v="135"/>
            <x v="162"/>
          </reference>
          <reference field="4" count="1" selected="0">
            <x v="10"/>
          </reference>
        </references>
      </pivotArea>
    </format>
    <format dxfId="3481">
      <pivotArea dataOnly="0" labelOnly="1" outline="0" fieldPosition="0">
        <references count="3">
          <reference field="1" count="0" selected="0"/>
          <reference field="3" count="2">
            <x v="90"/>
            <x v="212"/>
          </reference>
          <reference field="4" count="1" selected="0">
            <x v="11"/>
          </reference>
        </references>
      </pivotArea>
    </format>
    <format dxfId="3480">
      <pivotArea dataOnly="0" labelOnly="1" outline="0" fieldPosition="0">
        <references count="3">
          <reference field="1" count="0" selected="0"/>
          <reference field="3" count="4">
            <x v="9"/>
            <x v="15"/>
            <x v="17"/>
            <x v="54"/>
          </reference>
          <reference field="4" count="1" selected="0">
            <x v="12"/>
          </reference>
        </references>
      </pivotArea>
    </format>
    <format dxfId="3479">
      <pivotArea dataOnly="0" labelOnly="1" outline="0" fieldPosition="0">
        <references count="3">
          <reference field="1" count="0" selected="0"/>
          <reference field="3" count="5">
            <x v="65"/>
            <x v="193"/>
            <x v="198"/>
            <x v="199"/>
            <x v="204"/>
          </reference>
          <reference field="4" count="1" selected="0">
            <x v="5"/>
          </reference>
        </references>
      </pivotArea>
    </format>
    <format dxfId="3478">
      <pivotArea dataOnly="0" labelOnly="1" outline="0" fieldPosition="0">
        <references count="3">
          <reference field="1" count="0" selected="0"/>
          <reference field="3" count="6">
            <x v="88"/>
            <x v="112"/>
            <x v="116"/>
            <x v="117"/>
            <x v="118"/>
            <x v="153"/>
          </reference>
          <reference field="4" count="1" selected="0">
            <x v="6"/>
          </reference>
        </references>
      </pivotArea>
    </format>
    <format dxfId="3477">
      <pivotArea dataOnly="0" labelOnly="1" outline="0" fieldPosition="0">
        <references count="3">
          <reference field="1" count="0" selected="0"/>
          <reference field="3" count="21">
            <x v="59"/>
            <x v="61"/>
            <x v="66"/>
            <x v="68"/>
            <x v="83"/>
            <x v="89"/>
            <x v="91"/>
            <x v="107"/>
            <x v="123"/>
            <x v="125"/>
            <x v="127"/>
            <x v="128"/>
            <x v="157"/>
            <x v="174"/>
            <x v="175"/>
            <x v="178"/>
            <x v="180"/>
            <x v="181"/>
            <x v="182"/>
            <x v="184"/>
            <x v="190"/>
          </reference>
          <reference field="4" count="1" selected="0">
            <x v="8"/>
          </reference>
        </references>
      </pivotArea>
    </format>
    <format dxfId="3476">
      <pivotArea dataOnly="0" labelOnly="1" outline="0" fieldPosition="0">
        <references count="3">
          <reference field="1" count="0" selected="0"/>
          <reference field="3" count="13">
            <x v="12"/>
            <x v="18"/>
            <x v="19"/>
            <x v="37"/>
            <x v="38"/>
            <x v="43"/>
            <x v="45"/>
            <x v="49"/>
            <x v="53"/>
            <x v="71"/>
            <x v="77"/>
            <x v="114"/>
            <x v="139"/>
          </reference>
          <reference field="4" count="1" selected="0">
            <x v="10"/>
          </reference>
        </references>
      </pivotArea>
    </format>
    <format dxfId="3475">
      <pivotArea dataOnly="0" labelOnly="1" outline="0" fieldPosition="0">
        <references count="3">
          <reference field="1" count="0" selected="0"/>
          <reference field="3" count="3">
            <x v="23"/>
            <x v="92"/>
            <x v="161"/>
          </reference>
          <reference field="4" count="1" selected="0">
            <x v="11"/>
          </reference>
        </references>
      </pivotArea>
    </format>
    <format dxfId="3474">
      <pivotArea dataOnly="0" labelOnly="1" outline="0" fieldPosition="0">
        <references count="3">
          <reference field="1" count="0" selected="0"/>
          <reference field="3" count="7">
            <x v="1"/>
            <x v="2"/>
            <x v="5"/>
            <x v="57"/>
            <x v="69"/>
            <x v="79"/>
            <x v="82"/>
          </reference>
          <reference field="4" count="1" selected="0">
            <x v="12"/>
          </reference>
        </references>
      </pivotArea>
    </format>
    <format dxfId="3473">
      <pivotArea outline="0" collapsedLevelsAreSubtotals="1" fieldPosition="0"/>
    </format>
    <format dxfId="3472">
      <pivotArea dataOnly="0" labelOnly="1" outline="0" fieldPosition="0">
        <references count="2">
          <reference field="1" count="0" selected="0"/>
          <reference field="4" count="6">
            <x v="5"/>
            <x v="6"/>
            <x v="8"/>
            <x v="10"/>
            <x v="11"/>
            <x v="12"/>
          </reference>
        </references>
      </pivotArea>
    </format>
    <format dxfId="3471">
      <pivotArea dataOnly="0" labelOnly="1" outline="0" fieldPosition="0">
        <references count="3">
          <reference field="1" count="0" selected="0"/>
          <reference field="3" count="3">
            <x v="194"/>
            <x v="199"/>
            <x v="207"/>
          </reference>
          <reference field="4" count="1" selected="0">
            <x v="5"/>
          </reference>
        </references>
      </pivotArea>
    </format>
    <format dxfId="3470">
      <pivotArea dataOnly="0" labelOnly="1" outline="0" fieldPosition="0">
        <references count="3">
          <reference field="1" count="0" selected="0"/>
          <reference field="3" count="8">
            <x v="98"/>
            <x v="100"/>
            <x v="153"/>
            <x v="169"/>
            <x v="214"/>
            <x v="218"/>
            <x v="219"/>
            <x v="220"/>
          </reference>
          <reference field="4" count="1" selected="0">
            <x v="6"/>
          </reference>
        </references>
      </pivotArea>
    </format>
    <format dxfId="3469">
      <pivotArea dataOnly="0" labelOnly="1" outline="0" fieldPosition="0">
        <references count="3">
          <reference field="1" count="0" selected="0"/>
          <reference field="3" count="20">
            <x v="3"/>
            <x v="51"/>
            <x v="52"/>
            <x v="83"/>
            <x v="91"/>
            <x v="93"/>
            <x v="94"/>
            <x v="106"/>
            <x v="108"/>
            <x v="109"/>
            <x v="122"/>
            <x v="128"/>
            <x v="156"/>
            <x v="157"/>
            <x v="159"/>
            <x v="164"/>
            <x v="171"/>
            <x v="174"/>
            <x v="187"/>
            <x v="188"/>
          </reference>
          <reference field="4" count="1" selected="0">
            <x v="8"/>
          </reference>
        </references>
      </pivotArea>
    </format>
    <format dxfId="3468">
      <pivotArea dataOnly="0" labelOnly="1" outline="0" fieldPosition="0">
        <references count="3">
          <reference field="1" count="0" selected="0"/>
          <reference field="3" count="9">
            <x v="13"/>
            <x v="14"/>
            <x v="37"/>
            <x v="38"/>
            <x v="67"/>
            <x v="71"/>
            <x v="81"/>
            <x v="114"/>
            <x v="162"/>
          </reference>
          <reference field="4" count="1" selected="0">
            <x v="10"/>
          </reference>
        </references>
      </pivotArea>
    </format>
    <format dxfId="3467">
      <pivotArea dataOnly="0" labelOnly="1" outline="0" fieldPosition="0">
        <references count="3">
          <reference field="1" count="0" selected="0"/>
          <reference field="3" count="2">
            <x v="90"/>
            <x v="161"/>
          </reference>
          <reference field="4" count="1" selected="0">
            <x v="11"/>
          </reference>
        </references>
      </pivotArea>
    </format>
    <format dxfId="3466">
      <pivotArea dataOnly="0" labelOnly="1" outline="0" fieldPosition="0">
        <references count="3">
          <reference field="1" count="0" selected="0"/>
          <reference field="3" count="5">
            <x v="1"/>
            <x v="2"/>
            <x v="5"/>
            <x v="78"/>
            <x v="79"/>
          </reference>
          <reference field="4" count="1" selected="0">
            <x v="12"/>
          </reference>
        </references>
      </pivotArea>
    </format>
    <format dxfId="3465">
      <pivotArea dataOnly="0" labelOnly="1" outline="0" fieldPosition="0">
        <references count="2">
          <reference field="1" count="1" selected="0">
            <x v="0"/>
          </reference>
          <reference field="4" count="0"/>
        </references>
      </pivotArea>
    </format>
    <format dxfId="3464">
      <pivotArea dataOnly="0" labelOnly="1" outline="0" fieldPosition="0">
        <references count="2">
          <reference field="1" count="1" selected="0">
            <x v="1"/>
          </reference>
          <reference field="4" count="0"/>
        </references>
      </pivotArea>
    </format>
    <format dxfId="3463">
      <pivotArea dataOnly="0" labelOnly="1" outline="0" fieldPosition="0">
        <references count="2">
          <reference field="1" count="1" selected="0">
            <x v="2"/>
          </reference>
          <reference field="4" count="0"/>
        </references>
      </pivotArea>
    </format>
    <format dxfId="3462">
      <pivotArea dataOnly="0" labelOnly="1" outline="0" fieldPosition="0">
        <references count="2">
          <reference field="1" count="1" selected="0">
            <x v="3"/>
          </reference>
          <reference field="4" count="0"/>
        </references>
      </pivotArea>
    </format>
    <format dxfId="3461">
      <pivotArea dataOnly="0" labelOnly="1" outline="0" fieldPosition="0">
        <references count="2">
          <reference field="1" count="1" selected="0">
            <x v="4"/>
          </reference>
          <reference field="4" count="0"/>
        </references>
      </pivotArea>
    </format>
    <format dxfId="3460">
      <pivotArea dataOnly="0" labelOnly="1" outline="0" fieldPosition="0">
        <references count="2">
          <reference field="1" count="1" selected="0">
            <x v="5"/>
          </reference>
          <reference field="4" count="0"/>
        </references>
      </pivotArea>
    </format>
    <format dxfId="3459">
      <pivotArea dataOnly="0" labelOnly="1" outline="0" fieldPosition="0">
        <references count="2">
          <reference field="1" count="1" selected="0">
            <x v="6"/>
          </reference>
          <reference field="4" count="0"/>
        </references>
      </pivotArea>
    </format>
    <format dxfId="3458">
      <pivotArea dataOnly="0" labelOnly="1" outline="0" fieldPosition="0">
        <references count="2">
          <reference field="1" count="1" selected="0">
            <x v="7"/>
          </reference>
          <reference field="4" count="0"/>
        </references>
      </pivotArea>
    </format>
    <format dxfId="3457">
      <pivotArea dataOnly="0" labelOnly="1" outline="0" fieldPosition="0">
        <references count="2">
          <reference field="1" count="1" selected="0">
            <x v="8"/>
          </reference>
          <reference field="4" count="0"/>
        </references>
      </pivotArea>
    </format>
    <format dxfId="3456">
      <pivotArea dataOnly="0" labelOnly="1" outline="0" fieldPosition="0">
        <references count="2">
          <reference field="1" count="1" selected="0">
            <x v="9"/>
          </reference>
          <reference field="4" count="0"/>
        </references>
      </pivotArea>
    </format>
    <format dxfId="3455">
      <pivotArea dataOnly="0" labelOnly="1" outline="0" fieldPosition="0">
        <references count="2">
          <reference field="1" count="1" selected="0">
            <x v="27"/>
          </reference>
          <reference field="4" count="0"/>
        </references>
      </pivotArea>
    </format>
    <format dxfId="3454">
      <pivotArea dataOnly="0" labelOnly="1" outline="0" fieldPosition="0">
        <references count="2">
          <reference field="1" count="1" selected="0">
            <x v="10"/>
          </reference>
          <reference field="4" count="0"/>
        </references>
      </pivotArea>
    </format>
    <format dxfId="3453">
      <pivotArea dataOnly="0" labelOnly="1" outline="0" fieldPosition="0">
        <references count="2">
          <reference field="1" count="1" selected="0">
            <x v="11"/>
          </reference>
          <reference field="4" count="0"/>
        </references>
      </pivotArea>
    </format>
    <format dxfId="3452">
      <pivotArea dataOnly="0" labelOnly="1" outline="0" fieldPosition="0">
        <references count="2">
          <reference field="1" count="1" selected="0">
            <x v="12"/>
          </reference>
          <reference field="4" count="0"/>
        </references>
      </pivotArea>
    </format>
    <format dxfId="3451">
      <pivotArea dataOnly="0" labelOnly="1" outline="0" fieldPosition="0">
        <references count="2">
          <reference field="1" count="1" selected="0">
            <x v="13"/>
          </reference>
          <reference field="4" count="0"/>
        </references>
      </pivotArea>
    </format>
    <format dxfId="3450">
      <pivotArea dataOnly="0" labelOnly="1" outline="0" fieldPosition="0">
        <references count="2">
          <reference field="1" count="1" selected="0">
            <x v="14"/>
          </reference>
          <reference field="4" count="0"/>
        </references>
      </pivotArea>
    </format>
    <format dxfId="3449">
      <pivotArea dataOnly="0" labelOnly="1" outline="0" fieldPosition="0">
        <references count="2">
          <reference field="1" count="1" selected="0">
            <x v="15"/>
          </reference>
          <reference field="4" count="0"/>
        </references>
      </pivotArea>
    </format>
    <format dxfId="3448">
      <pivotArea dataOnly="0" labelOnly="1" outline="0" fieldPosition="0">
        <references count="2">
          <reference field="1" count="1" selected="0">
            <x v="16"/>
          </reference>
          <reference field="4" count="0"/>
        </references>
      </pivotArea>
    </format>
    <format dxfId="3447">
      <pivotArea dataOnly="0" labelOnly="1" outline="0" fieldPosition="0">
        <references count="2">
          <reference field="1" count="1" selected="0">
            <x v="17"/>
          </reference>
          <reference field="4" count="0"/>
        </references>
      </pivotArea>
    </format>
    <format dxfId="3446">
      <pivotArea dataOnly="0" labelOnly="1" outline="0" fieldPosition="0">
        <references count="2">
          <reference field="1" count="1" selected="0">
            <x v="18"/>
          </reference>
          <reference field="4" count="0"/>
        </references>
      </pivotArea>
    </format>
    <format dxfId="3445">
      <pivotArea dataOnly="0" labelOnly="1" outline="0" fieldPosition="0">
        <references count="2">
          <reference field="1" count="1" selected="0">
            <x v="19"/>
          </reference>
          <reference field="4" count="0"/>
        </references>
      </pivotArea>
    </format>
    <format dxfId="3444">
      <pivotArea dataOnly="0" labelOnly="1" outline="0" fieldPosition="0">
        <references count="2">
          <reference field="1" count="1" selected="0">
            <x v="20"/>
          </reference>
          <reference field="4" count="0"/>
        </references>
      </pivotArea>
    </format>
    <format dxfId="3443">
      <pivotArea dataOnly="0" labelOnly="1" outline="0" fieldPosition="0">
        <references count="2">
          <reference field="1" count="1" selected="0">
            <x v="21"/>
          </reference>
          <reference field="4" count="0"/>
        </references>
      </pivotArea>
    </format>
    <format dxfId="3442">
      <pivotArea dataOnly="0" labelOnly="1" outline="0" fieldPosition="0">
        <references count="2">
          <reference field="1" count="1" selected="0">
            <x v="22"/>
          </reference>
          <reference field="4" count="0"/>
        </references>
      </pivotArea>
    </format>
    <format dxfId="3441">
      <pivotArea dataOnly="0" labelOnly="1" outline="0" fieldPosition="0">
        <references count="2">
          <reference field="1" count="1" selected="0">
            <x v="23"/>
          </reference>
          <reference field="4" count="0"/>
        </references>
      </pivotArea>
    </format>
    <format dxfId="3440">
      <pivotArea dataOnly="0" labelOnly="1" outline="0" fieldPosition="0">
        <references count="2">
          <reference field="1" count="1" selected="0">
            <x v="24"/>
          </reference>
          <reference field="4" count="0"/>
        </references>
      </pivotArea>
    </format>
    <format dxfId="3439">
      <pivotArea dataOnly="0" labelOnly="1" outline="0" fieldPosition="0">
        <references count="2">
          <reference field="1" count="1" selected="0">
            <x v="25"/>
          </reference>
          <reference field="4" count="0"/>
        </references>
      </pivotArea>
    </format>
    <format dxfId="3438">
      <pivotArea dataOnly="0" labelOnly="1" outline="0" fieldPosition="0">
        <references count="2">
          <reference field="1" count="1" selected="0">
            <x v="26"/>
          </reference>
          <reference field="4" count="0"/>
        </references>
      </pivotArea>
    </format>
    <format dxfId="3437">
      <pivotArea dataOnly="0" outline="0" fieldPosition="0">
        <references count="1">
          <reference field="4" count="1">
            <x v="0"/>
          </reference>
        </references>
      </pivotArea>
    </format>
    <format dxfId="3436">
      <pivotArea dataOnly="0" outline="0" fieldPosition="0">
        <references count="1">
          <reference field="4" count="1">
            <x v="5"/>
          </reference>
        </references>
      </pivotArea>
    </format>
    <format dxfId="3435">
      <pivotArea dataOnly="0" labelOnly="1" outline="0" fieldPosition="0">
        <references count="3">
          <reference field="1" count="0" selected="0"/>
          <reference field="3" count="1">
            <x v="324"/>
          </reference>
          <reference field="4" count="1" selected="0">
            <x v="8"/>
          </reference>
        </references>
      </pivotArea>
    </format>
    <format dxfId="3434">
      <pivotArea dataOnly="0" labelOnly="1" outline="0" fieldPosition="0">
        <references count="3">
          <reference field="1" count="0" selected="0"/>
          <reference field="3" count="1">
            <x v="325"/>
          </reference>
          <reference field="4" count="1" selected="0">
            <x v="6"/>
          </reference>
        </references>
      </pivotArea>
    </format>
    <format dxfId="3433">
      <pivotArea dataOnly="0" labelOnly="1" outline="0" fieldPosition="0">
        <references count="3">
          <reference field="1" count="0" selected="0"/>
          <reference field="3" count="2">
            <x v="326"/>
            <x v="327"/>
          </reference>
          <reference field="4" count="1" selected="0">
            <x v="6"/>
          </reference>
        </references>
      </pivotArea>
    </format>
    <format dxfId="3432">
      <pivotArea dataOnly="0" labelOnly="1" outline="0" fieldPosition="0">
        <references count="3">
          <reference field="1" count="0" selected="0"/>
          <reference field="3" count="3">
            <x v="328"/>
            <x v="329"/>
            <x v="330"/>
          </reference>
          <reference field="4" count="1" selected="0">
            <x v="6"/>
          </reference>
        </references>
      </pivotArea>
    </format>
    <format dxfId="3431">
      <pivotArea dataOnly="0" labelOnly="1" outline="0" fieldPosition="0">
        <references count="3">
          <reference field="1" count="0" selected="0"/>
          <reference field="3" count="1">
            <x v="331"/>
          </reference>
          <reference field="4" count="1" selected="0">
            <x v="6"/>
          </reference>
        </references>
      </pivotArea>
    </format>
    <format dxfId="3430">
      <pivotArea dataOnly="0" labelOnly="1" outline="0" fieldPosition="0">
        <references count="3">
          <reference field="1" count="0" selected="0"/>
          <reference field="3" count="1">
            <x v="332"/>
          </reference>
          <reference field="4" count="1" selected="0">
            <x v="10"/>
          </reference>
        </references>
      </pivotArea>
    </format>
    <format dxfId="3429">
      <pivotArea dataOnly="0" labelOnly="1" outline="0" fieldPosition="0">
        <references count="3">
          <reference field="1" count="0" selected="0"/>
          <reference field="3" count="1">
            <x v="333"/>
          </reference>
          <reference field="4" count="1" selected="0">
            <x v="8"/>
          </reference>
        </references>
      </pivotArea>
    </format>
    <format dxfId="3428">
      <pivotArea dataOnly="0" labelOnly="1" outline="0" fieldPosition="0">
        <references count="3">
          <reference field="1" count="0" selected="0"/>
          <reference field="3" count="1">
            <x v="207"/>
          </reference>
          <reference field="4" count="1" selected="0">
            <x v="5"/>
          </reference>
        </references>
      </pivotArea>
    </format>
    <format dxfId="3427">
      <pivotArea dataOnly="0" labelOnly="1" outline="0" fieldPosition="0">
        <references count="3">
          <reference field="1" count="0" selected="0"/>
          <reference field="3" count="1">
            <x v="80"/>
          </reference>
          <reference field="4" count="1" selected="0">
            <x v="11"/>
          </reference>
        </references>
      </pivotArea>
    </format>
    <format dxfId="3426">
      <pivotArea dataOnly="0" labelOnly="1" outline="0" fieldPosition="0">
        <references count="3">
          <reference field="1" count="0" selected="0"/>
          <reference field="3" count="1">
            <x v="334"/>
          </reference>
          <reference field="4" count="1" selected="0">
            <x v="12"/>
          </reference>
        </references>
      </pivotArea>
    </format>
    <format dxfId="3425">
      <pivotArea dataOnly="0" labelOnly="1" outline="0" fieldPosition="0">
        <references count="3">
          <reference field="1" count="0" selected="0"/>
          <reference field="3" count="1">
            <x v="335"/>
          </reference>
          <reference field="4" count="1" selected="0">
            <x v="8"/>
          </reference>
        </references>
      </pivotArea>
    </format>
    <format dxfId="3424">
      <pivotArea dataOnly="0" labelOnly="1" outline="0" fieldPosition="0">
        <references count="3">
          <reference field="1" count="0" selected="0"/>
          <reference field="3" count="1">
            <x v="336"/>
          </reference>
          <reference field="4" count="1" selected="0">
            <x v="0"/>
          </reference>
        </references>
      </pivotArea>
    </format>
    <format dxfId="3423">
      <pivotArea dataOnly="0" labelOnly="1" outline="0" fieldPosition="0">
        <references count="3">
          <reference field="1" count="0" selected="0"/>
          <reference field="3" count="1">
            <x v="334"/>
          </reference>
          <reference field="4" count="1" selected="0">
            <x v="0"/>
          </reference>
        </references>
      </pivotArea>
    </format>
    <format dxfId="3422">
      <pivotArea dataOnly="0" labelOnly="1" outline="0" fieldPosition="0">
        <references count="3">
          <reference field="1" count="0" selected="0"/>
          <reference field="3" count="1">
            <x v="337"/>
          </reference>
          <reference field="4" count="1" selected="0">
            <x v="1"/>
          </reference>
        </references>
      </pivotArea>
    </format>
    <format dxfId="3421">
      <pivotArea dataOnly="0" labelOnly="1" outline="0" fieldPosition="0">
        <references count="2">
          <reference field="1" count="0" selected="0"/>
          <reference field="4" count="1">
            <x v="1"/>
          </reference>
        </references>
      </pivotArea>
    </format>
    <format dxfId="3420">
      <pivotArea dataOnly="0" labelOnly="1" outline="0" fieldPosition="0">
        <references count="3">
          <reference field="1" count="0" selected="0"/>
          <reference field="3" count="1">
            <x v="338"/>
          </reference>
          <reference field="4" count="1" selected="0">
            <x v="10"/>
          </reference>
        </references>
      </pivotArea>
    </format>
    <format dxfId="3419">
      <pivotArea dataOnly="0" labelOnly="1" outline="0" fieldPosition="0">
        <references count="3">
          <reference field="1" count="0" selected="0"/>
          <reference field="3" count="1">
            <x v="343"/>
          </reference>
          <reference field="4" count="1" selected="0">
            <x v="8"/>
          </reference>
        </references>
      </pivotArea>
    </format>
    <format dxfId="3418">
      <pivotArea dataOnly="0" labelOnly="1" outline="0" fieldPosition="0">
        <references count="3">
          <reference field="1" count="0" selected="0"/>
          <reference field="3" count="1">
            <x v="339"/>
          </reference>
          <reference field="4" count="1" selected="0">
            <x v="10"/>
          </reference>
        </references>
      </pivotArea>
    </format>
    <format dxfId="3417">
      <pivotArea dataOnly="0" labelOnly="1" outline="0" fieldPosition="0">
        <references count="3">
          <reference field="1" count="0" selected="0"/>
          <reference field="3" count="1">
            <x v="340"/>
          </reference>
          <reference field="4" count="1" selected="0">
            <x v="6"/>
          </reference>
        </references>
      </pivotArea>
    </format>
    <format dxfId="3416">
      <pivotArea dataOnly="0" labelOnly="1" outline="0" fieldPosition="0">
        <references count="3">
          <reference field="1" count="0" selected="0"/>
          <reference field="3" count="1">
            <x v="341"/>
          </reference>
          <reference field="4" count="1" selected="0">
            <x v="6"/>
          </reference>
        </references>
      </pivotArea>
    </format>
    <format dxfId="3415">
      <pivotArea dataOnly="0" labelOnly="1" outline="0" fieldPosition="0">
        <references count="3">
          <reference field="1" count="0" selected="0"/>
          <reference field="3" count="1">
            <x v="342"/>
          </reference>
          <reference field="4" count="1" selected="0">
            <x v="8"/>
          </reference>
        </references>
      </pivotArea>
    </format>
    <format dxfId="3414">
      <pivotArea dataOnly="0" labelOnly="1" outline="0" fieldPosition="0">
        <references count="3">
          <reference field="1" count="0" selected="0"/>
          <reference field="3" count="1">
            <x v="344"/>
          </reference>
          <reference field="4" count="1" selected="0">
            <x v="0"/>
          </reference>
        </references>
      </pivotArea>
    </format>
    <format dxfId="3413">
      <pivotArea dataOnly="0" labelOnly="1" outline="0" fieldPosition="0">
        <references count="3">
          <reference field="1" count="0" selected="0"/>
          <reference field="3" count="1">
            <x v="345"/>
          </reference>
          <reference field="4" count="1" selected="0">
            <x v="10"/>
          </reference>
        </references>
      </pivotArea>
    </format>
    <format dxfId="3412">
      <pivotArea dataOnly="0" labelOnly="1" outline="0" fieldPosition="0">
        <references count="3">
          <reference field="1" count="0" selected="0"/>
          <reference field="3" count="1">
            <x v="346"/>
          </reference>
          <reference field="4" count="1" selected="0">
            <x v="6"/>
          </reference>
        </references>
      </pivotArea>
    </format>
    <format dxfId="3411">
      <pivotArea dataOnly="0" labelOnly="1" outline="0" fieldPosition="0">
        <references count="3">
          <reference field="1" count="0" selected="0"/>
          <reference field="3" count="6">
            <x v="70"/>
            <x v="192"/>
            <x v="199"/>
            <x v="200"/>
            <x v="206"/>
            <x v="207"/>
          </reference>
          <reference field="4" count="1" selected="0">
            <x v="6"/>
          </reference>
        </references>
      </pivotArea>
    </format>
    <format dxfId="3410">
      <pivotArea dataOnly="0" labelOnly="1" outline="0" fieldPosition="0">
        <references count="3">
          <reference field="1" count="0" selected="0"/>
          <reference field="3" count="9">
            <x v="97"/>
            <x v="98"/>
            <x v="105"/>
            <x v="112"/>
            <x v="209"/>
            <x v="213"/>
            <x v="221"/>
            <x v="326"/>
            <x v="328"/>
          </reference>
          <reference field="4" count="1" selected="0">
            <x v="8"/>
          </reference>
        </references>
      </pivotArea>
    </format>
    <format dxfId="3409">
      <pivotArea dataOnly="0" labelOnly="1" outline="0" fieldPosition="0">
        <references count="3">
          <reference field="1" count="0" selected="0"/>
          <reference field="3" count="20">
            <x v="22"/>
            <x v="27"/>
            <x v="47"/>
            <x v="66"/>
            <x v="68"/>
            <x v="93"/>
            <x v="124"/>
            <x v="125"/>
            <x v="138"/>
            <x v="145"/>
            <x v="160"/>
            <x v="164"/>
            <x v="173"/>
            <x v="174"/>
            <x v="181"/>
            <x v="188"/>
            <x v="189"/>
            <x v="333"/>
            <x v="335"/>
            <x v="343"/>
          </reference>
          <reference field="4" count="1" selected="0">
            <x v="10"/>
          </reference>
        </references>
      </pivotArea>
    </format>
    <format dxfId="3408">
      <pivotArea dataOnly="0" labelOnly="1" outline="0" fieldPosition="0">
        <references count="3">
          <reference field="1" count="0" selected="0"/>
          <reference field="3" count="12">
            <x v="11"/>
            <x v="31"/>
            <x v="35"/>
            <x v="45"/>
            <x v="49"/>
            <x v="71"/>
            <x v="74"/>
            <x v="133"/>
            <x v="134"/>
            <x v="161"/>
            <x v="163"/>
            <x v="345"/>
          </reference>
          <reference field="4" count="1" selected="0">
            <x v="11"/>
          </reference>
        </references>
      </pivotArea>
    </format>
    <format dxfId="3407">
      <pivotArea dataOnly="0" labelOnly="1" outline="0" fieldPosition="0">
        <references count="3">
          <reference field="1" count="0" selected="0"/>
          <reference field="3" count="5">
            <x v="15"/>
            <x v="17"/>
            <x v="23"/>
            <x v="30"/>
            <x v="69"/>
          </reference>
          <reference field="4" count="1" selected="0">
            <x v="12"/>
          </reference>
        </references>
      </pivotArea>
    </format>
    <format dxfId="3406">
      <pivotArea dataOnly="0" labelOnly="1" outline="0" fieldPosition="0">
        <references count="3">
          <reference field="1" count="0" selected="0"/>
          <reference field="3" count="1">
            <x v="60"/>
          </reference>
          <reference field="4" count="1" selected="0">
            <x v="14"/>
          </reference>
        </references>
      </pivotArea>
    </format>
    <format dxfId="3405">
      <pivotArea dataOnly="0" labelOnly="1" outline="0" fieldPosition="0">
        <references count="2">
          <reference field="1" count="0" selected="0"/>
          <reference field="4" count="1">
            <x v="14"/>
          </reference>
        </references>
      </pivotArea>
    </format>
    <format dxfId="3404">
      <pivotArea dataOnly="0" labelOnly="1" outline="0" fieldPosition="0">
        <references count="3">
          <reference field="1" count="0" selected="0"/>
          <reference field="3" count="5">
            <x v="65"/>
            <x v="193"/>
            <x v="198"/>
            <x v="201"/>
            <x v="205"/>
          </reference>
          <reference field="4" count="1" selected="0">
            <x v="6"/>
          </reference>
        </references>
      </pivotArea>
    </format>
    <format dxfId="3403">
      <pivotArea dataOnly="0" labelOnly="1" outline="0" fieldPosition="0">
        <references count="3">
          <reference field="1" count="0" selected="0"/>
          <reference field="3" count="9">
            <x v="24"/>
            <x v="96"/>
            <x v="99"/>
            <x v="104"/>
            <x v="116"/>
            <x v="169"/>
            <x v="214"/>
            <x v="329"/>
            <x v="330"/>
          </reference>
          <reference field="4" count="1" selected="0">
            <x v="8"/>
          </reference>
        </references>
      </pivotArea>
    </format>
    <format dxfId="3402">
      <pivotArea dataOnly="0" labelOnly="1" outline="0" fieldPosition="0">
        <references count="3">
          <reference field="1" count="0" selected="0"/>
          <reference field="3" count="21">
            <x v="3"/>
            <x v="21"/>
            <x v="29"/>
            <x v="44"/>
            <x v="51"/>
            <x v="62"/>
            <x v="83"/>
            <x v="94"/>
            <x v="113"/>
            <x v="123"/>
            <x v="126"/>
            <x v="131"/>
            <x v="146"/>
            <x v="159"/>
            <x v="165"/>
            <x v="172"/>
            <x v="175"/>
            <x v="182"/>
            <x v="187"/>
            <x v="190"/>
            <x v="324"/>
          </reference>
          <reference field="4" count="1" selected="0">
            <x v="10"/>
          </reference>
        </references>
      </pivotArea>
    </format>
    <format dxfId="3401">
      <pivotArea dataOnly="0" labelOnly="1" outline="0" fieldPosition="0">
        <references count="3">
          <reference field="1" count="0" selected="0"/>
          <reference field="3" count="12">
            <x v="8"/>
            <x v="12"/>
            <x v="26"/>
            <x v="43"/>
            <x v="53"/>
            <x v="81"/>
            <x v="115"/>
            <x v="135"/>
            <x v="162"/>
            <x v="210"/>
            <x v="332"/>
            <x v="339"/>
          </reference>
          <reference field="4" count="1" selected="0">
            <x v="11"/>
          </reference>
        </references>
      </pivotArea>
    </format>
    <format dxfId="3400">
      <pivotArea dataOnly="0" labelOnly="1" outline="0" fieldPosition="0">
        <references count="3">
          <reference field="1" count="0" selected="0"/>
          <reference field="3" count="2">
            <x v="80"/>
            <x v="144"/>
          </reference>
          <reference field="4" count="1" selected="0">
            <x v="12"/>
          </reference>
        </references>
      </pivotArea>
    </format>
    <format dxfId="3399">
      <pivotArea dataOnly="0" labelOnly="1" outline="0" fieldPosition="0">
        <references count="3">
          <reference field="1" count="0" selected="0"/>
          <reference field="3" count="4">
            <x v="5"/>
            <x v="46"/>
            <x v="57"/>
            <x v="72"/>
          </reference>
          <reference field="4" count="1" selected="0">
            <x v="14"/>
          </reference>
        </references>
      </pivotArea>
    </format>
    <format dxfId="3398">
      <pivotArea dataOnly="0" labelOnly="1" outline="0" fieldPosition="0">
        <references count="3">
          <reference field="1" count="0" selected="0"/>
          <reference field="3" count="4">
            <x v="194"/>
            <x v="197"/>
            <x v="202"/>
            <x v="204"/>
          </reference>
          <reference field="4" count="1" selected="0">
            <x v="6"/>
          </reference>
        </references>
      </pivotArea>
    </format>
    <format dxfId="3397">
      <pivotArea dataOnly="0" labelOnly="1" outline="0" fieldPosition="0">
        <references count="3">
          <reference field="1" count="0" selected="0"/>
          <reference field="3" count="10">
            <x v="25"/>
            <x v="88"/>
            <x v="100"/>
            <x v="103"/>
            <x v="117"/>
            <x v="142"/>
            <x v="155"/>
            <x v="325"/>
            <x v="340"/>
            <x v="341"/>
          </reference>
          <reference field="4" count="1" selected="0">
            <x v="8"/>
          </reference>
        </references>
      </pivotArea>
    </format>
    <format dxfId="3396">
      <pivotArea dataOnly="0" labelOnly="1" outline="0" fieldPosition="0">
        <references count="3">
          <reference field="1" count="0" selected="0"/>
          <reference field="3" count="22">
            <x v="6"/>
            <x v="20"/>
            <x v="32"/>
            <x v="41"/>
            <x v="52"/>
            <x v="61"/>
            <x v="87"/>
            <x v="95"/>
            <x v="119"/>
            <x v="122"/>
            <x v="127"/>
            <x v="130"/>
            <x v="147"/>
            <x v="158"/>
            <x v="166"/>
            <x v="171"/>
            <x v="176"/>
            <x v="180"/>
            <x v="183"/>
            <x v="186"/>
            <x v="191"/>
            <x v="342"/>
          </reference>
          <reference field="4" count="1" selected="0">
            <x v="10"/>
          </reference>
        </references>
      </pivotArea>
    </format>
    <format dxfId="3395">
      <pivotArea dataOnly="0" labelOnly="1" outline="0" fieldPosition="0">
        <references count="3">
          <reference field="1" count="0" selected="0"/>
          <reference field="3" count="11">
            <x v="4"/>
            <x v="19"/>
            <x v="42"/>
            <x v="58"/>
            <x v="67"/>
            <x v="84"/>
            <x v="114"/>
            <x v="136"/>
            <x v="140"/>
            <x v="211"/>
            <x v="338"/>
          </reference>
          <reference field="4" count="1" selected="0">
            <x v="11"/>
          </reference>
        </references>
      </pivotArea>
    </format>
    <format dxfId="3394">
      <pivotArea dataOnly="0" labelOnly="1" outline="0" fieldPosition="0">
        <references count="3">
          <reference field="1" count="0" selected="0"/>
          <reference field="3" count="2">
            <x v="90"/>
            <x v="143"/>
          </reference>
          <reference field="4" count="1" selected="0">
            <x v="12"/>
          </reference>
        </references>
      </pivotArea>
    </format>
    <format dxfId="3393">
      <pivotArea dataOnly="0" labelOnly="1" outline="0" fieldPosition="0">
        <references count="3">
          <reference field="1" count="0" selected="0"/>
          <reference field="3" count="5">
            <x v="2"/>
            <x v="48"/>
            <x v="55"/>
            <x v="73"/>
            <x v="82"/>
          </reference>
          <reference field="4" count="1" selected="0">
            <x v="14"/>
          </reference>
        </references>
      </pivotArea>
    </format>
    <format dxfId="3392">
      <pivotArea dataOnly="0" labelOnly="1" outline="0" fieldPosition="0">
        <references count="3">
          <reference field="1" count="0" selected="0"/>
          <reference field="3" count="4">
            <x v="195"/>
            <x v="196"/>
            <x v="203"/>
            <x v="337"/>
          </reference>
          <reference field="4" count="1" selected="0">
            <x v="6"/>
          </reference>
        </references>
      </pivotArea>
    </format>
    <format dxfId="3391">
      <pivotArea dataOnly="0" labelOnly="1" outline="0" fieldPosition="0">
        <references count="3">
          <reference field="1" count="0" selected="0"/>
          <reference field="3" count="8">
            <x v="28"/>
            <x v="33"/>
            <x v="101"/>
            <x v="102"/>
            <x v="118"/>
            <x v="217"/>
            <x v="331"/>
            <x v="346"/>
          </reference>
          <reference field="4" count="1" selected="0">
            <x v="8"/>
          </reference>
        </references>
      </pivotArea>
    </format>
    <format dxfId="3390">
      <pivotArea dataOnly="0" labelOnly="1" outline="0" fieldPosition="0">
        <references count="3">
          <reference field="1" count="0" selected="0"/>
          <reference field="3" count="23">
            <x v="7"/>
            <x v="16"/>
            <x v="34"/>
            <x v="36"/>
            <x v="56"/>
            <x v="59"/>
            <x v="89"/>
            <x v="91"/>
            <x v="106"/>
            <x v="107"/>
            <x v="120"/>
            <x v="121"/>
            <x v="128"/>
            <x v="129"/>
            <x v="156"/>
            <x v="157"/>
            <x v="168"/>
            <x v="170"/>
            <x v="177"/>
            <x v="178"/>
            <x v="184"/>
            <x v="185"/>
            <x v="208"/>
          </reference>
          <reference field="4" count="1" selected="0">
            <x v="10"/>
          </reference>
        </references>
      </pivotArea>
    </format>
    <format dxfId="3389">
      <pivotArea dataOnly="0" labelOnly="1" outline="0" fieldPosition="0">
        <references count="3">
          <reference field="1" count="0" selected="0"/>
          <reference field="3" count="12">
            <x v="0"/>
            <x v="18"/>
            <x v="39"/>
            <x v="40"/>
            <x v="63"/>
            <x v="64"/>
            <x v="85"/>
            <x v="86"/>
            <x v="92"/>
            <x v="137"/>
            <x v="139"/>
            <x v="212"/>
          </reference>
          <reference field="4" count="1" selected="0">
            <x v="11"/>
          </reference>
        </references>
      </pivotArea>
    </format>
    <format dxfId="3388">
      <pivotArea dataOnly="0" labelOnly="1" outline="0" fieldPosition="0">
        <references count="3">
          <reference field="1" count="0" selected="0"/>
          <reference field="3" count="5">
            <x v="1"/>
            <x v="50"/>
            <x v="54"/>
            <x v="79"/>
            <x v="141"/>
          </reference>
          <reference field="4" count="1" selected="0">
            <x v="12"/>
          </reference>
        </references>
      </pivotArea>
    </format>
    <format dxfId="3387">
      <pivotArea dataOnly="0" labelOnly="1" outline="0" fieldPosition="0">
        <references count="3">
          <reference field="1" count="0" selected="0"/>
          <reference field="3" count="1">
            <x v="78"/>
          </reference>
          <reference field="4" count="1" selected="0">
            <x v="14"/>
          </reference>
        </references>
      </pivotArea>
    </format>
    <format dxfId="3386">
      <pivotArea dataOnly="0" labelOnly="1" outline="0" fieldPosition="0">
        <references count="3">
          <reference field="1" count="0" selected="0"/>
          <reference field="3" count="1">
            <x v="132"/>
          </reference>
          <reference field="4" count="1" selected="0">
            <x v="9"/>
          </reference>
        </references>
      </pivotArea>
    </format>
    <format dxfId="3385">
      <pivotArea dataOnly="0" labelOnly="1" outline="0" fieldPosition="0">
        <references count="2">
          <reference field="1" count="0" selected="0"/>
          <reference field="4" count="1">
            <x v="9"/>
          </reference>
        </references>
      </pivotArea>
    </format>
    <format dxfId="3384">
      <pivotArea dataOnly="0" labelOnly="1" outline="0" fieldPosition="0">
        <references count="2">
          <reference field="1" count="0" selected="0"/>
          <reference field="4" count="1">
            <x v="9"/>
          </reference>
        </references>
      </pivotArea>
    </format>
    <format dxfId="3383">
      <pivotArea dataOnly="0" labelOnly="1" outline="0" fieldPosition="0">
        <references count="2">
          <reference field="1" count="0" selected="0"/>
          <reference field="4" count="1">
            <x v="14"/>
          </reference>
        </references>
      </pivotArea>
    </format>
    <format dxfId="3382">
      <pivotArea dataOnly="0" labelOnly="1" outline="0" fieldPosition="0">
        <references count="3">
          <reference field="1" count="0" selected="0"/>
          <reference field="3" count="1">
            <x v="117"/>
          </reference>
          <reference field="4" count="1" selected="0">
            <x v="0"/>
          </reference>
        </references>
      </pivotArea>
    </format>
    <format dxfId="3381">
      <pivotArea dataOnly="0" labelOnly="1" outline="0" fieldPosition="0">
        <references count="3">
          <reference field="1" count="0" selected="0"/>
          <reference field="3" count="1">
            <x v="347"/>
          </reference>
          <reference field="4" count="1" selected="0">
            <x v="0"/>
          </reference>
        </references>
      </pivotArea>
    </format>
    <format dxfId="3380">
      <pivotArea dataOnly="0" labelOnly="1" outline="0" fieldPosition="0">
        <references count="3">
          <reference field="1" count="0" selected="0"/>
          <reference field="3" count="1">
            <x v="348"/>
          </reference>
          <reference field="4" count="1" selected="0">
            <x v="0"/>
          </reference>
        </references>
      </pivotArea>
    </format>
    <format dxfId="3379">
      <pivotArea dataOnly="0" labelOnly="1" outline="0" fieldPosition="0">
        <references count="3">
          <reference field="1" count="0" selected="0"/>
          <reference field="3" count="1">
            <x v="164"/>
          </reference>
          <reference field="4" count="1" selected="0">
            <x v="10"/>
          </reference>
        </references>
      </pivotArea>
    </format>
    <format dxfId="3378">
      <pivotArea dataOnly="0" labelOnly="1" outline="0" fieldPosition="0">
        <references count="3">
          <reference field="1" count="0" selected="0"/>
          <reference field="3" count="1">
            <x v="129"/>
          </reference>
          <reference field="4" count="1" selected="0">
            <x v="10"/>
          </reference>
        </references>
      </pivotArea>
    </format>
    <format dxfId="3377">
      <pivotArea dataOnly="0" labelOnly="1" outline="0" fieldPosition="0">
        <references count="3">
          <reference field="1" count="0" selected="0"/>
          <reference field="3" count="1">
            <x v="349"/>
          </reference>
          <reference field="4" count="1" selected="0">
            <x v="10"/>
          </reference>
        </references>
      </pivotArea>
    </format>
    <format dxfId="3376">
      <pivotArea dataOnly="0" labelOnly="1" outline="0" fieldPosition="0">
        <references count="3">
          <reference field="1" count="0" selected="0"/>
          <reference field="3" count="1">
            <x v="347"/>
          </reference>
          <reference field="4" count="1" selected="0">
            <x v="8"/>
          </reference>
        </references>
      </pivotArea>
    </format>
    <format dxfId="3375">
      <pivotArea dataOnly="0" labelOnly="1" outline="0" fieldPosition="0">
        <references count="3">
          <reference field="1" count="0" selected="0"/>
          <reference field="3" count="1">
            <x v="350"/>
          </reference>
          <reference field="4" count="1" selected="0">
            <x v="10"/>
          </reference>
        </references>
      </pivotArea>
    </format>
    <format dxfId="3374">
      <pivotArea dataOnly="0" labelOnly="1" outline="0" fieldPosition="0">
        <references count="3">
          <reference field="1" count="0" selected="0"/>
          <reference field="3" count="1">
            <x v="352"/>
          </reference>
          <reference field="4" count="1" selected="0">
            <x v="10"/>
          </reference>
        </references>
      </pivotArea>
    </format>
    <format dxfId="3373">
      <pivotArea dataOnly="0" labelOnly="1" outline="0" fieldPosition="0">
        <references count="3">
          <reference field="1" count="0" selected="0"/>
          <reference field="3" count="1">
            <x v="351"/>
          </reference>
          <reference field="4" count="1" selected="0">
            <x v="10"/>
          </reference>
        </references>
      </pivotArea>
    </format>
    <format dxfId="3372">
      <pivotArea dataOnly="0" labelOnly="1" outline="0" fieldPosition="0">
        <references count="3">
          <reference field="1" count="0" selected="0"/>
          <reference field="3" count="1">
            <x v="347"/>
          </reference>
          <reference field="4" count="1" selected="0">
            <x v="6"/>
          </reference>
        </references>
      </pivotArea>
    </format>
    <format dxfId="3371">
      <pivotArea dataOnly="0" labelOnly="1" outline="0" fieldPosition="0">
        <references count="3">
          <reference field="1" count="0" selected="0"/>
          <reference field="3" count="1">
            <x v="349"/>
          </reference>
          <reference field="4" count="1" selected="0">
            <x v="8"/>
          </reference>
        </references>
      </pivotArea>
    </format>
    <format dxfId="3370">
      <pivotArea dataOnly="0" labelOnly="1" outline="0" fieldPosition="0">
        <references count="3">
          <reference field="1" count="0" selected="0"/>
          <reference field="3" count="1">
            <x v="350"/>
          </reference>
          <reference field="4" count="1" selected="0">
            <x v="8"/>
          </reference>
        </references>
      </pivotArea>
    </format>
    <format dxfId="3369">
      <pivotArea dataOnly="0" labelOnly="1" outline="0" fieldPosition="0">
        <references count="3">
          <reference field="1" count="0" selected="0"/>
          <reference field="3" count="1">
            <x v="352"/>
          </reference>
          <reference field="4" count="1" selected="0">
            <x v="8"/>
          </reference>
        </references>
      </pivotArea>
    </format>
    <format dxfId="3368">
      <pivotArea dataOnly="0" labelOnly="1" outline="0" fieldPosition="0">
        <references count="3">
          <reference field="1" count="0" selected="0"/>
          <reference field="3" count="1">
            <x v="351"/>
          </reference>
          <reference field="4" count="1" selected="0">
            <x v="8"/>
          </reference>
        </references>
      </pivotArea>
    </format>
    <format dxfId="3367">
      <pivotArea dataOnly="0" labelOnly="1" outline="0" fieldPosition="0">
        <references count="3">
          <reference field="1" count="0" selected="0"/>
          <reference field="3" count="1">
            <x v="353"/>
          </reference>
          <reference field="4" count="1" selected="0">
            <x v="10"/>
          </reference>
        </references>
      </pivotArea>
    </format>
    <format dxfId="3366">
      <pivotArea dataOnly="0" labelOnly="1" outline="0" fieldPosition="0">
        <references count="3">
          <reference field="1" count="0" selected="0"/>
          <reference field="3" count="1">
            <x v="341"/>
          </reference>
          <reference field="4" count="1" selected="0">
            <x v="2"/>
          </reference>
        </references>
      </pivotArea>
    </format>
    <format dxfId="3365">
      <pivotArea dataOnly="0" labelOnly="1" outline="0" fieldPosition="0">
        <references count="2">
          <reference field="1" count="0" selected="0"/>
          <reference field="4" count="1">
            <x v="2"/>
          </reference>
        </references>
      </pivotArea>
    </format>
    <format dxfId="3364">
      <pivotArea field="1" type="button" dataOnly="0" labelOnly="1" outline="0" axis="axisRow" fieldPosition="0"/>
    </format>
    <format dxfId="3363">
      <pivotArea field="4" type="button" dataOnly="0" labelOnly="1" outline="0" axis="axisRow" fieldPosition="1"/>
    </format>
    <format dxfId="3362">
      <pivotArea field="3" type="button" dataOnly="0" labelOnly="1" outline="0" axis="axisRow" fieldPosition="2"/>
    </format>
    <format dxfId="3361">
      <pivotArea dataOnly="0" labelOnly="1" outline="0" axis="axisValues" fieldPosition="0"/>
    </format>
    <format dxfId="3360">
      <pivotArea dataOnly="0" labelOnly="1" outline="0" fieldPosition="0">
        <references count="3">
          <reference field="1" count="0" selected="0"/>
          <reference field="3" count="6">
            <x v="354"/>
            <x v="355"/>
            <x v="356"/>
            <x v="357"/>
            <x v="358"/>
            <x v="359"/>
          </reference>
          <reference field="4" count="1" selected="0">
            <x v="8"/>
          </reference>
        </references>
      </pivotArea>
    </format>
    <format dxfId="3359">
      <pivotArea dataOnly="0" labelOnly="1" outline="0" fieldPosition="0">
        <references count="3">
          <reference field="1" count="0" selected="0"/>
          <reference field="3" count="1">
            <x v="336"/>
          </reference>
          <reference field="4" count="1" selected="0">
            <x v="15"/>
          </reference>
        </references>
      </pivotArea>
    </format>
    <format dxfId="3358">
      <pivotArea dataOnly="0" labelOnly="1" outline="0" fieldPosition="0">
        <references count="4">
          <reference field="1" count="0" selected="0"/>
          <reference field="3" count="1" selected="0">
            <x v="354"/>
          </reference>
          <reference field="4" count="1" selected="0">
            <x v="8"/>
          </reference>
          <reference field="6" count="1">
            <x v="4"/>
          </reference>
        </references>
      </pivotArea>
    </format>
    <format dxfId="3357">
      <pivotArea dataOnly="0" labelOnly="1" outline="0" fieldPosition="0">
        <references count="4">
          <reference field="1" count="0" selected="0"/>
          <reference field="3" count="1" selected="0">
            <x v="355"/>
          </reference>
          <reference field="4" count="1" selected="0">
            <x v="8"/>
          </reference>
          <reference field="6" count="1">
            <x v="4"/>
          </reference>
        </references>
      </pivotArea>
    </format>
    <format dxfId="3356">
      <pivotArea dataOnly="0" labelOnly="1" outline="0" fieldPosition="0">
        <references count="4">
          <reference field="1" count="0" selected="0"/>
          <reference field="3" count="1" selected="0">
            <x v="356"/>
          </reference>
          <reference field="4" count="1" selected="0">
            <x v="8"/>
          </reference>
          <reference field="6" count="1">
            <x v="4"/>
          </reference>
        </references>
      </pivotArea>
    </format>
    <format dxfId="3355">
      <pivotArea dataOnly="0" labelOnly="1" outline="0" fieldPosition="0">
        <references count="4">
          <reference field="1" count="0" selected="0"/>
          <reference field="3" count="1" selected="0">
            <x v="357"/>
          </reference>
          <reference field="4" count="1" selected="0">
            <x v="8"/>
          </reference>
          <reference field="6" count="1">
            <x v="4"/>
          </reference>
        </references>
      </pivotArea>
    </format>
    <format dxfId="3354">
      <pivotArea dataOnly="0" labelOnly="1" outline="0" fieldPosition="0">
        <references count="4">
          <reference field="1" count="0" selected="0"/>
          <reference field="3" count="1" selected="0">
            <x v="358"/>
          </reference>
          <reference field="4" count="1" selected="0">
            <x v="8"/>
          </reference>
          <reference field="6" count="1">
            <x v="4"/>
          </reference>
        </references>
      </pivotArea>
    </format>
    <format dxfId="3353">
      <pivotArea dataOnly="0" labelOnly="1" outline="0" fieldPosition="0">
        <references count="4">
          <reference field="1" count="0" selected="0"/>
          <reference field="3" count="1" selected="0">
            <x v="359"/>
          </reference>
          <reference field="4" count="1" selected="0">
            <x v="8"/>
          </reference>
          <reference field="6" count="1">
            <x v="4"/>
          </reference>
        </references>
      </pivotArea>
    </format>
    <format dxfId="3352">
      <pivotArea dataOnly="0" labelOnly="1" outline="0" fieldPosition="0">
        <references count="4">
          <reference field="1" count="0" selected="0"/>
          <reference field="3" count="1" selected="0">
            <x v="336"/>
          </reference>
          <reference field="4" count="1" selected="0">
            <x v="15"/>
          </reference>
          <reference field="6" count="1">
            <x v="11"/>
          </reference>
        </references>
      </pivotArea>
    </format>
    <format dxfId="3351">
      <pivotArea dataOnly="0" labelOnly="1" outline="0" fieldPosition="0">
        <references count="1">
          <reference field="3" count="0"/>
        </references>
      </pivotArea>
    </format>
    <format dxfId="3350">
      <pivotArea dataOnly="0" labelOnly="1" outline="0" fieldPosition="0">
        <references count="4">
          <reference field="1" count="0" selected="0"/>
          <reference field="3" count="1" selected="0">
            <x v="354"/>
          </reference>
          <reference field="4" count="1" selected="0">
            <x v="8"/>
          </reference>
          <reference field="6" count="1">
            <x v="4"/>
          </reference>
        </references>
      </pivotArea>
    </format>
    <format dxfId="3349">
      <pivotArea dataOnly="0" labelOnly="1" outline="0" fieldPosition="0">
        <references count="4">
          <reference field="1" count="0" selected="0"/>
          <reference field="3" count="1" selected="0">
            <x v="355"/>
          </reference>
          <reference field="4" count="1" selected="0">
            <x v="8"/>
          </reference>
          <reference field="6" count="1">
            <x v="4"/>
          </reference>
        </references>
      </pivotArea>
    </format>
    <format dxfId="3348">
      <pivotArea dataOnly="0" labelOnly="1" outline="0" fieldPosition="0">
        <references count="4">
          <reference field="1" count="0" selected="0"/>
          <reference field="3" count="1" selected="0">
            <x v="356"/>
          </reference>
          <reference field="4" count="1" selected="0">
            <x v="8"/>
          </reference>
          <reference field="6" count="1">
            <x v="4"/>
          </reference>
        </references>
      </pivotArea>
    </format>
    <format dxfId="3347">
      <pivotArea dataOnly="0" labelOnly="1" outline="0" fieldPosition="0">
        <references count="4">
          <reference field="1" count="0" selected="0"/>
          <reference field="3" count="1" selected="0">
            <x v="357"/>
          </reference>
          <reference field="4" count="1" selected="0">
            <x v="8"/>
          </reference>
          <reference field="6" count="1">
            <x v="4"/>
          </reference>
        </references>
      </pivotArea>
    </format>
    <format dxfId="3346">
      <pivotArea dataOnly="0" labelOnly="1" outline="0" fieldPosition="0">
        <references count="4">
          <reference field="1" count="0" selected="0"/>
          <reference field="3" count="1" selected="0">
            <x v="358"/>
          </reference>
          <reference field="4" count="1" selected="0">
            <x v="8"/>
          </reference>
          <reference field="6" count="1">
            <x v="4"/>
          </reference>
        </references>
      </pivotArea>
    </format>
    <format dxfId="3345">
      <pivotArea dataOnly="0" labelOnly="1" outline="0" fieldPosition="0">
        <references count="4">
          <reference field="1" count="0" selected="0"/>
          <reference field="3" count="1" selected="0">
            <x v="359"/>
          </reference>
          <reference field="4" count="1" selected="0">
            <x v="8"/>
          </reference>
          <reference field="6" count="1">
            <x v="4"/>
          </reference>
        </references>
      </pivotArea>
    </format>
    <format dxfId="3344">
      <pivotArea dataOnly="0" labelOnly="1" outline="0" fieldPosition="0">
        <references count="4">
          <reference field="1" count="0" selected="0"/>
          <reference field="3" count="1" selected="0">
            <x v="336"/>
          </reference>
          <reference field="4" count="1" selected="0">
            <x v="15"/>
          </reference>
          <reference field="6" count="1">
            <x v="11"/>
          </reference>
        </references>
      </pivotArea>
    </format>
    <format dxfId="3343">
      <pivotArea dataOnly="0" labelOnly="1" outline="0" offset="IV1" fieldPosition="0">
        <references count="2">
          <reference field="1" count="0" selected="0"/>
          <reference field="4" count="1">
            <x v="3"/>
          </reference>
        </references>
      </pivotArea>
    </format>
    <format dxfId="3342">
      <pivotArea dataOnly="0" labelOnly="1" outline="0" fieldPosition="0">
        <references count="2">
          <reference field="1" count="0" selected="0"/>
          <reference field="4" count="1">
            <x v="3"/>
          </reference>
        </references>
      </pivotArea>
    </format>
    <format dxfId="3341">
      <pivotArea dataOnly="0" labelOnly="1" outline="0" fieldPosition="0">
        <references count="1">
          <reference field="1" count="0"/>
        </references>
      </pivotArea>
    </format>
    <format dxfId="3340">
      <pivotArea dataOnly="0" labelOnly="1" outline="0" fieldPosition="0">
        <references count="3">
          <reference field="1" count="0" selected="0"/>
          <reference field="3" count="3">
            <x v="336"/>
            <x v="354"/>
            <x v="355"/>
          </reference>
          <reference field="4" count="1" selected="0">
            <x v="3"/>
          </reference>
        </references>
      </pivotArea>
    </format>
    <format dxfId="3339">
      <pivotArea dataOnly="0" labelOnly="1" outline="0" fieldPosition="0">
        <references count="3">
          <reference field="1" count="0" selected="0"/>
          <reference field="3" count="1">
            <x v="356"/>
          </reference>
          <reference field="4" count="1" selected="0">
            <x v="5"/>
          </reference>
        </references>
      </pivotArea>
    </format>
    <format dxfId="3338">
      <pivotArea dataOnly="0" labelOnly="1" outline="0" fieldPosition="0">
        <references count="3">
          <reference field="1" count="0" selected="0"/>
          <reference field="3" count="3">
            <x v="357"/>
            <x v="358"/>
            <x v="359"/>
          </reference>
          <reference field="4" count="1" selected="0">
            <x v="6"/>
          </reference>
        </references>
      </pivotArea>
    </format>
    <format dxfId="3337">
      <pivotArea dataOnly="0" labelOnly="1" outline="0" fieldPosition="0">
        <references count="3">
          <reference field="1" count="0" selected="0"/>
          <reference field="3" count="1">
            <x v="360"/>
          </reference>
          <reference field="4" count="1" selected="0">
            <x v="7"/>
          </reference>
        </references>
      </pivotArea>
    </format>
    <format dxfId="3336">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3335">
      <pivotArea dataOnly="0" labelOnly="1" outline="0" fieldPosition="0">
        <references count="3">
          <reference field="1" count="0" selected="0"/>
          <reference field="3" count="1">
            <x v="367"/>
          </reference>
          <reference field="4" count="1" selected="0">
            <x v="10"/>
          </reference>
        </references>
      </pivotArea>
    </format>
    <format dxfId="3334">
      <pivotArea dataOnly="0" labelOnly="1" outline="0" fieldPosition="0">
        <references count="3">
          <reference field="1" count="0" selected="0"/>
          <reference field="3" count="2">
            <x v="368"/>
            <x v="369"/>
          </reference>
          <reference field="4" count="1" selected="0">
            <x v="11"/>
          </reference>
        </references>
      </pivotArea>
    </format>
    <format dxfId="3333">
      <pivotArea dataOnly="0" labelOnly="1" outline="0" fieldPosition="0">
        <references count="4">
          <reference field="1" count="0" selected="0"/>
          <reference field="3" count="1" selected="0">
            <x v="336"/>
          </reference>
          <reference field="4" count="1" selected="0">
            <x v="3"/>
          </reference>
          <reference field="6" count="1">
            <x v="11"/>
          </reference>
        </references>
      </pivotArea>
    </format>
    <format dxfId="3332">
      <pivotArea dataOnly="0" labelOnly="1" outline="0" fieldPosition="0">
        <references count="4">
          <reference field="1" count="0" selected="0"/>
          <reference field="3" count="1" selected="0">
            <x v="354"/>
          </reference>
          <reference field="4" count="1" selected="0">
            <x v="3"/>
          </reference>
          <reference field="6" count="1">
            <x v="11"/>
          </reference>
        </references>
      </pivotArea>
    </format>
    <format dxfId="3331">
      <pivotArea dataOnly="0" labelOnly="1" outline="0" fieldPosition="0">
        <references count="4">
          <reference field="1" count="0" selected="0"/>
          <reference field="3" count="1" selected="0">
            <x v="355"/>
          </reference>
          <reference field="4" count="1" selected="0">
            <x v="3"/>
          </reference>
          <reference field="6" count="1">
            <x v="11"/>
          </reference>
        </references>
      </pivotArea>
    </format>
    <format dxfId="3330">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3329">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3328">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3327">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3326">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3325">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3324">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3323">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3322">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3321">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3320">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3319">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3318">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3317">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3316">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3315">
      <pivotArea dataOnly="0" labelOnly="1" outline="0" fieldPosition="0">
        <references count="3">
          <reference field="1" count="0" selected="0"/>
          <reference field="3" count="3">
            <x v="336"/>
            <x v="354"/>
            <x v="355"/>
          </reference>
          <reference field="4" count="1" selected="0">
            <x v="3"/>
          </reference>
        </references>
      </pivotArea>
    </format>
    <format dxfId="3314">
      <pivotArea dataOnly="0" labelOnly="1" outline="0" fieldPosition="0">
        <references count="3">
          <reference field="1" count="0" selected="0"/>
          <reference field="3" count="1">
            <x v="356"/>
          </reference>
          <reference field="4" count="1" selected="0">
            <x v="5"/>
          </reference>
        </references>
      </pivotArea>
    </format>
    <format dxfId="3313">
      <pivotArea dataOnly="0" labelOnly="1" outline="0" fieldPosition="0">
        <references count="3">
          <reference field="1" count="0" selected="0"/>
          <reference field="3" count="3">
            <x v="357"/>
            <x v="358"/>
            <x v="359"/>
          </reference>
          <reference field="4" count="1" selected="0">
            <x v="6"/>
          </reference>
        </references>
      </pivotArea>
    </format>
    <format dxfId="3312">
      <pivotArea dataOnly="0" labelOnly="1" outline="0" fieldPosition="0">
        <references count="3">
          <reference field="1" count="0" selected="0"/>
          <reference field="3" count="1">
            <x v="360"/>
          </reference>
          <reference field="4" count="1" selected="0">
            <x v="7"/>
          </reference>
        </references>
      </pivotArea>
    </format>
    <format dxfId="3311">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3310">
      <pivotArea dataOnly="0" labelOnly="1" outline="0" fieldPosition="0">
        <references count="3">
          <reference field="1" count="0" selected="0"/>
          <reference field="3" count="1">
            <x v="367"/>
          </reference>
          <reference field="4" count="1" selected="0">
            <x v="10"/>
          </reference>
        </references>
      </pivotArea>
    </format>
    <format dxfId="3309">
      <pivotArea dataOnly="0" labelOnly="1" outline="0" fieldPosition="0">
        <references count="3">
          <reference field="1" count="0" selected="0"/>
          <reference field="3" count="2">
            <x v="368"/>
            <x v="369"/>
          </reference>
          <reference field="4" count="1" selected="0">
            <x v="11"/>
          </reference>
        </references>
      </pivotArea>
    </format>
    <format dxfId="3308">
      <pivotArea dataOnly="0" labelOnly="1" outline="0" fieldPosition="0">
        <references count="4">
          <reference field="1" count="0" selected="0"/>
          <reference field="3" count="1" selected="0">
            <x v="336"/>
          </reference>
          <reference field="4" count="1" selected="0">
            <x v="3"/>
          </reference>
          <reference field="6" count="1">
            <x v="11"/>
          </reference>
        </references>
      </pivotArea>
    </format>
    <format dxfId="3307">
      <pivotArea dataOnly="0" labelOnly="1" outline="0" fieldPosition="0">
        <references count="4">
          <reference field="1" count="0" selected="0"/>
          <reference field="3" count="1" selected="0">
            <x v="354"/>
          </reference>
          <reference field="4" count="1" selected="0">
            <x v="3"/>
          </reference>
          <reference field="6" count="1">
            <x v="11"/>
          </reference>
        </references>
      </pivotArea>
    </format>
    <format dxfId="3306">
      <pivotArea dataOnly="0" labelOnly="1" outline="0" fieldPosition="0">
        <references count="4">
          <reference field="1" count="0" selected="0"/>
          <reference field="3" count="1" selected="0">
            <x v="355"/>
          </reference>
          <reference field="4" count="1" selected="0">
            <x v="3"/>
          </reference>
          <reference field="6" count="1">
            <x v="11"/>
          </reference>
        </references>
      </pivotArea>
    </format>
    <format dxfId="3305">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3304">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3303">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3302">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3301">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3300">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3299">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3298">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3297">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3296">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3295">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3294">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3293">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3292">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3291">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3290">
      <pivotArea outline="0" collapsedLevelsAreSubtotals="1" fieldPosition="0"/>
    </format>
    <format dxfId="3289">
      <pivotArea dataOnly="0" labelOnly="1" outline="0" fieldPosition="0">
        <references count="4">
          <reference field="1" count="0" selected="0"/>
          <reference field="3" count="1" selected="0">
            <x v="336"/>
          </reference>
          <reference field="4" count="1" selected="0">
            <x v="3"/>
          </reference>
          <reference field="6" count="1">
            <x v="11"/>
          </reference>
        </references>
      </pivotArea>
    </format>
    <format dxfId="3288">
      <pivotArea dataOnly="0" labelOnly="1" outline="0" fieldPosition="0">
        <references count="4">
          <reference field="1" count="0" selected="0"/>
          <reference field="3" count="1" selected="0">
            <x v="354"/>
          </reference>
          <reference field="4" count="1" selected="0">
            <x v="3"/>
          </reference>
          <reference field="6" count="1">
            <x v="11"/>
          </reference>
        </references>
      </pivotArea>
    </format>
    <format dxfId="3287">
      <pivotArea dataOnly="0" labelOnly="1" outline="0" fieldPosition="0">
        <references count="4">
          <reference field="1" count="0" selected="0"/>
          <reference field="3" count="1" selected="0">
            <x v="355"/>
          </reference>
          <reference field="4" count="1" selected="0">
            <x v="3"/>
          </reference>
          <reference field="6" count="1">
            <x v="11"/>
          </reference>
        </references>
      </pivotArea>
    </format>
    <format dxfId="3286">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3285">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3284">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3283">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3282">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3281">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3280">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3279">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3278">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3277">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3276">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3275">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3274">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3273">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3272">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3271">
      <pivotArea outline="0" fieldPosition="0">
        <references count="2">
          <reference field="1" count="0" selected="0"/>
          <reference field="4" count="1" selected="0">
            <x v="11"/>
          </reference>
        </references>
      </pivotArea>
    </format>
    <format dxfId="3270">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3269">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3268">
      <pivotArea outline="0" fieldPosition="0">
        <references count="4">
          <reference field="1" count="0" selected="0"/>
          <reference field="3" count="1" selected="0">
            <x v="367"/>
          </reference>
          <reference field="4" count="1" selected="0">
            <x v="10"/>
          </reference>
          <reference field="6" count="1" selected="0">
            <x v="5"/>
          </reference>
        </references>
      </pivotArea>
    </format>
    <format dxfId="3267">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3266">
      <pivotArea outline="0" fieldPosition="0">
        <references count="4">
          <reference field="1" count="0" selected="0"/>
          <reference field="3" count="7" selected="0">
            <x v="179"/>
            <x v="361"/>
            <x v="362"/>
            <x v="363"/>
            <x v="364"/>
            <x v="365"/>
            <x v="366"/>
          </reference>
          <reference field="4" count="1" selected="0">
            <x v="8"/>
          </reference>
          <reference field="6" count="3" selected="0">
            <x v="3"/>
            <x v="4"/>
            <x v="13"/>
          </reference>
        </references>
      </pivotArea>
    </format>
    <format dxfId="3265">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3264">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3263">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3262">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3261">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3260">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3259">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3258">
      <pivotArea outline="0" fieldPosition="0">
        <references count="4">
          <reference field="1" count="0" selected="0"/>
          <reference field="3" count="1" selected="0">
            <x v="360"/>
          </reference>
          <reference field="4" count="1" selected="0">
            <x v="7"/>
          </reference>
          <reference field="6" count="1" selected="0">
            <x v="12"/>
          </reference>
        </references>
      </pivotArea>
    </format>
    <format dxfId="3257">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3256">
      <pivotArea outline="0" fieldPosition="0">
        <references count="4">
          <reference field="1" count="0" selected="0"/>
          <reference field="3" count="3" selected="0">
            <x v="357"/>
            <x v="358"/>
            <x v="359"/>
          </reference>
          <reference field="4" count="1" selected="0">
            <x v="6"/>
          </reference>
          <reference field="6" count="1" selected="0">
            <x v="4"/>
          </reference>
        </references>
      </pivotArea>
    </format>
    <format dxfId="3255">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3254">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3253">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3252">
      <pivotArea outline="0" fieldPosition="0">
        <references count="4">
          <reference field="1" count="0" selected="0"/>
          <reference field="3" count="1" selected="0">
            <x v="356"/>
          </reference>
          <reference field="4" count="1" selected="0">
            <x v="5"/>
          </reference>
          <reference field="6" count="1" selected="0">
            <x v="4"/>
          </reference>
        </references>
      </pivotArea>
    </format>
    <format dxfId="3251">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3250">
      <pivotArea field="6" type="button" dataOnly="0" labelOnly="1" outline="0" axis="axisRow" fieldPosition="3"/>
    </format>
    <format dxfId="3249">
      <pivotArea dataOnly="0" labelOnly="1" outline="0" fieldPosition="0">
        <references count="4">
          <reference field="1" count="0" selected="0"/>
          <reference field="3" count="1" selected="0">
            <x v="336"/>
          </reference>
          <reference field="4" count="1" selected="0">
            <x v="3"/>
          </reference>
          <reference field="6" count="1">
            <x v="11"/>
          </reference>
        </references>
      </pivotArea>
    </format>
    <format dxfId="3248">
      <pivotArea dataOnly="0" labelOnly="1" outline="0" fieldPosition="0">
        <references count="4">
          <reference field="1" count="0" selected="0"/>
          <reference field="3" count="1" selected="0">
            <x v="354"/>
          </reference>
          <reference field="4" count="1" selected="0">
            <x v="3"/>
          </reference>
          <reference field="6" count="1">
            <x v="11"/>
          </reference>
        </references>
      </pivotArea>
    </format>
    <format dxfId="3247">
      <pivotArea dataOnly="0" labelOnly="1" outline="0" fieldPosition="0">
        <references count="4">
          <reference field="1" count="0" selected="0"/>
          <reference field="3" count="1" selected="0">
            <x v="355"/>
          </reference>
          <reference field="4" count="1" selected="0">
            <x v="3"/>
          </reference>
          <reference field="6" count="1">
            <x v="11"/>
          </reference>
        </references>
      </pivotArea>
    </format>
    <format dxfId="3246">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3245">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3244">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3243">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3242">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3241">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3240">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3239">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3238">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3237">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3236">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3235">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3234">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3233">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3232">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3231">
      <pivotArea dataOnly="0" labelOnly="1" outline="0" fieldPosition="0">
        <references count="2">
          <reference field="1" count="0" selected="0"/>
          <reference field="4" count="5">
            <x v="3"/>
            <x v="5"/>
            <x v="6"/>
            <x v="7"/>
            <x v="8"/>
          </reference>
        </references>
      </pivotArea>
    </format>
    <format dxfId="3230">
      <pivotArea dataOnly="0" labelOnly="1" outline="0" fieldPosition="0">
        <references count="2">
          <reference field="1" count="0" selected="0"/>
          <reference field="4" count="3">
            <x v="8"/>
            <x v="10"/>
            <x v="11"/>
          </reference>
        </references>
      </pivotArea>
    </format>
    <format dxfId="3229">
      <pivotArea dataOnly="0" labelOnly="1" outline="0" fieldPosition="0">
        <references count="2">
          <reference field="1" count="0" selected="0"/>
          <reference field="4" count="1">
            <x v="3"/>
          </reference>
        </references>
      </pivotArea>
    </format>
    <format dxfId="3228">
      <pivotArea dataOnly="0" labelOnly="1" outline="0" fieldPosition="0">
        <references count="2">
          <reference field="1" count="0" selected="0"/>
          <reference field="4" count="1">
            <x v="3"/>
          </reference>
        </references>
      </pivotArea>
    </format>
    <format dxfId="3227">
      <pivotArea dataOnly="0" labelOnly="1" outline="0" fieldPosition="0">
        <references count="3">
          <reference field="1" count="0" selected="0"/>
          <reference field="3" count="3">
            <x v="336"/>
            <x v="354"/>
            <x v="355"/>
          </reference>
          <reference field="4" count="1" selected="0">
            <x v="3"/>
          </reference>
        </references>
      </pivotArea>
    </format>
    <format dxfId="3226">
      <pivotArea dataOnly="0" labelOnly="1" outline="0" fieldPosition="0">
        <references count="3">
          <reference field="1" count="0" selected="0"/>
          <reference field="3" count="1">
            <x v="356"/>
          </reference>
          <reference field="4" count="1" selected="0">
            <x v="5"/>
          </reference>
        </references>
      </pivotArea>
    </format>
    <format dxfId="3225">
      <pivotArea dataOnly="0" labelOnly="1" outline="0" fieldPosition="0">
        <references count="3">
          <reference field="1" count="0" selected="0"/>
          <reference field="3" count="3">
            <x v="357"/>
            <x v="358"/>
            <x v="359"/>
          </reference>
          <reference field="4" count="1" selected="0">
            <x v="6"/>
          </reference>
        </references>
      </pivotArea>
    </format>
    <format dxfId="3224">
      <pivotArea dataOnly="0" labelOnly="1" outline="0" fieldPosition="0">
        <references count="3">
          <reference field="1" count="0" selected="0"/>
          <reference field="3" count="1">
            <x v="360"/>
          </reference>
          <reference field="4" count="1" selected="0">
            <x v="7"/>
          </reference>
        </references>
      </pivotArea>
    </format>
    <format dxfId="3223">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3222">
      <pivotArea dataOnly="0" labelOnly="1" outline="0" fieldPosition="0">
        <references count="3">
          <reference field="1" count="0" selected="0"/>
          <reference field="3" count="1">
            <x v="367"/>
          </reference>
          <reference field="4" count="1" selected="0">
            <x v="10"/>
          </reference>
        </references>
      </pivotArea>
    </format>
    <format dxfId="3221">
      <pivotArea dataOnly="0" labelOnly="1" outline="0" fieldPosition="0">
        <references count="3">
          <reference field="1" count="0" selected="0"/>
          <reference field="3" count="2">
            <x v="368"/>
            <x v="369"/>
          </reference>
          <reference field="4" count="1" selected="0">
            <x v="11"/>
          </reference>
        </references>
      </pivotArea>
    </format>
    <format dxfId="3220">
      <pivotArea dataOnly="0" labelOnly="1" outline="0" fieldPosition="0">
        <references count="2">
          <reference field="1" count="0" selected="0"/>
          <reference field="4" count="0"/>
        </references>
      </pivotArea>
    </format>
    <format dxfId="3219">
      <pivotArea dataOnly="0" labelOnly="1" outline="0" fieldPosition="0">
        <references count="2">
          <reference field="1" count="0" selected="0"/>
          <reference field="4" count="1">
            <x v="3"/>
          </reference>
        </references>
      </pivotArea>
    </format>
    <format dxfId="3218">
      <pivotArea dataOnly="0" labelOnly="1" outline="0" fieldPosition="0">
        <references count="2">
          <reference field="1" count="0" selected="0"/>
          <reference field="4" count="1">
            <x v="3"/>
          </reference>
        </references>
      </pivotArea>
    </format>
    <format dxfId="3217">
      <pivotArea dataOnly="0" labelOnly="1" outline="0" fieldPosition="0">
        <references count="3">
          <reference field="1" count="0" selected="0"/>
          <reference field="3" count="1">
            <x v="363"/>
          </reference>
          <reference field="4" count="1" selected="0">
            <x v="8"/>
          </reference>
        </references>
      </pivotArea>
    </format>
    <format dxfId="3216">
      <pivotArea type="all" dataOnly="0" outline="0" fieldPosition="0"/>
    </format>
    <format dxfId="3215">
      <pivotArea outline="0" collapsedLevelsAreSubtotals="1" fieldPosition="0"/>
    </format>
    <format dxfId="3214">
      <pivotArea field="1" type="button" dataOnly="0" labelOnly="1" outline="0" axis="axisRow" fieldPosition="0"/>
    </format>
    <format dxfId="3213">
      <pivotArea field="4" type="button" dataOnly="0" labelOnly="1" outline="0" axis="axisRow" fieldPosition="1"/>
    </format>
    <format dxfId="3212">
      <pivotArea field="3" type="button" dataOnly="0" labelOnly="1" outline="0" axis="axisRow" fieldPosition="2"/>
    </format>
    <format dxfId="3211">
      <pivotArea field="6" type="button" dataOnly="0" labelOnly="1" outline="0" axis="axisRow" fieldPosition="3"/>
    </format>
    <format dxfId="3210">
      <pivotArea dataOnly="0" labelOnly="1" outline="0" fieldPosition="0">
        <references count="1">
          <reference field="1" count="0"/>
        </references>
      </pivotArea>
    </format>
    <format dxfId="3209">
      <pivotArea dataOnly="0" labelOnly="1" outline="0" fieldPosition="0">
        <references count="2">
          <reference field="1" count="0" selected="0"/>
          <reference field="4" count="7">
            <x v="3"/>
            <x v="5"/>
            <x v="6"/>
            <x v="7"/>
            <x v="8"/>
            <x v="10"/>
            <x v="11"/>
          </reference>
        </references>
      </pivotArea>
    </format>
    <format dxfId="3208">
      <pivotArea dataOnly="0" labelOnly="1" outline="0" fieldPosition="0">
        <references count="3">
          <reference field="1" count="0" selected="0"/>
          <reference field="3" count="3">
            <x v="336"/>
            <x v="354"/>
            <x v="355"/>
          </reference>
          <reference field="4" count="1" selected="0">
            <x v="3"/>
          </reference>
        </references>
      </pivotArea>
    </format>
    <format dxfId="3207">
      <pivotArea dataOnly="0" labelOnly="1" outline="0" fieldPosition="0">
        <references count="3">
          <reference field="1" count="0" selected="0"/>
          <reference field="3" count="1">
            <x v="356"/>
          </reference>
          <reference field="4" count="1" selected="0">
            <x v="5"/>
          </reference>
        </references>
      </pivotArea>
    </format>
    <format dxfId="3206">
      <pivotArea dataOnly="0" labelOnly="1" outline="0" fieldPosition="0">
        <references count="3">
          <reference field="1" count="0" selected="0"/>
          <reference field="3" count="3">
            <x v="357"/>
            <x v="358"/>
            <x v="359"/>
          </reference>
          <reference field="4" count="1" selected="0">
            <x v="6"/>
          </reference>
        </references>
      </pivotArea>
    </format>
    <format dxfId="3205">
      <pivotArea dataOnly="0" labelOnly="1" outline="0" fieldPosition="0">
        <references count="3">
          <reference field="1" count="0" selected="0"/>
          <reference field="3" count="1">
            <x v="360"/>
          </reference>
          <reference field="4" count="1" selected="0">
            <x v="7"/>
          </reference>
        </references>
      </pivotArea>
    </format>
    <format dxfId="3204">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3203">
      <pivotArea dataOnly="0" labelOnly="1" outline="0" fieldPosition="0">
        <references count="3">
          <reference field="1" count="0" selected="0"/>
          <reference field="3" count="1">
            <x v="367"/>
          </reference>
          <reference field="4" count="1" selected="0">
            <x v="10"/>
          </reference>
        </references>
      </pivotArea>
    </format>
    <format dxfId="3202">
      <pivotArea dataOnly="0" labelOnly="1" outline="0" fieldPosition="0">
        <references count="3">
          <reference field="1" count="0" selected="0"/>
          <reference field="3" count="2">
            <x v="368"/>
            <x v="369"/>
          </reference>
          <reference field="4" count="1" selected="0">
            <x v="11"/>
          </reference>
        </references>
      </pivotArea>
    </format>
    <format dxfId="3201">
      <pivotArea dataOnly="0" labelOnly="1" outline="0" fieldPosition="0">
        <references count="4">
          <reference field="1" count="0" selected="0"/>
          <reference field="3" count="1" selected="0">
            <x v="336"/>
          </reference>
          <reference field="4" count="1" selected="0">
            <x v="3"/>
          </reference>
          <reference field="6" count="1">
            <x v="11"/>
          </reference>
        </references>
      </pivotArea>
    </format>
    <format dxfId="3200">
      <pivotArea dataOnly="0" labelOnly="1" outline="0" fieldPosition="0">
        <references count="4">
          <reference field="1" count="0" selected="0"/>
          <reference field="3" count="1" selected="0">
            <x v="354"/>
          </reference>
          <reference field="4" count="1" selected="0">
            <x v="3"/>
          </reference>
          <reference field="6" count="1">
            <x v="11"/>
          </reference>
        </references>
      </pivotArea>
    </format>
    <format dxfId="3199">
      <pivotArea dataOnly="0" labelOnly="1" outline="0" fieldPosition="0">
        <references count="4">
          <reference field="1" count="0" selected="0"/>
          <reference field="3" count="1" selected="0">
            <x v="355"/>
          </reference>
          <reference field="4" count="1" selected="0">
            <x v="3"/>
          </reference>
          <reference field="6" count="1">
            <x v="11"/>
          </reference>
        </references>
      </pivotArea>
    </format>
    <format dxfId="3198">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3197">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3196">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3195">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3194">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3193">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3192">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3191">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3190">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3189">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3188">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3187">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3186">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3185">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3184">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3183">
      <pivotArea dataOnly="0" labelOnly="1" outline="0" axis="axisValues" fieldPosition="0"/>
    </format>
    <format dxfId="3182">
      <pivotArea type="all" dataOnly="0" outline="0" fieldPosition="0"/>
    </format>
    <format dxfId="3181">
      <pivotArea outline="0" collapsedLevelsAreSubtotals="1" fieldPosition="0"/>
    </format>
    <format dxfId="3180">
      <pivotArea field="1" type="button" dataOnly="0" labelOnly="1" outline="0" axis="axisRow" fieldPosition="0"/>
    </format>
    <format dxfId="3179">
      <pivotArea field="4" type="button" dataOnly="0" labelOnly="1" outline="0" axis="axisRow" fieldPosition="1"/>
    </format>
    <format dxfId="3178">
      <pivotArea field="3" type="button" dataOnly="0" labelOnly="1" outline="0" axis="axisRow" fieldPosition="2"/>
    </format>
    <format dxfId="3177">
      <pivotArea field="6" type="button" dataOnly="0" labelOnly="1" outline="0" axis="axisRow" fieldPosition="3"/>
    </format>
    <format dxfId="3176">
      <pivotArea dataOnly="0" labelOnly="1" outline="0" fieldPosition="0">
        <references count="1">
          <reference field="1" count="0"/>
        </references>
      </pivotArea>
    </format>
    <format dxfId="3175">
      <pivotArea dataOnly="0" labelOnly="1" outline="0" fieldPosition="0">
        <references count="2">
          <reference field="1" count="0" selected="0"/>
          <reference field="4" count="0"/>
        </references>
      </pivotArea>
    </format>
    <format dxfId="3174">
      <pivotArea dataOnly="0" labelOnly="1" outline="0" fieldPosition="0">
        <references count="3">
          <reference field="1" count="0" selected="0"/>
          <reference field="3" count="3">
            <x v="336"/>
            <x v="354"/>
            <x v="355"/>
          </reference>
          <reference field="4" count="1" selected="0">
            <x v="3"/>
          </reference>
        </references>
      </pivotArea>
    </format>
    <format dxfId="3173">
      <pivotArea dataOnly="0" labelOnly="1" outline="0" fieldPosition="0">
        <references count="3">
          <reference field="1" count="0" selected="0"/>
          <reference field="3" count="1">
            <x v="356"/>
          </reference>
          <reference field="4" count="1" selected="0">
            <x v="5"/>
          </reference>
        </references>
      </pivotArea>
    </format>
    <format dxfId="3172">
      <pivotArea dataOnly="0" labelOnly="1" outline="0" fieldPosition="0">
        <references count="3">
          <reference field="1" count="0" selected="0"/>
          <reference field="3" count="3">
            <x v="357"/>
            <x v="358"/>
            <x v="359"/>
          </reference>
          <reference field="4" count="1" selected="0">
            <x v="6"/>
          </reference>
        </references>
      </pivotArea>
    </format>
    <format dxfId="3171">
      <pivotArea dataOnly="0" labelOnly="1" outline="0" fieldPosition="0">
        <references count="3">
          <reference field="1" count="0" selected="0"/>
          <reference field="3" count="1">
            <x v="360"/>
          </reference>
          <reference field="4" count="1" selected="0">
            <x v="7"/>
          </reference>
        </references>
      </pivotArea>
    </format>
    <format dxfId="3170">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3169">
      <pivotArea dataOnly="0" labelOnly="1" outline="0" fieldPosition="0">
        <references count="3">
          <reference field="1" count="0" selected="0"/>
          <reference field="3" count="1">
            <x v="367"/>
          </reference>
          <reference field="4" count="1" selected="0">
            <x v="10"/>
          </reference>
        </references>
      </pivotArea>
    </format>
    <format dxfId="3168">
      <pivotArea dataOnly="0" labelOnly="1" outline="0" fieldPosition="0">
        <references count="3">
          <reference field="1" count="0" selected="0"/>
          <reference field="3" count="2">
            <x v="368"/>
            <x v="369"/>
          </reference>
          <reference field="4" count="1" selected="0">
            <x v="11"/>
          </reference>
        </references>
      </pivotArea>
    </format>
    <format dxfId="3167">
      <pivotArea dataOnly="0" labelOnly="1" outline="0" fieldPosition="0">
        <references count="4">
          <reference field="1" count="0" selected="0"/>
          <reference field="3" count="1" selected="0">
            <x v="336"/>
          </reference>
          <reference field="4" count="1" selected="0">
            <x v="3"/>
          </reference>
          <reference field="6" count="1">
            <x v="11"/>
          </reference>
        </references>
      </pivotArea>
    </format>
    <format dxfId="3166">
      <pivotArea dataOnly="0" labelOnly="1" outline="0" fieldPosition="0">
        <references count="4">
          <reference field="1" count="0" selected="0"/>
          <reference field="3" count="1" selected="0">
            <x v="354"/>
          </reference>
          <reference field="4" count="1" selected="0">
            <x v="3"/>
          </reference>
          <reference field="6" count="1">
            <x v="11"/>
          </reference>
        </references>
      </pivotArea>
    </format>
    <format dxfId="3165">
      <pivotArea dataOnly="0" labelOnly="1" outline="0" fieldPosition="0">
        <references count="4">
          <reference field="1" count="0" selected="0"/>
          <reference field="3" count="1" selected="0">
            <x v="355"/>
          </reference>
          <reference field="4" count="1" selected="0">
            <x v="3"/>
          </reference>
          <reference field="6" count="1">
            <x v="11"/>
          </reference>
        </references>
      </pivotArea>
    </format>
    <format dxfId="3164">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3163">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3162">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3161">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3160">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3159">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3158">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3157">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3156">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3155">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3154">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3153">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3152">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3151">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3150">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3149">
      <pivotArea dataOnly="0" labelOnly="1" outline="0" axis="axisValues" fieldPosition="0"/>
    </format>
    <format dxfId="3148">
      <pivotArea type="all" dataOnly="0" outline="0" fieldPosition="0"/>
    </format>
    <format dxfId="3147">
      <pivotArea outline="0" collapsedLevelsAreSubtotals="1" fieldPosition="0"/>
    </format>
    <format dxfId="3146">
      <pivotArea field="1" type="button" dataOnly="0" labelOnly="1" outline="0" axis="axisRow" fieldPosition="0"/>
    </format>
    <format dxfId="3145">
      <pivotArea field="4" type="button" dataOnly="0" labelOnly="1" outline="0" axis="axisRow" fieldPosition="1"/>
    </format>
    <format dxfId="3144">
      <pivotArea field="3" type="button" dataOnly="0" labelOnly="1" outline="0" axis="axisRow" fieldPosition="2"/>
    </format>
    <format dxfId="3143">
      <pivotArea field="6" type="button" dataOnly="0" labelOnly="1" outline="0" axis="axisRow" fieldPosition="3"/>
    </format>
    <format dxfId="3142">
      <pivotArea dataOnly="0" labelOnly="1" outline="0" fieldPosition="0">
        <references count="1">
          <reference field="1" count="0"/>
        </references>
      </pivotArea>
    </format>
    <format dxfId="3141">
      <pivotArea dataOnly="0" labelOnly="1" outline="0" fieldPosition="0">
        <references count="2">
          <reference field="1" count="0" selected="0"/>
          <reference field="4" count="0"/>
        </references>
      </pivotArea>
    </format>
    <format dxfId="3140">
      <pivotArea dataOnly="0" labelOnly="1" outline="0" fieldPosition="0">
        <references count="3">
          <reference field="1" count="0" selected="0"/>
          <reference field="3" count="3">
            <x v="336"/>
            <x v="354"/>
            <x v="355"/>
          </reference>
          <reference field="4" count="1" selected="0">
            <x v="3"/>
          </reference>
        </references>
      </pivotArea>
    </format>
    <format dxfId="3139">
      <pivotArea dataOnly="0" labelOnly="1" outline="0" fieldPosition="0">
        <references count="3">
          <reference field="1" count="0" selected="0"/>
          <reference field="3" count="1">
            <x v="356"/>
          </reference>
          <reference field="4" count="1" selected="0">
            <x v="5"/>
          </reference>
        </references>
      </pivotArea>
    </format>
    <format dxfId="3138">
      <pivotArea dataOnly="0" labelOnly="1" outline="0" fieldPosition="0">
        <references count="3">
          <reference field="1" count="0" selected="0"/>
          <reference field="3" count="3">
            <x v="357"/>
            <x v="358"/>
            <x v="359"/>
          </reference>
          <reference field="4" count="1" selected="0">
            <x v="6"/>
          </reference>
        </references>
      </pivotArea>
    </format>
    <format dxfId="3137">
      <pivotArea dataOnly="0" labelOnly="1" outline="0" fieldPosition="0">
        <references count="3">
          <reference field="1" count="0" selected="0"/>
          <reference field="3" count="1">
            <x v="360"/>
          </reference>
          <reference field="4" count="1" selected="0">
            <x v="7"/>
          </reference>
        </references>
      </pivotArea>
    </format>
    <format dxfId="3136">
      <pivotArea dataOnly="0" labelOnly="1" outline="0" fieldPosition="0">
        <references count="3">
          <reference field="1" count="0" selected="0"/>
          <reference field="3" count="7">
            <x v="179"/>
            <x v="361"/>
            <x v="362"/>
            <x v="363"/>
            <x v="364"/>
            <x v="365"/>
            <x v="366"/>
          </reference>
          <reference field="4" count="1" selected="0">
            <x v="8"/>
          </reference>
        </references>
      </pivotArea>
    </format>
    <format dxfId="3135">
      <pivotArea dataOnly="0" labelOnly="1" outline="0" fieldPosition="0">
        <references count="3">
          <reference field="1" count="0" selected="0"/>
          <reference field="3" count="1">
            <x v="367"/>
          </reference>
          <reference field="4" count="1" selected="0">
            <x v="10"/>
          </reference>
        </references>
      </pivotArea>
    </format>
    <format dxfId="3134">
      <pivotArea dataOnly="0" labelOnly="1" outline="0" fieldPosition="0">
        <references count="3">
          <reference field="1" count="0" selected="0"/>
          <reference field="3" count="2">
            <x v="368"/>
            <x v="369"/>
          </reference>
          <reference field="4" count="1" selected="0">
            <x v="11"/>
          </reference>
        </references>
      </pivotArea>
    </format>
    <format dxfId="3133">
      <pivotArea dataOnly="0" labelOnly="1" outline="0" fieldPosition="0">
        <references count="4">
          <reference field="1" count="0" selected="0"/>
          <reference field="3" count="1" selected="0">
            <x v="336"/>
          </reference>
          <reference field="4" count="1" selected="0">
            <x v="3"/>
          </reference>
          <reference field="6" count="1">
            <x v="11"/>
          </reference>
        </references>
      </pivotArea>
    </format>
    <format dxfId="3132">
      <pivotArea dataOnly="0" labelOnly="1" outline="0" fieldPosition="0">
        <references count="4">
          <reference field="1" count="0" selected="0"/>
          <reference field="3" count="1" selected="0">
            <x v="354"/>
          </reference>
          <reference field="4" count="1" selected="0">
            <x v="3"/>
          </reference>
          <reference field="6" count="1">
            <x v="11"/>
          </reference>
        </references>
      </pivotArea>
    </format>
    <format dxfId="3131">
      <pivotArea dataOnly="0" labelOnly="1" outline="0" fieldPosition="0">
        <references count="4">
          <reference field="1" count="0" selected="0"/>
          <reference field="3" count="1" selected="0">
            <x v="355"/>
          </reference>
          <reference field="4" count="1" selected="0">
            <x v="3"/>
          </reference>
          <reference field="6" count="1">
            <x v="11"/>
          </reference>
        </references>
      </pivotArea>
    </format>
    <format dxfId="3130">
      <pivotArea dataOnly="0" labelOnly="1" outline="0" fieldPosition="0">
        <references count="4">
          <reference field="1" count="0" selected="0"/>
          <reference field="3" count="1" selected="0">
            <x v="356"/>
          </reference>
          <reference field="4" count="1" selected="0">
            <x v="5"/>
          </reference>
          <reference field="6" count="1">
            <x v="4"/>
          </reference>
        </references>
      </pivotArea>
    </format>
    <format dxfId="3129">
      <pivotArea dataOnly="0" labelOnly="1" outline="0" fieldPosition="0">
        <references count="4">
          <reference field="1" count="0" selected="0"/>
          <reference field="3" count="1" selected="0">
            <x v="357"/>
          </reference>
          <reference field="4" count="1" selected="0">
            <x v="6"/>
          </reference>
          <reference field="6" count="1">
            <x v="4"/>
          </reference>
        </references>
      </pivotArea>
    </format>
    <format dxfId="3128">
      <pivotArea dataOnly="0" labelOnly="1" outline="0" fieldPosition="0">
        <references count="4">
          <reference field="1" count="0" selected="0"/>
          <reference field="3" count="1" selected="0">
            <x v="358"/>
          </reference>
          <reference field="4" count="1" selected="0">
            <x v="6"/>
          </reference>
          <reference field="6" count="1">
            <x v="4"/>
          </reference>
        </references>
      </pivotArea>
    </format>
    <format dxfId="3127">
      <pivotArea dataOnly="0" labelOnly="1" outline="0" fieldPosition="0">
        <references count="4">
          <reference field="1" count="0" selected="0"/>
          <reference field="3" count="1" selected="0">
            <x v="359"/>
          </reference>
          <reference field="4" count="1" selected="0">
            <x v="6"/>
          </reference>
          <reference field="6" count="1">
            <x v="4"/>
          </reference>
        </references>
      </pivotArea>
    </format>
    <format dxfId="3126">
      <pivotArea dataOnly="0" labelOnly="1" outline="0" fieldPosition="0">
        <references count="4">
          <reference field="1" count="0" selected="0"/>
          <reference field="3" count="1" selected="0">
            <x v="360"/>
          </reference>
          <reference field="4" count="1" selected="0">
            <x v="7"/>
          </reference>
          <reference field="6" count="1">
            <x v="12"/>
          </reference>
        </references>
      </pivotArea>
    </format>
    <format dxfId="3125">
      <pivotArea dataOnly="0" labelOnly="1" outline="0" fieldPosition="0">
        <references count="4">
          <reference field="1" count="0" selected="0"/>
          <reference field="3" count="1" selected="0">
            <x v="179"/>
          </reference>
          <reference field="4" count="1" selected="0">
            <x v="8"/>
          </reference>
          <reference field="6" count="1">
            <x v="4"/>
          </reference>
        </references>
      </pivotArea>
    </format>
    <format dxfId="3124">
      <pivotArea dataOnly="0" labelOnly="1" outline="0" fieldPosition="0">
        <references count="4">
          <reference field="1" count="0" selected="0"/>
          <reference field="3" count="1" selected="0">
            <x v="361"/>
          </reference>
          <reference field="4" count="1" selected="0">
            <x v="8"/>
          </reference>
          <reference field="6" count="1">
            <x v="4"/>
          </reference>
        </references>
      </pivotArea>
    </format>
    <format dxfId="3123">
      <pivotArea dataOnly="0" labelOnly="1" outline="0" fieldPosition="0">
        <references count="4">
          <reference field="1" count="0" selected="0"/>
          <reference field="3" count="1" selected="0">
            <x v="362"/>
          </reference>
          <reference field="4" count="1" selected="0">
            <x v="8"/>
          </reference>
          <reference field="6" count="1">
            <x v="3"/>
          </reference>
        </references>
      </pivotArea>
    </format>
    <format dxfId="3122">
      <pivotArea dataOnly="0" labelOnly="1" outline="0" fieldPosition="0">
        <references count="4">
          <reference field="1" count="0" selected="0"/>
          <reference field="3" count="1" selected="0">
            <x v="363"/>
          </reference>
          <reference field="4" count="1" selected="0">
            <x v="8"/>
          </reference>
          <reference field="6" count="1">
            <x v="4"/>
          </reference>
        </references>
      </pivotArea>
    </format>
    <format dxfId="3121">
      <pivotArea dataOnly="0" labelOnly="1" outline="0" fieldPosition="0">
        <references count="4">
          <reference field="1" count="0" selected="0"/>
          <reference field="3" count="1" selected="0">
            <x v="364"/>
          </reference>
          <reference field="4" count="1" selected="0">
            <x v="8"/>
          </reference>
          <reference field="6" count="1">
            <x v="4"/>
          </reference>
        </references>
      </pivotArea>
    </format>
    <format dxfId="3120">
      <pivotArea dataOnly="0" labelOnly="1" outline="0" fieldPosition="0">
        <references count="4">
          <reference field="1" count="0" selected="0"/>
          <reference field="3" count="1" selected="0">
            <x v="365"/>
          </reference>
          <reference field="4" count="1" selected="0">
            <x v="8"/>
          </reference>
          <reference field="6" count="1">
            <x v="13"/>
          </reference>
        </references>
      </pivotArea>
    </format>
    <format dxfId="3119">
      <pivotArea dataOnly="0" labelOnly="1" outline="0" fieldPosition="0">
        <references count="4">
          <reference field="1" count="0" selected="0"/>
          <reference field="3" count="1" selected="0">
            <x v="366"/>
          </reference>
          <reference field="4" count="1" selected="0">
            <x v="8"/>
          </reference>
          <reference field="6" count="1">
            <x v="4"/>
          </reference>
        </references>
      </pivotArea>
    </format>
    <format dxfId="3118">
      <pivotArea dataOnly="0" labelOnly="1" outline="0" fieldPosition="0">
        <references count="4">
          <reference field="1" count="0" selected="0"/>
          <reference field="3" count="1" selected="0">
            <x v="367"/>
          </reference>
          <reference field="4" count="1" selected="0">
            <x v="10"/>
          </reference>
          <reference field="6" count="1">
            <x v="5"/>
          </reference>
        </references>
      </pivotArea>
    </format>
    <format dxfId="3117">
      <pivotArea dataOnly="0" labelOnly="1" outline="0" fieldPosition="0">
        <references count="4">
          <reference field="1" count="0" selected="0"/>
          <reference field="3" count="1" selected="0">
            <x v="368"/>
          </reference>
          <reference field="4" count="1" selected="0">
            <x v="11"/>
          </reference>
          <reference field="6" count="1">
            <x v="7"/>
          </reference>
        </references>
      </pivotArea>
    </format>
    <format dxfId="3116">
      <pivotArea dataOnly="0" labelOnly="1" outline="0" fieldPosition="0">
        <references count="4">
          <reference field="1" count="0" selected="0"/>
          <reference field="3" count="1" selected="0">
            <x v="369"/>
          </reference>
          <reference field="4" count="1" selected="0">
            <x v="11"/>
          </reference>
          <reference field="6" count="1">
            <x v="7"/>
          </reference>
        </references>
      </pivotArea>
    </format>
    <format dxfId="3115">
      <pivotArea dataOnly="0" labelOnly="1" outline="0" axis="axisValues" fieldPosition="0"/>
    </format>
    <format dxfId="3114">
      <pivotArea dataOnly="0" labelOnly="1" outline="0" fieldPosition="0">
        <references count="2">
          <reference field="1" count="0" selected="0"/>
          <reference field="4" count="1">
            <x v="5"/>
          </reference>
        </references>
      </pivotArea>
    </format>
    <format dxfId="3113">
      <pivotArea dataOnly="0" labelOnly="1" outline="0" offset="IV1" fieldPosition="0">
        <references count="2">
          <reference field="1" count="0" selected="0"/>
          <reference field="4" count="1">
            <x v="4"/>
          </reference>
        </references>
      </pivotArea>
    </format>
    <format dxfId="3112">
      <pivotArea dataOnly="0" labelOnly="1" outline="0" fieldPosition="0">
        <references count="2">
          <reference field="1" count="0" selected="0"/>
          <reference field="4" count="1">
            <x v="4"/>
          </reference>
        </references>
      </pivotArea>
    </format>
    <format dxfId="3111">
      <pivotArea dataOnly="0" labelOnly="1" outline="0" fieldPosition="0">
        <references count="2">
          <reference field="1" count="0" selected="0"/>
          <reference field="4" count="1">
            <x v="6"/>
          </reference>
        </references>
      </pivotArea>
    </format>
    <format dxfId="3110">
      <pivotArea dataOnly="0" labelOnly="1" outline="0" fieldPosition="0">
        <references count="3">
          <reference field="1" count="0" selected="0"/>
          <reference field="3" count="1">
            <x v="363"/>
          </reference>
          <reference field="4" count="1" selected="0">
            <x v="5"/>
          </reference>
        </references>
      </pivotArea>
    </format>
    <format dxfId="3109">
      <pivotArea dataOnly="0" labelOnly="1" outline="0" fieldPosition="0">
        <references count="3">
          <reference field="1" count="0" selected="0"/>
          <reference field="3" count="1">
            <x v="363"/>
          </reference>
          <reference field="4" count="1" selected="0">
            <x v="6"/>
          </reference>
        </references>
      </pivotArea>
    </format>
    <format dxfId="3108">
      <pivotArea field="16" type="button" dataOnly="0" labelOnly="1" outline="0" axis="axisRow" fieldPosition="4"/>
    </format>
    <format dxfId="3107">
      <pivotArea field="16" type="button" dataOnly="0" labelOnly="1" outline="0" axis="axisRow" fieldPosition="4"/>
    </format>
    <format dxfId="3106">
      <pivotArea dataOnly="0" labelOnly="1" outline="0" fieldPosition="0">
        <references count="5">
          <reference field="1" count="0" selected="0"/>
          <reference field="3" count="1" selected="0">
            <x v="336"/>
          </reference>
          <reference field="4" count="1" selected="0">
            <x v="3"/>
          </reference>
          <reference field="6" count="1" selected="0">
            <x v="11"/>
          </reference>
          <reference field="16" count="1">
            <x v="2"/>
          </reference>
        </references>
      </pivotArea>
    </format>
    <format dxfId="3105">
      <pivotArea dataOnly="0" labelOnly="1" outline="0" fieldPosition="0">
        <references count="5">
          <reference field="1" count="0" selected="0"/>
          <reference field="3" count="1" selected="0">
            <x v="362"/>
          </reference>
          <reference field="4" count="1" selected="0">
            <x v="4"/>
          </reference>
          <reference field="6" count="1" selected="0">
            <x v="3"/>
          </reference>
          <reference field="16" count="1">
            <x v="10"/>
          </reference>
        </references>
      </pivotArea>
    </format>
    <format dxfId="3104">
      <pivotArea dataOnly="0" labelOnly="1" outline="0" fieldPosition="0">
        <references count="5">
          <reference field="1" count="0" selected="0"/>
          <reference field="3" count="1" selected="0">
            <x v="389"/>
          </reference>
          <reference field="4" count="1" selected="0">
            <x v="4"/>
          </reference>
          <reference field="6" count="1" selected="0">
            <x v="4"/>
          </reference>
          <reference field="16" count="1">
            <x v="9"/>
          </reference>
        </references>
      </pivotArea>
    </format>
    <format dxfId="3103">
      <pivotArea dataOnly="0" labelOnly="1" outline="0" fieldPosition="0">
        <references count="5">
          <reference field="1" count="0" selected="0"/>
          <reference field="3" count="1" selected="0">
            <x v="202"/>
          </reference>
          <reference field="4" count="1" selected="0">
            <x v="5"/>
          </reference>
          <reference field="6" count="1" selected="0">
            <x v="3"/>
          </reference>
          <reference field="16" count="1">
            <x v="5"/>
          </reference>
        </references>
      </pivotArea>
    </format>
    <format dxfId="3102">
      <pivotArea dataOnly="0" labelOnly="1" outline="0" fieldPosition="0">
        <references count="5">
          <reference field="1" count="0" selected="0"/>
          <reference field="3" count="1" selected="0">
            <x v="356"/>
          </reference>
          <reference field="4" count="1" selected="0">
            <x v="5"/>
          </reference>
          <reference field="6" count="1" selected="0">
            <x v="3"/>
          </reference>
          <reference field="16" count="1">
            <x v="7"/>
          </reference>
        </references>
      </pivotArea>
    </format>
    <format dxfId="3101">
      <pivotArea dataOnly="0" labelOnly="1" outline="0" fieldPosition="0">
        <references count="5">
          <reference field="1" count="0" selected="0"/>
          <reference field="3" count="1" selected="0">
            <x v="360"/>
          </reference>
          <reference field="4" count="1" selected="0">
            <x v="5"/>
          </reference>
          <reference field="6" count="1" selected="0">
            <x v="12"/>
          </reference>
          <reference field="16" count="1">
            <x v="13"/>
          </reference>
        </references>
      </pivotArea>
    </format>
    <format dxfId="3100">
      <pivotArea dataOnly="0" labelOnly="1" outline="0" fieldPosition="0">
        <references count="5">
          <reference field="1" count="0" selected="0"/>
          <reference field="3" count="1" selected="0">
            <x v="394"/>
          </reference>
          <reference field="4" count="1" selected="0">
            <x v="5"/>
          </reference>
          <reference field="6" count="1" selected="0">
            <x v="4"/>
          </reference>
          <reference field="16" count="1">
            <x v="12"/>
          </reference>
        </references>
      </pivotArea>
    </format>
    <format dxfId="3099">
      <pivotArea dataOnly="0" labelOnly="1" outline="0" fieldPosition="0">
        <references count="5">
          <reference field="1" count="0" selected="0"/>
          <reference field="3" count="1" selected="0">
            <x v="357"/>
          </reference>
          <reference field="4" count="1" selected="0">
            <x v="6"/>
          </reference>
          <reference field="6" count="1" selected="0">
            <x v="3"/>
          </reference>
          <reference field="16" count="1">
            <x v="3"/>
          </reference>
        </references>
      </pivotArea>
    </format>
    <format dxfId="3098">
      <pivotArea dataOnly="0" labelOnly="1" outline="0" fieldPosition="0">
        <references count="5">
          <reference field="1" count="0" selected="0"/>
          <reference field="3" count="1" selected="0">
            <x v="358"/>
          </reference>
          <reference field="4" count="1" selected="0">
            <x v="6"/>
          </reference>
          <reference field="6" count="1" selected="0">
            <x v="3"/>
          </reference>
          <reference field="16" count="1">
            <x v="1"/>
          </reference>
        </references>
      </pivotArea>
    </format>
    <format dxfId="3097">
      <pivotArea dataOnly="0" labelOnly="1" outline="0" fieldPosition="0">
        <references count="5">
          <reference field="1" count="0" selected="0"/>
          <reference field="3" count="1" selected="0">
            <x v="380"/>
          </reference>
          <reference field="4" count="1" selected="0">
            <x v="6"/>
          </reference>
          <reference field="6" count="1" selected="0">
            <x v="3"/>
          </reference>
          <reference field="16" count="1">
            <x v="17"/>
          </reference>
        </references>
      </pivotArea>
    </format>
    <format dxfId="3096">
      <pivotArea dataOnly="0" labelOnly="1" outline="0" fieldPosition="0">
        <references count="5">
          <reference field="1" count="0" selected="0"/>
          <reference field="3" count="1" selected="0">
            <x v="392"/>
          </reference>
          <reference field="4" count="1" selected="0">
            <x v="6"/>
          </reference>
          <reference field="6" count="1" selected="0">
            <x v="3"/>
          </reference>
          <reference field="16" count="1">
            <x v="23"/>
          </reference>
        </references>
      </pivotArea>
    </format>
    <format dxfId="3095">
      <pivotArea dataOnly="0" labelOnly="1" outline="0" fieldPosition="0">
        <references count="5">
          <reference field="1" count="0" selected="0"/>
          <reference field="3" count="1" selected="0">
            <x v="371"/>
          </reference>
          <reference field="4" count="1" selected="0">
            <x v="8"/>
          </reference>
          <reference field="6" count="1" selected="0">
            <x v="4"/>
          </reference>
          <reference field="16" count="1">
            <x v="0"/>
          </reference>
        </references>
      </pivotArea>
    </format>
    <format dxfId="3094">
      <pivotArea dataOnly="0" labelOnly="1" outline="0" fieldPosition="0">
        <references count="5">
          <reference field="1" count="0" selected="0"/>
          <reference field="3" count="1" selected="0">
            <x v="382"/>
          </reference>
          <reference field="4" count="1" selected="0">
            <x v="8"/>
          </reference>
          <reference field="6" count="1" selected="0">
            <x v="4"/>
          </reference>
          <reference field="16" count="1">
            <x v="21"/>
          </reference>
        </references>
      </pivotArea>
    </format>
    <format dxfId="3093">
      <pivotArea dataOnly="0" labelOnly="1" outline="0" fieldPosition="0">
        <references count="5">
          <reference field="1" count="0" selected="0"/>
          <reference field="3" count="1" selected="0">
            <x v="384"/>
          </reference>
          <reference field="4" count="1" selected="0">
            <x v="8"/>
          </reference>
          <reference field="6" count="1" selected="0">
            <x v="4"/>
          </reference>
          <reference field="16" count="1">
            <x v="22"/>
          </reference>
        </references>
      </pivotArea>
    </format>
    <format dxfId="3092">
      <pivotArea dataOnly="0" labelOnly="1" outline="0" fieldPosition="0">
        <references count="5">
          <reference field="1" count="0" selected="0"/>
          <reference field="3" count="1" selected="0">
            <x v="386"/>
          </reference>
          <reference field="4" count="1" selected="0">
            <x v="8"/>
          </reference>
          <reference field="6" count="1" selected="0">
            <x v="4"/>
          </reference>
          <reference field="16" count="1">
            <x v="20"/>
          </reference>
        </references>
      </pivotArea>
    </format>
    <format dxfId="3091">
      <pivotArea dataOnly="0" labelOnly="1" outline="0" fieldPosition="0">
        <references count="5">
          <reference field="1" count="0" selected="0"/>
          <reference field="3" count="1" selected="0">
            <x v="375"/>
          </reference>
          <reference field="4" count="1" selected="0">
            <x v="10"/>
          </reference>
          <reference field="6" count="1" selected="0">
            <x v="5"/>
          </reference>
          <reference field="16" count="1">
            <x v="16"/>
          </reference>
        </references>
      </pivotArea>
    </format>
    <format dxfId="3090">
      <pivotArea dataOnly="0" labelOnly="1" outline="0" fieldPosition="0">
        <references count="5">
          <reference field="1" count="0" selected="0"/>
          <reference field="3" count="1" selected="0">
            <x v="144"/>
          </reference>
          <reference field="4" count="1" selected="0">
            <x v="11"/>
          </reference>
          <reference field="6" count="1" selected="0">
            <x v="7"/>
          </reference>
          <reference field="16" count="1">
            <x v="8"/>
          </reference>
        </references>
      </pivotArea>
    </format>
    <format dxfId="3089">
      <pivotArea field="6" type="button" dataOnly="0" labelOnly="1" outline="0" axis="axisRow" fieldPosition="3"/>
    </format>
    <format dxfId="3088">
      <pivotArea field="6" type="button" dataOnly="0" labelOnly="1" outline="0" axis="axisRow" fieldPosition="3"/>
    </format>
    <format dxfId="3087">
      <pivotArea dataOnly="0" labelOnly="1" outline="0" fieldPosition="0">
        <references count="5">
          <reference field="1" count="0" selected="0"/>
          <reference field="3" count="1" selected="0">
            <x v="414"/>
          </reference>
          <reference field="4" count="1" selected="0">
            <x v="6"/>
          </reference>
          <reference field="6" count="1" selected="0">
            <x v="3"/>
          </reference>
          <reference field="16" count="1">
            <x v="25"/>
          </reference>
        </references>
      </pivotArea>
    </format>
    <format dxfId="3086">
      <pivotArea dataOnly="0" labelOnly="1" outline="0" fieldPosition="0">
        <references count="5">
          <reference field="1" count="0" selected="0"/>
          <reference field="3" count="1" selected="0">
            <x v="405"/>
          </reference>
          <reference field="4" count="1" selected="0">
            <x v="8"/>
          </reference>
          <reference field="6" count="1" selected="0">
            <x v="4"/>
          </reference>
          <reference field="16" count="1">
            <x v="0"/>
          </reference>
        </references>
      </pivotArea>
    </format>
    <format dxfId="3085">
      <pivotArea dataOnly="0" labelOnly="1" outline="0" fieldPosition="0">
        <references count="5">
          <reference field="1" count="0" selected="0"/>
          <reference field="3" count="1" selected="0">
            <x v="416"/>
          </reference>
          <reference field="4" count="1" selected="0">
            <x v="8"/>
          </reference>
          <reference field="6" count="1" selected="0">
            <x v="4"/>
          </reference>
          <reference field="16" count="1">
            <x v="28"/>
          </reference>
        </references>
      </pivotArea>
    </format>
    <format dxfId="3084">
      <pivotArea dataOnly="0" labelOnly="1" outline="0" fieldPosition="0">
        <references count="5">
          <reference field="1" count="0" selected="0"/>
          <reference field="3" count="1" selected="0">
            <x v="194"/>
          </reference>
          <reference field="4" count="1" selected="0">
            <x v="5"/>
          </reference>
          <reference field="6" count="1" selected="0">
            <x v="3"/>
          </reference>
          <reference field="16" count="1">
            <x v="6"/>
          </reference>
        </references>
      </pivotArea>
    </format>
    <format dxfId="3083">
      <pivotArea dataOnly="0" labelOnly="1" outline="0" fieldPosition="0">
        <references count="5">
          <reference field="1" count="0" selected="0"/>
          <reference field="3" count="1" selected="0">
            <x v="200"/>
          </reference>
          <reference field="4" count="1" selected="0">
            <x v="5"/>
          </reference>
          <reference field="6" count="1" selected="0">
            <x v="3"/>
          </reference>
          <reference field="16" count="1">
            <x v="33"/>
          </reference>
        </references>
      </pivotArea>
    </format>
    <format dxfId="3082">
      <pivotArea dataOnly="0" labelOnly="1" outline="0" fieldPosition="0">
        <references count="5">
          <reference field="1" count="0" selected="0"/>
          <reference field="3" count="1" selected="0">
            <x v="337"/>
          </reference>
          <reference field="4" count="1" selected="0">
            <x v="5"/>
          </reference>
          <reference field="6" count="1" selected="0">
            <x v="3"/>
          </reference>
          <reference field="16" count="1">
            <x v="4"/>
          </reference>
        </references>
      </pivotArea>
    </format>
    <format dxfId="3081">
      <pivotArea dataOnly="0" labelOnly="1" outline="0" fieldPosition="0">
        <references count="5">
          <reference field="1" count="0" selected="0"/>
          <reference field="3" count="1" selected="0">
            <x v="381"/>
          </reference>
          <reference field="4" count="1" selected="0">
            <x v="6"/>
          </reference>
          <reference field="6" count="1" selected="0">
            <x v="3"/>
          </reference>
          <reference field="16" count="1">
            <x v="19"/>
          </reference>
        </references>
      </pivotArea>
    </format>
    <format dxfId="3080">
      <pivotArea dataOnly="0" labelOnly="1" outline="0" fieldPosition="0">
        <references count="5">
          <reference field="1" count="0" selected="0"/>
          <reference field="3" count="1" selected="0">
            <x v="430"/>
          </reference>
          <reference field="4" count="1" selected="0">
            <x v="6"/>
          </reference>
          <reference field="6" count="1" selected="0">
            <x v="3"/>
          </reference>
          <reference field="16" count="1">
            <x v="38"/>
          </reference>
        </references>
      </pivotArea>
    </format>
    <format dxfId="3079">
      <pivotArea dataOnly="0" labelOnly="1" outline="0" fieldPosition="0">
        <references count="5">
          <reference field="1" count="0" selected="0"/>
          <reference field="3" count="1" selected="0">
            <x v="179"/>
          </reference>
          <reference field="4" count="1" selected="0">
            <x v="8"/>
          </reference>
          <reference field="6" count="1" selected="0">
            <x v="4"/>
          </reference>
          <reference field="16" count="1">
            <x v="11"/>
          </reference>
        </references>
      </pivotArea>
    </format>
    <format dxfId="3078">
      <pivotArea dataOnly="0" labelOnly="1" outline="0" fieldPosition="0">
        <references count="5">
          <reference field="1" count="0" selected="0"/>
          <reference field="3" count="1" selected="0">
            <x v="364"/>
          </reference>
          <reference field="4" count="1" selected="0">
            <x v="8"/>
          </reference>
          <reference field="6" count="1" selected="0">
            <x v="4"/>
          </reference>
          <reference field="16" count="1">
            <x v="14"/>
          </reference>
        </references>
      </pivotArea>
    </format>
    <format dxfId="3077">
      <pivotArea dataOnly="0" labelOnly="1" outline="0" fieldPosition="0">
        <references count="5">
          <reference field="1" count="0" selected="0"/>
          <reference field="3" count="1" selected="0">
            <x v="365"/>
          </reference>
          <reference field="4" count="1" selected="0">
            <x v="8"/>
          </reference>
          <reference field="6" count="1" selected="0">
            <x v="13"/>
          </reference>
          <reference field="16" count="1">
            <x v="15"/>
          </reference>
        </references>
      </pivotArea>
    </format>
    <format dxfId="3076">
      <pivotArea dataOnly="0" labelOnly="1" outline="0" fieldPosition="0">
        <references count="5">
          <reference field="1" count="0" selected="0"/>
          <reference field="3" count="1" selected="0">
            <x v="391"/>
          </reference>
          <reference field="4" count="1" selected="0">
            <x v="8"/>
          </reference>
          <reference field="6" count="1" selected="0">
            <x v="4"/>
          </reference>
          <reference field="16" count="1">
            <x v="18"/>
          </reference>
        </references>
      </pivotArea>
    </format>
    <format dxfId="3075">
      <pivotArea dataOnly="0" labelOnly="1" outline="0" fieldPosition="0">
        <references count="5">
          <reference field="1" count="0" selected="0"/>
          <reference field="3" count="1" selected="0">
            <x v="425"/>
          </reference>
          <reference field="4" count="1" selected="0">
            <x v="8"/>
          </reference>
          <reference field="6" count="1" selected="0">
            <x v="4"/>
          </reference>
          <reference field="16" count="1">
            <x v="0"/>
          </reference>
        </references>
      </pivotArea>
    </format>
    <format dxfId="3074">
      <pivotArea dataOnly="0" labelOnly="1" outline="0" fieldPosition="0">
        <references count="3">
          <reference field="1" count="0" selected="0"/>
          <reference field="3" count="1">
            <x v="362"/>
          </reference>
          <reference field="4" count="1" selected="0">
            <x v="4"/>
          </reference>
        </references>
      </pivotArea>
    </format>
    <format dxfId="3073">
      <pivotArea field="3" type="button" dataOnly="0" labelOnly="1" outline="0" axis="axisRow" fieldPosition="2"/>
    </format>
    <format dxfId="3072">
      <pivotArea dataOnly="0" labelOnly="1" outline="0" fieldPosition="0">
        <references count="3">
          <reference field="1" count="0" selected="0"/>
          <reference field="3" count="3">
            <x v="336"/>
            <x v="355"/>
            <x v="399"/>
          </reference>
          <reference field="4" count="1" selected="0">
            <x v="3"/>
          </reference>
        </references>
      </pivotArea>
    </format>
    <format dxfId="3071">
      <pivotArea dataOnly="0" labelOnly="1" outline="0" fieldPosition="0">
        <references count="3">
          <reference field="1" count="0" selected="0"/>
          <reference field="3" count="1">
            <x v="389"/>
          </reference>
          <reference field="4" count="1" selected="0">
            <x v="4"/>
          </reference>
        </references>
      </pivotArea>
    </format>
    <format dxfId="3070">
      <pivotArea dataOnly="0" labelOnly="1" outline="0" fieldPosition="0">
        <references count="3">
          <reference field="1" count="0" selected="0"/>
          <reference field="3" count="8">
            <x v="194"/>
            <x v="200"/>
            <x v="202"/>
            <x v="206"/>
            <x v="337"/>
            <x v="356"/>
            <x v="360"/>
            <x v="394"/>
          </reference>
          <reference field="4" count="1" selected="0">
            <x v="5"/>
          </reference>
        </references>
      </pivotArea>
    </format>
    <format dxfId="3069">
      <pivotArea dataOnly="0" labelOnly="1" outline="0" fieldPosition="0">
        <references count="3">
          <reference field="1" count="0" selected="0"/>
          <reference field="3" count="20">
            <x v="358"/>
            <x v="380"/>
            <x v="381"/>
            <x v="392"/>
            <x v="400"/>
            <x v="413"/>
            <x v="420"/>
            <x v="421"/>
            <x v="422"/>
            <x v="423"/>
            <x v="424"/>
            <x v="426"/>
            <x v="427"/>
            <x v="428"/>
            <x v="429"/>
            <x v="430"/>
            <x v="431"/>
            <x v="432"/>
            <x v="433"/>
            <x v="434"/>
          </reference>
          <reference field="4" count="1" selected="0">
            <x v="6"/>
          </reference>
        </references>
      </pivotArea>
    </format>
    <format dxfId="3068">
      <pivotArea dataOnly="0" labelOnly="1" outline="0" fieldPosition="0">
        <references count="3">
          <reference field="1" count="0" selected="0"/>
          <reference field="3" count="12">
            <x v="138"/>
            <x v="179"/>
            <x v="364"/>
            <x v="365"/>
            <x v="382"/>
            <x v="384"/>
            <x v="386"/>
            <x v="391"/>
            <x v="400"/>
            <x v="421"/>
            <x v="424"/>
            <x v="425"/>
          </reference>
          <reference field="4" count="1" selected="0">
            <x v="8"/>
          </reference>
        </references>
      </pivotArea>
    </format>
    <format dxfId="3067">
      <pivotArea dataOnly="0" labelOnly="1" outline="0" fieldPosition="0">
        <references count="3">
          <reference field="1" count="0" selected="0"/>
          <reference field="3" count="1">
            <x v="375"/>
          </reference>
          <reference field="4" count="1" selected="0">
            <x v="10"/>
          </reference>
        </references>
      </pivotArea>
    </format>
    <format dxfId="3066">
      <pivotArea dataOnly="0" labelOnly="1" outline="0" fieldPosition="0">
        <references count="3">
          <reference field="1" count="0" selected="0"/>
          <reference field="3" count="3">
            <x v="144"/>
            <x v="422"/>
            <x v="423"/>
          </reference>
          <reference field="4" count="1" selected="0">
            <x v="11"/>
          </reference>
        </references>
      </pivotArea>
    </format>
    <format dxfId="3065">
      <pivotArea dataOnly="0" labelOnly="1" outline="0" fieldPosition="0">
        <references count="3">
          <reference field="1" count="0" selected="0"/>
          <reference field="3" count="1">
            <x v="362"/>
          </reference>
          <reference field="4" count="1" selected="0">
            <x v="8"/>
          </reference>
        </references>
      </pivotArea>
    </format>
    <format dxfId="3064">
      <pivotArea field="16" type="button" dataOnly="0" labelOnly="1" outline="0" axis="axisRow" fieldPosition="4"/>
    </format>
    <format dxfId="3063">
      <pivotArea dataOnly="0" labelOnly="1" outline="0" fieldPosition="0">
        <references count="3">
          <reference field="1" count="0" selected="0"/>
          <reference field="3" count="1">
            <x v="362"/>
          </reference>
          <reference field="4" count="1" selected="0">
            <x v="4"/>
          </reference>
        </references>
      </pivotArea>
    </format>
    <format dxfId="3062">
      <pivotArea dataOnly="0" labelOnly="1" outline="0" fieldPosition="0">
        <references count="1">
          <reference field="16"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63362C-FAE2-4451-8F2B-C9EB415EAC85}" name="Buscador" cacheId="1"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L5:L6" firstHeaderRow="1" firstDataRow="1" firstDataCol="0" rowPageCount="1" colPageCount="1"/>
  <pivotFields count="17">
    <pivotField showAll="0"/>
    <pivotField multipleItemSelectionAllowed="1" showAll="0">
      <items count="42">
        <item h="1" x="0"/>
        <item h="1" x="1"/>
        <item h="1" x="2"/>
        <item x="3"/>
        <item h="1" x="4"/>
        <item h="1" x="5"/>
        <item h="1" x="6"/>
        <item h="1" x="7"/>
        <item h="1" x="8"/>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9"/>
        <item t="default"/>
      </items>
    </pivotField>
    <pivotField dataField="1" multipleItemSelectionAllowed="1" showAll="0"/>
    <pivotField name="Serached Site:" axis="axisPage" showAll="0">
      <items count="456">
        <item m="1" x="376"/>
        <item m="1" x="269"/>
        <item m="1" x="432"/>
        <item m="1" x="304"/>
        <item m="1" x="351"/>
        <item m="1" x="449"/>
        <item m="1" x="298"/>
        <item m="1" x="435"/>
        <item m="1" x="254"/>
        <item m="1" x="258"/>
        <item m="1" x="299"/>
        <item m="1" x="433"/>
        <item m="1" x="331"/>
        <item m="1" x="237"/>
        <item m="1" x="287"/>
        <item m="1" x="344"/>
        <item m="1" x="345"/>
        <item m="1" x="238"/>
        <item m="1" x="255"/>
        <item m="1" x="239"/>
        <item m="1" x="280"/>
        <item m="1" x="281"/>
        <item m="1" x="257"/>
        <item m="1" x="442"/>
        <item m="1" x="379"/>
        <item m="1" x="240"/>
        <item m="1" x="241"/>
        <item m="1" x="293"/>
        <item m="1" x="294"/>
        <item m="1" x="265"/>
        <item m="1" x="242"/>
        <item m="1" x="271"/>
        <item m="1" x="401"/>
        <item m="1" x="243"/>
        <item m="1" x="244"/>
        <item m="1" x="291"/>
        <item m="1" x="259"/>
        <item m="1" x="245"/>
        <item m="1" x="310"/>
        <item m="1" x="342"/>
        <item m="1" x="343"/>
        <item m="1" x="261"/>
        <item m="1" x="262"/>
        <item m="1" x="355"/>
        <item m="1" x="260"/>
        <item m="1" x="443"/>
        <item m="1" x="322"/>
        <item m="1" x="453"/>
        <item m="1" x="246"/>
        <item m="1" x="251"/>
        <item m="1" x="247"/>
        <item m="1" x="282"/>
        <item m="1" x="249"/>
        <item m="1" x="253"/>
        <item m="1" x="295"/>
        <item m="1" x="286"/>
        <item m="1" x="292"/>
        <item m="1" x="300"/>
        <item m="1" x="252"/>
        <item m="1" x="272"/>
        <item m="1" x="323"/>
        <item m="1" x="373"/>
        <item m="1" x="408"/>
        <item m="1" x="250"/>
        <item m="1" x="296"/>
        <item m="1" x="363"/>
        <item m="1" x="278"/>
        <item m="1" x="439"/>
        <item m="1" x="324"/>
        <item m="1" x="312"/>
        <item m="1" x="326"/>
        <item m="1" x="313"/>
        <item m="1" x="314"/>
        <item m="1" x="315"/>
        <item m="1" x="274"/>
        <item m="1" x="372"/>
        <item m="1" x="276"/>
        <item m="1" x="263"/>
        <item m="1" x="347"/>
        <item m="1" x="267"/>
        <item n="USA PHONE" m="1" x="430"/>
        <item m="1" x="425"/>
        <item m="1" x="325"/>
        <item m="1" x="284"/>
        <item m="1" x="288"/>
        <item m="1" x="318"/>
        <item m="1" x="317"/>
        <item m="1" x="289"/>
        <item m="1" x="328"/>
        <item m="1" x="327"/>
        <item m="1" x="361"/>
        <item m="1" x="452"/>
        <item m="1" x="434"/>
        <item m="1" x="385"/>
        <item m="1" x="319"/>
        <item m="1" x="378"/>
        <item m="1" x="369"/>
        <item m="1" x="383"/>
        <item m="1" x="320"/>
        <item m="1" x="112"/>
        <item m="1" x="113"/>
        <item m="1" x="114"/>
        <item m="1" x="115"/>
        <item m="1" x="235"/>
        <item m="1" x="116"/>
        <item m="1" x="117"/>
        <item m="1" x="118"/>
        <item m="1" x="119"/>
        <item m="1" x="120"/>
        <item m="1" x="121"/>
        <item m="1" x="436"/>
        <item m="1" x="377"/>
        <item m="1" x="335"/>
        <item m="1" x="336"/>
        <item m="1" x="333"/>
        <item m="1" x="334"/>
        <item m="1" x="126"/>
        <item m="1" x="127"/>
        <item m="1" x="128"/>
        <item m="1" x="230"/>
        <item m="1" x="427"/>
        <item m="1" x="234"/>
        <item m="1" x="132"/>
        <item m="1" x="133"/>
        <item m="1" x="134"/>
        <item m="1" x="135"/>
        <item m="1" x="136"/>
        <item m="1" x="137"/>
        <item m="1" x="138"/>
        <item m="1" x="139"/>
        <item m="1" x="140"/>
        <item m="1" x="141"/>
        <item m="1" x="142"/>
        <item m="1" x="143"/>
        <item m="1" x="231"/>
        <item m="1" x="232"/>
        <item m="1" x="146"/>
        <item m="1" x="147"/>
        <item m="1" x="148"/>
        <item m="1" x="149"/>
        <item m="1" x="150"/>
        <item m="1" x="151"/>
        <item x="31"/>
        <item m="1" x="152"/>
        <item m="1" x="153"/>
        <item m="1" x="154"/>
        <item m="1" x="155"/>
        <item m="1" x="156"/>
        <item x="33"/>
        <item m="1" x="157"/>
        <item m="1" x="409"/>
        <item m="1" x="158"/>
        <item m="1" x="159"/>
        <item m="1" x="387"/>
        <item m="1" x="356"/>
        <item m="1" x="450"/>
        <item m="1" x="440"/>
        <item m="1" x="354"/>
        <item m="1" x="388"/>
        <item m="1" x="167"/>
        <item m="1" x="168"/>
        <item m="1" x="386"/>
        <item m="1" x="169"/>
        <item m="1" x="451"/>
        <item m="1" x="444"/>
        <item m="1" x="426"/>
        <item m="1" x="173"/>
        <item m="1" x="174"/>
        <item m="1" x="175"/>
        <item m="1" x="233"/>
        <item m="1" x="413"/>
        <item m="1" x="352"/>
        <item m="1" x="179"/>
        <item m="1" x="418"/>
        <item m="1" x="181"/>
        <item m="1" x="399"/>
        <item m="1" x="183"/>
        <item m="1" x="389"/>
        <item m="1" x="185"/>
        <item m="1" x="382"/>
        <item m="1" x="447"/>
        <item m="1" x="420"/>
        <item m="1" x="188"/>
        <item m="1" x="190"/>
        <item m="1" x="194"/>
        <item m="1" x="196"/>
        <item m="1" x="197"/>
        <item m="1" x="198"/>
        <item m="1" x="199"/>
        <item m="1" x="406"/>
        <item m="1" x="402"/>
        <item m="1" x="403"/>
        <item m="1" x="203"/>
        <item m="1" x="204"/>
        <item m="1" x="375"/>
        <item m="1" x="205"/>
        <item m="1" x="206"/>
        <item x="50"/>
        <item m="1" x="207"/>
        <item m="1" x="208"/>
        <item m="1" x="209"/>
        <item m="1" x="210"/>
        <item m="1" x="212"/>
        <item x="52"/>
        <item x="53"/>
        <item m="1" x="213"/>
        <item m="1" x="214"/>
        <item m="1" x="229"/>
        <item m="1" x="353"/>
        <item x="55"/>
        <item m="1" x="215"/>
        <item m="1" x="346"/>
        <item m="1" x="218"/>
        <item m="1" x="219"/>
        <item m="1" x="370"/>
        <item m="1" x="220"/>
        <item m="1" x="411"/>
        <item m="1" x="390"/>
        <item m="1" x="222"/>
        <item m="1" x="341"/>
        <item m="1" x="350"/>
        <item m="1" x="224"/>
        <item m="1" x="338"/>
        <item m="1" x="339"/>
        <item m="1" x="337"/>
        <item m="1" x="226"/>
        <item m="1" x="417"/>
        <item m="1" x="332"/>
        <item m="1" x="381"/>
        <item m="1" x="359"/>
        <item m="1" x="400"/>
        <item m="1" x="308"/>
        <item m="1" x="172"/>
        <item m="1" x="405"/>
        <item m="1" x="309"/>
        <item m="1" x="200"/>
        <item m="1" x="368"/>
        <item m="1" x="365"/>
        <item m="1" x="187"/>
        <item m="1" x="393"/>
        <item m="1" x="184"/>
        <item m="1" x="195"/>
        <item m="1" x="422"/>
        <item m="1" x="189"/>
        <item m="1" x="270"/>
        <item m="1" x="186"/>
        <item x="49"/>
        <item m="1" x="191"/>
        <item m="1" x="264"/>
        <item m="1" x="421"/>
        <item x="60"/>
        <item m="1" x="415"/>
        <item m="1" x="202"/>
        <item m="1" x="123"/>
        <item m="1" x="396"/>
        <item m="1" x="371"/>
        <item m="1" x="397"/>
        <item m="1" x="428"/>
        <item m="1" x="384"/>
        <item x="51"/>
        <item m="1" x="423"/>
        <item m="1" x="349"/>
        <item m="1" x="398"/>
        <item m="1" x="360"/>
        <item m="1" x="437"/>
        <item m="1" x="348"/>
        <item m="1" x="340"/>
        <item m="1" x="438"/>
        <item m="1" x="414"/>
        <item m="1" x="407"/>
        <item m="1" x="321"/>
        <item m="1" x="201"/>
        <item m="1" x="170"/>
        <item m="1" x="285"/>
        <item m="1" x="306"/>
        <item m="1" x="275"/>
        <item m="1" x="316"/>
        <item m="1" x="395"/>
        <item m="1" x="424"/>
        <item m="1" x="454"/>
        <item m="1" x="431"/>
        <item m="1" x="178"/>
        <item m="1" x="182"/>
        <item m="1" x="122"/>
        <item m="1" x="171"/>
        <item m="1" x="392"/>
        <item m="1" x="211"/>
        <item m="1" x="394"/>
        <item m="1" x="441"/>
        <item m="1" x="358"/>
        <item m="1" x="301"/>
        <item m="1" x="419"/>
        <item m="1" x="302"/>
        <item m="1" x="362"/>
        <item m="1" x="329"/>
        <item m="1" x="445"/>
        <item m="1" x="305"/>
        <item m="1" x="380"/>
        <item m="1" x="364"/>
        <item m="1" x="303"/>
        <item m="1" x="367"/>
        <item m="1" x="130"/>
        <item m="1" x="429"/>
        <item m="1" x="391"/>
        <item m="1" x="216"/>
        <item m="1" x="357"/>
        <item m="1" x="446"/>
        <item m="1" x="366"/>
        <item m="1" x="266"/>
        <item m="1" x="268"/>
        <item m="1" x="416"/>
        <item m="1" x="412"/>
        <item m="1" x="256"/>
        <item m="1" x="177"/>
        <item m="1" x="297"/>
        <item m="1" x="311"/>
        <item m="1" x="273"/>
        <item m="1" x="290"/>
        <item m="1" x="448"/>
        <item m="1" x="221"/>
        <item m="1" x="180"/>
        <item m="1" x="410"/>
        <item m="1" x="374"/>
        <item m="1" x="217"/>
        <item m="1" x="404"/>
        <item m="1" x="192"/>
        <item m="1" x="164"/>
        <item m="1" x="161"/>
        <item m="1" x="330"/>
        <item m="1" x="162"/>
        <item m="1" x="163"/>
        <item m="1" x="160"/>
        <item m="1" x="165"/>
        <item m="1" x="283"/>
        <item m="1" x="248"/>
        <item m="1" x="236"/>
        <item m="1" x="193"/>
        <item x="58"/>
        <item m="1" x="279"/>
        <item m="1" x="277"/>
        <item m="1" x="223"/>
        <item m="1" x="225"/>
        <item m="1" x="124"/>
        <item m="1" x="125"/>
        <item m="1" x="227"/>
        <item m="1" x="307"/>
        <item m="1" x="166"/>
        <item m="1" x="131"/>
        <item m="1" x="228"/>
        <item m="1" x="176"/>
        <item x="34"/>
        <item m="1" x="144"/>
        <item m="1" x="145"/>
        <item m="1" x="129"/>
        <item m="1" x="107"/>
        <item x="30"/>
        <item x="54"/>
        <item m="1" x="71"/>
        <item x="1"/>
        <item m="1" x="96"/>
        <item x="40"/>
        <item m="1" x="104"/>
        <item x="42"/>
        <item m="1" x="102"/>
        <item x="47"/>
        <item x="48"/>
        <item x="35"/>
        <item m="1" x="111"/>
        <item x="37"/>
        <item m="1" x="101"/>
        <item m="1" x="95"/>
        <item m="1" x="92"/>
        <item m="1" x="94"/>
        <item m="1" x="108"/>
        <item x="32"/>
        <item x="27"/>
        <item m="1" x="109"/>
        <item m="1" x="110"/>
        <item m="1" x="97"/>
        <item m="1" x="98"/>
        <item x="16"/>
        <item x="57"/>
        <item m="1" x="61"/>
        <item x="38"/>
        <item x="46"/>
        <item m="1" x="106"/>
        <item x="44"/>
        <item m="1" x="105"/>
        <item m="1" x="93"/>
        <item x="41"/>
        <item m="1" x="103"/>
        <item x="43"/>
        <item x="2"/>
        <item x="36"/>
        <item x="45"/>
        <item m="1" x="86"/>
        <item m="1" x="87"/>
        <item m="1" x="100"/>
        <item m="1" x="88"/>
        <item m="1" x="62"/>
        <item x="9"/>
        <item m="1" x="89"/>
        <item m="1" x="99"/>
        <item m="1" x="90"/>
        <item m="1" x="91"/>
        <item m="1" x="79"/>
        <item m="1" x="80"/>
        <item m="1" x="81"/>
        <item m="1" x="82"/>
        <item m="1" x="83"/>
        <item m="1" x="84"/>
        <item m="1" x="85"/>
        <item m="1" x="72"/>
        <item m="1" x="73"/>
        <item m="1" x="74"/>
        <item m="1" x="75"/>
        <item m="1" x="76"/>
        <item m="1" x="77"/>
        <item m="1" x="78"/>
        <item x="24"/>
        <item x="23"/>
        <item x="13"/>
        <item x="8"/>
        <item x="20"/>
        <item x="12"/>
        <item x="0"/>
        <item x="3"/>
        <item x="4"/>
        <item x="5"/>
        <item x="6"/>
        <item x="10"/>
        <item m="1" x="64"/>
        <item x="56"/>
        <item x="15"/>
        <item x="22"/>
        <item m="1" x="70"/>
        <item x="29"/>
        <item m="1" x="67"/>
        <item m="1" x="68"/>
        <item m="1" x="69"/>
        <item m="1" x="66"/>
        <item m="1" x="63"/>
        <item m="1" x="65"/>
        <item x="25"/>
        <item x="26"/>
        <item x="18"/>
        <item x="11"/>
        <item x="17"/>
        <item x="21"/>
        <item x="14"/>
        <item x="19"/>
        <item x="28"/>
        <item x="7"/>
        <item x="59"/>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3" item="453" hier="-1"/>
  </pageFields>
  <dataFields count="1">
    <dataField name="Station " fld="2" baseField="0" baseItem="0"/>
  </dataFields>
  <formats count="12">
    <format dxfId="3827">
      <pivotArea dataOnly="0" labelOnly="1" outline="0" axis="axisValues" fieldPosition="0"/>
    </format>
    <format dxfId="3826">
      <pivotArea outline="0" collapsedLevelsAreSubtotals="1" fieldPosition="0"/>
    </format>
    <format dxfId="3825">
      <pivotArea outline="0" collapsedLevelsAreSubtotals="1" fieldPosition="0"/>
    </format>
    <format dxfId="3824">
      <pivotArea type="all" dataOnly="0" outline="0" fieldPosition="0"/>
    </format>
    <format dxfId="3823">
      <pivotArea field="3" type="button" dataOnly="0" labelOnly="1" outline="0" axis="axisPage" fieldPosition="0"/>
    </format>
    <format dxfId="3822">
      <pivotArea dataOnly="0" labelOnly="1" outline="0" axis="axisValues" fieldPosition="0"/>
    </format>
    <format dxfId="3821">
      <pivotArea outline="0" collapsedLevelsAreSubtotals="1" fieldPosition="0"/>
    </format>
    <format dxfId="3820">
      <pivotArea dataOnly="0" labelOnly="1" outline="0" fieldPosition="0">
        <references count="1">
          <reference field="3" count="1">
            <x v="76"/>
          </reference>
        </references>
      </pivotArea>
    </format>
    <format dxfId="3819">
      <pivotArea dataOnly="0" labelOnly="1" outline="0" fieldPosition="0">
        <references count="1">
          <reference field="3" count="1">
            <x v="76"/>
          </reference>
        </references>
      </pivotArea>
    </format>
    <format dxfId="3818">
      <pivotArea dataOnly="0" labelOnly="1" outline="0" fieldPosition="0">
        <references count="1">
          <reference field="3" count="1">
            <x v="76"/>
          </reference>
        </references>
      </pivotArea>
    </format>
    <format dxfId="3817">
      <pivotArea dataOnly="0" labelOnly="1" outline="0" fieldPosition="0">
        <references count="1">
          <reference field="3" count="1">
            <x v="76"/>
          </reference>
        </references>
      </pivotArea>
    </format>
    <format dxfId="3816">
      <pivotArea dataOnly="0" labelOnly="1" outline="0" fieldPosition="0">
        <references count="1">
          <reference field="3" count="1">
            <x v="7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D24BA5-6D4B-453D-90D5-E57D1F812072}" name="Station t1" cacheId="1"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Station">
  <location ref="B15:B16" firstHeaderRow="1" firstDataRow="2" firstDataCol="0"/>
  <pivotFields count="17">
    <pivotField showAll="0"/>
    <pivotField showAll="0">
      <items count="42">
        <item h="1" x="0"/>
        <item h="1" x="1"/>
        <item h="1" x="2"/>
        <item x="3"/>
        <item h="1" x="4"/>
        <item h="1" x="5"/>
        <item h="1" x="6"/>
        <item h="1" x="7"/>
        <item h="1" x="8"/>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9"/>
        <item t="default"/>
      </items>
    </pivotField>
    <pivotField axis="axisCol" showAll="0">
      <items count="43">
        <item h="1" x="0"/>
        <item h="1" x="1"/>
        <item h="1" x="2"/>
        <item x="3"/>
        <item h="1" x="4"/>
        <item h="1" x="5"/>
        <item h="1" x="6"/>
        <item h="1" x="7"/>
        <item h="1" x="8"/>
        <item h="1" m="1" x="16"/>
        <item h="1" m="1" x="15"/>
        <item h="1" m="1" x="10"/>
        <item h="1" m="1" x="14"/>
        <item h="1" m="1" x="17"/>
        <item h="1" m="1" x="13"/>
        <item h="1" m="1" x="11"/>
        <item h="1" m="1" x="12"/>
        <item h="1" m="1" x="18"/>
        <item h="1" m="1" x="25"/>
        <item h="1" m="1" x="19"/>
        <item h="1" m="1" x="24"/>
        <item h="1" m="1" x="20"/>
        <item h="1" m="1" x="26"/>
        <item h="1" m="1" x="21"/>
        <item h="1" m="1" x="27"/>
        <item h="1" m="1" x="22"/>
        <item h="1" m="1" x="28"/>
        <item h="1" m="1" x="23"/>
        <item h="1" m="1" x="29"/>
        <item h="1" m="1" x="30"/>
        <item h="1" m="1" x="31"/>
        <item h="1" m="1" x="41"/>
        <item h="1" m="1" x="32"/>
        <item h="1" m="1" x="35"/>
        <item h="1" m="1" x="36"/>
        <item h="1" m="1" x="34"/>
        <item h="1" m="1" x="33"/>
        <item h="1" m="1" x="37"/>
        <item h="1" m="1" x="38"/>
        <item h="1" m="1" x="39"/>
        <item h="1" m="1" x="40"/>
        <item h="1" x="9"/>
        <item t="default"/>
      </items>
    </pivotField>
    <pivotField showAll="0">
      <items count="456">
        <item m="1" x="376"/>
        <item m="1" x="269"/>
        <item m="1" x="432"/>
        <item m="1" x="304"/>
        <item m="1" x="351"/>
        <item m="1" x="449"/>
        <item m="1" x="298"/>
        <item m="1" x="435"/>
        <item m="1" x="254"/>
        <item m="1" x="258"/>
        <item m="1" x="299"/>
        <item m="1" x="433"/>
        <item m="1" x="331"/>
        <item m="1" x="237"/>
        <item m="1" x="287"/>
        <item m="1" x="344"/>
        <item m="1" x="345"/>
        <item m="1" x="238"/>
        <item m="1" x="255"/>
        <item m="1" x="239"/>
        <item m="1" x="280"/>
        <item m="1" x="281"/>
        <item m="1" x="257"/>
        <item m="1" x="442"/>
        <item m="1" x="379"/>
        <item m="1" x="240"/>
        <item m="1" x="241"/>
        <item m="1" x="293"/>
        <item m="1" x="294"/>
        <item m="1" x="265"/>
        <item m="1" x="242"/>
        <item m="1" x="271"/>
        <item m="1" x="401"/>
        <item m="1" x="243"/>
        <item m="1" x="244"/>
        <item m="1" x="291"/>
        <item m="1" x="259"/>
        <item m="1" x="245"/>
        <item m="1" x="310"/>
        <item m="1" x="342"/>
        <item m="1" x="343"/>
        <item m="1" x="261"/>
        <item m="1" x="262"/>
        <item m="1" x="355"/>
        <item m="1" x="260"/>
        <item m="1" x="443"/>
        <item m="1" x="322"/>
        <item m="1" x="453"/>
        <item m="1" x="246"/>
        <item m="1" x="251"/>
        <item m="1" x="247"/>
        <item m="1" x="282"/>
        <item m="1" x="249"/>
        <item m="1" x="253"/>
        <item m="1" x="295"/>
        <item m="1" x="286"/>
        <item m="1" x="292"/>
        <item m="1" x="300"/>
        <item m="1" x="252"/>
        <item m="1" x="272"/>
        <item m="1" x="323"/>
        <item m="1" x="373"/>
        <item m="1" x="408"/>
        <item m="1" x="250"/>
        <item m="1" x="296"/>
        <item m="1" x="363"/>
        <item m="1" x="278"/>
        <item m="1" x="439"/>
        <item m="1" x="324"/>
        <item m="1" x="312"/>
        <item m="1" x="326"/>
        <item m="1" x="313"/>
        <item m="1" x="314"/>
        <item m="1" x="315"/>
        <item m="1" x="274"/>
        <item m="1" x="372"/>
        <item m="1" x="276"/>
        <item m="1" x="263"/>
        <item m="1" x="347"/>
        <item m="1" x="267"/>
        <item m="1" x="430"/>
        <item m="1" x="425"/>
        <item m="1" x="325"/>
        <item m="1" x="284"/>
        <item m="1" x="288"/>
        <item m="1" x="318"/>
        <item m="1" x="317"/>
        <item m="1" x="289"/>
        <item m="1" x="328"/>
        <item m="1" x="327"/>
        <item m="1" x="361"/>
        <item m="1" x="452"/>
        <item m="1" x="434"/>
        <item m="1" x="385"/>
        <item m="1" x="319"/>
        <item m="1" x="378"/>
        <item m="1" x="369"/>
        <item m="1" x="383"/>
        <item m="1" x="320"/>
        <item m="1" x="112"/>
        <item m="1" x="113"/>
        <item m="1" x="114"/>
        <item m="1" x="115"/>
        <item m="1" x="235"/>
        <item m="1" x="116"/>
        <item m="1" x="117"/>
        <item m="1" x="118"/>
        <item m="1" x="119"/>
        <item m="1" x="120"/>
        <item m="1" x="121"/>
        <item m="1" x="436"/>
        <item m="1" x="377"/>
        <item m="1" x="335"/>
        <item m="1" x="336"/>
        <item m="1" x="333"/>
        <item m="1" x="334"/>
        <item m="1" x="126"/>
        <item m="1" x="127"/>
        <item m="1" x="128"/>
        <item m="1" x="230"/>
        <item m="1" x="427"/>
        <item m="1" x="234"/>
        <item m="1" x="132"/>
        <item m="1" x="133"/>
        <item m="1" x="134"/>
        <item m="1" x="135"/>
        <item m="1" x="136"/>
        <item m="1" x="137"/>
        <item m="1" x="138"/>
        <item m="1" x="139"/>
        <item m="1" x="140"/>
        <item m="1" x="141"/>
        <item m="1" x="142"/>
        <item m="1" x="143"/>
        <item m="1" x="231"/>
        <item m="1" x="232"/>
        <item m="1" x="146"/>
        <item m="1" x="147"/>
        <item m="1" x="148"/>
        <item m="1" x="149"/>
        <item m="1" x="150"/>
        <item m="1" x="151"/>
        <item x="31"/>
        <item m="1" x="152"/>
        <item m="1" x="153"/>
        <item m="1" x="154"/>
        <item m="1" x="155"/>
        <item m="1" x="156"/>
        <item x="33"/>
        <item m="1" x="157"/>
        <item m="1" x="409"/>
        <item m="1" x="158"/>
        <item m="1" x="159"/>
        <item m="1" x="387"/>
        <item m="1" x="356"/>
        <item m="1" x="450"/>
        <item m="1" x="440"/>
        <item m="1" x="354"/>
        <item m="1" x="388"/>
        <item m="1" x="167"/>
        <item m="1" x="168"/>
        <item m="1" x="386"/>
        <item m="1" x="169"/>
        <item m="1" x="451"/>
        <item m="1" x="444"/>
        <item m="1" x="426"/>
        <item m="1" x="173"/>
        <item m="1" x="174"/>
        <item m="1" x="175"/>
        <item m="1" x="233"/>
        <item m="1" x="413"/>
        <item m="1" x="352"/>
        <item m="1" x="179"/>
        <item m="1" x="418"/>
        <item m="1" x="181"/>
        <item m="1" x="399"/>
        <item m="1" x="183"/>
        <item m="1" x="389"/>
        <item m="1" x="185"/>
        <item m="1" x="382"/>
        <item m="1" x="447"/>
        <item m="1" x="420"/>
        <item m="1" x="188"/>
        <item m="1" x="190"/>
        <item m="1" x="194"/>
        <item m="1" x="196"/>
        <item m="1" x="197"/>
        <item m="1" x="198"/>
        <item m="1" x="199"/>
        <item m="1" x="406"/>
        <item m="1" x="402"/>
        <item m="1" x="403"/>
        <item m="1" x="203"/>
        <item m="1" x="204"/>
        <item m="1" x="375"/>
        <item m="1" x="205"/>
        <item m="1" x="206"/>
        <item x="50"/>
        <item m="1" x="207"/>
        <item m="1" x="208"/>
        <item m="1" x="209"/>
        <item m="1" x="210"/>
        <item m="1" x="212"/>
        <item x="52"/>
        <item x="53"/>
        <item m="1" x="213"/>
        <item m="1" x="214"/>
        <item m="1" x="229"/>
        <item m="1" x="353"/>
        <item x="55"/>
        <item m="1" x="215"/>
        <item m="1" x="346"/>
        <item m="1" x="218"/>
        <item m="1" x="219"/>
        <item m="1" x="370"/>
        <item m="1" x="220"/>
        <item m="1" x="411"/>
        <item m="1" x="390"/>
        <item m="1" x="222"/>
        <item m="1" x="341"/>
        <item m="1" x="350"/>
        <item m="1" x="224"/>
        <item m="1" x="338"/>
        <item m="1" x="339"/>
        <item m="1" x="337"/>
        <item m="1" x="226"/>
        <item m="1" x="417"/>
        <item m="1" x="332"/>
        <item m="1" x="381"/>
        <item m="1" x="359"/>
        <item m="1" x="400"/>
        <item m="1" x="308"/>
        <item m="1" x="172"/>
        <item m="1" x="405"/>
        <item m="1" x="309"/>
        <item m="1" x="200"/>
        <item m="1" x="368"/>
        <item m="1" x="365"/>
        <item m="1" x="187"/>
        <item m="1" x="393"/>
        <item m="1" x="184"/>
        <item m="1" x="195"/>
        <item m="1" x="422"/>
        <item m="1" x="189"/>
        <item m="1" x="270"/>
        <item m="1" x="186"/>
        <item x="49"/>
        <item m="1" x="191"/>
        <item m="1" x="264"/>
        <item m="1" x="421"/>
        <item x="60"/>
        <item m="1" x="415"/>
        <item m="1" x="202"/>
        <item m="1" x="123"/>
        <item m="1" x="396"/>
        <item m="1" x="371"/>
        <item m="1" x="397"/>
        <item m="1" x="428"/>
        <item m="1" x="384"/>
        <item x="51"/>
        <item m="1" x="423"/>
        <item m="1" x="349"/>
        <item m="1" x="398"/>
        <item m="1" x="360"/>
        <item m="1" x="437"/>
        <item m="1" x="348"/>
        <item m="1" x="340"/>
        <item m="1" x="438"/>
        <item m="1" x="414"/>
        <item m="1" x="407"/>
        <item m="1" x="321"/>
        <item m="1" x="201"/>
        <item m="1" x="170"/>
        <item m="1" x="285"/>
        <item m="1" x="306"/>
        <item m="1" x="275"/>
        <item m="1" x="316"/>
        <item m="1" x="395"/>
        <item m="1" x="424"/>
        <item m="1" x="454"/>
        <item m="1" x="431"/>
        <item m="1" x="178"/>
        <item m="1" x="182"/>
        <item m="1" x="122"/>
        <item m="1" x="171"/>
        <item m="1" x="392"/>
        <item m="1" x="211"/>
        <item m="1" x="394"/>
        <item m="1" x="441"/>
        <item m="1" x="358"/>
        <item m="1" x="301"/>
        <item m="1" x="419"/>
        <item m="1" x="302"/>
        <item m="1" x="362"/>
        <item m="1" x="329"/>
        <item m="1" x="445"/>
        <item m="1" x="305"/>
        <item m="1" x="380"/>
        <item m="1" x="364"/>
        <item m="1" x="303"/>
        <item m="1" x="367"/>
        <item m="1" x="130"/>
        <item m="1" x="429"/>
        <item m="1" x="391"/>
        <item m="1" x="216"/>
        <item m="1" x="357"/>
        <item m="1" x="446"/>
        <item m="1" x="366"/>
        <item m="1" x="266"/>
        <item m="1" x="268"/>
        <item m="1" x="416"/>
        <item m="1" x="412"/>
        <item m="1" x="256"/>
        <item m="1" x="177"/>
        <item m="1" x="297"/>
        <item m="1" x="311"/>
        <item m="1" x="273"/>
        <item m="1" x="290"/>
        <item m="1" x="448"/>
        <item m="1" x="221"/>
        <item m="1" x="180"/>
        <item m="1" x="410"/>
        <item m="1" x="374"/>
        <item m="1" x="217"/>
        <item m="1" x="404"/>
        <item m="1" x="192"/>
        <item m="1" x="164"/>
        <item m="1" x="161"/>
        <item m="1" x="330"/>
        <item m="1" x="162"/>
        <item m="1" x="163"/>
        <item m="1" x="160"/>
        <item m="1" x="165"/>
        <item m="1" x="283"/>
        <item m="1" x="248"/>
        <item m="1" x="236"/>
        <item m="1" x="193"/>
        <item x="58"/>
        <item m="1" x="279"/>
        <item m="1" x="277"/>
        <item m="1" x="223"/>
        <item m="1" x="225"/>
        <item m="1" x="124"/>
        <item m="1" x="125"/>
        <item m="1" x="227"/>
        <item m="1" x="307"/>
        <item m="1" x="166"/>
        <item m="1" x="131"/>
        <item m="1" x="228"/>
        <item m="1" x="176"/>
        <item x="34"/>
        <item m="1" x="144"/>
        <item m="1" x="145"/>
        <item m="1" x="129"/>
        <item m="1" x="107"/>
        <item x="30"/>
        <item x="54"/>
        <item m="1" x="71"/>
        <item x="1"/>
        <item m="1" x="96"/>
        <item x="40"/>
        <item m="1" x="104"/>
        <item x="42"/>
        <item m="1" x="102"/>
        <item x="47"/>
        <item x="48"/>
        <item x="35"/>
        <item m="1" x="111"/>
        <item x="37"/>
        <item m="1" x="101"/>
        <item m="1" x="95"/>
        <item m="1" x="92"/>
        <item m="1" x="94"/>
        <item m="1" x="108"/>
        <item x="32"/>
        <item x="27"/>
        <item m="1" x="109"/>
        <item m="1" x="110"/>
        <item m="1" x="97"/>
        <item m="1" x="98"/>
        <item x="16"/>
        <item x="57"/>
        <item m="1" x="61"/>
        <item x="38"/>
        <item x="46"/>
        <item m="1" x="106"/>
        <item x="44"/>
        <item m="1" x="105"/>
        <item m="1" x="93"/>
        <item x="41"/>
        <item m="1" x="103"/>
        <item x="43"/>
        <item x="2"/>
        <item x="36"/>
        <item x="45"/>
        <item m="1" x="86"/>
        <item m="1" x="87"/>
        <item m="1" x="100"/>
        <item m="1" x="88"/>
        <item m="1" x="62"/>
        <item x="9"/>
        <item m="1" x="89"/>
        <item m="1" x="99"/>
        <item m="1" x="90"/>
        <item m="1" x="91"/>
        <item m="1" x="79"/>
        <item m="1" x="80"/>
        <item m="1" x="81"/>
        <item m="1" x="82"/>
        <item m="1" x="83"/>
        <item m="1" x="84"/>
        <item m="1" x="85"/>
        <item m="1" x="72"/>
        <item m="1" x="73"/>
        <item m="1" x="74"/>
        <item m="1" x="75"/>
        <item m="1" x="76"/>
        <item m="1" x="77"/>
        <item m="1" x="78"/>
        <item x="24"/>
        <item x="23"/>
        <item x="13"/>
        <item x="8"/>
        <item x="20"/>
        <item x="12"/>
        <item x="0"/>
        <item x="3"/>
        <item x="4"/>
        <item x="5"/>
        <item x="6"/>
        <item x="10"/>
        <item m="1" x="64"/>
        <item x="56"/>
        <item x="15"/>
        <item x="22"/>
        <item m="1" x="70"/>
        <item x="29"/>
        <item m="1" x="67"/>
        <item m="1" x="68"/>
        <item m="1" x="69"/>
        <item m="1" x="66"/>
        <item m="1" x="63"/>
        <item m="1" x="65"/>
        <item x="25"/>
        <item x="26"/>
        <item x="18"/>
        <item x="11"/>
        <item x="17"/>
        <item x="21"/>
        <item x="14"/>
        <item x="19"/>
        <item x="28"/>
        <item x="7"/>
        <item x="59"/>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1">
    <i>
      <x v="3"/>
    </i>
  </colItems>
  <formats count="15">
    <format dxfId="3842">
      <pivotArea field="3" type="button" dataOnly="0" labelOnly="1" outline="0"/>
    </format>
    <format dxfId="3841">
      <pivotArea dataOnly="0" labelOnly="1" outline="0" axis="axisValues" fieldPosition="0"/>
    </format>
    <format dxfId="3840">
      <pivotArea outline="0" collapsedLevelsAreSubtotals="1" fieldPosition="0"/>
    </format>
    <format dxfId="3839">
      <pivotArea outline="0" collapsedLevelsAreSubtotals="1" fieldPosition="0"/>
    </format>
    <format dxfId="3838">
      <pivotArea field="2" type="button" dataOnly="0" labelOnly="1" outline="0" axis="axisCol" fieldPosition="0"/>
    </format>
    <format dxfId="3837">
      <pivotArea dataOnly="0" labelOnly="1" fieldPosition="0">
        <references count="1">
          <reference field="2" count="0"/>
        </references>
      </pivotArea>
    </format>
    <format dxfId="3836">
      <pivotArea dataOnly="0" labelOnly="1" fieldPosition="0">
        <references count="1">
          <reference field="2" count="0"/>
        </references>
      </pivotArea>
    </format>
    <format dxfId="3835">
      <pivotArea type="all" dataOnly="0" outline="0" fieldPosition="0"/>
    </format>
    <format dxfId="3834">
      <pivotArea field="2" type="button" dataOnly="0" labelOnly="1" outline="0" axis="axisCol" fieldPosition="0"/>
    </format>
    <format dxfId="3833">
      <pivotArea dataOnly="0" labelOnly="1" fieldPosition="0">
        <references count="1">
          <reference field="2" count="0"/>
        </references>
      </pivotArea>
    </format>
    <format dxfId="3832">
      <pivotArea type="all" dataOnly="0" outline="0" fieldPosition="0"/>
    </format>
    <format dxfId="3831">
      <pivotArea field="2" type="button" dataOnly="0" labelOnly="1" outline="0" axis="axisCol" fieldPosition="0"/>
    </format>
    <format dxfId="3830">
      <pivotArea dataOnly="0" labelOnly="1" fieldPosition="0">
        <references count="1">
          <reference field="2" count="0"/>
        </references>
      </pivotArea>
    </format>
    <format dxfId="3829">
      <pivotArea field="2" type="button" dataOnly="0" labelOnly="1" outline="0" axis="axisCol" fieldPosition="0"/>
    </format>
    <format dxfId="3828">
      <pivotArea field="2"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F4827B-41A9-4684-840F-DD81F191E5C1}" name="Split Principal PT2" cacheId="1" applyNumberFormats="0" applyBorderFormats="0" applyFontFormats="0" applyPatternFormats="0" applyAlignmentFormats="0" applyWidthHeightFormats="1" dataCaption="Valores" showMissing="0" updatedVersion="8" minRefreshableVersion="3" showDrill="0" showDataTips="0" rowGrandTotals="0" colGrandTotals="0" createdVersion="4" compact="0" compactData="0" multipleFieldFilters="0">
  <location ref="J18:U31" firstHeaderRow="1" firstDataRow="1" firstDataCol="11"/>
  <pivotFields count="17">
    <pivotField compact="0" outline="0" showAll="0"/>
    <pivotField axis="axisRow" compact="0" outline="0" showAll="0" defaultSubtotal="0">
      <items count="41">
        <item h="1" m="1" x="17"/>
        <item h="1" m="1" x="18"/>
        <item h="1" m="1" x="12"/>
        <item h="1" m="1" x="19"/>
        <item h="1" m="1" x="13"/>
        <item h="1" m="1" x="14"/>
        <item h="1" m="1" x="15"/>
        <item h="1" m="1" x="16"/>
        <item h="1" m="1" x="11"/>
        <item h="1" m="1" x="10"/>
        <item x="3"/>
        <item h="1" x="4"/>
        <item h="1" x="5"/>
        <item h="1" x="6"/>
        <item h="1" x="7"/>
        <item h="1" x="8"/>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0"/>
        <item h="1" x="1"/>
        <item h="1" x="2"/>
        <item h="1" x="9"/>
      </items>
    </pivotField>
    <pivotField dataField="1" compact="0" outline="0" showAll="0" defaultSubtotal="0">
      <items count="42">
        <item h="1" m="1" x="41"/>
        <item h="1" x="0"/>
        <item h="1" x="1"/>
        <item h="1" x="2"/>
        <item x="3"/>
        <item h="1" x="4"/>
        <item h="1" x="5"/>
        <item h="1" x="6"/>
        <item h="1" x="7"/>
        <item h="1" x="8"/>
        <item h="1" m="1" x="16"/>
        <item h="1" m="1" x="15"/>
        <item h="1" m="1" x="10"/>
        <item h="1" m="1" x="14"/>
        <item h="1" m="1" x="17"/>
        <item h="1" m="1" x="13"/>
        <item h="1" m="1" x="11"/>
        <item h="1" m="1" x="12"/>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9"/>
      </items>
    </pivotField>
    <pivotField name="Sites" axis="axisRow" compact="0" outline="0" showAll="0" nonAutoSortDefault="1" defaultSubtotal="0">
      <items count="455">
        <item m="1" x="269"/>
        <item m="1" x="270"/>
        <item m="1" x="304"/>
        <item m="1" x="309"/>
        <item m="1" x="298"/>
        <item m="1" x="305"/>
        <item m="1" x="254"/>
        <item m="1" x="258"/>
        <item m="1" x="299"/>
        <item m="1" x="433"/>
        <item m="1" x="331"/>
        <item m="1" x="237"/>
        <item m="1" x="287"/>
        <item m="1" x="344"/>
        <item m="1" x="345"/>
        <item m="1" x="238"/>
        <item m="1" x="255"/>
        <item m="1" x="239"/>
        <item m="1" x="280"/>
        <item m="1" x="281"/>
        <item m="1" x="257"/>
        <item m="1" x="256"/>
        <item m="1" x="240"/>
        <item m="1" x="241"/>
        <item m="1" x="293"/>
        <item m="1" x="294"/>
        <item m="1" x="265"/>
        <item m="1" x="242"/>
        <item m="1" x="271"/>
        <item m="1" x="321"/>
        <item m="1" x="243"/>
        <item m="1" x="244"/>
        <item m="1" x="291"/>
        <item m="1" x="268"/>
        <item m="1" x="259"/>
        <item m="1" x="245"/>
        <item m="1" x="310"/>
        <item m="1" x="342"/>
        <item m="1" x="343"/>
        <item m="1" x="261"/>
        <item m="1" x="262"/>
        <item m="1" x="311"/>
        <item m="1" x="260"/>
        <item m="1" x="322"/>
        <item m="1" x="308"/>
        <item m="1" x="246"/>
        <item m="1" x="251"/>
        <item m="1" x="247"/>
        <item m="1" x="282"/>
        <item m="1" x="249"/>
        <item m="1" x="253"/>
        <item m="1" x="295"/>
        <item m="1" x="286"/>
        <item m="1" x="292"/>
        <item m="1" x="300"/>
        <item m="1" x="252"/>
        <item m="1" x="272"/>
        <item m="1" x="323"/>
        <item m="1" x="264"/>
        <item m="1" x="273"/>
        <item m="1" x="250"/>
        <item m="1" x="296"/>
        <item m="1" x="297"/>
        <item m="1" x="278"/>
        <item m="1" x="306"/>
        <item m="1" x="324"/>
        <item m="1" x="312"/>
        <item m="1" x="326"/>
        <item m="1" x="313"/>
        <item m="1" x="314"/>
        <item m="1" x="315"/>
        <item m="1" x="274"/>
        <item m="1" x="275"/>
        <item m="1" x="276"/>
        <item m="1" x="263"/>
        <item m="1" x="266"/>
        <item m="1" x="267"/>
        <item m="1" x="430"/>
        <item m="1" x="316"/>
        <item m="1" x="325"/>
        <item m="1" x="284"/>
        <item m="1" x="288"/>
        <item m="1" x="318"/>
        <item m="1" x="317"/>
        <item m="1" x="289"/>
        <item m="1" x="328"/>
        <item m="1" x="327"/>
        <item m="1" x="285"/>
        <item m="1" x="301"/>
        <item m="1" x="290"/>
        <item m="1" x="319"/>
        <item m="1" x="302"/>
        <item m="1" x="329"/>
        <item m="1" x="303"/>
        <item m="1" x="320"/>
        <item m="1" x="112"/>
        <item m="1" x="113"/>
        <item m="1" x="114"/>
        <item m="1" x="115"/>
        <item m="1" x="235"/>
        <item m="1" x="116"/>
        <item m="1" x="117"/>
        <item m="1" x="118"/>
        <item m="1" x="119"/>
        <item m="1" x="120"/>
        <item m="1" x="121"/>
        <item m="1" x="122"/>
        <item m="1" x="123"/>
        <item m="1" x="335"/>
        <item m="1" x="336"/>
        <item m="1" x="333"/>
        <item m="1" x="334"/>
        <item m="1" x="126"/>
        <item m="1" x="127"/>
        <item m="1" x="128"/>
        <item m="1" x="230"/>
        <item m="1" x="130"/>
        <item m="1" x="234"/>
        <item m="1" x="132"/>
        <item m="1" x="133"/>
        <item m="1" x="134"/>
        <item m="1" x="135"/>
        <item m="1" x="136"/>
        <item m="1" x="137"/>
        <item m="1" x="138"/>
        <item m="1" x="139"/>
        <item m="1" x="140"/>
        <item m="1" x="141"/>
        <item m="1" x="142"/>
        <item m="1" x="143"/>
        <item m="1" x="231"/>
        <item m="1" x="232"/>
        <item m="1" x="146"/>
        <item m="1" x="147"/>
        <item m="1" x="148"/>
        <item m="1" x="149"/>
        <item m="1" x="150"/>
        <item m="1" x="151"/>
        <item x="31"/>
        <item m="1" x="152"/>
        <item m="1" x="153"/>
        <item m="1" x="154"/>
        <item m="1" x="155"/>
        <item m="1" x="156"/>
        <item x="33"/>
        <item m="1" x="157"/>
        <item m="1" x="158"/>
        <item m="1" x="159"/>
        <item m="1" x="387"/>
        <item m="1" x="356"/>
        <item m="1" x="431"/>
        <item m="1" x="450"/>
        <item m="1" x="440"/>
        <item m="1" x="358"/>
        <item m="1" x="388"/>
        <item m="1" x="167"/>
        <item m="1" x="168"/>
        <item m="1" x="169"/>
        <item m="1" x="170"/>
        <item m="1" x="171"/>
        <item m="1" x="172"/>
        <item m="1" x="173"/>
        <item m="1" x="174"/>
        <item m="1" x="175"/>
        <item m="1" x="233"/>
        <item m="1" x="177"/>
        <item m="1" x="178"/>
        <item m="1" x="179"/>
        <item m="1" x="180"/>
        <item m="1" x="181"/>
        <item m="1" x="182"/>
        <item m="1" x="183"/>
        <item m="1" x="184"/>
        <item m="1" x="185"/>
        <item m="1" x="186"/>
        <item m="1" x="187"/>
        <item m="1" x="188"/>
        <item m="1" x="189"/>
        <item m="1" x="190"/>
        <item x="49"/>
        <item m="1" x="191"/>
        <item m="1" x="194"/>
        <item m="1" x="195"/>
        <item m="1" x="196"/>
        <item m="1" x="197"/>
        <item m="1" x="198"/>
        <item m="1" x="199"/>
        <item m="1" x="200"/>
        <item m="1" x="201"/>
        <item m="1" x="202"/>
        <item m="1" x="203"/>
        <item m="1" x="204"/>
        <item m="1" x="205"/>
        <item m="1" x="206"/>
        <item x="50"/>
        <item m="1" x="207"/>
        <item m="1" x="208"/>
        <item m="1" x="209"/>
        <item m="1" x="210"/>
        <item m="1" x="211"/>
        <item x="51"/>
        <item m="1" x="212"/>
        <item x="52"/>
        <item x="53"/>
        <item m="1" x="213"/>
        <item m="1" x="214"/>
        <item m="1" x="229"/>
        <item x="55"/>
        <item m="1" x="215"/>
        <item m="1" x="216"/>
        <item m="1" x="217"/>
        <item m="1" x="218"/>
        <item m="1" x="219"/>
        <item m="1" x="220"/>
        <item m="1" x="221"/>
        <item m="1" x="222"/>
        <item m="1" x="341"/>
        <item m="1" x="340"/>
        <item m="1" x="224"/>
        <item m="1" x="338"/>
        <item m="1" x="339"/>
        <item m="1" x="337"/>
        <item m="1" x="226"/>
        <item m="1" x="332"/>
        <item m="1" x="376"/>
        <item m="1" x="432"/>
        <item m="1" x="351"/>
        <item m="1" x="449"/>
        <item m="1" x="435"/>
        <item m="1" x="442"/>
        <item m="1" x="379"/>
        <item m="1" x="401"/>
        <item m="1" x="355"/>
        <item m="1" x="443"/>
        <item m="1" x="453"/>
        <item m="1" x="373"/>
        <item m="1" x="408"/>
        <item m="1" x="363"/>
        <item m="1" x="439"/>
        <item m="1" x="372"/>
        <item m="1" x="347"/>
        <item m="1" x="425"/>
        <item m="1" x="361"/>
        <item m="1" x="452"/>
        <item m="1" x="434"/>
        <item m="1" x="378"/>
        <item m="1" x="369"/>
        <item m="1" x="383"/>
        <item m="1" x="436"/>
        <item m="1" x="377"/>
        <item m="1" x="427"/>
        <item m="1" x="409"/>
        <item m="1" x="354"/>
        <item m="1" x="451"/>
        <item m="1" x="444"/>
        <item m="1" x="426"/>
        <item m="1" x="413"/>
        <item m="1" x="352"/>
        <item m="1" x="418"/>
        <item m="1" x="399"/>
        <item m="1" x="389"/>
        <item m="1" x="382"/>
        <item m="1" x="447"/>
        <item m="1" x="406"/>
        <item m="1" x="402"/>
        <item m="1" x="403"/>
        <item m="1" x="375"/>
        <item m="1" x="353"/>
        <item m="1" x="346"/>
        <item m="1" x="411"/>
        <item m="1" x="390"/>
        <item m="1" x="350"/>
        <item m="1" x="417"/>
        <item m="1" x="370"/>
        <item m="1" x="420"/>
        <item m="1" x="385"/>
        <item m="1" x="386"/>
        <item m="1" x="381"/>
        <item m="1" x="359"/>
        <item m="1" x="400"/>
        <item m="1" x="405"/>
        <item m="1" x="368"/>
        <item m="1" x="365"/>
        <item m="1" x="393"/>
        <item m="1" x="422"/>
        <item m="1" x="421"/>
        <item x="60"/>
        <item m="1" x="415"/>
        <item m="1" x="396"/>
        <item m="1" x="371"/>
        <item m="1" x="397"/>
        <item m="1" x="428"/>
        <item m="1" x="384"/>
        <item m="1" x="423"/>
        <item m="1" x="349"/>
        <item m="1" x="398"/>
        <item m="1" x="360"/>
        <item m="1" x="437"/>
        <item m="1" x="348"/>
        <item m="1" x="438"/>
        <item m="1" x="414"/>
        <item m="1" x="407"/>
        <item m="1" x="395"/>
        <item m="1" x="424"/>
        <item m="1" x="454"/>
        <item m="1" x="392"/>
        <item m="1" x="394"/>
        <item m="1" x="441"/>
        <item m="1" x="419"/>
        <item m="1" x="362"/>
        <item m="1" x="445"/>
        <item m="1" x="380"/>
        <item m="1" x="364"/>
        <item m="1" x="367"/>
        <item m="1" x="429"/>
        <item m="1" x="391"/>
        <item m="1" x="357"/>
        <item m="1" x="446"/>
        <item m="1" x="366"/>
        <item m="1" x="416"/>
        <item m="1" x="412"/>
        <item m="1" x="448"/>
        <item m="1" x="410"/>
        <item m="1" x="374"/>
        <item m="1" x="404"/>
        <item m="1" x="192"/>
        <item m="1" x="164"/>
        <item m="1" x="161"/>
        <item m="1" x="330"/>
        <item m="1" x="162"/>
        <item m="1" x="163"/>
        <item m="1" x="160"/>
        <item m="1" x="165"/>
        <item m="1" x="283"/>
        <item m="1" x="248"/>
        <item m="1" x="236"/>
        <item m="1" x="193"/>
        <item x="58"/>
        <item m="1" x="279"/>
        <item m="1" x="277"/>
        <item m="1" x="223"/>
        <item m="1" x="225"/>
        <item m="1" x="124"/>
        <item m="1" x="125"/>
        <item m="1" x="227"/>
        <item m="1" x="307"/>
        <item m="1" x="166"/>
        <item m="1" x="131"/>
        <item m="1" x="228"/>
        <item m="1" x="176"/>
        <item x="34"/>
        <item m="1" x="144"/>
        <item m="1" x="145"/>
        <item m="1" x="129"/>
        <item m="1" x="107"/>
        <item x="30"/>
        <item x="54"/>
        <item m="1" x="71"/>
        <item x="1"/>
        <item m="1" x="96"/>
        <item x="40"/>
        <item m="1" x="104"/>
        <item x="42"/>
        <item m="1" x="102"/>
        <item x="47"/>
        <item x="48"/>
        <item x="35"/>
        <item m="1" x="111"/>
        <item x="37"/>
        <item m="1" x="101"/>
        <item m="1" x="95"/>
        <item m="1" x="92"/>
        <item m="1" x="94"/>
        <item m="1" x="108"/>
        <item x="32"/>
        <item x="27"/>
        <item m="1" x="109"/>
        <item m="1" x="110"/>
        <item m="1" x="97"/>
        <item m="1" x="98"/>
        <item x="16"/>
        <item x="57"/>
        <item m="1" x="61"/>
        <item x="38"/>
        <item x="46"/>
        <item m="1" x="106"/>
        <item x="44"/>
        <item m="1" x="105"/>
        <item m="1" x="93"/>
        <item x="41"/>
        <item m="1" x="103"/>
        <item x="43"/>
        <item x="2"/>
        <item x="36"/>
        <item x="45"/>
        <item m="1" x="86"/>
        <item m="1" x="87"/>
        <item m="1" x="100"/>
        <item m="1" x="88"/>
        <item m="1" x="62"/>
        <item x="9"/>
        <item m="1" x="89"/>
        <item m="1" x="99"/>
        <item m="1" x="90"/>
        <item m="1" x="91"/>
        <item m="1" x="79"/>
        <item m="1" x="80"/>
        <item m="1" x="81"/>
        <item m="1" x="82"/>
        <item m="1" x="83"/>
        <item m="1" x="84"/>
        <item m="1" x="85"/>
        <item m="1" x="72"/>
        <item m="1" x="73"/>
        <item m="1" x="74"/>
        <item m="1" x="75"/>
        <item m="1" x="76"/>
        <item m="1" x="77"/>
        <item m="1" x="78"/>
        <item x="24"/>
        <item x="23"/>
        <item x="13"/>
        <item x="8"/>
        <item x="20"/>
        <item x="12"/>
        <item x="0"/>
        <item x="3"/>
        <item x="4"/>
        <item x="5"/>
        <item x="6"/>
        <item x="10"/>
        <item m="1" x="64"/>
        <item x="56"/>
        <item x="15"/>
        <item x="22"/>
        <item m="1" x="70"/>
        <item x="29"/>
        <item m="1" x="67"/>
        <item m="1" x="68"/>
        <item m="1" x="69"/>
        <item m="1" x="66"/>
        <item m="1" x="63"/>
        <item m="1" x="65"/>
        <item x="25"/>
        <item x="26"/>
        <item x="18"/>
        <item x="11"/>
        <item x="17"/>
        <item x="21"/>
        <item x="14"/>
        <item x="19"/>
        <item x="28"/>
        <item x="7"/>
        <item x="59"/>
        <item x="39"/>
      </items>
    </pivotField>
    <pivotField name="Log Time " axis="axisRow" compact="0" outline="0" showAll="0" defaultSubtotal="0">
      <items count="18">
        <item m="1" x="12"/>
        <item m="1" x="17"/>
        <item m="1" x="13"/>
        <item x="3"/>
        <item x="6"/>
        <item x="5"/>
        <item x="1"/>
        <item m="1" x="9"/>
        <item x="0"/>
        <item m="1" x="15"/>
        <item x="2"/>
        <item x="4"/>
        <item m="1" x="14"/>
        <item m="1" x="8"/>
        <item m="1" x="16"/>
        <item m="1" x="11"/>
        <item m="1" x="10"/>
        <item x="7"/>
      </items>
    </pivotField>
    <pivotField name="Time Zone" axis="axisRow" compact="0" outline="0" showAll="0" defaultSubtotal="0">
      <items count="8">
        <item x="0"/>
        <item x="1"/>
        <item m="1" x="7"/>
        <item x="2"/>
        <item x="3"/>
        <item m="1" x="6"/>
        <item x="4"/>
        <item x="5"/>
      </items>
    </pivotField>
    <pivotField axis="axisRow" compact="0" outline="0" showAll="0" defaultSubtotal="0">
      <items count="16">
        <item m="1" x="9"/>
        <item m="1" x="15"/>
        <item x="1"/>
        <item x="2"/>
        <item m="1" x="14"/>
        <item x="4"/>
        <item m="1" x="12"/>
        <item m="1" x="11"/>
        <item m="1" x="8"/>
        <item x="0"/>
        <item m="1" x="13"/>
        <item x="3"/>
        <item x="5"/>
        <item x="6"/>
        <item m="1" x="10"/>
        <item x="7"/>
      </items>
    </pivotField>
    <pivotField axis="axisRow" compact="0" outline="0" showAll="0" defaultSubtotal="0">
      <items count="8">
        <item x="3"/>
        <item x="1"/>
        <item x="6"/>
        <item x="7"/>
        <item x="5"/>
        <item x="0"/>
        <item x="4"/>
        <item x="2"/>
      </items>
    </pivotField>
    <pivotField compact="0" outline="0" showAll="0" defaultSubtotal="0"/>
    <pivotField compact="0" outline="0" showAll="0"/>
    <pivotField compact="0" outline="0" showAll="0"/>
    <pivotField axis="axisRow" compact="0" outline="0" showAll="0" defaultSubtotal="0">
      <items count="44">
        <item m="1" x="32"/>
        <item m="1" x="35"/>
        <item m="1" x="34"/>
        <item x="23"/>
        <item m="1" x="42"/>
        <item m="1" x="36"/>
        <item m="1" x="38"/>
        <item m="1" x="37"/>
        <item m="1" x="40"/>
        <item x="14"/>
        <item m="1" x="39"/>
        <item m="1" x="33"/>
        <item m="1" x="43"/>
        <item m="1" x="41"/>
        <item x="0"/>
        <item x="1"/>
        <item x="18"/>
        <item x="20"/>
        <item x="22"/>
        <item x="27"/>
        <item x="30"/>
        <item x="26"/>
        <item x="10"/>
        <item x="25"/>
        <item x="21"/>
        <item x="2"/>
        <item x="29"/>
        <item x="12"/>
        <item x="6"/>
        <item x="24"/>
        <item x="3"/>
        <item x="4"/>
        <item x="9"/>
        <item x="19"/>
        <item x="16"/>
        <item x="13"/>
        <item x="15"/>
        <item x="17"/>
        <item x="8"/>
        <item x="7"/>
        <item x="11"/>
        <item x="31"/>
        <item x="28"/>
        <item x="5"/>
      </items>
    </pivotField>
    <pivotField axis="axisRow" compact="0" outline="0" showAll="0" defaultSubtotal="0">
      <items count="49">
        <item m="1" x="42"/>
        <item x="7"/>
        <item x="21"/>
        <item x="14"/>
        <item m="1" x="45"/>
        <item x="10"/>
        <item m="1" x="46"/>
        <item m="1" x="47"/>
        <item m="1" x="48"/>
        <item x="1"/>
        <item x="2"/>
        <item x="12"/>
        <item x="27"/>
        <item x="28"/>
        <item x="29"/>
        <item x="32"/>
        <item x="33"/>
        <item x="34"/>
        <item x="35"/>
        <item x="36"/>
        <item m="1" x="43"/>
        <item m="1" x="44"/>
        <item x="39"/>
        <item x="38"/>
        <item x="26"/>
        <item x="31"/>
        <item x="24"/>
        <item x="30"/>
        <item x="37"/>
        <item x="19"/>
        <item x="6"/>
        <item x="16"/>
        <item x="0"/>
        <item x="3"/>
        <item x="4"/>
        <item x="8"/>
        <item x="23"/>
        <item x="18"/>
        <item x="22"/>
        <item x="25"/>
        <item x="9"/>
        <item x="20"/>
        <item x="13"/>
        <item x="17"/>
        <item x="11"/>
        <item x="15"/>
        <item x="41"/>
        <item x="5"/>
        <item x="40"/>
      </items>
    </pivotField>
    <pivotField axis="axisRow" compact="0" outline="0" showAll="0" defaultSubtotal="0">
      <items count="17">
        <item m="1" x="14"/>
        <item m="1" x="16"/>
        <item m="1" x="15"/>
        <item m="1" x="13"/>
        <item x="0"/>
        <item x="3"/>
        <item x="6"/>
        <item x="7"/>
        <item x="9"/>
        <item x="10"/>
        <item x="11"/>
        <item x="5"/>
        <item x="8"/>
        <item x="2"/>
        <item x="1"/>
        <item x="4"/>
        <item x="12"/>
      </items>
    </pivotField>
    <pivotField axis="axisRow" compact="0" outline="0" showAll="0" defaultSubtotal="0">
      <items count="34">
        <item m="1" x="24"/>
        <item x="1"/>
        <item m="1" x="26"/>
        <item x="6"/>
        <item x="3"/>
        <item x="19"/>
        <item m="1" x="33"/>
        <item x="17"/>
        <item m="1" x="25"/>
        <item m="1" x="30"/>
        <item m="1" x="28"/>
        <item m="1" x="27"/>
        <item x="10"/>
        <item m="1" x="31"/>
        <item x="4"/>
        <item m="1" x="29"/>
        <item m="1" x="32"/>
        <item m="1" x="23"/>
        <item x="0"/>
        <item x="18"/>
        <item x="20"/>
        <item x="21"/>
        <item x="9"/>
        <item x="5"/>
        <item x="7"/>
        <item x="2"/>
        <item x="11"/>
        <item x="16"/>
        <item x="13"/>
        <item x="12"/>
        <item x="14"/>
        <item x="15"/>
        <item x="8"/>
        <item x="22"/>
      </items>
    </pivotField>
    <pivotField axis="axisRow" compact="0" outline="0" showAll="0">
      <items count="70">
        <item m="1" x="57"/>
        <item m="1" x="58"/>
        <item x="28"/>
        <item m="1" x="64"/>
        <item m="1" x="60"/>
        <item m="1" x="67"/>
        <item m="1" x="61"/>
        <item m="1" x="59"/>
        <item x="22"/>
        <item x="53"/>
        <item m="1" x="66"/>
        <item m="1" x="62"/>
        <item m="1" x="65"/>
        <item m="1" x="63"/>
        <item m="1" x="68"/>
        <item x="1"/>
        <item x="16"/>
        <item x="40"/>
        <item x="41"/>
        <item x="42"/>
        <item x="45"/>
        <item x="47"/>
        <item x="48"/>
        <item x="49"/>
        <item x="52"/>
        <item x="55"/>
        <item x="51"/>
        <item x="50"/>
        <item x="27"/>
        <item x="15"/>
        <item x="39"/>
        <item x="44"/>
        <item x="2"/>
        <item x="33"/>
        <item x="43"/>
        <item x="46"/>
        <item x="54"/>
        <item x="24"/>
        <item x="23"/>
        <item x="31"/>
        <item x="9"/>
        <item x="13"/>
        <item x="8"/>
        <item x="20"/>
        <item x="0"/>
        <item x="3"/>
        <item x="4"/>
        <item x="5"/>
        <item x="6"/>
        <item x="10"/>
        <item x="11"/>
        <item x="30"/>
        <item x="29"/>
        <item x="38"/>
        <item x="35"/>
        <item x="32"/>
        <item x="34"/>
        <item x="36"/>
        <item x="37"/>
        <item x="12"/>
        <item x="25"/>
        <item x="26"/>
        <item x="18"/>
        <item x="17"/>
        <item x="21"/>
        <item x="14"/>
        <item x="19"/>
        <item x="56"/>
        <item x="7"/>
        <item t="default"/>
      </items>
    </pivotField>
    <pivotField compact="0" outline="0" showAll="0"/>
  </pivotFields>
  <rowFields count="11">
    <field x="1"/>
    <field x="4"/>
    <field x="3"/>
    <field x="6"/>
    <field x="5"/>
    <field x="7"/>
    <field x="11"/>
    <field x="12"/>
    <field x="13"/>
    <field x="14"/>
    <field x="15"/>
  </rowFields>
  <rowItems count="13">
    <i>
      <x v="10"/>
      <x v="5"/>
      <x v="360"/>
      <x v="12"/>
      <x/>
      <x v="5"/>
      <x v="17"/>
      <x v="12"/>
      <x v="6"/>
      <x v="18"/>
      <x v="17"/>
    </i>
    <i r="2">
      <x v="394"/>
      <x v="9"/>
      <x/>
      <x v="5"/>
      <x v="14"/>
      <x v="15"/>
      <x v="8"/>
      <x v="20"/>
      <x v="20"/>
    </i>
    <i r="1">
      <x v="6"/>
      <x v="400"/>
      <x v="2"/>
      <x v="1"/>
      <x v="5"/>
      <x v="28"/>
      <x v="1"/>
      <x v="4"/>
      <x v="23"/>
      <x v="40"/>
    </i>
    <i r="2">
      <x v="421"/>
      <x v="2"/>
      <x v="1"/>
      <x v="5"/>
      <x v="14"/>
      <x v="5"/>
      <x v="13"/>
      <x v="24"/>
      <x v="41"/>
    </i>
    <i r="2">
      <x v="422"/>
      <x v="2"/>
      <x v="1"/>
      <x/>
      <x v="14"/>
      <x v="30"/>
      <x v="4"/>
      <x v="18"/>
      <x v="42"/>
    </i>
    <i r="2">
      <x v="423"/>
      <x v="2"/>
      <x v="1"/>
      <x v="5"/>
      <x v="14"/>
      <x v="31"/>
      <x v="4"/>
      <x v="18"/>
      <x v="43"/>
    </i>
    <i r="2">
      <x v="426"/>
      <x v="2"/>
      <x v="1"/>
      <x v="1"/>
      <x v="30"/>
      <x v="9"/>
      <x v="4"/>
      <x v="25"/>
      <x v="45"/>
    </i>
    <i r="2">
      <x v="429"/>
      <x v="2"/>
      <x v="1"/>
      <x v="5"/>
      <x v="14"/>
      <x v="34"/>
      <x v="14"/>
      <x v="14"/>
      <x v="48"/>
    </i>
    <i r="2">
      <x v="432"/>
      <x v="2"/>
      <x v="1"/>
      <x v="1"/>
      <x v="26"/>
      <x v="28"/>
      <x v="4"/>
      <x v="18"/>
      <x v="36"/>
    </i>
    <i r="2">
      <x v="449"/>
      <x v="2"/>
      <x v="1"/>
      <x v="5"/>
      <x v="14"/>
      <x v="44"/>
      <x v="4"/>
      <x v="18"/>
      <x v="65"/>
    </i>
    <i r="1">
      <x v="8"/>
      <x v="364"/>
      <x v="9"/>
      <x/>
      <x v="5"/>
      <x v="14"/>
      <x v="16"/>
      <x v="9"/>
      <x v="18"/>
      <x v="21"/>
    </i>
    <i r="2">
      <x v="383"/>
      <x v="9"/>
      <x/>
      <x v="5"/>
      <x v="33"/>
      <x v="9"/>
      <x v="15"/>
      <x v="27"/>
      <x v="53"/>
    </i>
    <i r="1">
      <x v="11"/>
      <x v="144"/>
      <x v="5"/>
      <x v="4"/>
      <x v="5"/>
      <x v="9"/>
      <x v="26"/>
      <x v="4"/>
      <x v="18"/>
      <x v="33"/>
    </i>
  </rowItems>
  <colItems count="1">
    <i/>
  </colItems>
  <dataFields count="1">
    <dataField name="Sum of Station" fld="2" baseField="0" baseItem="0"/>
  </dataFields>
  <formats count="20">
    <format dxfId="3862">
      <pivotArea type="all" dataOnly="0" outline="0" fieldPosition="0"/>
    </format>
    <format dxfId="3861">
      <pivotArea type="all" dataOnly="0" outline="0" fieldPosition="0"/>
    </format>
    <format dxfId="3860">
      <pivotArea type="all" dataOnly="0" outline="0" fieldPosition="0"/>
    </format>
    <format dxfId="3859">
      <pivotArea type="all" dataOnly="0" outline="0" fieldPosition="0"/>
    </format>
    <format dxfId="3858">
      <pivotArea field="6" type="button" dataOnly="0" labelOnly="1" outline="0" axis="axisRow" fieldPosition="3"/>
    </format>
    <format dxfId="3857">
      <pivotArea field="5" type="button" dataOnly="0" labelOnly="1" outline="0" axis="axisRow" fieldPosition="4"/>
    </format>
    <format dxfId="3856">
      <pivotArea field="7" type="button" dataOnly="0" labelOnly="1" outline="0" axis="axisRow" fieldPosition="5"/>
    </format>
    <format dxfId="3855">
      <pivotArea field="11" type="button" dataOnly="0" labelOnly="1" outline="0" axis="axisRow" fieldPosition="6"/>
    </format>
    <format dxfId="3854">
      <pivotArea field="12" type="button" dataOnly="0" labelOnly="1" outline="0" axis="axisRow" fieldPosition="7"/>
    </format>
    <format dxfId="3853">
      <pivotArea field="13" type="button" dataOnly="0" labelOnly="1" outline="0" axis="axisRow" fieldPosition="8"/>
    </format>
    <format dxfId="3852">
      <pivotArea field="14" type="button" dataOnly="0" labelOnly="1" outline="0" axis="axisRow" fieldPosition="9"/>
    </format>
    <format dxfId="3851">
      <pivotArea field="15" type="button" dataOnly="0" labelOnly="1" outline="0" axis="axisRow" fieldPosition="10"/>
    </format>
    <format dxfId="3850">
      <pivotArea field="6" type="button" dataOnly="0" labelOnly="1" outline="0" axis="axisRow" fieldPosition="3"/>
    </format>
    <format dxfId="3849">
      <pivotArea field="5" type="button" dataOnly="0" labelOnly="1" outline="0" axis="axisRow" fieldPosition="4"/>
    </format>
    <format dxfId="3848">
      <pivotArea field="7" type="button" dataOnly="0" labelOnly="1" outline="0" axis="axisRow" fieldPosition="5"/>
    </format>
    <format dxfId="3847">
      <pivotArea field="11" type="button" dataOnly="0" labelOnly="1" outline="0" axis="axisRow" fieldPosition="6"/>
    </format>
    <format dxfId="3846">
      <pivotArea field="12" type="button" dataOnly="0" labelOnly="1" outline="0" axis="axisRow" fieldPosition="7"/>
    </format>
    <format dxfId="3845">
      <pivotArea field="13" type="button" dataOnly="0" labelOnly="1" outline="0" axis="axisRow" fieldPosition="8"/>
    </format>
    <format dxfId="3844">
      <pivotArea field="14" type="button" dataOnly="0" labelOnly="1" outline="0" axis="axisRow" fieldPosition="9"/>
    </format>
    <format dxfId="3843">
      <pivotArea field="15" type="button" dataOnly="0" labelOnly="1" outline="0" axis="axisRow" fieldPosition="1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F89633-8D37-4D00-BDF0-902F9C57A1CB}" name="TablaDinámica5" cacheId="1"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Split">
  <location ref="A15:A16" firstHeaderRow="1" firstDataRow="2" firstDataCol="0"/>
  <pivotFields count="17">
    <pivotField showAll="0"/>
    <pivotField axis="axisCol" showAll="0">
      <items count="42">
        <item h="1" m="1" x="12"/>
        <item h="1" m="1" x="17"/>
        <item h="1" m="1" x="18"/>
        <item h="1" m="1" x="19"/>
        <item h="1" m="1" x="13"/>
        <item h="1" m="1" x="14"/>
        <item h="1" m="1" x="15"/>
        <item h="1" m="1" x="16"/>
        <item h="1" m="1" x="11"/>
        <item h="1" m="1" x="10"/>
        <item x="3"/>
        <item h="1" x="4"/>
        <item h="1" x="5"/>
        <item h="1" x="6"/>
        <item h="1" x="7"/>
        <item h="1" x="8"/>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0"/>
        <item h="1" x="1"/>
        <item h="1" x="2"/>
        <item h="1" x="9"/>
        <item t="default"/>
      </items>
    </pivotField>
    <pivotField showAll="0">
      <items count="43">
        <item h="1" x="0"/>
        <item h="1" x="1"/>
        <item h="1" x="2"/>
        <item x="3"/>
        <item h="1" x="4"/>
        <item h="1" x="5"/>
        <item h="1" x="6"/>
        <item h="1" x="7"/>
        <item h="1" x="8"/>
        <item h="1" m="1" x="16"/>
        <item h="1" m="1" x="15"/>
        <item h="1" m="1" x="10"/>
        <item h="1" m="1" x="14"/>
        <item h="1" m="1" x="17"/>
        <item h="1" m="1" x="13"/>
        <item h="1" m="1" x="11"/>
        <item h="1" m="1" x="12"/>
        <item h="1" m="1" x="18"/>
        <item h="1" m="1" x="25"/>
        <item h="1" m="1" x="19"/>
        <item h="1" m="1" x="24"/>
        <item h="1" m="1" x="20"/>
        <item h="1" m="1" x="26"/>
        <item h="1" m="1" x="21"/>
        <item h="1" m="1" x="27"/>
        <item h="1" m="1" x="22"/>
        <item h="1" m="1" x="28"/>
        <item h="1" m="1" x="23"/>
        <item h="1" m="1" x="29"/>
        <item h="1" m="1" x="30"/>
        <item h="1" m="1" x="31"/>
        <item h="1" m="1" x="41"/>
        <item h="1" m="1" x="32"/>
        <item h="1" m="1" x="35"/>
        <item h="1" m="1" x="36"/>
        <item h="1" m="1" x="34"/>
        <item h="1" m="1" x="33"/>
        <item h="1" m="1" x="37"/>
        <item h="1" m="1" x="38"/>
        <item h="1" m="1" x="39"/>
        <item h="1" m="1" x="40"/>
        <item h="1" x="9"/>
        <item t="default"/>
      </items>
    </pivotField>
    <pivotField showAll="0">
      <items count="456">
        <item m="1" x="376"/>
        <item m="1" x="269"/>
        <item m="1" x="432"/>
        <item m="1" x="304"/>
        <item m="1" x="351"/>
        <item m="1" x="449"/>
        <item m="1" x="298"/>
        <item m="1" x="435"/>
        <item m="1" x="254"/>
        <item m="1" x="258"/>
        <item m="1" x="299"/>
        <item m="1" x="433"/>
        <item m="1" x="331"/>
        <item m="1" x="237"/>
        <item m="1" x="287"/>
        <item m="1" x="344"/>
        <item m="1" x="345"/>
        <item m="1" x="238"/>
        <item m="1" x="255"/>
        <item m="1" x="239"/>
        <item m="1" x="280"/>
        <item m="1" x="281"/>
        <item m="1" x="257"/>
        <item m="1" x="442"/>
        <item m="1" x="379"/>
        <item m="1" x="240"/>
        <item m="1" x="241"/>
        <item m="1" x="293"/>
        <item m="1" x="294"/>
        <item m="1" x="265"/>
        <item m="1" x="242"/>
        <item m="1" x="271"/>
        <item m="1" x="401"/>
        <item m="1" x="243"/>
        <item m="1" x="244"/>
        <item m="1" x="291"/>
        <item m="1" x="259"/>
        <item m="1" x="245"/>
        <item m="1" x="310"/>
        <item m="1" x="342"/>
        <item m="1" x="343"/>
        <item m="1" x="261"/>
        <item m="1" x="262"/>
        <item m="1" x="355"/>
        <item m="1" x="260"/>
        <item m="1" x="443"/>
        <item m="1" x="322"/>
        <item m="1" x="453"/>
        <item m="1" x="246"/>
        <item m="1" x="251"/>
        <item m="1" x="247"/>
        <item m="1" x="282"/>
        <item m="1" x="249"/>
        <item m="1" x="253"/>
        <item m="1" x="295"/>
        <item m="1" x="286"/>
        <item m="1" x="292"/>
        <item m="1" x="300"/>
        <item m="1" x="252"/>
        <item m="1" x="272"/>
        <item m="1" x="323"/>
        <item m="1" x="373"/>
        <item m="1" x="408"/>
        <item m="1" x="250"/>
        <item m="1" x="296"/>
        <item m="1" x="363"/>
        <item m="1" x="278"/>
        <item m="1" x="439"/>
        <item m="1" x="324"/>
        <item m="1" x="312"/>
        <item m="1" x="326"/>
        <item m="1" x="313"/>
        <item m="1" x="314"/>
        <item m="1" x="315"/>
        <item m="1" x="274"/>
        <item m="1" x="372"/>
        <item m="1" x="276"/>
        <item m="1" x="263"/>
        <item m="1" x="347"/>
        <item m="1" x="267"/>
        <item m="1" x="430"/>
        <item m="1" x="425"/>
        <item m="1" x="325"/>
        <item m="1" x="284"/>
        <item m="1" x="288"/>
        <item m="1" x="318"/>
        <item m="1" x="317"/>
        <item m="1" x="289"/>
        <item m="1" x="328"/>
        <item m="1" x="327"/>
        <item m="1" x="361"/>
        <item m="1" x="452"/>
        <item m="1" x="434"/>
        <item m="1" x="385"/>
        <item m="1" x="319"/>
        <item m="1" x="378"/>
        <item m="1" x="369"/>
        <item m="1" x="383"/>
        <item m="1" x="320"/>
        <item m="1" x="112"/>
        <item m="1" x="113"/>
        <item m="1" x="114"/>
        <item m="1" x="115"/>
        <item m="1" x="235"/>
        <item m="1" x="116"/>
        <item m="1" x="117"/>
        <item m="1" x="118"/>
        <item m="1" x="119"/>
        <item m="1" x="120"/>
        <item m="1" x="121"/>
        <item m="1" x="436"/>
        <item m="1" x="377"/>
        <item m="1" x="335"/>
        <item m="1" x="336"/>
        <item m="1" x="333"/>
        <item m="1" x="334"/>
        <item m="1" x="126"/>
        <item m="1" x="127"/>
        <item m="1" x="128"/>
        <item m="1" x="230"/>
        <item m="1" x="427"/>
        <item m="1" x="234"/>
        <item m="1" x="132"/>
        <item m="1" x="133"/>
        <item m="1" x="134"/>
        <item m="1" x="135"/>
        <item m="1" x="136"/>
        <item m="1" x="137"/>
        <item m="1" x="138"/>
        <item m="1" x="139"/>
        <item m="1" x="140"/>
        <item m="1" x="141"/>
        <item m="1" x="142"/>
        <item m="1" x="143"/>
        <item m="1" x="231"/>
        <item m="1" x="232"/>
        <item m="1" x="146"/>
        <item m="1" x="147"/>
        <item m="1" x="148"/>
        <item m="1" x="149"/>
        <item m="1" x="150"/>
        <item m="1" x="151"/>
        <item x="31"/>
        <item m="1" x="152"/>
        <item m="1" x="153"/>
        <item m="1" x="154"/>
        <item m="1" x="155"/>
        <item m="1" x="156"/>
        <item x="33"/>
        <item m="1" x="157"/>
        <item m="1" x="409"/>
        <item m="1" x="158"/>
        <item m="1" x="159"/>
        <item m="1" x="387"/>
        <item m="1" x="356"/>
        <item m="1" x="450"/>
        <item m="1" x="440"/>
        <item m="1" x="354"/>
        <item m="1" x="388"/>
        <item m="1" x="167"/>
        <item m="1" x="168"/>
        <item m="1" x="386"/>
        <item m="1" x="169"/>
        <item m="1" x="451"/>
        <item m="1" x="444"/>
        <item m="1" x="426"/>
        <item m="1" x="173"/>
        <item m="1" x="174"/>
        <item m="1" x="175"/>
        <item m="1" x="233"/>
        <item m="1" x="413"/>
        <item m="1" x="352"/>
        <item m="1" x="179"/>
        <item m="1" x="418"/>
        <item m="1" x="181"/>
        <item m="1" x="399"/>
        <item m="1" x="183"/>
        <item m="1" x="389"/>
        <item m="1" x="185"/>
        <item m="1" x="382"/>
        <item m="1" x="447"/>
        <item m="1" x="420"/>
        <item m="1" x="188"/>
        <item m="1" x="190"/>
        <item m="1" x="194"/>
        <item m="1" x="196"/>
        <item m="1" x="197"/>
        <item m="1" x="198"/>
        <item m="1" x="199"/>
        <item m="1" x="406"/>
        <item m="1" x="402"/>
        <item m="1" x="403"/>
        <item m="1" x="203"/>
        <item m="1" x="204"/>
        <item m="1" x="375"/>
        <item m="1" x="205"/>
        <item m="1" x="206"/>
        <item x="50"/>
        <item m="1" x="207"/>
        <item m="1" x="208"/>
        <item m="1" x="209"/>
        <item m="1" x="210"/>
        <item m="1" x="212"/>
        <item x="52"/>
        <item x="53"/>
        <item m="1" x="213"/>
        <item m="1" x="214"/>
        <item m="1" x="229"/>
        <item m="1" x="353"/>
        <item x="55"/>
        <item m="1" x="215"/>
        <item m="1" x="346"/>
        <item m="1" x="218"/>
        <item m="1" x="219"/>
        <item m="1" x="370"/>
        <item m="1" x="220"/>
        <item m="1" x="411"/>
        <item m="1" x="390"/>
        <item m="1" x="222"/>
        <item m="1" x="341"/>
        <item m="1" x="350"/>
        <item m="1" x="224"/>
        <item m="1" x="338"/>
        <item m="1" x="339"/>
        <item m="1" x="337"/>
        <item m="1" x="226"/>
        <item m="1" x="417"/>
        <item m="1" x="332"/>
        <item m="1" x="381"/>
        <item m="1" x="359"/>
        <item m="1" x="400"/>
        <item m="1" x="308"/>
        <item m="1" x="172"/>
        <item m="1" x="405"/>
        <item m="1" x="309"/>
        <item m="1" x="200"/>
        <item m="1" x="368"/>
        <item m="1" x="365"/>
        <item m="1" x="187"/>
        <item m="1" x="393"/>
        <item m="1" x="184"/>
        <item m="1" x="195"/>
        <item m="1" x="422"/>
        <item m="1" x="189"/>
        <item m="1" x="270"/>
        <item m="1" x="186"/>
        <item x="49"/>
        <item m="1" x="191"/>
        <item m="1" x="264"/>
        <item m="1" x="421"/>
        <item x="60"/>
        <item m="1" x="415"/>
        <item m="1" x="202"/>
        <item m="1" x="123"/>
        <item m="1" x="396"/>
        <item m="1" x="371"/>
        <item m="1" x="397"/>
        <item m="1" x="428"/>
        <item m="1" x="384"/>
        <item x="51"/>
        <item m="1" x="423"/>
        <item m="1" x="349"/>
        <item m="1" x="398"/>
        <item m="1" x="360"/>
        <item m="1" x="437"/>
        <item m="1" x="348"/>
        <item m="1" x="340"/>
        <item m="1" x="438"/>
        <item m="1" x="414"/>
        <item m="1" x="407"/>
        <item m="1" x="321"/>
        <item m="1" x="201"/>
        <item m="1" x="170"/>
        <item m="1" x="285"/>
        <item m="1" x="306"/>
        <item m="1" x="275"/>
        <item m="1" x="316"/>
        <item m="1" x="395"/>
        <item m="1" x="424"/>
        <item m="1" x="454"/>
        <item m="1" x="431"/>
        <item m="1" x="178"/>
        <item m="1" x="182"/>
        <item m="1" x="122"/>
        <item m="1" x="171"/>
        <item m="1" x="392"/>
        <item m="1" x="211"/>
        <item m="1" x="394"/>
        <item m="1" x="441"/>
        <item m="1" x="358"/>
        <item m="1" x="301"/>
        <item m="1" x="419"/>
        <item m="1" x="302"/>
        <item m="1" x="362"/>
        <item m="1" x="329"/>
        <item m="1" x="445"/>
        <item m="1" x="305"/>
        <item m="1" x="380"/>
        <item m="1" x="364"/>
        <item m="1" x="303"/>
        <item m="1" x="367"/>
        <item m="1" x="130"/>
        <item m="1" x="429"/>
        <item m="1" x="391"/>
        <item m="1" x="216"/>
        <item m="1" x="357"/>
        <item m="1" x="446"/>
        <item m="1" x="366"/>
        <item m="1" x="266"/>
        <item m="1" x="268"/>
        <item m="1" x="416"/>
        <item m="1" x="412"/>
        <item m="1" x="256"/>
        <item m="1" x="177"/>
        <item m="1" x="297"/>
        <item m="1" x="311"/>
        <item m="1" x="273"/>
        <item m="1" x="290"/>
        <item m="1" x="448"/>
        <item m="1" x="221"/>
        <item m="1" x="180"/>
        <item m="1" x="410"/>
        <item m="1" x="374"/>
        <item m="1" x="217"/>
        <item m="1" x="404"/>
        <item m="1" x="192"/>
        <item m="1" x="164"/>
        <item m="1" x="161"/>
        <item m="1" x="330"/>
        <item m="1" x="162"/>
        <item m="1" x="163"/>
        <item m="1" x="160"/>
        <item m="1" x="165"/>
        <item m="1" x="283"/>
        <item m="1" x="248"/>
        <item m="1" x="236"/>
        <item m="1" x="193"/>
        <item x="58"/>
        <item m="1" x="279"/>
        <item m="1" x="277"/>
        <item m="1" x="223"/>
        <item m="1" x="225"/>
        <item m="1" x="124"/>
        <item m="1" x="125"/>
        <item m="1" x="227"/>
        <item m="1" x="307"/>
        <item m="1" x="166"/>
        <item m="1" x="131"/>
        <item m="1" x="228"/>
        <item m="1" x="176"/>
        <item x="34"/>
        <item m="1" x="144"/>
        <item m="1" x="145"/>
        <item m="1" x="129"/>
        <item m="1" x="107"/>
        <item x="30"/>
        <item x="54"/>
        <item m="1" x="71"/>
        <item x="1"/>
        <item m="1" x="96"/>
        <item x="40"/>
        <item m="1" x="104"/>
        <item x="42"/>
        <item m="1" x="102"/>
        <item x="47"/>
        <item x="48"/>
        <item x="35"/>
        <item m="1" x="111"/>
        <item x="37"/>
        <item m="1" x="101"/>
        <item m="1" x="95"/>
        <item m="1" x="92"/>
        <item m="1" x="94"/>
        <item m="1" x="108"/>
        <item x="32"/>
        <item x="27"/>
        <item m="1" x="109"/>
        <item m="1" x="110"/>
        <item m="1" x="97"/>
        <item m="1" x="98"/>
        <item x="16"/>
        <item x="57"/>
        <item m="1" x="61"/>
        <item x="38"/>
        <item x="46"/>
        <item m="1" x="106"/>
        <item x="44"/>
        <item m="1" x="105"/>
        <item m="1" x="93"/>
        <item x="41"/>
        <item m="1" x="103"/>
        <item x="43"/>
        <item x="2"/>
        <item x="36"/>
        <item x="45"/>
        <item m="1" x="86"/>
        <item m="1" x="87"/>
        <item m="1" x="100"/>
        <item m="1" x="88"/>
        <item m="1" x="62"/>
        <item x="9"/>
        <item m="1" x="89"/>
        <item m="1" x="99"/>
        <item m="1" x="90"/>
        <item m="1" x="91"/>
        <item m="1" x="79"/>
        <item m="1" x="80"/>
        <item m="1" x="81"/>
        <item m="1" x="82"/>
        <item m="1" x="83"/>
        <item m="1" x="84"/>
        <item m="1" x="85"/>
        <item m="1" x="72"/>
        <item m="1" x="73"/>
        <item m="1" x="74"/>
        <item m="1" x="75"/>
        <item m="1" x="76"/>
        <item m="1" x="77"/>
        <item m="1" x="78"/>
        <item x="24"/>
        <item x="23"/>
        <item x="13"/>
        <item x="8"/>
        <item x="20"/>
        <item x="12"/>
        <item x="0"/>
        <item x="3"/>
        <item x="4"/>
        <item x="5"/>
        <item x="6"/>
        <item x="10"/>
        <item m="1" x="64"/>
        <item x="56"/>
        <item x="15"/>
        <item x="22"/>
        <item m="1" x="70"/>
        <item x="29"/>
        <item m="1" x="67"/>
        <item m="1" x="68"/>
        <item m="1" x="69"/>
        <item m="1" x="66"/>
        <item m="1" x="63"/>
        <item m="1" x="65"/>
        <item x="25"/>
        <item x="26"/>
        <item x="18"/>
        <item x="11"/>
        <item x="17"/>
        <item x="21"/>
        <item x="14"/>
        <item x="19"/>
        <item x="28"/>
        <item x="7"/>
        <item x="59"/>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1"/>
  </colFields>
  <colItems count="1">
    <i>
      <x v="10"/>
    </i>
  </colItems>
  <formats count="11">
    <format dxfId="3873">
      <pivotArea field="3" type="button" dataOnly="0" labelOnly="1" outline="0"/>
    </format>
    <format dxfId="3872">
      <pivotArea dataOnly="0" labelOnly="1" outline="0" axis="axisValues" fieldPosition="0"/>
    </format>
    <format dxfId="3871">
      <pivotArea outline="0" collapsedLevelsAreSubtotals="1" fieldPosition="0"/>
    </format>
    <format dxfId="3870">
      <pivotArea outline="0" collapsedLevelsAreSubtotals="1" fieldPosition="0"/>
    </format>
    <format dxfId="3869">
      <pivotArea field="2" type="button" dataOnly="0" labelOnly="1" outline="0"/>
    </format>
    <format dxfId="3868">
      <pivotArea field="1" type="button" dataOnly="0" labelOnly="1" outline="0" axis="axisCol" fieldPosition="0"/>
    </format>
    <format dxfId="3867">
      <pivotArea dataOnly="0" labelOnly="1" fieldPosition="0">
        <references count="1">
          <reference field="1" count="0"/>
        </references>
      </pivotArea>
    </format>
    <format dxfId="3866">
      <pivotArea dataOnly="0" outline="0" fieldPosition="0">
        <references count="1">
          <reference field="1" count="0"/>
        </references>
      </pivotArea>
    </format>
    <format dxfId="3865">
      <pivotArea dataOnly="0" outline="0" fieldPosition="0">
        <references count="1">
          <reference field="1" count="0"/>
        </references>
      </pivotArea>
    </format>
    <format dxfId="3864">
      <pivotArea field="1" type="button" dataOnly="0" labelOnly="1" outline="0" axis="axisCol" fieldPosition="0"/>
    </format>
    <format dxfId="3863">
      <pivotArea field="1" type="button" dataOnly="0" labelOnly="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1006E2-6496-497E-998F-54C474680B04}" name="alphabetical" cacheId="1"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AD2:AD15" firstHeaderRow="1" firstDataRow="1" firstDataCol="1"/>
  <pivotFields count="17">
    <pivotField compact="0" outline="0" subtotalTop="0" showAll="0" defaultSubtotal="0"/>
    <pivotField compact="0" outline="0" showAll="0" defaultSubtotal="0">
      <items count="41">
        <item h="1" x="0"/>
        <item h="1" x="1"/>
        <item h="1" x="2"/>
        <item x="3"/>
        <item h="1" x="4"/>
        <item h="1" x="5"/>
        <item h="1" x="6"/>
        <item h="1" x="7"/>
        <item h="1" x="8"/>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9"/>
      </items>
    </pivotField>
    <pivotField compact="0" outline="0" showAll="0" defaultSubtotal="0">
      <items count="42">
        <item h="1" m="1" x="41"/>
        <item h="1" x="0"/>
        <item h="1" x="1"/>
        <item h="1" x="2"/>
        <item x="3"/>
        <item h="1" x="4"/>
        <item h="1" x="5"/>
        <item h="1" x="6"/>
        <item h="1" x="7"/>
        <item h="1" x="8"/>
        <item h="1" m="1" x="16"/>
        <item h="1" m="1" x="15"/>
        <item h="1" m="1" x="10"/>
        <item h="1" m="1" x="14"/>
        <item h="1" m="1" x="17"/>
        <item h="1" m="1" x="13"/>
        <item h="1" m="1" x="11"/>
        <item h="1" m="1" x="12"/>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9"/>
      </items>
    </pivotField>
    <pivotField axis="axisRow" compact="0" outline="0" showAll="0" sortType="ascending" defaultSubtotal="0">
      <items count="455">
        <item m="1" x="376"/>
        <item m="1" x="269"/>
        <item m="1" x="432"/>
        <item m="1" x="270"/>
        <item m="1" x="304"/>
        <item m="1" x="351"/>
        <item m="1" x="309"/>
        <item m="1" x="449"/>
        <item m="1" x="298"/>
        <item m="1" x="371"/>
        <item m="1" x="305"/>
        <item m="1" x="435"/>
        <item m="1" x="360"/>
        <item m="1" x="254"/>
        <item m="1" x="258"/>
        <item m="1" x="299"/>
        <item m="1" x="236"/>
        <item m="1" x="433"/>
        <item m="1" x="331"/>
        <item m="1" x="237"/>
        <item m="1" x="287"/>
        <item m="1" x="344"/>
        <item m="1" x="279"/>
        <item m="1" x="345"/>
        <item m="1" x="238"/>
        <item m="1" x="255"/>
        <item m="1" x="239"/>
        <item m="1" x="280"/>
        <item m="1" x="281"/>
        <item m="1" x="257"/>
        <item m="1" x="256"/>
        <item m="1" x="442"/>
        <item m="1" x="362"/>
        <item m="1" x="379"/>
        <item m="1" x="240"/>
        <item m="1" x="241"/>
        <item m="1" x="293"/>
        <item m="1" x="400"/>
        <item m="1" x="294"/>
        <item m="1" x="265"/>
        <item m="1" x="242"/>
        <item m="1" x="271"/>
        <item m="1" x="397"/>
        <item m="1" x="321"/>
        <item m="1" x="401"/>
        <item m="1" x="243"/>
        <item m="1" x="244"/>
        <item m="1" x="291"/>
        <item m="1" x="268"/>
        <item m="1" x="259"/>
        <item m="1" x="245"/>
        <item m="1" x="310"/>
        <item m="1" x="342"/>
        <item m="1" x="277"/>
        <item m="1" x="343"/>
        <item m="1" x="261"/>
        <item m="1" x="262"/>
        <item m="1" x="311"/>
        <item m="1" x="355"/>
        <item m="1" x="348"/>
        <item m="1" x="260"/>
        <item m="1" x="443"/>
        <item m="1" x="322"/>
        <item m="1" x="308"/>
        <item m="1" x="453"/>
        <item m="1" x="246"/>
        <item m="1" x="251"/>
        <item m="1" x="247"/>
        <item m="1" x="248"/>
        <item m="1" x="282"/>
        <item m="1" x="249"/>
        <item m="1" x="253"/>
        <item m="1" x="295"/>
        <item m="1" x="286"/>
        <item m="1" x="292"/>
        <item m="1" x="300"/>
        <item m="1" x="252"/>
        <item m="1" x="445"/>
        <item m="1" x="272"/>
        <item m="1" x="323"/>
        <item m="1" x="264"/>
        <item m="1" x="373"/>
        <item m="1" x="273"/>
        <item m="1" x="408"/>
        <item m="1" x="250"/>
        <item m="1" x="307"/>
        <item m="1" x="296"/>
        <item m="1" x="407"/>
        <item m="1" x="405"/>
        <item m="1" x="297"/>
        <item m="1" x="363"/>
        <item m="1" x="278"/>
        <item m="1" x="306"/>
        <item m="1" x="439"/>
        <item m="1" x="324"/>
        <item m="1" x="428"/>
        <item m="1" x="312"/>
        <item m="1" x="326"/>
        <item m="1" x="313"/>
        <item m="1" x="314"/>
        <item m="1" x="315"/>
        <item m="1" x="283"/>
        <item m="1" x="274"/>
        <item m="1" x="391"/>
        <item m="1" x="275"/>
        <item m="1" x="372"/>
        <item m="1" x="276"/>
        <item m="1" x="263"/>
        <item m="1" x="266"/>
        <item m="1" x="347"/>
        <item m="1" x="267"/>
        <item m="1" x="430"/>
        <item m="1" x="316"/>
        <item m="1" x="425"/>
        <item m="1" x="325"/>
        <item m="1" x="368"/>
        <item m="1" x="284"/>
        <item m="1" x="288"/>
        <item m="1" x="318"/>
        <item m="1" x="317"/>
        <item m="1" x="289"/>
        <item m="1" x="328"/>
        <item m="1" x="327"/>
        <item m="1" x="285"/>
        <item m="1" x="361"/>
        <item m="1" x="301"/>
        <item m="1" x="452"/>
        <item m="1" x="290"/>
        <item m="1" x="434"/>
        <item m="1" x="385"/>
        <item m="1" x="319"/>
        <item m="1" x="302"/>
        <item m="1" x="378"/>
        <item m="1" x="329"/>
        <item m="1" x="369"/>
        <item m="1" x="303"/>
        <item m="1" x="383"/>
        <item m="1" x="320"/>
        <item m="1" x="92"/>
        <item x="0"/>
        <item m="1" x="79"/>
        <item m="1" x="112"/>
        <item m="1" x="113"/>
        <item m="1" x="424"/>
        <item m="1" x="114"/>
        <item m="1" x="115"/>
        <item m="1" x="235"/>
        <item x="1"/>
        <item m="1" x="103"/>
        <item x="2"/>
        <item m="1" x="116"/>
        <item m="1" x="93"/>
        <item x="3"/>
        <item m="1" x="80"/>
        <item m="1" x="117"/>
        <item m="1" x="454"/>
        <item m="1" x="118"/>
        <item m="1" x="119"/>
        <item m="1" x="120"/>
        <item m="1" x="121"/>
        <item m="1" x="422"/>
        <item m="1" x="122"/>
        <item m="1" x="436"/>
        <item m="1" x="123"/>
        <item m="1" x="377"/>
        <item m="1" x="94"/>
        <item x="4"/>
        <item m="1" x="81"/>
        <item m="1" x="95"/>
        <item x="5"/>
        <item m="1" x="82"/>
        <item m="1" x="96"/>
        <item x="6"/>
        <item m="1" x="83"/>
        <item x="7"/>
        <item m="1" x="89"/>
        <item x="8"/>
        <item m="1" x="76"/>
        <item m="1" x="100"/>
        <item x="9"/>
        <item m="1" x="74"/>
        <item m="1" x="97"/>
        <item x="10"/>
        <item x="11"/>
        <item m="1" x="84"/>
        <item m="1" x="91"/>
        <item x="12"/>
        <item m="1" x="88"/>
        <item x="13"/>
        <item m="1" x="75"/>
        <item m="1" x="78"/>
        <item m="1" x="98"/>
        <item m="1" x="64"/>
        <item m="1" x="85"/>
        <item x="14"/>
        <item x="15"/>
        <item m="1" x="108"/>
        <item x="16"/>
        <item x="17"/>
        <item x="18"/>
        <item x="19"/>
        <item x="59"/>
        <item m="1" x="90"/>
        <item x="20"/>
        <item m="1" x="77"/>
        <item x="21"/>
        <item x="22"/>
        <item m="1" x="87"/>
        <item x="23"/>
        <item m="1" x="73"/>
        <item m="1" x="86"/>
        <item x="24"/>
        <item m="1" x="72"/>
        <item m="1" x="65"/>
        <item x="25"/>
        <item x="26"/>
        <item m="1" x="111"/>
        <item x="27"/>
        <item m="1" x="105"/>
        <item m="1" x="335"/>
        <item m="1" x="124"/>
        <item m="1" x="336"/>
        <item m="1" x="333"/>
        <item m="1" x="125"/>
        <item m="1" x="334"/>
        <item m="1" x="441"/>
        <item m="1" x="126"/>
        <item m="1" x="127"/>
        <item m="1" x="128"/>
        <item m="1" x="230"/>
        <item m="1" x="129"/>
        <item m="1" x="427"/>
        <item m="1" x="130"/>
        <item m="1" x="131"/>
        <item m="1" x="234"/>
        <item m="1" x="132"/>
        <item m="1" x="133"/>
        <item m="1" x="134"/>
        <item m="1" x="135"/>
        <item m="1" x="136"/>
        <item m="1" x="137"/>
        <item m="1" x="138"/>
        <item m="1" x="139"/>
        <item m="1" x="140"/>
        <item m="1" x="141"/>
        <item m="1" x="142"/>
        <item m="1" x="143"/>
        <item m="1" x="231"/>
        <item m="1" x="144"/>
        <item x="28"/>
        <item m="1" x="232"/>
        <item m="1" x="145"/>
        <item m="1" x="70"/>
        <item x="29"/>
        <item m="1" x="398"/>
        <item m="1" x="146"/>
        <item m="1" x="147"/>
        <item m="1" x="148"/>
        <item m="1" x="149"/>
        <item m="1" x="150"/>
        <item m="1" x="62"/>
        <item x="30"/>
        <item m="1" x="151"/>
        <item m="1" x="381"/>
        <item x="31"/>
        <item x="32"/>
        <item m="1" x="152"/>
        <item m="1" x="153"/>
        <item m="1" x="154"/>
        <item m="1" x="359"/>
        <item m="1" x="155"/>
        <item m="1" x="156"/>
        <item m="1" x="366"/>
        <item m="1" x="438"/>
        <item x="33"/>
        <item m="1" x="157"/>
        <item m="1" x="409"/>
        <item m="1" x="158"/>
        <item m="1" x="159"/>
        <item m="1" x="160"/>
        <item m="1" x="161"/>
        <item m="1" x="162"/>
        <item m="1" x="387"/>
        <item m="1" x="356"/>
        <item m="1" x="357"/>
        <item m="1" x="431"/>
        <item m="1" x="450"/>
        <item m="1" x="440"/>
        <item m="1" x="358"/>
        <item m="1" x="354"/>
        <item m="1" x="388"/>
        <item m="1" x="414"/>
        <item m="1" x="393"/>
        <item m="1" x="163"/>
        <item m="1" x="164"/>
        <item m="1" x="165"/>
        <item m="1" x="330"/>
        <item m="1" x="166"/>
        <item m="1" x="167"/>
        <item m="1" x="168"/>
        <item m="1" x="386"/>
        <item x="34"/>
        <item m="1" x="169"/>
        <item m="1" x="170"/>
        <item m="1" x="451"/>
        <item m="1" x="171"/>
        <item m="1" x="444"/>
        <item x="35"/>
        <item m="1" x="419"/>
        <item m="1" x="172"/>
        <item m="1" x="426"/>
        <item m="1" x="173"/>
        <item m="1" x="174"/>
        <item m="1" x="69"/>
        <item x="36"/>
        <item m="1" x="101"/>
        <item x="37"/>
        <item m="1" x="68"/>
        <item m="1" x="175"/>
        <item m="1" x="233"/>
        <item m="1" x="176"/>
        <item m="1" x="177"/>
        <item m="1" x="413"/>
        <item m="1" x="178"/>
        <item m="1" x="352"/>
        <item m="1" x="179"/>
        <item m="1" x="67"/>
        <item m="1" x="180"/>
        <item m="1" x="418"/>
        <item m="1" x="437"/>
        <item x="38"/>
        <item m="1" x="61"/>
        <item x="39"/>
        <item x="40"/>
        <item m="1" x="104"/>
        <item x="41"/>
        <item x="42"/>
        <item x="43"/>
        <item x="44"/>
        <item m="1" x="106"/>
        <item x="45"/>
        <item m="1" x="102"/>
        <item x="46"/>
        <item x="47"/>
        <item x="48"/>
        <item m="1" x="181"/>
        <item m="1" x="182"/>
        <item m="1" x="399"/>
        <item m="1" x="183"/>
        <item m="1" x="389"/>
        <item m="1" x="184"/>
        <item m="1" x="185"/>
        <item m="1" x="186"/>
        <item m="1" x="382"/>
        <item m="1" x="447"/>
        <item m="1" x="421"/>
        <item m="1" x="420"/>
        <item m="1" x="380"/>
        <item m="1" x="187"/>
        <item m="1" x="188"/>
        <item m="1" x="189"/>
        <item m="1" x="190"/>
        <item x="49"/>
        <item m="1" x="191"/>
        <item m="1" x="192"/>
        <item m="1" x="193"/>
        <item m="1" x="194"/>
        <item m="1" x="195"/>
        <item m="1" x="196"/>
        <item m="1" x="197"/>
        <item m="1" x="198"/>
        <item m="1" x="199"/>
        <item m="1" x="396"/>
        <item m="1" x="200"/>
        <item m="1" x="406"/>
        <item m="1" x="201"/>
        <item m="1" x="402"/>
        <item m="1" x="202"/>
        <item m="1" x="403"/>
        <item m="1" x="203"/>
        <item m="1" x="204"/>
        <item m="1" x="415"/>
        <item m="1" x="394"/>
        <item m="1" x="375"/>
        <item m="1" x="364"/>
        <item m="1" x="429"/>
        <item m="1" x="205"/>
        <item m="1" x="206"/>
        <item x="50"/>
        <item m="1" x="207"/>
        <item m="1" x="395"/>
        <item m="1" x="208"/>
        <item m="1" x="209"/>
        <item m="1" x="210"/>
        <item m="1" x="211"/>
        <item x="51"/>
        <item m="1" x="212"/>
        <item x="52"/>
        <item x="53"/>
        <item m="1" x="213"/>
        <item x="54"/>
        <item m="1" x="214"/>
        <item m="1" x="229"/>
        <item m="1" x="353"/>
        <item x="55"/>
        <item m="1" x="63"/>
        <item m="1" x="215"/>
        <item m="1" x="216"/>
        <item m="1" x="346"/>
        <item m="1" x="448"/>
        <item m="1" x="367"/>
        <item m="1" x="217"/>
        <item m="1" x="374"/>
        <item m="1" x="218"/>
        <item m="1" x="219"/>
        <item m="1" x="370"/>
        <item m="1" x="220"/>
        <item m="1" x="416"/>
        <item m="1" x="423"/>
        <item m="1" x="411"/>
        <item m="1" x="365"/>
        <item m="1" x="410"/>
        <item m="1" x="221"/>
        <item m="1" x="390"/>
        <item m="1" x="412"/>
        <item m="1" x="349"/>
        <item m="1" x="222"/>
        <item m="1" x="341"/>
        <item m="1" x="350"/>
        <item m="1" x="223"/>
        <item m="1" x="340"/>
        <item m="1" x="224"/>
        <item m="1" x="71"/>
        <item x="56"/>
        <item m="1" x="338"/>
        <item m="1" x="225"/>
        <item m="1" x="339"/>
        <item m="1" x="337"/>
        <item x="57"/>
        <item m="1" x="226"/>
        <item m="1" x="109"/>
        <item m="1" x="110"/>
        <item m="1" x="99"/>
        <item x="58"/>
        <item m="1" x="404"/>
        <item m="1" x="107"/>
        <item m="1" x="446"/>
        <item m="1" x="66"/>
        <item m="1" x="392"/>
        <item m="1" x="384"/>
        <item m="1" x="417"/>
        <item m="1" x="227"/>
        <item m="1" x="332"/>
        <item m="1" x="228"/>
        <item x="60"/>
      </items>
    </pivotField>
    <pivotField compact="0" outline="0" showAll="0" defaultSubtotal="0"/>
    <pivotField compact="0" outline="0" showAll="0" defaultSubtotal="0"/>
    <pivotField compact="0" outline="0" showAll="0" defaultSubtotal="0">
      <items count="16">
        <item x="1"/>
        <item m="1" x="15"/>
        <item x="0"/>
        <item x="2"/>
        <item m="1" x="14"/>
        <item x="4"/>
        <item m="1" x="12"/>
        <item m="1" x="11"/>
        <item m="1" x="8"/>
        <item m="1" x="9"/>
        <item m="1" x="13"/>
        <item x="3"/>
        <item x="5"/>
        <item x="6"/>
        <item m="1" x="10"/>
        <item x="7"/>
      </items>
    </pivotField>
    <pivotField compact="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3"/>
  </rowFields>
  <rowItems count="13">
    <i>
      <x v="152"/>
    </i>
    <i>
      <x v="172"/>
    </i>
    <i>
      <x v="176"/>
    </i>
    <i>
      <x v="179"/>
    </i>
    <i>
      <x v="188"/>
    </i>
    <i>
      <x v="194"/>
    </i>
    <i>
      <x v="203"/>
    </i>
    <i>
      <x v="274"/>
    </i>
    <i>
      <x v="330"/>
    </i>
    <i>
      <x v="333"/>
    </i>
    <i>
      <x v="340"/>
    </i>
    <i>
      <x v="343"/>
    </i>
    <i>
      <x v="433"/>
    </i>
  </rowItems>
  <colItems count="1">
    <i/>
  </colItems>
  <formats count="18">
    <format dxfId="3891">
      <pivotArea field="3" type="button" dataOnly="0" labelOnly="1" outline="0" axis="axisRow" fieldPosition="0"/>
    </format>
    <format dxfId="3890">
      <pivotArea type="all" dataOnly="0" outline="0" fieldPosition="0"/>
    </format>
    <format dxfId="3889">
      <pivotArea field="3" type="button" dataOnly="0" labelOnly="1" outline="0" axis="axisRow" fieldPosition="0"/>
    </format>
    <format dxfId="3888">
      <pivotArea type="all" dataOnly="0" outline="0" fieldPosition="0"/>
    </format>
    <format dxfId="3887">
      <pivotArea field="3" type="button" dataOnly="0" labelOnly="1" outline="0" axis="axisRow" fieldPosition="0"/>
    </format>
    <format dxfId="3886">
      <pivotArea dataOnly="0" labelOnly="1" fieldPosition="0">
        <references count="1">
          <reference field="3"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3885">
      <pivotArea dataOnly="0" labelOnly="1" fieldPosition="0">
        <references count="1">
          <reference field="3"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41"/>
            <x v="142"/>
            <x v="144"/>
            <x v="145"/>
            <x v="146"/>
          </reference>
        </references>
      </pivotArea>
    </format>
    <format dxfId="3884">
      <pivotArea dataOnly="0" labelOnly="1" fieldPosition="0">
        <references count="1">
          <reference field="3" count="50">
            <x v="150"/>
            <x v="154"/>
            <x v="156"/>
            <x v="157"/>
            <x v="158"/>
            <x v="159"/>
            <x v="161"/>
            <x v="163"/>
            <x v="219"/>
            <x v="221"/>
            <x v="222"/>
            <x v="224"/>
            <x v="226"/>
            <x v="227"/>
            <x v="228"/>
            <x v="229"/>
            <x v="232"/>
            <x v="234"/>
            <x v="235"/>
            <x v="236"/>
            <x v="237"/>
            <x v="238"/>
            <x v="239"/>
            <x v="240"/>
            <x v="241"/>
            <x v="242"/>
            <x v="243"/>
            <x v="244"/>
            <x v="245"/>
            <x v="246"/>
            <x v="247"/>
            <x v="250"/>
            <x v="255"/>
            <x v="256"/>
            <x v="257"/>
            <x v="258"/>
            <x v="259"/>
            <x v="262"/>
            <x v="264"/>
            <x v="266"/>
            <x v="267"/>
            <x v="268"/>
            <x v="270"/>
            <x v="271"/>
            <x v="274"/>
            <x v="275"/>
            <x v="277"/>
            <x v="278"/>
            <x v="282"/>
            <x v="283"/>
          </reference>
        </references>
      </pivotArea>
    </format>
    <format dxfId="3883">
      <pivotArea dataOnly="0" labelOnly="1" fieldPosition="0">
        <references count="1">
          <reference field="3" count="50">
            <x v="285"/>
            <x v="286"/>
            <x v="287"/>
            <x v="288"/>
            <x v="290"/>
            <x v="298"/>
            <x v="299"/>
            <x v="302"/>
            <x v="303"/>
            <x v="305"/>
            <x v="309"/>
            <x v="311"/>
            <x v="312"/>
            <x v="318"/>
            <x v="319"/>
            <x v="321"/>
            <x v="323"/>
            <x v="325"/>
            <x v="327"/>
            <x v="345"/>
            <x v="346"/>
            <x v="348"/>
            <x v="350"/>
            <x v="351"/>
            <x v="352"/>
            <x v="358"/>
            <x v="359"/>
            <x v="360"/>
            <x v="361"/>
            <x v="362"/>
            <x v="363"/>
            <x v="366"/>
            <x v="367"/>
            <x v="368"/>
            <x v="369"/>
            <x v="370"/>
            <x v="371"/>
            <x v="373"/>
            <x v="375"/>
            <x v="377"/>
            <x v="379"/>
            <x v="380"/>
            <x v="386"/>
            <x v="387"/>
            <x v="388"/>
            <x v="389"/>
            <x v="391"/>
            <x v="392"/>
            <x v="393"/>
            <x v="394"/>
          </reference>
        </references>
      </pivotArea>
    </format>
    <format dxfId="3882">
      <pivotArea dataOnly="0" labelOnly="1" fieldPosition="0">
        <references count="1">
          <reference field="3" count="27">
            <x v="395"/>
            <x v="396"/>
            <x v="397"/>
            <x v="398"/>
            <x v="399"/>
            <x v="401"/>
            <x v="402"/>
            <x v="404"/>
            <x v="406"/>
            <x v="407"/>
            <x v="409"/>
            <x v="413"/>
            <x v="414"/>
            <x v="416"/>
            <x v="417"/>
            <x v="419"/>
            <x v="421"/>
            <x v="422"/>
            <x v="426"/>
            <x v="427"/>
            <x v="430"/>
            <x v="431"/>
            <x v="434"/>
            <x v="436"/>
            <x v="437"/>
            <x v="439"/>
            <x v="452"/>
          </reference>
        </references>
      </pivotArea>
    </format>
    <format dxfId="3881">
      <pivotArea dataOnly="0" labelOnly="1" fieldPosition="0">
        <references count="1">
          <reference field="3"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3880">
      <pivotArea dataOnly="0" labelOnly="1" fieldPosition="0">
        <references count="1">
          <reference field="3"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41"/>
            <x v="142"/>
            <x v="144"/>
            <x v="145"/>
            <x v="146"/>
          </reference>
        </references>
      </pivotArea>
    </format>
    <format dxfId="3879">
      <pivotArea dataOnly="0" labelOnly="1" fieldPosition="0">
        <references count="1">
          <reference field="3" count="50">
            <x v="150"/>
            <x v="154"/>
            <x v="156"/>
            <x v="157"/>
            <x v="158"/>
            <x v="159"/>
            <x v="161"/>
            <x v="163"/>
            <x v="219"/>
            <x v="221"/>
            <x v="222"/>
            <x v="224"/>
            <x v="226"/>
            <x v="227"/>
            <x v="228"/>
            <x v="229"/>
            <x v="232"/>
            <x v="234"/>
            <x v="235"/>
            <x v="236"/>
            <x v="237"/>
            <x v="238"/>
            <x v="239"/>
            <x v="240"/>
            <x v="241"/>
            <x v="242"/>
            <x v="243"/>
            <x v="244"/>
            <x v="245"/>
            <x v="246"/>
            <x v="247"/>
            <x v="250"/>
            <x v="255"/>
            <x v="256"/>
            <x v="257"/>
            <x v="258"/>
            <x v="259"/>
            <x v="262"/>
            <x v="264"/>
            <x v="266"/>
            <x v="267"/>
            <x v="268"/>
            <x v="270"/>
            <x v="271"/>
            <x v="274"/>
            <x v="275"/>
            <x v="277"/>
            <x v="278"/>
            <x v="282"/>
            <x v="283"/>
          </reference>
        </references>
      </pivotArea>
    </format>
    <format dxfId="3878">
      <pivotArea dataOnly="0" labelOnly="1" fieldPosition="0">
        <references count="1">
          <reference field="3" count="50">
            <x v="285"/>
            <x v="286"/>
            <x v="287"/>
            <x v="288"/>
            <x v="290"/>
            <x v="298"/>
            <x v="299"/>
            <x v="302"/>
            <x v="303"/>
            <x v="305"/>
            <x v="309"/>
            <x v="311"/>
            <x v="312"/>
            <x v="318"/>
            <x v="319"/>
            <x v="321"/>
            <x v="323"/>
            <x v="325"/>
            <x v="327"/>
            <x v="345"/>
            <x v="346"/>
            <x v="348"/>
            <x v="350"/>
            <x v="351"/>
            <x v="352"/>
            <x v="358"/>
            <x v="359"/>
            <x v="360"/>
            <x v="361"/>
            <x v="362"/>
            <x v="363"/>
            <x v="366"/>
            <x v="367"/>
            <x v="368"/>
            <x v="369"/>
            <x v="370"/>
            <x v="371"/>
            <x v="373"/>
            <x v="375"/>
            <x v="377"/>
            <x v="379"/>
            <x v="380"/>
            <x v="386"/>
            <x v="387"/>
            <x v="388"/>
            <x v="389"/>
            <x v="391"/>
            <x v="392"/>
            <x v="393"/>
            <x v="394"/>
          </reference>
        </references>
      </pivotArea>
    </format>
    <format dxfId="3877">
      <pivotArea dataOnly="0" labelOnly="1" fieldPosition="0">
        <references count="1">
          <reference field="3" count="27">
            <x v="395"/>
            <x v="396"/>
            <x v="397"/>
            <x v="398"/>
            <x v="399"/>
            <x v="401"/>
            <x v="402"/>
            <x v="404"/>
            <x v="406"/>
            <x v="407"/>
            <x v="409"/>
            <x v="413"/>
            <x v="414"/>
            <x v="416"/>
            <x v="417"/>
            <x v="419"/>
            <x v="421"/>
            <x v="422"/>
            <x v="426"/>
            <x v="427"/>
            <x v="430"/>
            <x v="431"/>
            <x v="434"/>
            <x v="436"/>
            <x v="437"/>
            <x v="439"/>
            <x v="452"/>
          </reference>
        </references>
      </pivotArea>
    </format>
    <format dxfId="3876">
      <pivotArea field="3" type="button" dataOnly="0" labelOnly="1" outline="0" axis="axisRow" fieldPosition="0"/>
    </format>
    <format dxfId="3875">
      <pivotArea field="6" type="button" dataOnly="0" labelOnly="1" outline="0"/>
    </format>
    <format dxfId="3874">
      <pivotArea dataOnly="0" labelOnly="1" outline="0" fieldPosition="0">
        <references count="1">
          <reference field="3" count="1">
            <x v="411"/>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C96D5D-232C-473E-B49D-C80D41EA118E}" name="Cambio de Split" cacheId="1"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A19:E79" firstHeaderRow="1" firstDataRow="1" firstDataCol="4"/>
  <pivotFields count="17">
    <pivotField compact="0" outline="0" subtotalTop="0" showAll="0" defaultSubtotal="0"/>
    <pivotField axis="axisRow" compact="0" outline="0" showAll="0" defaultSubtotal="0">
      <items count="41">
        <item h="1" x="3"/>
        <item h="1" x="4"/>
        <item h="1" x="5"/>
        <item h="1" x="6"/>
        <item h="1" x="7"/>
        <item h="1" x="8"/>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x="0"/>
        <item h="1" x="1"/>
        <item h="1" x="2"/>
        <item h="1" x="9"/>
      </items>
    </pivotField>
    <pivotField dataField="1" compact="0" outline="0" showAll="0" defaultSubtotal="0">
      <items count="42">
        <item h="1" m="1" x="41"/>
        <item x="0"/>
        <item h="1" x="1"/>
        <item h="1" x="2"/>
        <item h="1" x="3"/>
        <item h="1" x="4"/>
        <item h="1" x="5"/>
        <item h="1" x="6"/>
        <item h="1" x="7"/>
        <item h="1" x="8"/>
        <item h="1" m="1" x="16"/>
        <item h="1" m="1" x="15"/>
        <item h="1" m="1" x="10"/>
        <item h="1" m="1" x="14"/>
        <item h="1" m="1" x="17"/>
        <item h="1" m="1" x="13"/>
        <item h="1" m="1" x="11"/>
        <item h="1" m="1" x="12"/>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9"/>
      </items>
    </pivotField>
    <pivotField axis="axisRow" compact="0" outline="0" showAll="0" defaultSubtotal="0">
      <items count="455">
        <item m="1" x="376"/>
        <item m="1" x="269"/>
        <item m="1" x="432"/>
        <item m="1" x="270"/>
        <item m="1" x="304"/>
        <item m="1" x="351"/>
        <item m="1" x="309"/>
        <item m="1" x="449"/>
        <item m="1" x="298"/>
        <item m="1" x="371"/>
        <item m="1" x="305"/>
        <item m="1" x="435"/>
        <item m="1" x="360"/>
        <item m="1" x="254"/>
        <item m="1" x="258"/>
        <item m="1" x="299"/>
        <item m="1" x="236"/>
        <item m="1" x="433"/>
        <item m="1" x="331"/>
        <item m="1" x="237"/>
        <item m="1" x="287"/>
        <item m="1" x="344"/>
        <item m="1" x="345"/>
        <item m="1" x="238"/>
        <item m="1" x="255"/>
        <item m="1" x="239"/>
        <item m="1" x="280"/>
        <item m="1" x="281"/>
        <item m="1" x="257"/>
        <item m="1" x="256"/>
        <item m="1" x="442"/>
        <item m="1" x="362"/>
        <item m="1" x="379"/>
        <item m="1" x="240"/>
        <item m="1" x="241"/>
        <item m="1" x="293"/>
        <item m="1" x="400"/>
        <item m="1" x="294"/>
        <item m="1" x="265"/>
        <item m="1" x="242"/>
        <item m="1" x="271"/>
        <item m="1" x="397"/>
        <item m="1" x="321"/>
        <item m="1" x="401"/>
        <item m="1" x="243"/>
        <item m="1" x="244"/>
        <item m="1" x="291"/>
        <item m="1" x="268"/>
        <item m="1" x="259"/>
        <item m="1" x="245"/>
        <item m="1" x="310"/>
        <item m="1" x="342"/>
        <item m="1" x="343"/>
        <item m="1" x="261"/>
        <item m="1" x="262"/>
        <item m="1" x="311"/>
        <item m="1" x="355"/>
        <item m="1" x="348"/>
        <item m="1" x="260"/>
        <item m="1" x="443"/>
        <item m="1" x="322"/>
        <item m="1" x="308"/>
        <item m="1" x="453"/>
        <item m="1" x="246"/>
        <item m="1" x="251"/>
        <item m="1" x="247"/>
        <item m="1" x="248"/>
        <item m="1" x="282"/>
        <item m="1" x="249"/>
        <item m="1" x="253"/>
        <item m="1" x="295"/>
        <item m="1" x="286"/>
        <item m="1" x="292"/>
        <item m="1" x="300"/>
        <item m="1" x="252"/>
        <item m="1" x="445"/>
        <item m="1" x="272"/>
        <item m="1" x="323"/>
        <item m="1" x="264"/>
        <item m="1" x="373"/>
        <item m="1" x="273"/>
        <item m="1" x="408"/>
        <item m="1" x="250"/>
        <item m="1" x="296"/>
        <item m="1" x="407"/>
        <item m="1" x="405"/>
        <item m="1" x="297"/>
        <item m="1" x="363"/>
        <item m="1" x="278"/>
        <item m="1" x="306"/>
        <item m="1" x="439"/>
        <item m="1" x="324"/>
        <item m="1" x="428"/>
        <item m="1" x="312"/>
        <item m="1" x="326"/>
        <item m="1" x="313"/>
        <item m="1" x="314"/>
        <item m="1" x="315"/>
        <item m="1" x="283"/>
        <item m="1" x="274"/>
        <item m="1" x="391"/>
        <item m="1" x="275"/>
        <item m="1" x="372"/>
        <item m="1" x="276"/>
        <item m="1" x="263"/>
        <item m="1" x="266"/>
        <item m="1" x="347"/>
        <item m="1" x="267"/>
        <item m="1" x="430"/>
        <item m="1" x="316"/>
        <item m="1" x="425"/>
        <item m="1" x="325"/>
        <item m="1" x="368"/>
        <item m="1" x="284"/>
        <item m="1" x="288"/>
        <item m="1" x="318"/>
        <item m="1" x="317"/>
        <item m="1" x="289"/>
        <item m="1" x="328"/>
        <item m="1" x="327"/>
        <item m="1" x="285"/>
        <item m="1" x="361"/>
        <item m="1" x="301"/>
        <item m="1" x="452"/>
        <item m="1" x="290"/>
        <item m="1" x="434"/>
        <item m="1" x="385"/>
        <item m="1" x="319"/>
        <item m="1" x="302"/>
        <item m="1" x="378"/>
        <item m="1" x="369"/>
        <item m="1" x="303"/>
        <item m="1" x="383"/>
        <item m="1" x="320"/>
        <item m="1" x="112"/>
        <item m="1" x="113"/>
        <item m="1" x="424"/>
        <item m="1" x="114"/>
        <item m="1" x="115"/>
        <item m="1" x="235"/>
        <item m="1" x="116"/>
        <item m="1" x="117"/>
        <item m="1" x="454"/>
        <item m="1" x="118"/>
        <item m="1" x="119"/>
        <item m="1" x="120"/>
        <item m="1" x="121"/>
        <item m="1" x="422"/>
        <item m="1" x="122"/>
        <item m="1" x="436"/>
        <item m="1" x="123"/>
        <item m="1" x="377"/>
        <item m="1" x="335"/>
        <item m="1" x="336"/>
        <item m="1" x="333"/>
        <item m="1" x="334"/>
        <item m="1" x="441"/>
        <item m="1" x="126"/>
        <item m="1" x="127"/>
        <item m="1" x="128"/>
        <item m="1" x="230"/>
        <item m="1" x="427"/>
        <item m="1" x="130"/>
        <item m="1" x="234"/>
        <item m="1" x="132"/>
        <item m="1" x="133"/>
        <item m="1" x="134"/>
        <item m="1" x="135"/>
        <item m="1" x="136"/>
        <item m="1" x="137"/>
        <item m="1" x="138"/>
        <item m="1" x="139"/>
        <item m="1" x="140"/>
        <item m="1" x="141"/>
        <item m="1" x="142"/>
        <item m="1" x="143"/>
        <item m="1" x="231"/>
        <item m="1" x="232"/>
        <item m="1" x="398"/>
        <item m="1" x="146"/>
        <item m="1" x="147"/>
        <item m="1" x="148"/>
        <item m="1" x="149"/>
        <item m="1" x="150"/>
        <item m="1" x="151"/>
        <item m="1" x="381"/>
        <item x="31"/>
        <item m="1" x="152"/>
        <item m="1" x="153"/>
        <item m="1" x="154"/>
        <item m="1" x="359"/>
        <item m="1" x="155"/>
        <item m="1" x="156"/>
        <item m="1" x="366"/>
        <item m="1" x="438"/>
        <item x="33"/>
        <item m="1" x="157"/>
        <item m="1" x="409"/>
        <item m="1" x="158"/>
        <item m="1" x="159"/>
        <item m="1" x="160"/>
        <item m="1" x="161"/>
        <item m="1" x="162"/>
        <item m="1" x="387"/>
        <item m="1" x="356"/>
        <item m="1" x="357"/>
        <item m="1" x="431"/>
        <item m="1" x="450"/>
        <item m="1" x="440"/>
        <item m="1" x="358"/>
        <item m="1" x="354"/>
        <item m="1" x="388"/>
        <item m="1" x="414"/>
        <item m="1" x="393"/>
        <item m="1" x="163"/>
        <item m="1" x="164"/>
        <item m="1" x="165"/>
        <item m="1" x="330"/>
        <item m="1" x="167"/>
        <item m="1" x="168"/>
        <item m="1" x="386"/>
        <item m="1" x="169"/>
        <item m="1" x="170"/>
        <item m="1" x="451"/>
        <item m="1" x="171"/>
        <item m="1" x="444"/>
        <item m="1" x="419"/>
        <item m="1" x="172"/>
        <item m="1" x="426"/>
        <item m="1" x="173"/>
        <item m="1" x="174"/>
        <item m="1" x="175"/>
        <item n="(KG) Northwest CDJR" m="1" x="233"/>
        <item m="1" x="177"/>
        <item m="1" x="413"/>
        <item m="1" x="178"/>
        <item m="1" x="352"/>
        <item m="1" x="179"/>
        <item m="1" x="180"/>
        <item m="1" x="418"/>
        <item m="1" x="437"/>
        <item m="1" x="181"/>
        <item m="1" x="182"/>
        <item m="1" x="399"/>
        <item m="1" x="183"/>
        <item m="1" x="389"/>
        <item m="1" x="184"/>
        <item m="1" x="185"/>
        <item m="1" x="186"/>
        <item m="1" x="382"/>
        <item m="1" x="447"/>
        <item m="1" x="421"/>
        <item m="1" x="420"/>
        <item m="1" x="380"/>
        <item m="1" x="187"/>
        <item m="1" x="188"/>
        <item m="1" x="189"/>
        <item m="1" x="190"/>
        <item x="49"/>
        <item m="1" x="191"/>
        <item m="1" x="192"/>
        <item m="1" x="193"/>
        <item m="1" x="194"/>
        <item m="1" x="195"/>
        <item m="1" x="196"/>
        <item m="1" x="197"/>
        <item m="1" x="198"/>
        <item m="1" x="199"/>
        <item m="1" x="396"/>
        <item m="1" x="200"/>
        <item m="1" x="406"/>
        <item m="1" x="201"/>
        <item m="1" x="402"/>
        <item m="1" x="202"/>
        <item m="1" x="403"/>
        <item m="1" x="203"/>
        <item m="1" x="204"/>
        <item m="1" x="415"/>
        <item m="1" x="394"/>
        <item m="1" x="375"/>
        <item m="1" x="364"/>
        <item m="1" x="429"/>
        <item m="1" x="205"/>
        <item m="1" x="206"/>
        <item x="50"/>
        <item m="1" x="207"/>
        <item m="1" x="395"/>
        <item m="1" x="208"/>
        <item m="1" x="209"/>
        <item m="1" x="210"/>
        <item m="1" x="211"/>
        <item x="51"/>
        <item m="1" x="212"/>
        <item x="52"/>
        <item x="53"/>
        <item m="1" x="213"/>
        <item m="1" x="214"/>
        <item m="1" x="229"/>
        <item m="1" x="353"/>
        <item x="55"/>
        <item m="1" x="215"/>
        <item m="1" x="216"/>
        <item m="1" x="346"/>
        <item m="1" x="448"/>
        <item m="1" x="367"/>
        <item m="1" x="217"/>
        <item m="1" x="374"/>
        <item m="1" x="218"/>
        <item m="1" x="219"/>
        <item m="1" x="370"/>
        <item m="1" x="220"/>
        <item m="1" x="416"/>
        <item m="1" x="423"/>
        <item m="1" x="411"/>
        <item m="1" x="365"/>
        <item m="1" x="410"/>
        <item m="1" x="221"/>
        <item m="1" x="390"/>
        <item m="1" x="412"/>
        <item m="1" x="349"/>
        <item m="1" x="222"/>
        <item m="1" x="341"/>
        <item m="1" x="350"/>
        <item m="1" x="340"/>
        <item m="1" x="224"/>
        <item m="1" x="338"/>
        <item m="1" x="339"/>
        <item m="1" x="337"/>
        <item m="1" x="226"/>
        <item x="58"/>
        <item m="1" x="404"/>
        <item m="1" x="446"/>
        <item m="1" x="392"/>
        <item m="1" x="384"/>
        <item m="1" x="417"/>
        <item m="1" x="332"/>
        <item x="60"/>
        <item m="1" x="329"/>
        <item m="1" x="279"/>
        <item m="1" x="277"/>
        <item m="1" x="223"/>
        <item m="1" x="225"/>
        <item m="1" x="124"/>
        <item m="1" x="125"/>
        <item m="1" x="227"/>
        <item m="1" x="307"/>
        <item m="1" x="166"/>
        <item m="1" x="131"/>
        <item m="1" x="228"/>
        <item m="1" x="176"/>
        <item x="34"/>
        <item m="1" x="144"/>
        <item m="1" x="145"/>
        <item m="1" x="129"/>
        <item m="1" x="107"/>
        <item x="30"/>
        <item x="54"/>
        <item m="1" x="71"/>
        <item x="1"/>
        <item m="1" x="96"/>
        <item x="40"/>
        <item m="1" x="104"/>
        <item x="42"/>
        <item m="1" x="102"/>
        <item x="47"/>
        <item x="48"/>
        <item x="35"/>
        <item m="1" x="111"/>
        <item x="37"/>
        <item m="1" x="101"/>
        <item m="1" x="95"/>
        <item m="1" x="92"/>
        <item m="1" x="94"/>
        <item m="1" x="108"/>
        <item x="32"/>
        <item x="27"/>
        <item m="1" x="109"/>
        <item m="1" x="110"/>
        <item m="1" x="97"/>
        <item m="1" x="98"/>
        <item x="16"/>
        <item x="57"/>
        <item m="1" x="61"/>
        <item x="38"/>
        <item x="46"/>
        <item m="1" x="106"/>
        <item x="44"/>
        <item m="1" x="105"/>
        <item m="1" x="93"/>
        <item x="41"/>
        <item m="1" x="103"/>
        <item x="43"/>
        <item x="2"/>
        <item x="36"/>
        <item x="45"/>
        <item m="1" x="86"/>
        <item m="1" x="87"/>
        <item m="1" x="100"/>
        <item m="1" x="88"/>
        <item m="1" x="62"/>
        <item x="9"/>
        <item m="1" x="89"/>
        <item m="1" x="99"/>
        <item m="1" x="90"/>
        <item m="1" x="91"/>
        <item m="1" x="79"/>
        <item m="1" x="80"/>
        <item m="1" x="81"/>
        <item m="1" x="82"/>
        <item m="1" x="83"/>
        <item m="1" x="84"/>
        <item m="1" x="85"/>
        <item m="1" x="72"/>
        <item m="1" x="73"/>
        <item m="1" x="74"/>
        <item m="1" x="75"/>
        <item m="1" x="76"/>
        <item m="1" x="77"/>
        <item m="1" x="78"/>
        <item x="24"/>
        <item x="23"/>
        <item x="13"/>
        <item x="8"/>
        <item x="20"/>
        <item x="12"/>
        <item x="0"/>
        <item x="3"/>
        <item x="4"/>
        <item x="5"/>
        <item x="6"/>
        <item x="10"/>
        <item m="1" x="64"/>
        <item x="56"/>
        <item x="15"/>
        <item x="22"/>
        <item m="1" x="70"/>
        <item x="29"/>
        <item m="1" x="67"/>
        <item m="1" x="68"/>
        <item m="1" x="69"/>
        <item m="1" x="66"/>
        <item m="1" x="63"/>
        <item m="1" x="65"/>
        <item x="25"/>
        <item x="26"/>
        <item x="18"/>
        <item x="11"/>
        <item x="17"/>
        <item x="21"/>
        <item x="14"/>
        <item x="19"/>
        <item x="28"/>
        <item x="7"/>
        <item x="59"/>
        <item x="39"/>
      </items>
    </pivotField>
    <pivotField name="Log Time" axis="axisRow" compact="0" outline="0" showAll="0" defaultSubtotal="0">
      <items count="18">
        <item m="1" x="12"/>
        <item m="1" x="17"/>
        <item x="5"/>
        <item x="1"/>
        <item m="1" x="9"/>
        <item x="0"/>
        <item x="2"/>
        <item x="4"/>
        <item m="1" x="14"/>
        <item m="1" x="8"/>
        <item m="1" x="16"/>
        <item m="1" x="15"/>
        <item m="1" x="13"/>
        <item m="1" x="11"/>
        <item x="3"/>
        <item x="6"/>
        <item m="1" x="10"/>
        <item x="7"/>
      </items>
    </pivotField>
    <pivotField compact="0" outline="0" showAll="0" defaultSubtotal="0"/>
    <pivotField axis="axisRow" compact="0" outline="0" showAll="0" sortType="ascending" defaultSubtotal="0">
      <items count="16">
        <item x="3"/>
        <item m="1" x="9"/>
        <item m="1" x="13"/>
        <item x="5"/>
        <item m="1" x="15"/>
        <item x="1"/>
        <item x="6"/>
        <item x="0"/>
        <item m="1" x="10"/>
        <item x="2"/>
        <item m="1" x="14"/>
        <item x="4"/>
        <item m="1" x="12"/>
        <item m="1" x="11"/>
        <item x="7"/>
        <item m="1" x="8"/>
      </items>
    </pivotField>
    <pivotField compact="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4">
    <field x="1"/>
    <field x="4"/>
    <field x="3"/>
    <field x="6"/>
  </rowFields>
  <rowItems count="60">
    <i>
      <x v="37"/>
      <x v="2"/>
      <x v="284"/>
      <x v="5"/>
    </i>
    <i r="2">
      <x v="291"/>
      <x v="5"/>
    </i>
    <i r="2">
      <x v="293"/>
      <x v="5"/>
    </i>
    <i r="2">
      <x v="294"/>
      <x v="5"/>
    </i>
    <i r="2">
      <x v="299"/>
      <x v="5"/>
    </i>
    <i r="2">
      <x v="356"/>
      <x v="5"/>
    </i>
    <i r="2">
      <x v="360"/>
      <x v="3"/>
    </i>
    <i r="2">
      <x v="394"/>
      <x v="7"/>
    </i>
    <i r="1">
      <x v="3"/>
      <x v="358"/>
      <x v="5"/>
    </i>
    <i r="2">
      <x v="374"/>
      <x v="5"/>
    </i>
    <i r="2">
      <x v="380"/>
      <x v="5"/>
    </i>
    <i r="2">
      <x v="381"/>
      <x v="5"/>
    </i>
    <i r="2">
      <x v="392"/>
      <x v="5"/>
    </i>
    <i r="2">
      <x v="400"/>
      <x v="5"/>
    </i>
    <i r="2">
      <x v="419"/>
      <x v="5"/>
    </i>
    <i r="2">
      <x v="420"/>
      <x v="5"/>
    </i>
    <i r="2">
      <x v="421"/>
      <x v="5"/>
    </i>
    <i r="2">
      <x v="422"/>
      <x v="5"/>
    </i>
    <i r="2">
      <x v="423"/>
      <x v="5"/>
    </i>
    <i r="2">
      <x v="424"/>
      <x v="5"/>
    </i>
    <i r="2">
      <x v="426"/>
      <x v="5"/>
    </i>
    <i r="2">
      <x v="427"/>
      <x v="5"/>
    </i>
    <i r="2">
      <x v="428"/>
      <x v="5"/>
    </i>
    <i r="2">
      <x v="429"/>
      <x v="5"/>
    </i>
    <i r="2">
      <x v="430"/>
      <x v="5"/>
    </i>
    <i r="2">
      <x v="432"/>
      <x v="5"/>
    </i>
    <i r="2">
      <x v="433"/>
      <x v="5"/>
    </i>
    <i r="2">
      <x v="434"/>
      <x v="5"/>
    </i>
    <i r="2">
      <x v="443"/>
      <x v="5"/>
    </i>
    <i r="2">
      <x v="444"/>
      <x v="5"/>
    </i>
    <i r="2">
      <x v="445"/>
      <x v="5"/>
    </i>
    <i r="2">
      <x v="446"/>
      <x v="5"/>
    </i>
    <i r="2">
      <x v="447"/>
      <x v="5"/>
    </i>
    <i r="2">
      <x v="448"/>
      <x v="5"/>
    </i>
    <i r="2">
      <x v="449"/>
      <x v="5"/>
    </i>
    <i r="2">
      <x v="450"/>
      <x v="5"/>
    </i>
    <i r="2">
      <x v="452"/>
      <x v="5"/>
    </i>
    <i r="2">
      <x v="453"/>
      <x v="5"/>
    </i>
    <i r="1">
      <x v="5"/>
      <x v="186"/>
      <x v="7"/>
    </i>
    <i r="2">
      <x v="258"/>
      <x v="7"/>
    </i>
    <i r="2">
      <x v="350"/>
      <x v="7"/>
    </i>
    <i r="2">
      <x v="364"/>
      <x v="7"/>
    </i>
    <i r="2">
      <x v="365"/>
      <x v="6"/>
    </i>
    <i r="2">
      <x v="366"/>
      <x v="7"/>
    </i>
    <i r="2">
      <x v="383"/>
      <x v="7"/>
    </i>
    <i r="2">
      <x v="384"/>
      <x v="7"/>
    </i>
    <i r="2">
      <x v="386"/>
      <x v="7"/>
    </i>
    <i r="2">
      <x v="391"/>
      <x v="7"/>
    </i>
    <i r="2">
      <x v="425"/>
      <x v="7"/>
    </i>
    <i r="2">
      <x v="436"/>
      <x v="7"/>
    </i>
    <i r="2">
      <x v="451"/>
      <x v="7"/>
    </i>
    <i r="2">
      <x v="454"/>
      <x v="3"/>
    </i>
    <i r="1">
      <x v="6"/>
      <x v="375"/>
      <x v="9"/>
    </i>
    <i r="1">
      <x v="7"/>
      <x v="195"/>
      <x v="11"/>
    </i>
    <i r="2">
      <x v="368"/>
      <x v="11"/>
    </i>
    <i r="2">
      <x v="393"/>
      <x v="11"/>
    </i>
    <i r="1">
      <x v="14"/>
      <x v="329"/>
      <x/>
    </i>
    <i r="2">
      <x v="355"/>
      <x/>
    </i>
    <i r="1">
      <x v="15"/>
      <x v="362"/>
      <x v="5"/>
    </i>
    <i r="2">
      <x v="389"/>
      <x v="7"/>
    </i>
  </rowItems>
  <colItems count="1">
    <i/>
  </colItems>
  <dataFields count="1">
    <dataField name="Suma de Station" fld="2" baseField="0" baseItem="0"/>
  </dataFields>
  <formats count="108">
    <format dxfId="2518">
      <pivotArea field="3" type="button" dataOnly="0" labelOnly="1" outline="0" axis="axisRow" fieldPosition="2"/>
    </format>
    <format dxfId="2517">
      <pivotArea type="all" dataOnly="0" outline="0" fieldPosition="0"/>
    </format>
    <format dxfId="2516">
      <pivotArea field="3" type="button" dataOnly="0" labelOnly="1" outline="0" axis="axisRow" fieldPosition="2"/>
    </format>
    <format dxfId="2515">
      <pivotArea type="all" dataOnly="0" outline="0" fieldPosition="0"/>
    </format>
    <format dxfId="2514">
      <pivotArea field="3" type="button" dataOnly="0" labelOnly="1" outline="0" axis="axisRow" fieldPosition="2"/>
    </format>
    <format dxfId="2513">
      <pivotArea dataOnly="0" labelOnly="1" fieldPosition="0">
        <references count="1">
          <reference field="3"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2512">
      <pivotArea dataOnly="0" labelOnly="1" fieldPosition="0">
        <references count="1">
          <reference field="3"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1"/>
            <x v="133"/>
            <x v="134"/>
            <x v="135"/>
            <x v="137"/>
            <x v="138"/>
            <x v="139"/>
            <x v="337"/>
          </reference>
        </references>
      </pivotArea>
    </format>
    <format dxfId="2511">
      <pivotArea dataOnly="0" labelOnly="1" fieldPosition="0">
        <references count="1">
          <reference field="3" count="50">
            <x v="140"/>
            <x v="141"/>
            <x v="143"/>
            <x v="144"/>
            <x v="145"/>
            <x v="146"/>
            <x v="148"/>
            <x v="150"/>
            <x v="152"/>
            <x v="153"/>
            <x v="154"/>
            <x v="155"/>
            <x v="157"/>
            <x v="158"/>
            <x v="159"/>
            <x v="160"/>
            <x v="162"/>
            <x v="163"/>
            <x v="164"/>
            <x v="165"/>
            <x v="166"/>
            <x v="167"/>
            <x v="168"/>
            <x v="169"/>
            <x v="170"/>
            <x v="171"/>
            <x v="172"/>
            <x v="173"/>
            <x v="174"/>
            <x v="175"/>
            <x v="176"/>
            <x v="177"/>
            <x v="179"/>
            <x v="180"/>
            <x v="181"/>
            <x v="182"/>
            <x v="183"/>
            <x v="184"/>
            <x v="186"/>
            <x v="187"/>
            <x v="188"/>
            <x v="189"/>
            <x v="191"/>
            <x v="192"/>
            <x v="195"/>
            <x v="196"/>
            <x v="198"/>
            <x v="199"/>
            <x v="203"/>
            <x v="204"/>
          </reference>
        </references>
      </pivotArea>
    </format>
    <format dxfId="2510">
      <pivotArea dataOnly="0" labelOnly="1" fieldPosition="0">
        <references count="1">
          <reference field="3" count="50">
            <x v="206"/>
            <x v="207"/>
            <x v="208"/>
            <x v="209"/>
            <x v="211"/>
            <x v="218"/>
            <x v="219"/>
            <x v="221"/>
            <x v="222"/>
            <x v="224"/>
            <x v="227"/>
            <x v="229"/>
            <x v="230"/>
            <x v="231"/>
            <x v="232"/>
            <x v="233"/>
            <x v="235"/>
            <x v="237"/>
            <x v="238"/>
            <x v="241"/>
            <x v="242"/>
            <x v="244"/>
            <x v="246"/>
            <x v="247"/>
            <x v="248"/>
            <x v="254"/>
            <x v="255"/>
            <x v="256"/>
            <x v="257"/>
            <x v="258"/>
            <x v="259"/>
            <x v="262"/>
            <x v="263"/>
            <x v="264"/>
            <x v="265"/>
            <x v="266"/>
            <x v="267"/>
            <x v="269"/>
            <x v="271"/>
            <x v="273"/>
            <x v="275"/>
            <x v="276"/>
            <x v="282"/>
            <x v="283"/>
            <x v="284"/>
            <x v="285"/>
            <x v="287"/>
            <x v="288"/>
            <x v="289"/>
            <x v="290"/>
          </reference>
        </references>
      </pivotArea>
    </format>
    <format dxfId="2509">
      <pivotArea dataOnly="0" labelOnly="1" fieldPosition="0">
        <references count="1">
          <reference field="3" count="27">
            <x v="291"/>
            <x v="292"/>
            <x v="293"/>
            <x v="294"/>
            <x v="295"/>
            <x v="296"/>
            <x v="297"/>
            <x v="299"/>
            <x v="300"/>
            <x v="301"/>
            <x v="303"/>
            <x v="307"/>
            <x v="308"/>
            <x v="310"/>
            <x v="311"/>
            <x v="313"/>
            <x v="315"/>
            <x v="316"/>
            <x v="320"/>
            <x v="321"/>
            <x v="323"/>
            <x v="324"/>
            <x v="325"/>
            <x v="326"/>
            <x v="327"/>
            <x v="328"/>
            <x v="335"/>
          </reference>
        </references>
      </pivotArea>
    </format>
    <format dxfId="2508">
      <pivotArea dataOnly="0" labelOnly="1" fieldPosition="0">
        <references count="1">
          <reference field="3"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2507">
      <pivotArea dataOnly="0" labelOnly="1" fieldPosition="0">
        <references count="1">
          <reference field="3"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1"/>
            <x v="133"/>
            <x v="134"/>
            <x v="135"/>
            <x v="137"/>
            <x v="138"/>
            <x v="139"/>
            <x v="337"/>
          </reference>
        </references>
      </pivotArea>
    </format>
    <format dxfId="2506">
      <pivotArea dataOnly="0" labelOnly="1" fieldPosition="0">
        <references count="1">
          <reference field="3" count="50">
            <x v="140"/>
            <x v="141"/>
            <x v="143"/>
            <x v="144"/>
            <x v="145"/>
            <x v="146"/>
            <x v="148"/>
            <x v="150"/>
            <x v="152"/>
            <x v="153"/>
            <x v="154"/>
            <x v="155"/>
            <x v="157"/>
            <x v="158"/>
            <x v="159"/>
            <x v="160"/>
            <x v="162"/>
            <x v="163"/>
            <x v="164"/>
            <x v="165"/>
            <x v="166"/>
            <x v="167"/>
            <x v="168"/>
            <x v="169"/>
            <x v="170"/>
            <x v="171"/>
            <x v="172"/>
            <x v="173"/>
            <x v="174"/>
            <x v="175"/>
            <x v="176"/>
            <x v="177"/>
            <x v="179"/>
            <x v="180"/>
            <x v="181"/>
            <x v="182"/>
            <x v="183"/>
            <x v="184"/>
            <x v="186"/>
            <x v="187"/>
            <x v="188"/>
            <x v="189"/>
            <x v="191"/>
            <x v="192"/>
            <x v="195"/>
            <x v="196"/>
            <x v="198"/>
            <x v="199"/>
            <x v="203"/>
            <x v="204"/>
          </reference>
        </references>
      </pivotArea>
    </format>
    <format dxfId="2505">
      <pivotArea dataOnly="0" labelOnly="1" fieldPosition="0">
        <references count="1">
          <reference field="3" count="50">
            <x v="206"/>
            <x v="207"/>
            <x v="208"/>
            <x v="209"/>
            <x v="211"/>
            <x v="218"/>
            <x v="219"/>
            <x v="221"/>
            <x v="222"/>
            <x v="224"/>
            <x v="227"/>
            <x v="229"/>
            <x v="230"/>
            <x v="231"/>
            <x v="232"/>
            <x v="233"/>
            <x v="235"/>
            <x v="237"/>
            <x v="238"/>
            <x v="241"/>
            <x v="242"/>
            <x v="244"/>
            <x v="246"/>
            <x v="247"/>
            <x v="248"/>
            <x v="254"/>
            <x v="255"/>
            <x v="256"/>
            <x v="257"/>
            <x v="258"/>
            <x v="259"/>
            <x v="262"/>
            <x v="263"/>
            <x v="264"/>
            <x v="265"/>
            <x v="266"/>
            <x v="267"/>
            <x v="269"/>
            <x v="271"/>
            <x v="273"/>
            <x v="275"/>
            <x v="276"/>
            <x v="282"/>
            <x v="283"/>
            <x v="284"/>
            <x v="285"/>
            <x v="287"/>
            <x v="288"/>
            <x v="289"/>
            <x v="290"/>
          </reference>
        </references>
      </pivotArea>
    </format>
    <format dxfId="2504">
      <pivotArea dataOnly="0" labelOnly="1" fieldPosition="0">
        <references count="1">
          <reference field="3" count="27">
            <x v="291"/>
            <x v="292"/>
            <x v="293"/>
            <x v="294"/>
            <x v="295"/>
            <x v="296"/>
            <x v="297"/>
            <x v="299"/>
            <x v="300"/>
            <x v="301"/>
            <x v="303"/>
            <x v="307"/>
            <x v="308"/>
            <x v="310"/>
            <x v="311"/>
            <x v="313"/>
            <x v="315"/>
            <x v="316"/>
            <x v="320"/>
            <x v="321"/>
            <x v="323"/>
            <x v="324"/>
            <x v="325"/>
            <x v="326"/>
            <x v="327"/>
            <x v="328"/>
            <x v="335"/>
          </reference>
        </references>
      </pivotArea>
    </format>
    <format dxfId="2503">
      <pivotArea field="3" type="button" dataOnly="0" labelOnly="1" outline="0" axis="axisRow" fieldPosition="2"/>
    </format>
    <format dxfId="2502">
      <pivotArea field="6" type="button" dataOnly="0" labelOnly="1" outline="0" axis="axisRow" fieldPosition="3"/>
    </format>
    <format dxfId="2501">
      <pivotArea field="4" type="button" dataOnly="0" labelOnly="1" outline="0" axis="axisRow" fieldPosition="1"/>
    </format>
    <format dxfId="2500">
      <pivotArea dataOnly="0" labelOnly="1" outline="0" fieldPosition="0">
        <references count="1">
          <reference field="4" count="1">
            <x v="0"/>
          </reference>
        </references>
      </pivotArea>
    </format>
    <format dxfId="2499">
      <pivotArea dataOnly="0" labelOnly="1" outline="0" fieldPosition="0">
        <references count="1">
          <reference field="4" count="1">
            <x v="0"/>
          </reference>
        </references>
      </pivotArea>
    </format>
    <format dxfId="2498">
      <pivotArea dataOnly="0" labelOnly="1" outline="0" fieldPosition="0">
        <references count="1">
          <reference field="4" count="1">
            <x v="2"/>
          </reference>
        </references>
      </pivotArea>
    </format>
    <format dxfId="2497">
      <pivotArea dataOnly="0" labelOnly="1" outline="0" fieldPosition="0">
        <references count="2">
          <reference field="1" count="1" selected="0">
            <x v="0"/>
          </reference>
          <reference field="4" count="1">
            <x v="3"/>
          </reference>
        </references>
      </pivotArea>
    </format>
    <format dxfId="2496">
      <pivotArea dataOnly="0" labelOnly="1" outline="0" fieldPosition="0">
        <references count="2">
          <reference field="1" count="1" selected="0">
            <x v="0"/>
          </reference>
          <reference field="4" count="1">
            <x v="4"/>
          </reference>
        </references>
      </pivotArea>
    </format>
    <format dxfId="2495">
      <pivotArea dataOnly="0" labelOnly="1" outline="0" fieldPosition="0">
        <references count="2">
          <reference field="1" count="1" selected="0">
            <x v="0"/>
          </reference>
          <reference field="4" count="1">
            <x v="5"/>
          </reference>
        </references>
      </pivotArea>
    </format>
    <format dxfId="2494">
      <pivotArea dataOnly="0" labelOnly="1" outline="0" fieldPosition="0">
        <references count="2">
          <reference field="1" count="1" selected="0">
            <x v="0"/>
          </reference>
          <reference field="4" count="1">
            <x v="6"/>
          </reference>
        </references>
      </pivotArea>
    </format>
    <format dxfId="2493">
      <pivotArea dataOnly="0" labelOnly="1" outline="0" fieldPosition="0">
        <references count="2">
          <reference field="1" count="1" selected="0">
            <x v="0"/>
          </reference>
          <reference field="4" count="1">
            <x v="7"/>
          </reference>
        </references>
      </pivotArea>
    </format>
    <format dxfId="2492">
      <pivotArea dataOnly="0" labelOnly="1" outline="0" fieldPosition="0">
        <references count="2">
          <reference field="1" count="1" selected="0">
            <x v="0"/>
          </reference>
          <reference field="4" count="1">
            <x v="8"/>
          </reference>
        </references>
      </pivotArea>
    </format>
    <format dxfId="2491">
      <pivotArea dataOnly="0" labelOnly="1" outline="0" fieldPosition="0">
        <references count="2">
          <reference field="1" count="1" selected="0">
            <x v="1"/>
          </reference>
          <reference field="4" count="1">
            <x v="3"/>
          </reference>
        </references>
      </pivotArea>
    </format>
    <format dxfId="2490">
      <pivotArea dataOnly="0" labelOnly="1" outline="0" fieldPosition="0">
        <references count="2">
          <reference field="1" count="1" selected="0">
            <x v="1"/>
          </reference>
          <reference field="4" count="1">
            <x v="4"/>
          </reference>
        </references>
      </pivotArea>
    </format>
    <format dxfId="2489">
      <pivotArea dataOnly="0" labelOnly="1" outline="0" fieldPosition="0">
        <references count="2">
          <reference field="1" count="1" selected="0">
            <x v="1"/>
          </reference>
          <reference field="4" count="1">
            <x v="5"/>
          </reference>
        </references>
      </pivotArea>
    </format>
    <format dxfId="2488">
      <pivotArea dataOnly="0" labelOnly="1" outline="0" fieldPosition="0">
        <references count="2">
          <reference field="1" count="1" selected="0">
            <x v="1"/>
          </reference>
          <reference field="4" count="1">
            <x v="6"/>
          </reference>
        </references>
      </pivotArea>
    </format>
    <format dxfId="2487">
      <pivotArea dataOnly="0" labelOnly="1" outline="0" fieldPosition="0">
        <references count="2">
          <reference field="1" count="1" selected="0">
            <x v="1"/>
          </reference>
          <reference field="4" count="1">
            <x v="7"/>
          </reference>
        </references>
      </pivotArea>
    </format>
    <format dxfId="2486">
      <pivotArea dataOnly="0" labelOnly="1" outline="0" fieldPosition="0">
        <references count="2">
          <reference field="1" count="1" selected="0">
            <x v="1"/>
          </reference>
          <reference field="4" count="1">
            <x v="8"/>
          </reference>
        </references>
      </pivotArea>
    </format>
    <format dxfId="2485">
      <pivotArea dataOnly="0" labelOnly="1" outline="0" fieldPosition="0">
        <references count="2">
          <reference field="1" count="1" selected="0">
            <x v="2"/>
          </reference>
          <reference field="4" count="1">
            <x v="3"/>
          </reference>
        </references>
      </pivotArea>
    </format>
    <format dxfId="2484">
      <pivotArea dataOnly="0" labelOnly="1" outline="0" fieldPosition="0">
        <references count="2">
          <reference field="1" count="1" selected="0">
            <x v="2"/>
          </reference>
          <reference field="4" count="1">
            <x v="4"/>
          </reference>
        </references>
      </pivotArea>
    </format>
    <format dxfId="2483">
      <pivotArea dataOnly="0" labelOnly="1" outline="0" fieldPosition="0">
        <references count="2">
          <reference field="1" count="1" selected="0">
            <x v="2"/>
          </reference>
          <reference field="4" count="1">
            <x v="5"/>
          </reference>
        </references>
      </pivotArea>
    </format>
    <format dxfId="2482">
      <pivotArea dataOnly="0" outline="0" fieldPosition="0">
        <references count="1">
          <reference field="4" count="1">
            <x v="6"/>
          </reference>
        </references>
      </pivotArea>
    </format>
    <format dxfId="2481">
      <pivotArea dataOnly="0" outline="0" fieldPosition="0">
        <references count="1">
          <reference field="4" count="2">
            <x v="7"/>
            <x v="8"/>
          </reference>
        </references>
      </pivotArea>
    </format>
    <format dxfId="2480">
      <pivotArea dataOnly="0" outline="0" fieldPosition="0">
        <references count="1">
          <reference field="4" count="1">
            <x v="3"/>
          </reference>
        </references>
      </pivotArea>
    </format>
    <format dxfId="2479">
      <pivotArea dataOnly="0" labelOnly="1" outline="0" fieldPosition="0">
        <references count="2">
          <reference field="1" count="1" selected="0">
            <x v="3"/>
          </reference>
          <reference field="4" count="1">
            <x v="4"/>
          </reference>
        </references>
      </pivotArea>
    </format>
    <format dxfId="2478">
      <pivotArea dataOnly="0" outline="0" fieldPosition="0">
        <references count="1">
          <reference field="4" count="1">
            <x v="5"/>
          </reference>
        </references>
      </pivotArea>
    </format>
    <format dxfId="2477">
      <pivotArea dataOnly="0" labelOnly="1" outline="0" fieldPosition="0">
        <references count="2">
          <reference field="1" count="1" selected="0">
            <x v="4"/>
          </reference>
          <reference field="4" count="1">
            <x v="4"/>
          </reference>
        </references>
      </pivotArea>
    </format>
    <format dxfId="2476">
      <pivotArea dataOnly="0" labelOnly="1" outline="0" fieldPosition="0">
        <references count="2">
          <reference field="1" count="1" selected="0">
            <x v="5"/>
          </reference>
          <reference field="4" count="1">
            <x v="4"/>
          </reference>
        </references>
      </pivotArea>
    </format>
    <format dxfId="2475">
      <pivotArea dataOnly="0" labelOnly="1" outline="0" fieldPosition="0">
        <references count="2">
          <reference field="1" count="1" selected="0">
            <x v="6"/>
          </reference>
          <reference field="4" count="1">
            <x v="4"/>
          </reference>
        </references>
      </pivotArea>
    </format>
    <format dxfId="2474">
      <pivotArea dataOnly="0" outline="0" fieldPosition="0">
        <references count="1">
          <reference field="4" count="1">
            <x v="7"/>
          </reference>
        </references>
      </pivotArea>
    </format>
    <format dxfId="2473">
      <pivotArea dataOnly="0" labelOnly="1" outline="0" fieldPosition="0">
        <references count="2">
          <reference field="1" count="1" selected="0">
            <x v="7"/>
          </reference>
          <reference field="4" count="1">
            <x v="4"/>
          </reference>
        </references>
      </pivotArea>
    </format>
    <format dxfId="2472">
      <pivotArea dataOnly="0" labelOnly="1" outline="0" fieldPosition="0">
        <references count="2">
          <reference field="1" count="1" selected="0">
            <x v="8"/>
          </reference>
          <reference field="4" count="1">
            <x v="4"/>
          </reference>
        </references>
      </pivotArea>
    </format>
    <format dxfId="2471">
      <pivotArea dataOnly="0" labelOnly="1" outline="0" fieldPosition="0">
        <references count="2">
          <reference field="1" count="1" selected="0">
            <x v="9"/>
          </reference>
          <reference field="4" count="1">
            <x v="4"/>
          </reference>
        </references>
      </pivotArea>
    </format>
    <format dxfId="2470">
      <pivotArea dataOnly="0" labelOnly="1" outline="0" fieldPosition="0">
        <references count="2">
          <reference field="1" count="1" selected="0">
            <x v="10"/>
          </reference>
          <reference field="4" count="1">
            <x v="4"/>
          </reference>
        </references>
      </pivotArea>
    </format>
    <format dxfId="2469">
      <pivotArea dataOnly="0" labelOnly="1" outline="0" fieldPosition="0">
        <references count="2">
          <reference field="1" count="1" selected="0">
            <x v="11"/>
          </reference>
          <reference field="4" count="1">
            <x v="4"/>
          </reference>
        </references>
      </pivotArea>
    </format>
    <format dxfId="2468">
      <pivotArea dataOnly="0" outline="0" fieldPosition="0">
        <references count="1">
          <reference field="4" count="1">
            <x v="4"/>
          </reference>
        </references>
      </pivotArea>
    </format>
    <format dxfId="2467">
      <pivotArea dataOnly="0" labelOnly="1" outline="0" fieldPosition="0">
        <references count="2">
          <reference field="1" count="0" selected="0"/>
          <reference field="4" count="6">
            <x v="2"/>
            <x v="3"/>
            <x v="5"/>
            <x v="6"/>
            <x v="7"/>
            <x v="8"/>
          </reference>
        </references>
      </pivotArea>
    </format>
    <format dxfId="2466">
      <pivotArea dataOnly="0" labelOnly="1" outline="0" fieldPosition="0">
        <references count="3">
          <reference field="1" count="0" selected="0"/>
          <reference field="3" count="2">
            <x v="215"/>
            <x v="305"/>
          </reference>
          <reference field="4" count="1" selected="0">
            <x v="3"/>
          </reference>
        </references>
      </pivotArea>
    </format>
    <format dxfId="2465">
      <pivotArea dataOnly="0" labelOnly="1" outline="0" fieldPosition="0">
        <references count="3">
          <reference field="1" count="0" selected="0"/>
          <reference field="3" count="1">
            <x v="201"/>
          </reference>
          <reference field="4" count="1" selected="0">
            <x v="3"/>
          </reference>
        </references>
      </pivotArea>
    </format>
    <format dxfId="2464">
      <pivotArea dataOnly="0" labelOnly="1" outline="0" fieldPosition="0">
        <references count="3">
          <reference field="1" count="0" selected="0"/>
          <reference field="3" count="2">
            <x v="202"/>
            <x v="214"/>
          </reference>
          <reference field="4" count="1" selected="0">
            <x v="3"/>
          </reference>
        </references>
      </pivotArea>
    </format>
    <format dxfId="2463">
      <pivotArea dataOnly="0" labelOnly="1" outline="0" fieldPosition="0">
        <references count="3">
          <reference field="1" count="0" selected="0"/>
          <reference field="3" count="1">
            <x v="260"/>
          </reference>
          <reference field="4" count="1" selected="0">
            <x v="5"/>
          </reference>
        </references>
      </pivotArea>
    </format>
    <format dxfId="2462">
      <pivotArea dataOnly="0" labelOnly="1" outline="0" fieldPosition="0">
        <references count="3">
          <reference field="1" count="0" selected="0"/>
          <reference field="3" count="1">
            <x v="216"/>
          </reference>
          <reference field="4" count="1" selected="0">
            <x v="3"/>
          </reference>
        </references>
      </pivotArea>
    </format>
    <format dxfId="2461">
      <pivotArea dataOnly="0" labelOnly="1" outline="0" fieldPosition="0">
        <references count="3">
          <reference field="1" count="0" selected="0"/>
          <reference field="3" count="3">
            <x v="200"/>
            <x v="217"/>
            <x v="241"/>
          </reference>
          <reference field="4" count="1" selected="0">
            <x v="3"/>
          </reference>
        </references>
      </pivotArea>
    </format>
    <format dxfId="2460">
      <pivotArea dataOnly="0" labelOnly="1" outline="0" fieldPosition="0">
        <references count="2">
          <reference field="1" count="0" selected="0"/>
          <reference field="4" count="1">
            <x v="4"/>
          </reference>
        </references>
      </pivotArea>
    </format>
    <format dxfId="2459">
      <pivotArea dataOnly="0" labelOnly="1" outline="0" fieldPosition="0">
        <references count="3">
          <reference field="1" count="0" selected="0"/>
          <reference field="3" count="1">
            <x v="66"/>
          </reference>
          <reference field="4" count="1" selected="0">
            <x v="5"/>
          </reference>
        </references>
      </pivotArea>
    </format>
    <format dxfId="2458">
      <pivotArea dataOnly="0" labelOnly="1" outline="0" fieldPosition="0">
        <references count="3">
          <reference field="1" count="0" selected="0"/>
          <reference field="3" count="1">
            <x v="16"/>
          </reference>
          <reference field="4" count="1" selected="0">
            <x v="0"/>
          </reference>
        </references>
      </pivotArea>
    </format>
    <format dxfId="2457">
      <pivotArea dataOnly="0" labelOnly="1" outline="0" fieldPosition="0">
        <references count="3">
          <reference field="1" count="0" selected="0"/>
          <reference field="3" count="1">
            <x v="98"/>
          </reference>
          <reference field="4" count="1" selected="0">
            <x v="6"/>
          </reference>
        </references>
      </pivotArea>
    </format>
    <format dxfId="2456">
      <pivotArea dataOnly="0" labelOnly="1" outline="0" fieldPosition="0">
        <references count="2">
          <reference field="1" count="0" selected="0"/>
          <reference field="4" count="1">
            <x v="1"/>
          </reference>
        </references>
      </pivotArea>
    </format>
    <format dxfId="2455">
      <pivotArea dataOnly="0" labelOnly="1" outline="0" fieldPosition="0">
        <references count="3">
          <reference field="1" count="0" selected="0"/>
          <reference field="3" count="1">
            <x v="261"/>
          </reference>
          <reference field="4" count="1" selected="0">
            <x v="5"/>
          </reference>
        </references>
      </pivotArea>
    </format>
    <format dxfId="2454">
      <pivotArea dataOnly="0" labelOnly="1" outline="0" fieldPosition="0">
        <references count="3">
          <reference field="1" count="0" selected="0"/>
          <reference field="3" count="1">
            <x v="329"/>
          </reference>
          <reference field="4" count="1" selected="0">
            <x v="0"/>
          </reference>
        </references>
      </pivotArea>
    </format>
    <format dxfId="2453">
      <pivotArea dataOnly="0" labelOnly="1" outline="0" fieldPosition="0">
        <references count="3">
          <reference field="1" count="0" selected="0"/>
          <reference field="3" count="1">
            <x v="345"/>
          </reference>
          <reference field="4" count="1" selected="0">
            <x v="6"/>
          </reference>
        </references>
      </pivotArea>
    </format>
    <format dxfId="2452">
      <pivotArea dataOnly="0" labelOnly="1" outline="0" fieldPosition="0">
        <references count="3">
          <reference field="1" count="0" selected="0"/>
          <reference field="3" count="1">
            <x v="343"/>
          </reference>
          <reference field="4" count="1" selected="0">
            <x v="5"/>
          </reference>
        </references>
      </pivotArea>
    </format>
    <format dxfId="2451">
      <pivotArea dataOnly="0" labelOnly="1" outline="0" fieldPosition="0">
        <references count="3">
          <reference field="1" count="0" selected="0"/>
          <reference field="3" count="1">
            <x v="346"/>
          </reference>
          <reference field="4" count="1" selected="0">
            <x v="3"/>
          </reference>
        </references>
      </pivotArea>
    </format>
    <format dxfId="2450">
      <pivotArea dataOnly="0" labelOnly="1" outline="0" fieldPosition="0">
        <references count="2">
          <reference field="1" count="0" selected="0"/>
          <reference field="4" count="1">
            <x v="10"/>
          </reference>
        </references>
      </pivotArea>
    </format>
    <format dxfId="2449">
      <pivotArea dataOnly="0" labelOnly="1" outline="0" fieldPosition="0">
        <references count="2">
          <reference field="1" count="0" selected="0"/>
          <reference field="4" count="1">
            <x v="10"/>
          </reference>
        </references>
      </pivotArea>
    </format>
    <format dxfId="2448">
      <pivotArea dataOnly="0" labelOnly="1" outline="0" fieldPosition="0">
        <references count="3">
          <reference field="1" count="0" selected="0"/>
          <reference field="3" count="5">
            <x v="201"/>
            <x v="202"/>
            <x v="305"/>
            <x v="316"/>
            <x v="328"/>
          </reference>
          <reference field="4" count="1" selected="0">
            <x v="5"/>
          </reference>
        </references>
      </pivotArea>
    </format>
    <format dxfId="2447">
      <pivotArea dataOnly="0" labelOnly="1" outline="0" fieldPosition="0">
        <references count="3">
          <reference field="1" count="0" selected="0"/>
          <reference field="3" count="20">
            <x v="33"/>
            <x v="39"/>
            <x v="65"/>
            <x v="66"/>
            <x v="93"/>
            <x v="95"/>
            <x v="131"/>
            <x v="170"/>
            <x v="171"/>
            <x v="186"/>
            <x v="196"/>
            <x v="227"/>
            <x v="232"/>
            <x v="247"/>
            <x v="248"/>
            <x v="261"/>
            <x v="262"/>
            <x v="271"/>
            <x v="273"/>
            <x v="343"/>
          </reference>
          <reference field="4" count="1" selected="0">
            <x v="6"/>
          </reference>
        </references>
      </pivotArea>
    </format>
    <format dxfId="2446">
      <pivotArea dataOnly="0" labelOnly="1" outline="0" fieldPosition="0">
        <references count="3">
          <reference field="1" count="0" selected="0"/>
          <reference field="3" count="12">
            <x v="19"/>
            <x v="45"/>
            <x v="49"/>
            <x v="63"/>
            <x v="68"/>
            <x v="99"/>
            <x v="104"/>
            <x v="180"/>
            <x v="181"/>
            <x v="229"/>
            <x v="231"/>
            <x v="345"/>
          </reference>
          <reference field="4" count="1" selected="0">
            <x v="7"/>
          </reference>
        </references>
      </pivotArea>
    </format>
    <format dxfId="2445">
      <pivotArea dataOnly="0" labelOnly="1" outline="0" fieldPosition="0">
        <references count="3">
          <reference field="1" count="0" selected="0"/>
          <reference field="3" count="5">
            <x v="23"/>
            <x v="25"/>
            <x v="34"/>
            <x v="44"/>
            <x v="96"/>
          </reference>
          <reference field="4" count="1" selected="0">
            <x v="8"/>
          </reference>
        </references>
      </pivotArea>
    </format>
    <format dxfId="2444">
      <pivotArea dataOnly="0" labelOnly="1" outline="0" fieldPosition="0">
        <references count="3">
          <reference field="1" count="0" selected="0"/>
          <reference field="3" count="1">
            <x v="82"/>
          </reference>
          <reference field="4" count="1" selected="0">
            <x v="10"/>
          </reference>
        </references>
      </pivotArea>
    </format>
    <format dxfId="2443">
      <pivotArea dataOnly="0" labelOnly="1" outline="0" fieldPosition="0">
        <references count="3">
          <reference field="1" count="0" selected="0"/>
          <reference field="3" count="4">
            <x v="200"/>
            <x v="214"/>
            <x v="241"/>
            <x v="320"/>
          </reference>
          <reference field="4" count="1" selected="0">
            <x v="5"/>
          </reference>
        </references>
      </pivotArea>
    </format>
    <format dxfId="2442">
      <pivotArea dataOnly="0" labelOnly="1" outline="0" fieldPosition="0">
        <references count="3">
          <reference field="1" count="0" selected="0"/>
          <reference field="3" count="21">
            <x v="6"/>
            <x v="29"/>
            <x v="42"/>
            <x v="61"/>
            <x v="70"/>
            <x v="86"/>
            <x v="116"/>
            <x v="133"/>
            <x v="158"/>
            <x v="169"/>
            <x v="172"/>
            <x v="177"/>
            <x v="198"/>
            <x v="224"/>
            <x v="233"/>
            <x v="246"/>
            <x v="254"/>
            <x v="260"/>
            <x v="263"/>
            <x v="269"/>
            <x v="275"/>
          </reference>
          <reference field="4" count="1" selected="0">
            <x v="6"/>
          </reference>
        </references>
      </pivotArea>
    </format>
    <format dxfId="2441">
      <pivotArea dataOnly="0" labelOnly="1" outline="0" fieldPosition="0">
        <references count="3">
          <reference field="1" count="0" selected="0"/>
          <reference field="3" count="12">
            <x v="15"/>
            <x v="20"/>
            <x v="38"/>
            <x v="60"/>
            <x v="72"/>
            <x v="98"/>
            <x v="114"/>
            <x v="160"/>
            <x v="182"/>
            <x v="230"/>
            <x v="307"/>
            <x v="339"/>
          </reference>
          <reference field="4" count="1" selected="0">
            <x v="7"/>
          </reference>
        </references>
      </pivotArea>
    </format>
    <format dxfId="2440">
      <pivotArea dataOnly="0" labelOnly="1" outline="0" fieldPosition="0">
        <references count="3">
          <reference field="1" count="0" selected="0"/>
          <reference field="3" count="2">
            <x v="113"/>
            <x v="195"/>
          </reference>
          <reference field="4" count="1" selected="0">
            <x v="8"/>
          </reference>
        </references>
      </pivotArea>
    </format>
    <format dxfId="2439">
      <pivotArea dataOnly="0" labelOnly="1" outline="0" fieldPosition="0">
        <references count="3">
          <reference field="1" count="0" selected="0"/>
          <reference field="3" count="4">
            <x v="10"/>
            <x v="64"/>
            <x v="77"/>
            <x v="101"/>
          </reference>
          <reference field="4" count="1" selected="0">
            <x v="10"/>
          </reference>
        </references>
      </pivotArea>
    </format>
    <format dxfId="2438">
      <pivotArea dataOnly="0" labelOnly="1" outline="0" fieldPosition="0">
        <references count="3">
          <reference field="1" count="0" selected="0"/>
          <reference field="3" count="1">
            <x v="344"/>
          </reference>
          <reference field="4" count="1" selected="0">
            <x v="0"/>
          </reference>
        </references>
      </pivotArea>
    </format>
    <format dxfId="2437">
      <pivotArea dataOnly="0" labelOnly="1" outline="0" fieldPosition="0">
        <references count="3">
          <reference field="1" count="0" selected="0"/>
          <reference field="3" count="4">
            <x v="284"/>
            <x v="288"/>
            <x v="293"/>
            <x v="296"/>
          </reference>
          <reference field="4" count="1" selected="0">
            <x v="3"/>
          </reference>
        </references>
      </pivotArea>
    </format>
    <format dxfId="2436">
      <pivotArea dataOnly="0" labelOnly="1" outline="0" fieldPosition="0">
        <references count="3">
          <reference field="1" count="0" selected="0"/>
          <reference field="3" count="10">
            <x v="37"/>
            <x v="122"/>
            <x v="140"/>
            <x v="144"/>
            <x v="163"/>
            <x v="192"/>
            <x v="215"/>
            <x v="218"/>
            <x v="340"/>
            <x v="341"/>
          </reference>
          <reference field="4" count="1" selected="0">
            <x v="5"/>
          </reference>
        </references>
      </pivotArea>
    </format>
    <format dxfId="2435">
      <pivotArea dataOnly="0" labelOnly="1" outline="0" fieldPosition="0">
        <references count="3">
          <reference field="1" count="0" selected="0"/>
          <reference field="3" count="22">
            <x v="13"/>
            <x v="28"/>
            <x v="46"/>
            <x v="55"/>
            <x v="71"/>
            <x v="83"/>
            <x v="120"/>
            <x v="134"/>
            <x v="165"/>
            <x v="168"/>
            <x v="173"/>
            <x v="176"/>
            <x v="199"/>
            <x v="222"/>
            <x v="235"/>
            <x v="244"/>
            <x v="255"/>
            <x v="259"/>
            <x v="264"/>
            <x v="267"/>
            <x v="276"/>
            <x v="342"/>
          </reference>
          <reference field="4" count="1" selected="0">
            <x v="6"/>
          </reference>
        </references>
      </pivotArea>
    </format>
    <format dxfId="2434">
      <pivotArea dataOnly="0" labelOnly="1" outline="0" fieldPosition="0">
        <references count="3">
          <reference field="1" count="0" selected="0"/>
          <reference field="3" count="11">
            <x v="8"/>
            <x v="27"/>
            <x v="58"/>
            <x v="78"/>
            <x v="94"/>
            <x v="117"/>
            <x v="159"/>
            <x v="183"/>
            <x v="188"/>
            <x v="308"/>
            <x v="338"/>
          </reference>
          <reference field="4" count="1" selected="0">
            <x v="7"/>
          </reference>
        </references>
      </pivotArea>
    </format>
    <format dxfId="2433">
      <pivotArea dataOnly="0" labelOnly="1" outline="0" fieldPosition="0">
        <references count="3">
          <reference field="1" count="0" selected="0"/>
          <reference field="3" count="2">
            <x v="127"/>
            <x v="191"/>
          </reference>
          <reference field="4" count="1" selected="0">
            <x v="8"/>
          </reference>
        </references>
      </pivotArea>
    </format>
    <format dxfId="2432">
      <pivotArea dataOnly="0" labelOnly="1" outline="0" fieldPosition="0">
        <references count="3">
          <reference field="1" count="0" selected="0"/>
          <reference field="3" count="5">
            <x v="4"/>
            <x v="67"/>
            <x v="74"/>
            <x v="103"/>
            <x v="115"/>
          </reference>
          <reference field="4" count="1" selected="0">
            <x v="10"/>
          </reference>
        </references>
      </pivotArea>
    </format>
    <format dxfId="2431">
      <pivotArea dataOnly="0" labelOnly="1" outline="0" fieldPosition="0">
        <references count="2">
          <reference field="1" count="0" selected="0"/>
          <reference field="4" count="1">
            <x v="11"/>
          </reference>
        </references>
      </pivotArea>
    </format>
    <format dxfId="2430">
      <pivotArea dataOnly="0" labelOnly="1" outline="0" fieldPosition="0">
        <references count="3">
          <reference field="1" count="0" selected="0"/>
          <reference field="3" count="3">
            <x v="216"/>
            <x v="324"/>
            <x v="346"/>
          </reference>
          <reference field="4" count="1" selected="0">
            <x v="5"/>
          </reference>
        </references>
      </pivotArea>
    </format>
    <format dxfId="2429">
      <pivotArea dataOnly="0" labelOnly="1" outline="0" fieldPosition="0">
        <references count="3">
          <reference field="1" count="0" selected="0"/>
          <reference field="3" count="23">
            <x v="14"/>
            <x v="24"/>
            <x v="48"/>
            <x v="50"/>
            <x v="76"/>
            <x v="80"/>
            <x v="124"/>
            <x v="128"/>
            <x v="148"/>
            <x v="150"/>
            <x v="166"/>
            <x v="167"/>
            <x v="174"/>
            <x v="175"/>
            <x v="219"/>
            <x v="221"/>
            <x v="238"/>
            <x v="242"/>
            <x v="256"/>
            <x v="257"/>
            <x v="265"/>
            <x v="266"/>
            <x v="301"/>
          </reference>
          <reference field="4" count="1" selected="0">
            <x v="6"/>
          </reference>
        </references>
      </pivotArea>
    </format>
    <format dxfId="2428">
      <pivotArea dataOnly="0" labelOnly="1" outline="0" fieldPosition="0">
        <references count="3">
          <reference field="1" count="0" selected="0"/>
          <reference field="3" count="12">
            <x v="1"/>
            <x v="26"/>
            <x v="53"/>
            <x v="54"/>
            <x v="88"/>
            <x v="89"/>
            <x v="118"/>
            <x v="119"/>
            <x v="184"/>
            <x v="187"/>
            <x v="310"/>
            <x v="337"/>
          </reference>
          <reference field="4" count="1" selected="0">
            <x v="7"/>
          </reference>
        </references>
      </pivotArea>
    </format>
    <format dxfId="2427">
      <pivotArea dataOnly="0" labelOnly="1" outline="0" fieldPosition="0">
        <references count="3">
          <reference field="1" count="0" selected="0"/>
          <reference field="3" count="5">
            <x v="3"/>
            <x v="69"/>
            <x v="73"/>
            <x v="111"/>
            <x v="189"/>
          </reference>
          <reference field="4" count="1" selected="0">
            <x v="8"/>
          </reference>
        </references>
      </pivotArea>
    </format>
    <format dxfId="2426">
      <pivotArea dataOnly="0" labelOnly="1" outline="0" fieldPosition="0">
        <references count="3">
          <reference field="1" count="0" selected="0"/>
          <reference field="3" count="1">
            <x v="109"/>
          </reference>
          <reference field="4" count="1" selected="0">
            <x v="10"/>
          </reference>
        </references>
      </pivotArea>
    </format>
    <format dxfId="2425">
      <pivotArea dataOnly="0" labelOnly="1" outline="0" fieldPosition="0">
        <references count="3">
          <reference field="1" count="0" selected="0"/>
          <reference field="3" count="1">
            <x v="179"/>
          </reference>
          <reference field="4" count="1" selected="0">
            <x v="11"/>
          </reference>
        </references>
      </pivotArea>
    </format>
    <format dxfId="2424">
      <pivotArea dataOnly="0" labelOnly="1" outline="0" fieldPosition="0">
        <references count="3">
          <reference field="1" count="0" selected="0"/>
          <reference field="3" count="1">
            <x v="347"/>
          </reference>
          <reference field="4" count="1" selected="0">
            <x v="0"/>
          </reference>
        </references>
      </pivotArea>
    </format>
    <format dxfId="2423">
      <pivotArea dataOnly="0" labelOnly="1" outline="0" fieldPosition="0">
        <references count="3">
          <reference field="1" count="0" selected="0"/>
          <reference field="3" count="1">
            <x v="348"/>
          </reference>
          <reference field="4" count="1" selected="0">
            <x v="0"/>
          </reference>
        </references>
      </pivotArea>
    </format>
    <format dxfId="2422">
      <pivotArea dataOnly="0" labelOnly="1" outline="0" fieldPosition="0">
        <references count="3">
          <reference field="1" count="0" selected="0"/>
          <reference field="3" count="1">
            <x v="175"/>
          </reference>
          <reference field="4" count="1" selected="0">
            <x v="6"/>
          </reference>
        </references>
      </pivotArea>
    </format>
    <format dxfId="2421">
      <pivotArea dataOnly="0" labelOnly="1" outline="0" fieldPosition="0">
        <references count="3">
          <reference field="1" count="0" selected="0"/>
          <reference field="3" count="1">
            <x v="349"/>
          </reference>
          <reference field="4" count="1" selected="0">
            <x v="6"/>
          </reference>
        </references>
      </pivotArea>
    </format>
    <format dxfId="2420">
      <pivotArea dataOnly="0" labelOnly="1" outline="0" fieldPosition="0">
        <references count="3">
          <reference field="1" count="0" selected="0"/>
          <reference field="3" count="1">
            <x v="347"/>
          </reference>
          <reference field="4" count="1" selected="0">
            <x v="5"/>
          </reference>
        </references>
      </pivotArea>
    </format>
    <format dxfId="2419">
      <pivotArea dataOnly="0" labelOnly="1" outline="0" fieldPosition="0">
        <references count="3">
          <reference field="1" count="0" selected="0"/>
          <reference field="3" count="1">
            <x v="350"/>
          </reference>
          <reference field="4" count="1" selected="0">
            <x v="6"/>
          </reference>
        </references>
      </pivotArea>
    </format>
    <format dxfId="2418">
      <pivotArea dataOnly="0" labelOnly="1" outline="0" fieldPosition="0">
        <references count="3">
          <reference field="1" count="0" selected="0"/>
          <reference field="3" count="1">
            <x v="352"/>
          </reference>
          <reference field="4" count="1" selected="0">
            <x v="6"/>
          </reference>
        </references>
      </pivotArea>
    </format>
    <format dxfId="2417">
      <pivotArea dataOnly="0" labelOnly="1" outline="0" fieldPosition="0">
        <references count="3">
          <reference field="1" count="0" selected="0"/>
          <reference field="3" count="1">
            <x v="351"/>
          </reference>
          <reference field="4" count="1" selected="0">
            <x v="6"/>
          </reference>
        </references>
      </pivotArea>
    </format>
    <format dxfId="2416">
      <pivotArea dataOnly="0" labelOnly="1" outline="0" fieldPosition="0">
        <references count="3">
          <reference field="1" count="0" selected="0"/>
          <reference field="3" count="2">
            <x v="340"/>
            <x v="347"/>
          </reference>
          <reference field="4" count="1" selected="0">
            <x v="3"/>
          </reference>
        </references>
      </pivotArea>
    </format>
    <format dxfId="2415">
      <pivotArea dataOnly="0" labelOnly="1" outline="0" fieldPosition="0">
        <references count="3">
          <reference field="1" count="0" selected="0"/>
          <reference field="3" count="1">
            <x v="349"/>
          </reference>
          <reference field="4" count="1" selected="0">
            <x v="5"/>
          </reference>
        </references>
      </pivotArea>
    </format>
    <format dxfId="2414">
      <pivotArea dataOnly="0" labelOnly="1" outline="0" fieldPosition="0">
        <references count="3">
          <reference field="1" count="0" selected="0"/>
          <reference field="3" count="1">
            <x v="341"/>
          </reference>
          <reference field="4" count="1" selected="0">
            <x v="3"/>
          </reference>
        </references>
      </pivotArea>
    </format>
    <format dxfId="2413">
      <pivotArea dataOnly="0" labelOnly="1" outline="0" fieldPosition="0">
        <references count="3">
          <reference field="1" count="0" selected="0"/>
          <reference field="3" count="2">
            <x v="342"/>
            <x v="350"/>
          </reference>
          <reference field="4" count="1" selected="0">
            <x v="5"/>
          </reference>
        </references>
      </pivotArea>
    </format>
    <format dxfId="2412">
      <pivotArea dataOnly="0" labelOnly="1" outline="0" fieldPosition="0">
        <references count="3">
          <reference field="1" count="0" selected="0"/>
          <reference field="3" count="1">
            <x v="352"/>
          </reference>
          <reference field="4" count="1" selected="0">
            <x v="5"/>
          </reference>
        </references>
      </pivotArea>
    </format>
    <format dxfId="2411">
      <pivotArea dataOnly="0" labelOnly="1" outline="0" fieldPosition="0">
        <references count="3">
          <reference field="1" count="0" selected="0"/>
          <reference field="3" count="1">
            <x v="351"/>
          </reference>
          <reference field="4" count="1" selected="0">
            <x v="5"/>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8D0D71-7FB6-4DE4-818D-83FC8A030333}" name="Cuenta 2" cacheId="1"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A15:A16" firstHeaderRow="1" firstDataRow="1" firstDataCol="0"/>
  <pivotFields count="17">
    <pivotField showAll="0"/>
    <pivotField showAll="0">
      <items count="42">
        <item x="0"/>
        <item h="1" x="1"/>
        <item h="1" x="2"/>
        <item h="1" x="3"/>
        <item h="1" x="4"/>
        <item h="1" x="5"/>
        <item h="1" x="6"/>
        <item h="1" x="7"/>
        <item h="1" x="8"/>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9"/>
        <item t="default"/>
      </items>
    </pivotField>
    <pivotField showAll="0">
      <items count="43">
        <item h="1" m="1" x="41"/>
        <item x="0"/>
        <item h="1" x="1"/>
        <item h="1" x="2"/>
        <item h="1" x="3"/>
        <item h="1" x="4"/>
        <item h="1" x="5"/>
        <item h="1" x="6"/>
        <item h="1" x="7"/>
        <item h="1" x="8"/>
        <item h="1" m="1" x="16"/>
        <item h="1" m="1" x="15"/>
        <item h="1" m="1" x="10"/>
        <item h="1" m="1" x="14"/>
        <item h="1" m="1" x="17"/>
        <item h="1" m="1" x="13"/>
        <item h="1" m="1" x="11"/>
        <item h="1" m="1" x="12"/>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9"/>
        <item t="default"/>
      </items>
    </pivotField>
    <pivotField dataField="1" showAll="0">
      <items count="456">
        <item m="1" x="376"/>
        <item m="1" x="269"/>
        <item m="1" x="432"/>
        <item m="1" x="304"/>
        <item m="1" x="351"/>
        <item m="1" x="449"/>
        <item m="1" x="298"/>
        <item m="1" x="435"/>
        <item m="1" x="254"/>
        <item m="1" x="258"/>
        <item m="1" x="299"/>
        <item m="1" x="433"/>
        <item m="1" x="331"/>
        <item m="1" x="237"/>
        <item m="1" x="287"/>
        <item m="1" x="344"/>
        <item m="1" x="345"/>
        <item m="1" x="238"/>
        <item m="1" x="255"/>
        <item m="1" x="239"/>
        <item m="1" x="280"/>
        <item m="1" x="281"/>
        <item m="1" x="257"/>
        <item m="1" x="442"/>
        <item m="1" x="379"/>
        <item m="1" x="240"/>
        <item m="1" x="241"/>
        <item m="1" x="293"/>
        <item m="1" x="294"/>
        <item m="1" x="265"/>
        <item m="1" x="242"/>
        <item m="1" x="271"/>
        <item m="1" x="401"/>
        <item m="1" x="243"/>
        <item m="1" x="244"/>
        <item m="1" x="291"/>
        <item m="1" x="259"/>
        <item m="1" x="245"/>
        <item m="1" x="310"/>
        <item m="1" x="342"/>
        <item m="1" x="343"/>
        <item m="1" x="261"/>
        <item m="1" x="262"/>
        <item m="1" x="355"/>
        <item m="1" x="260"/>
        <item m="1" x="443"/>
        <item m="1" x="322"/>
        <item m="1" x="453"/>
        <item m="1" x="246"/>
        <item m="1" x="251"/>
        <item m="1" x="247"/>
        <item m="1" x="282"/>
        <item m="1" x="249"/>
        <item m="1" x="253"/>
        <item m="1" x="295"/>
        <item m="1" x="286"/>
        <item m="1" x="292"/>
        <item m="1" x="300"/>
        <item m="1" x="252"/>
        <item m="1" x="272"/>
        <item m="1" x="323"/>
        <item m="1" x="373"/>
        <item m="1" x="408"/>
        <item m="1" x="250"/>
        <item m="1" x="296"/>
        <item m="1" x="363"/>
        <item m="1" x="278"/>
        <item m="1" x="439"/>
        <item m="1" x="324"/>
        <item m="1" x="312"/>
        <item m="1" x="326"/>
        <item m="1" x="313"/>
        <item m="1" x="314"/>
        <item m="1" x="315"/>
        <item m="1" x="274"/>
        <item m="1" x="372"/>
        <item m="1" x="276"/>
        <item m="1" x="263"/>
        <item m="1" x="347"/>
        <item m="1" x="267"/>
        <item m="1" x="430"/>
        <item m="1" x="425"/>
        <item m="1" x="325"/>
        <item m="1" x="284"/>
        <item m="1" x="288"/>
        <item m="1" x="318"/>
        <item m="1" x="317"/>
        <item m="1" x="289"/>
        <item m="1" x="328"/>
        <item m="1" x="327"/>
        <item m="1" x="361"/>
        <item m="1" x="452"/>
        <item m="1" x="434"/>
        <item m="1" x="385"/>
        <item m="1" x="319"/>
        <item m="1" x="378"/>
        <item m="1" x="369"/>
        <item m="1" x="383"/>
        <item m="1" x="320"/>
        <item m="1" x="112"/>
        <item m="1" x="113"/>
        <item m="1" x="114"/>
        <item m="1" x="115"/>
        <item m="1" x="235"/>
        <item m="1" x="116"/>
        <item m="1" x="117"/>
        <item m="1" x="118"/>
        <item m="1" x="119"/>
        <item m="1" x="120"/>
        <item m="1" x="121"/>
        <item m="1" x="436"/>
        <item m="1" x="377"/>
        <item m="1" x="335"/>
        <item m="1" x="336"/>
        <item m="1" x="333"/>
        <item m="1" x="334"/>
        <item m="1" x="126"/>
        <item m="1" x="127"/>
        <item m="1" x="128"/>
        <item m="1" x="230"/>
        <item m="1" x="427"/>
        <item m="1" x="234"/>
        <item m="1" x="132"/>
        <item m="1" x="133"/>
        <item m="1" x="134"/>
        <item m="1" x="135"/>
        <item m="1" x="136"/>
        <item m="1" x="137"/>
        <item m="1" x="138"/>
        <item m="1" x="139"/>
        <item m="1" x="140"/>
        <item m="1" x="141"/>
        <item m="1" x="142"/>
        <item m="1" x="143"/>
        <item m="1" x="231"/>
        <item m="1" x="232"/>
        <item m="1" x="146"/>
        <item m="1" x="147"/>
        <item m="1" x="148"/>
        <item m="1" x="149"/>
        <item m="1" x="150"/>
        <item m="1" x="151"/>
        <item x="31"/>
        <item m="1" x="152"/>
        <item m="1" x="153"/>
        <item m="1" x="154"/>
        <item m="1" x="155"/>
        <item m="1" x="156"/>
        <item x="33"/>
        <item m="1" x="157"/>
        <item m="1" x="409"/>
        <item m="1" x="158"/>
        <item m="1" x="159"/>
        <item m="1" x="387"/>
        <item m="1" x="356"/>
        <item m="1" x="450"/>
        <item m="1" x="440"/>
        <item m="1" x="354"/>
        <item m="1" x="388"/>
        <item m="1" x="167"/>
        <item m="1" x="168"/>
        <item m="1" x="386"/>
        <item m="1" x="169"/>
        <item m="1" x="451"/>
        <item m="1" x="444"/>
        <item m="1" x="426"/>
        <item m="1" x="173"/>
        <item m="1" x="174"/>
        <item m="1" x="175"/>
        <item m="1" x="233"/>
        <item m="1" x="413"/>
        <item m="1" x="352"/>
        <item m="1" x="179"/>
        <item m="1" x="418"/>
        <item m="1" x="181"/>
        <item m="1" x="399"/>
        <item m="1" x="183"/>
        <item m="1" x="389"/>
        <item m="1" x="185"/>
        <item m="1" x="382"/>
        <item m="1" x="447"/>
        <item m="1" x="420"/>
        <item m="1" x="188"/>
        <item m="1" x="190"/>
        <item m="1" x="194"/>
        <item m="1" x="196"/>
        <item m="1" x="197"/>
        <item m="1" x="198"/>
        <item m="1" x="199"/>
        <item m="1" x="406"/>
        <item m="1" x="402"/>
        <item m="1" x="403"/>
        <item m="1" x="203"/>
        <item m="1" x="204"/>
        <item m="1" x="375"/>
        <item m="1" x="205"/>
        <item m="1" x="206"/>
        <item x="50"/>
        <item m="1" x="207"/>
        <item m="1" x="208"/>
        <item m="1" x="209"/>
        <item m="1" x="210"/>
        <item m="1" x="212"/>
        <item x="52"/>
        <item x="53"/>
        <item m="1" x="213"/>
        <item m="1" x="214"/>
        <item m="1" x="229"/>
        <item m="1" x="353"/>
        <item x="55"/>
        <item m="1" x="215"/>
        <item m="1" x="346"/>
        <item m="1" x="218"/>
        <item m="1" x="219"/>
        <item m="1" x="370"/>
        <item m="1" x="220"/>
        <item m="1" x="411"/>
        <item m="1" x="390"/>
        <item m="1" x="222"/>
        <item m="1" x="341"/>
        <item m="1" x="350"/>
        <item m="1" x="224"/>
        <item m="1" x="338"/>
        <item m="1" x="339"/>
        <item m="1" x="337"/>
        <item m="1" x="226"/>
        <item m="1" x="417"/>
        <item m="1" x="332"/>
        <item m="1" x="381"/>
        <item m="1" x="359"/>
        <item m="1" x="400"/>
        <item m="1" x="308"/>
        <item m="1" x="172"/>
        <item m="1" x="405"/>
        <item m="1" x="309"/>
        <item m="1" x="200"/>
        <item m="1" x="368"/>
        <item m="1" x="365"/>
        <item m="1" x="187"/>
        <item m="1" x="393"/>
        <item m="1" x="184"/>
        <item m="1" x="195"/>
        <item m="1" x="422"/>
        <item m="1" x="189"/>
        <item m="1" x="270"/>
        <item m="1" x="186"/>
        <item x="49"/>
        <item m="1" x="191"/>
        <item m="1" x="264"/>
        <item m="1" x="421"/>
        <item x="60"/>
        <item m="1" x="415"/>
        <item m="1" x="202"/>
        <item m="1" x="123"/>
        <item m="1" x="396"/>
        <item m="1" x="371"/>
        <item m="1" x="397"/>
        <item m="1" x="428"/>
        <item m="1" x="384"/>
        <item x="51"/>
        <item m="1" x="423"/>
        <item m="1" x="349"/>
        <item m="1" x="398"/>
        <item m="1" x="360"/>
        <item m="1" x="437"/>
        <item m="1" x="348"/>
        <item m="1" x="340"/>
        <item m="1" x="438"/>
        <item m="1" x="414"/>
        <item m="1" x="407"/>
        <item m="1" x="321"/>
        <item m="1" x="201"/>
        <item m="1" x="170"/>
        <item m="1" x="285"/>
        <item m="1" x="306"/>
        <item m="1" x="275"/>
        <item m="1" x="316"/>
        <item m="1" x="395"/>
        <item m="1" x="424"/>
        <item m="1" x="454"/>
        <item m="1" x="431"/>
        <item m="1" x="178"/>
        <item m="1" x="182"/>
        <item m="1" x="122"/>
        <item m="1" x="171"/>
        <item m="1" x="392"/>
        <item m="1" x="211"/>
        <item m="1" x="394"/>
        <item m="1" x="441"/>
        <item m="1" x="358"/>
        <item m="1" x="301"/>
        <item m="1" x="419"/>
        <item m="1" x="302"/>
        <item m="1" x="362"/>
        <item m="1" x="329"/>
        <item m="1" x="445"/>
        <item m="1" x="305"/>
        <item m="1" x="380"/>
        <item m="1" x="364"/>
        <item m="1" x="303"/>
        <item m="1" x="367"/>
        <item m="1" x="130"/>
        <item m="1" x="429"/>
        <item m="1" x="391"/>
        <item m="1" x="216"/>
        <item m="1" x="357"/>
        <item m="1" x="446"/>
        <item m="1" x="366"/>
        <item m="1" x="266"/>
        <item m="1" x="268"/>
        <item m="1" x="416"/>
        <item m="1" x="412"/>
        <item m="1" x="256"/>
        <item m="1" x="177"/>
        <item m="1" x="297"/>
        <item m="1" x="311"/>
        <item m="1" x="273"/>
        <item m="1" x="290"/>
        <item m="1" x="448"/>
        <item m="1" x="221"/>
        <item m="1" x="180"/>
        <item m="1" x="410"/>
        <item m="1" x="374"/>
        <item m="1" x="217"/>
        <item m="1" x="404"/>
        <item m="1" x="192"/>
        <item m="1" x="164"/>
        <item m="1" x="161"/>
        <item m="1" x="330"/>
        <item m="1" x="162"/>
        <item m="1" x="163"/>
        <item m="1" x="160"/>
        <item m="1" x="165"/>
        <item m="1" x="283"/>
        <item m="1" x="248"/>
        <item m="1" x="236"/>
        <item m="1" x="193"/>
        <item x="58"/>
        <item m="1" x="279"/>
        <item m="1" x="277"/>
        <item m="1" x="223"/>
        <item m="1" x="225"/>
        <item m="1" x="124"/>
        <item m="1" x="125"/>
        <item m="1" x="227"/>
        <item m="1" x="307"/>
        <item m="1" x="166"/>
        <item m="1" x="131"/>
        <item m="1" x="228"/>
        <item m="1" x="176"/>
        <item x="34"/>
        <item m="1" x="144"/>
        <item m="1" x="145"/>
        <item m="1" x="129"/>
        <item m="1" x="107"/>
        <item x="30"/>
        <item x="54"/>
        <item m="1" x="71"/>
        <item x="1"/>
        <item m="1" x="96"/>
        <item x="40"/>
        <item m="1" x="104"/>
        <item x="42"/>
        <item m="1" x="102"/>
        <item x="47"/>
        <item x="48"/>
        <item x="35"/>
        <item m="1" x="111"/>
        <item x="37"/>
        <item m="1" x="101"/>
        <item m="1" x="95"/>
        <item m="1" x="92"/>
        <item m="1" x="94"/>
        <item m="1" x="108"/>
        <item x="32"/>
        <item x="27"/>
        <item m="1" x="109"/>
        <item m="1" x="110"/>
        <item m="1" x="97"/>
        <item m="1" x="98"/>
        <item x="16"/>
        <item x="57"/>
        <item m="1" x="61"/>
        <item x="38"/>
        <item x="46"/>
        <item m="1" x="106"/>
        <item x="44"/>
        <item m="1" x="105"/>
        <item m="1" x="93"/>
        <item x="41"/>
        <item m="1" x="103"/>
        <item x="43"/>
        <item x="2"/>
        <item x="36"/>
        <item x="45"/>
        <item m="1" x="86"/>
        <item m="1" x="87"/>
        <item m="1" x="100"/>
        <item m="1" x="88"/>
        <item m="1" x="62"/>
        <item x="9"/>
        <item m="1" x="89"/>
        <item m="1" x="99"/>
        <item m="1" x="90"/>
        <item m="1" x="91"/>
        <item m="1" x="79"/>
        <item m="1" x="80"/>
        <item m="1" x="81"/>
        <item m="1" x="82"/>
        <item m="1" x="83"/>
        <item m="1" x="84"/>
        <item m="1" x="85"/>
        <item m="1" x="72"/>
        <item m="1" x="73"/>
        <item m="1" x="74"/>
        <item m="1" x="75"/>
        <item m="1" x="76"/>
        <item m="1" x="77"/>
        <item m="1" x="78"/>
        <item x="24"/>
        <item x="23"/>
        <item x="13"/>
        <item x="8"/>
        <item x="20"/>
        <item x="12"/>
        <item x="0"/>
        <item x="3"/>
        <item x="4"/>
        <item x="5"/>
        <item x="6"/>
        <item x="10"/>
        <item m="1" x="64"/>
        <item x="56"/>
        <item x="15"/>
        <item x="22"/>
        <item m="1" x="70"/>
        <item x="29"/>
        <item m="1" x="67"/>
        <item m="1" x="68"/>
        <item m="1" x="69"/>
        <item m="1" x="66"/>
        <item m="1" x="63"/>
        <item m="1" x="65"/>
        <item x="25"/>
        <item x="26"/>
        <item x="18"/>
        <item x="11"/>
        <item x="17"/>
        <item x="21"/>
        <item x="14"/>
        <item x="19"/>
        <item x="28"/>
        <item x="7"/>
        <item x="59"/>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 New Sites" fld="3" subtotal="count" baseField="0" baseItem="0"/>
  </dataFields>
  <formats count="14">
    <format dxfId="2532">
      <pivotArea field="3" type="button" dataOnly="0" labelOnly="1" outline="0"/>
    </format>
    <format dxfId="2531">
      <pivotArea dataOnly="0" labelOnly="1" outline="0" axis="axisValues" fieldPosition="0"/>
    </format>
    <format dxfId="2530">
      <pivotArea outline="0" collapsedLevelsAreSubtotals="1" fieldPosition="0"/>
    </format>
    <format dxfId="2529">
      <pivotArea outline="0" collapsedLevelsAreSubtotals="1" fieldPosition="0"/>
    </format>
    <format dxfId="2528">
      <pivotArea type="all" dataOnly="0" outline="0" fieldPosition="0"/>
    </format>
    <format dxfId="2527">
      <pivotArea outline="0" collapsedLevelsAreSubtotals="1" fieldPosition="0"/>
    </format>
    <format dxfId="2526">
      <pivotArea dataOnly="0" labelOnly="1" outline="0" axis="axisValues" fieldPosition="0"/>
    </format>
    <format dxfId="2525">
      <pivotArea dataOnly="0" labelOnly="1" outline="0" axis="axisValues" fieldPosition="0"/>
    </format>
    <format dxfId="2524">
      <pivotArea type="all" dataOnly="0" outline="0" fieldPosition="0"/>
    </format>
    <format dxfId="2523">
      <pivotArea outline="0" collapsedLevelsAreSubtotals="1" fieldPosition="0"/>
    </format>
    <format dxfId="2522">
      <pivotArea dataOnly="0" labelOnly="1" outline="0" axis="axisValues" fieldPosition="0"/>
    </format>
    <format dxfId="2521">
      <pivotArea type="all" dataOnly="0" outline="0" fieldPosition="0"/>
    </format>
    <format dxfId="2520">
      <pivotArea outline="0" collapsedLevelsAreSubtotals="1" fieldPosition="0"/>
    </format>
    <format dxfId="25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C5ECC88-ED25-4348-B64B-C235C5CB8BCE}" name="Cambio de Split PT2" cacheId="1"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G19:K79" firstHeaderRow="1" firstDataRow="1" firstDataCol="4"/>
  <pivotFields count="17">
    <pivotField compact="0" outline="0" subtotalTop="0" showAll="0" defaultSubtotal="0"/>
    <pivotField axis="axisRow" compact="0" outline="0" showAll="0" defaultSubtotal="0">
      <items count="41">
        <item h="1" x="3"/>
        <item h="1" x="4"/>
        <item h="1" x="5"/>
        <item h="1" x="6"/>
        <item h="1" x="7"/>
        <item h="1" x="8"/>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x="0"/>
        <item h="1" x="1"/>
        <item h="1" x="2"/>
        <item h="1" x="9"/>
      </items>
    </pivotField>
    <pivotField dataField="1" compact="0" outline="0" showAll="0" defaultSubtotal="0">
      <items count="42">
        <item h="1" m="1" x="41"/>
        <item x="0"/>
        <item h="1" x="1"/>
        <item h="1" x="2"/>
        <item h="1" x="3"/>
        <item h="1" x="4"/>
        <item h="1" x="5"/>
        <item h="1" x="6"/>
        <item h="1" x="7"/>
        <item h="1" x="8"/>
        <item h="1" m="1" x="16"/>
        <item h="1" m="1" x="15"/>
        <item h="1" m="1" x="10"/>
        <item h="1" m="1" x="14"/>
        <item h="1" m="1" x="17"/>
        <item h="1" m="1" x="13"/>
        <item h="1" m="1" x="11"/>
        <item h="1" m="1" x="12"/>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9"/>
      </items>
    </pivotField>
    <pivotField axis="axisRow" compact="0" outline="0" showAll="0" defaultSubtotal="0">
      <items count="455">
        <item m="1" x="376"/>
        <item m="1" x="269"/>
        <item m="1" x="432"/>
        <item m="1" x="270"/>
        <item m="1" x="304"/>
        <item m="1" x="351"/>
        <item m="1" x="309"/>
        <item m="1" x="449"/>
        <item m="1" x="298"/>
        <item m="1" x="371"/>
        <item m="1" x="305"/>
        <item m="1" x="435"/>
        <item m="1" x="360"/>
        <item m="1" x="254"/>
        <item m="1" x="258"/>
        <item m="1" x="299"/>
        <item m="1" x="236"/>
        <item m="1" x="433"/>
        <item m="1" x="331"/>
        <item m="1" x="237"/>
        <item m="1" x="287"/>
        <item m="1" x="344"/>
        <item m="1" x="345"/>
        <item m="1" x="238"/>
        <item m="1" x="255"/>
        <item m="1" x="239"/>
        <item m="1" x="280"/>
        <item m="1" x="281"/>
        <item m="1" x="257"/>
        <item m="1" x="256"/>
        <item m="1" x="442"/>
        <item m="1" x="362"/>
        <item m="1" x="379"/>
        <item m="1" x="240"/>
        <item m="1" x="241"/>
        <item m="1" x="293"/>
        <item m="1" x="400"/>
        <item m="1" x="294"/>
        <item m="1" x="265"/>
        <item m="1" x="242"/>
        <item m="1" x="271"/>
        <item m="1" x="397"/>
        <item m="1" x="321"/>
        <item m="1" x="401"/>
        <item m="1" x="243"/>
        <item m="1" x="244"/>
        <item m="1" x="291"/>
        <item m="1" x="268"/>
        <item m="1" x="259"/>
        <item m="1" x="245"/>
        <item m="1" x="310"/>
        <item m="1" x="342"/>
        <item m="1" x="343"/>
        <item m="1" x="261"/>
        <item m="1" x="262"/>
        <item m="1" x="311"/>
        <item m="1" x="355"/>
        <item m="1" x="348"/>
        <item m="1" x="260"/>
        <item m="1" x="443"/>
        <item m="1" x="322"/>
        <item m="1" x="308"/>
        <item m="1" x="453"/>
        <item m="1" x="246"/>
        <item m="1" x="251"/>
        <item m="1" x="247"/>
        <item m="1" x="248"/>
        <item m="1" x="282"/>
        <item m="1" x="249"/>
        <item m="1" x="253"/>
        <item m="1" x="295"/>
        <item m="1" x="286"/>
        <item m="1" x="292"/>
        <item m="1" x="300"/>
        <item m="1" x="252"/>
        <item m="1" x="445"/>
        <item m="1" x="272"/>
        <item m="1" x="323"/>
        <item m="1" x="264"/>
        <item m="1" x="373"/>
        <item m="1" x="273"/>
        <item m="1" x="408"/>
        <item m="1" x="250"/>
        <item m="1" x="296"/>
        <item m="1" x="407"/>
        <item m="1" x="405"/>
        <item m="1" x="297"/>
        <item m="1" x="363"/>
        <item m="1" x="278"/>
        <item m="1" x="306"/>
        <item m="1" x="439"/>
        <item m="1" x="324"/>
        <item m="1" x="428"/>
        <item m="1" x="312"/>
        <item m="1" x="326"/>
        <item m="1" x="313"/>
        <item m="1" x="314"/>
        <item m="1" x="315"/>
        <item m="1" x="283"/>
        <item m="1" x="274"/>
        <item m="1" x="391"/>
        <item m="1" x="275"/>
        <item m="1" x="372"/>
        <item m="1" x="276"/>
        <item m="1" x="263"/>
        <item m="1" x="266"/>
        <item m="1" x="347"/>
        <item m="1" x="267"/>
        <item m="1" x="430"/>
        <item m="1" x="316"/>
        <item m="1" x="425"/>
        <item m="1" x="325"/>
        <item m="1" x="368"/>
        <item m="1" x="284"/>
        <item m="1" x="288"/>
        <item m="1" x="318"/>
        <item m="1" x="317"/>
        <item m="1" x="289"/>
        <item m="1" x="328"/>
        <item m="1" x="327"/>
        <item m="1" x="285"/>
        <item m="1" x="361"/>
        <item m="1" x="301"/>
        <item m="1" x="452"/>
        <item m="1" x="290"/>
        <item m="1" x="434"/>
        <item m="1" x="385"/>
        <item m="1" x="319"/>
        <item m="1" x="302"/>
        <item m="1" x="378"/>
        <item m="1" x="329"/>
        <item m="1" x="369"/>
        <item m="1" x="303"/>
        <item m="1" x="383"/>
        <item m="1" x="320"/>
        <item m="1" x="112"/>
        <item m="1" x="113"/>
        <item m="1" x="424"/>
        <item m="1" x="114"/>
        <item m="1" x="115"/>
        <item m="1" x="235"/>
        <item m="1" x="116"/>
        <item m="1" x="117"/>
        <item m="1" x="454"/>
        <item m="1" x="118"/>
        <item m="1" x="119"/>
        <item m="1" x="120"/>
        <item m="1" x="121"/>
        <item m="1" x="422"/>
        <item m="1" x="122"/>
        <item m="1" x="436"/>
        <item m="1" x="123"/>
        <item m="1" x="377"/>
        <item m="1" x="335"/>
        <item m="1" x="336"/>
        <item m="1" x="333"/>
        <item m="1" x="334"/>
        <item m="1" x="441"/>
        <item m="1" x="126"/>
        <item m="1" x="127"/>
        <item m="1" x="128"/>
        <item m="1" x="230"/>
        <item m="1" x="427"/>
        <item m="1" x="130"/>
        <item m="1" x="234"/>
        <item m="1" x="132"/>
        <item m="1" x="133"/>
        <item m="1" x="134"/>
        <item m="1" x="135"/>
        <item m="1" x="136"/>
        <item m="1" x="137"/>
        <item m="1" x="138"/>
        <item m="1" x="139"/>
        <item m="1" x="140"/>
        <item m="1" x="141"/>
        <item m="1" x="142"/>
        <item m="1" x="143"/>
        <item m="1" x="231"/>
        <item m="1" x="232"/>
        <item m="1" x="398"/>
        <item m="1" x="146"/>
        <item m="1" x="147"/>
        <item m="1" x="148"/>
        <item m="1" x="149"/>
        <item m="1" x="150"/>
        <item m="1" x="151"/>
        <item m="1" x="381"/>
        <item x="31"/>
        <item m="1" x="152"/>
        <item m="1" x="153"/>
        <item m="1" x="154"/>
        <item m="1" x="359"/>
        <item m="1" x="155"/>
        <item m="1" x="156"/>
        <item m="1" x="366"/>
        <item m="1" x="438"/>
        <item x="33"/>
        <item m="1" x="157"/>
        <item m="1" x="409"/>
        <item m="1" x="158"/>
        <item m="1" x="159"/>
        <item m="1" x="160"/>
        <item m="1" x="161"/>
        <item m="1" x="162"/>
        <item m="1" x="387"/>
        <item m="1" x="356"/>
        <item m="1" x="357"/>
        <item m="1" x="431"/>
        <item m="1" x="450"/>
        <item m="1" x="440"/>
        <item m="1" x="358"/>
        <item m="1" x="354"/>
        <item m="1" x="388"/>
        <item m="1" x="414"/>
        <item m="1" x="393"/>
        <item m="1" x="163"/>
        <item m="1" x="164"/>
        <item m="1" x="165"/>
        <item m="1" x="330"/>
        <item m="1" x="167"/>
        <item m="1" x="168"/>
        <item m="1" x="386"/>
        <item m="1" x="169"/>
        <item m="1" x="170"/>
        <item m="1" x="451"/>
        <item m="1" x="171"/>
        <item m="1" x="444"/>
        <item m="1" x="419"/>
        <item m="1" x="172"/>
        <item m="1" x="426"/>
        <item m="1" x="173"/>
        <item m="1" x="174"/>
        <item m="1" x="175"/>
        <item m="1" x="233"/>
        <item m="1" x="177"/>
        <item m="1" x="413"/>
        <item m="1" x="178"/>
        <item m="1" x="352"/>
        <item m="1" x="179"/>
        <item m="1" x="180"/>
        <item m="1" x="418"/>
        <item m="1" x="437"/>
        <item m="1" x="181"/>
        <item m="1" x="182"/>
        <item m="1" x="399"/>
        <item m="1" x="183"/>
        <item m="1" x="389"/>
        <item m="1" x="184"/>
        <item m="1" x="185"/>
        <item m="1" x="186"/>
        <item m="1" x="382"/>
        <item m="1" x="447"/>
        <item m="1" x="421"/>
        <item m="1" x="420"/>
        <item m="1" x="380"/>
        <item m="1" x="187"/>
        <item m="1" x="188"/>
        <item m="1" x="189"/>
        <item m="1" x="190"/>
        <item x="49"/>
        <item m="1" x="191"/>
        <item m="1" x="192"/>
        <item m="1" x="193"/>
        <item m="1" x="194"/>
        <item m="1" x="195"/>
        <item m="1" x="196"/>
        <item m="1" x="197"/>
        <item m="1" x="198"/>
        <item m="1" x="199"/>
        <item m="1" x="396"/>
        <item m="1" x="200"/>
        <item m="1" x="406"/>
        <item m="1" x="201"/>
        <item m="1" x="402"/>
        <item m="1" x="202"/>
        <item m="1" x="403"/>
        <item m="1" x="203"/>
        <item m="1" x="204"/>
        <item m="1" x="415"/>
        <item m="1" x="394"/>
        <item m="1" x="375"/>
        <item m="1" x="364"/>
        <item m="1" x="429"/>
        <item m="1" x="205"/>
        <item m="1" x="206"/>
        <item x="50"/>
        <item m="1" x="207"/>
        <item m="1" x="395"/>
        <item m="1" x="208"/>
        <item m="1" x="209"/>
        <item m="1" x="210"/>
        <item m="1" x="211"/>
        <item x="51"/>
        <item m="1" x="212"/>
        <item x="52"/>
        <item x="53"/>
        <item m="1" x="213"/>
        <item m="1" x="214"/>
        <item m="1" x="229"/>
        <item m="1" x="353"/>
        <item x="55"/>
        <item m="1" x="215"/>
        <item m="1" x="216"/>
        <item m="1" x="346"/>
        <item m="1" x="448"/>
        <item m="1" x="367"/>
        <item m="1" x="217"/>
        <item m="1" x="374"/>
        <item m="1" x="218"/>
        <item m="1" x="219"/>
        <item m="1" x="370"/>
        <item m="1" x="220"/>
        <item m="1" x="416"/>
        <item m="1" x="423"/>
        <item m="1" x="411"/>
        <item m="1" x="365"/>
        <item m="1" x="410"/>
        <item m="1" x="221"/>
        <item m="1" x="390"/>
        <item m="1" x="412"/>
        <item m="1" x="349"/>
        <item m="1" x="222"/>
        <item m="1" x="341"/>
        <item m="1" x="350"/>
        <item m="1" x="340"/>
        <item m="1" x="224"/>
        <item m="1" x="338"/>
        <item m="1" x="339"/>
        <item m="1" x="337"/>
        <item m="1" x="226"/>
        <item x="58"/>
        <item m="1" x="404"/>
        <item m="1" x="446"/>
        <item m="1" x="392"/>
        <item m="1" x="384"/>
        <item m="1" x="417"/>
        <item m="1" x="332"/>
        <item x="60"/>
        <item m="1" x="279"/>
        <item m="1" x="277"/>
        <item m="1" x="223"/>
        <item m="1" x="225"/>
        <item m="1" x="124"/>
        <item m="1" x="125"/>
        <item m="1" x="227"/>
        <item m="1" x="307"/>
        <item m="1" x="166"/>
        <item m="1" x="131"/>
        <item m="1" x="228"/>
        <item m="1" x="176"/>
        <item x="34"/>
        <item m="1" x="144"/>
        <item m="1" x="145"/>
        <item m="1" x="129"/>
        <item m="1" x="107"/>
        <item x="30"/>
        <item x="54"/>
        <item m="1" x="71"/>
        <item x="1"/>
        <item m="1" x="96"/>
        <item x="40"/>
        <item m="1" x="104"/>
        <item x="42"/>
        <item m="1" x="102"/>
        <item x="47"/>
        <item x="48"/>
        <item x="35"/>
        <item m="1" x="111"/>
        <item x="37"/>
        <item m="1" x="101"/>
        <item m="1" x="95"/>
        <item m="1" x="92"/>
        <item m="1" x="94"/>
        <item m="1" x="108"/>
        <item x="32"/>
        <item x="27"/>
        <item m="1" x="109"/>
        <item m="1" x="110"/>
        <item m="1" x="97"/>
        <item m="1" x="98"/>
        <item x="16"/>
        <item x="57"/>
        <item m="1" x="61"/>
        <item x="38"/>
        <item x="46"/>
        <item m="1" x="106"/>
        <item x="44"/>
        <item m="1" x="105"/>
        <item m="1" x="93"/>
        <item x="41"/>
        <item m="1" x="103"/>
        <item x="43"/>
        <item x="2"/>
        <item x="36"/>
        <item x="45"/>
        <item m="1" x="86"/>
        <item m="1" x="87"/>
        <item m="1" x="100"/>
        <item m="1" x="88"/>
        <item m="1" x="62"/>
        <item x="9"/>
        <item m="1" x="89"/>
        <item m="1" x="99"/>
        <item m="1" x="90"/>
        <item m="1" x="91"/>
        <item m="1" x="79"/>
        <item m="1" x="80"/>
        <item m="1" x="81"/>
        <item m="1" x="82"/>
        <item m="1" x="83"/>
        <item m="1" x="84"/>
        <item m="1" x="85"/>
        <item m="1" x="72"/>
        <item m="1" x="73"/>
        <item m="1" x="74"/>
        <item m="1" x="75"/>
        <item m="1" x="76"/>
        <item m="1" x="77"/>
        <item m="1" x="78"/>
        <item x="24"/>
        <item x="23"/>
        <item x="13"/>
        <item x="8"/>
        <item x="20"/>
        <item x="12"/>
        <item x="0"/>
        <item x="3"/>
        <item x="4"/>
        <item x="5"/>
        <item x="6"/>
        <item x="10"/>
        <item m="1" x="64"/>
        <item x="56"/>
        <item x="15"/>
        <item x="22"/>
        <item m="1" x="70"/>
        <item x="29"/>
        <item m="1" x="67"/>
        <item m="1" x="68"/>
        <item m="1" x="69"/>
        <item m="1" x="66"/>
        <item m="1" x="63"/>
        <item m="1" x="65"/>
        <item x="25"/>
        <item x="26"/>
        <item x="18"/>
        <item x="11"/>
        <item x="17"/>
        <item x="21"/>
        <item x="14"/>
        <item x="19"/>
        <item x="28"/>
        <item x="7"/>
        <item x="59"/>
        <item x="39"/>
      </items>
    </pivotField>
    <pivotField name="Log Time" axis="axisRow" compact="0" outline="0" showAll="0" defaultSubtotal="0">
      <items count="18">
        <item m="1" x="12"/>
        <item m="1" x="17"/>
        <item x="5"/>
        <item x="1"/>
        <item m="1" x="9"/>
        <item x="0"/>
        <item x="2"/>
        <item x="4"/>
        <item m="1" x="14"/>
        <item m="1" x="8"/>
        <item m="1" x="16"/>
        <item m="1" x="15"/>
        <item m="1" x="13"/>
        <item m="1" x="11"/>
        <item x="3"/>
        <item x="6"/>
        <item m="1" x="10"/>
        <item x="7"/>
      </items>
    </pivotField>
    <pivotField compact="0" outline="0" showAll="0" defaultSubtotal="0"/>
    <pivotField axis="axisRow" compact="0" outline="0" showAll="0" defaultSubtotal="0">
      <items count="16">
        <item m="1" x="9"/>
        <item m="1" x="15"/>
        <item x="1"/>
        <item x="0"/>
        <item x="2"/>
        <item m="1" x="14"/>
        <item x="4"/>
        <item m="1" x="12"/>
        <item m="1" x="11"/>
        <item m="1" x="8"/>
        <item m="1" x="13"/>
        <item x="3"/>
        <item x="5"/>
        <item x="6"/>
        <item m="1" x="10"/>
        <item x="7"/>
      </items>
    </pivotField>
    <pivotField compact="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4">
    <field x="1"/>
    <field x="4"/>
    <field x="3"/>
    <field x="6"/>
  </rowFields>
  <rowItems count="60">
    <i>
      <x v="37"/>
      <x v="2"/>
      <x v="285"/>
      <x v="2"/>
    </i>
    <i r="2">
      <x v="292"/>
      <x v="2"/>
    </i>
    <i r="2">
      <x v="294"/>
      <x v="2"/>
    </i>
    <i r="2">
      <x v="295"/>
      <x v="2"/>
    </i>
    <i r="2">
      <x v="300"/>
      <x v="2"/>
    </i>
    <i r="2">
      <x v="356"/>
      <x v="2"/>
    </i>
    <i r="2">
      <x v="360"/>
      <x v="12"/>
    </i>
    <i r="2">
      <x v="394"/>
      <x v="3"/>
    </i>
    <i r="1">
      <x v="3"/>
      <x v="358"/>
      <x v="2"/>
    </i>
    <i r="2">
      <x v="374"/>
      <x v="2"/>
    </i>
    <i r="2">
      <x v="380"/>
      <x v="2"/>
    </i>
    <i r="2">
      <x v="381"/>
      <x v="2"/>
    </i>
    <i r="2">
      <x v="392"/>
      <x v="2"/>
    </i>
    <i r="2">
      <x v="400"/>
      <x v="2"/>
    </i>
    <i r="2">
      <x v="419"/>
      <x v="2"/>
    </i>
    <i r="2">
      <x v="420"/>
      <x v="2"/>
    </i>
    <i r="2">
      <x v="421"/>
      <x v="2"/>
    </i>
    <i r="2">
      <x v="422"/>
      <x v="2"/>
    </i>
    <i r="2">
      <x v="423"/>
      <x v="2"/>
    </i>
    <i r="2">
      <x v="424"/>
      <x v="2"/>
    </i>
    <i r="2">
      <x v="426"/>
      <x v="2"/>
    </i>
    <i r="2">
      <x v="427"/>
      <x v="2"/>
    </i>
    <i r="2">
      <x v="428"/>
      <x v="2"/>
    </i>
    <i r="2">
      <x v="429"/>
      <x v="2"/>
    </i>
    <i r="2">
      <x v="430"/>
      <x v="2"/>
    </i>
    <i r="2">
      <x v="432"/>
      <x v="2"/>
    </i>
    <i r="2">
      <x v="433"/>
      <x v="2"/>
    </i>
    <i r="2">
      <x v="434"/>
      <x v="2"/>
    </i>
    <i r="2">
      <x v="443"/>
      <x v="2"/>
    </i>
    <i r="2">
      <x v="444"/>
      <x v="2"/>
    </i>
    <i r="2">
      <x v="445"/>
      <x v="2"/>
    </i>
    <i r="2">
      <x v="446"/>
      <x v="2"/>
    </i>
    <i r="2">
      <x v="447"/>
      <x v="2"/>
    </i>
    <i r="2">
      <x v="448"/>
      <x v="2"/>
    </i>
    <i r="2">
      <x v="449"/>
      <x v="2"/>
    </i>
    <i r="2">
      <x v="450"/>
      <x v="2"/>
    </i>
    <i r="2">
      <x v="452"/>
      <x v="2"/>
    </i>
    <i r="2">
      <x v="453"/>
      <x v="2"/>
    </i>
    <i r="1">
      <x v="5"/>
      <x v="187"/>
      <x v="3"/>
    </i>
    <i r="2">
      <x v="259"/>
      <x v="3"/>
    </i>
    <i r="2">
      <x v="350"/>
      <x v="3"/>
    </i>
    <i r="2">
      <x v="364"/>
      <x v="3"/>
    </i>
    <i r="2">
      <x v="365"/>
      <x v="13"/>
    </i>
    <i r="2">
      <x v="366"/>
      <x v="3"/>
    </i>
    <i r="2">
      <x v="383"/>
      <x v="3"/>
    </i>
    <i r="2">
      <x v="384"/>
      <x v="3"/>
    </i>
    <i r="2">
      <x v="386"/>
      <x v="3"/>
    </i>
    <i r="2">
      <x v="391"/>
      <x v="3"/>
    </i>
    <i r="2">
      <x v="425"/>
      <x v="3"/>
    </i>
    <i r="2">
      <x v="436"/>
      <x v="3"/>
    </i>
    <i r="2">
      <x v="451"/>
      <x v="3"/>
    </i>
    <i r="2">
      <x v="454"/>
      <x v="12"/>
    </i>
    <i r="1">
      <x v="6"/>
      <x v="375"/>
      <x v="4"/>
    </i>
    <i r="1">
      <x v="7"/>
      <x v="196"/>
      <x v="6"/>
    </i>
    <i r="2">
      <x v="368"/>
      <x v="6"/>
    </i>
    <i r="2">
      <x v="393"/>
      <x v="6"/>
    </i>
    <i r="1">
      <x v="14"/>
      <x v="330"/>
      <x v="11"/>
    </i>
    <i r="2">
      <x v="355"/>
      <x v="11"/>
    </i>
    <i r="1">
      <x v="15"/>
      <x v="362"/>
      <x v="2"/>
    </i>
    <i r="2">
      <x v="389"/>
      <x v="3"/>
    </i>
  </rowItems>
  <colItems count="1">
    <i/>
  </colItems>
  <dataFields count="1">
    <dataField name="Suma de Station" fld="2" baseField="0" baseItem="0"/>
  </dataFields>
  <formats count="512">
    <format dxfId="3044">
      <pivotArea field="3" type="button" dataOnly="0" labelOnly="1" outline="0" axis="axisRow" fieldPosition="2"/>
    </format>
    <format dxfId="3043">
      <pivotArea type="all" dataOnly="0" outline="0" fieldPosition="0"/>
    </format>
    <format dxfId="3042">
      <pivotArea field="3" type="button" dataOnly="0" labelOnly="1" outline="0" axis="axisRow" fieldPosition="2"/>
    </format>
    <format dxfId="3041">
      <pivotArea type="all" dataOnly="0" outline="0" fieldPosition="0"/>
    </format>
    <format dxfId="3040">
      <pivotArea field="3" type="button" dataOnly="0" labelOnly="1" outline="0" axis="axisRow" fieldPosition="2"/>
    </format>
    <format dxfId="3039">
      <pivotArea dataOnly="0" labelOnly="1" fieldPosition="0">
        <references count="1">
          <reference field="3"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3038">
      <pivotArea dataOnly="0" labelOnly="1" fieldPosition="0">
        <references count="1">
          <reference field="3"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0"/>
            <x v="132"/>
            <x v="134"/>
            <x v="135"/>
            <x v="136"/>
            <x v="138"/>
            <x v="139"/>
            <x v="140"/>
          </reference>
        </references>
      </pivotArea>
    </format>
    <format dxfId="3037">
      <pivotArea dataOnly="0" labelOnly="1" fieldPosition="0">
        <references count="1">
          <reference field="3" count="50">
            <x v="141"/>
            <x v="142"/>
            <x v="144"/>
            <x v="145"/>
            <x v="146"/>
            <x v="147"/>
            <x v="149"/>
            <x v="151"/>
            <x v="153"/>
            <x v="154"/>
            <x v="155"/>
            <x v="156"/>
            <x v="158"/>
            <x v="159"/>
            <x v="160"/>
            <x v="161"/>
            <x v="163"/>
            <x v="164"/>
            <x v="165"/>
            <x v="166"/>
            <x v="167"/>
            <x v="168"/>
            <x v="169"/>
            <x v="170"/>
            <x v="171"/>
            <x v="172"/>
            <x v="173"/>
            <x v="174"/>
            <x v="175"/>
            <x v="176"/>
            <x v="177"/>
            <x v="178"/>
            <x v="180"/>
            <x v="181"/>
            <x v="182"/>
            <x v="183"/>
            <x v="184"/>
            <x v="185"/>
            <x v="187"/>
            <x v="188"/>
            <x v="189"/>
            <x v="190"/>
            <x v="192"/>
            <x v="193"/>
            <x v="196"/>
            <x v="197"/>
            <x v="199"/>
            <x v="200"/>
            <x v="204"/>
            <x v="205"/>
          </reference>
        </references>
      </pivotArea>
    </format>
    <format dxfId="3036">
      <pivotArea dataOnly="0" labelOnly="1" fieldPosition="0">
        <references count="1">
          <reference field="3" count="50">
            <x v="207"/>
            <x v="208"/>
            <x v="209"/>
            <x v="210"/>
            <x v="212"/>
            <x v="219"/>
            <x v="220"/>
            <x v="222"/>
            <x v="223"/>
            <x v="225"/>
            <x v="228"/>
            <x v="230"/>
            <x v="231"/>
            <x v="232"/>
            <x v="233"/>
            <x v="234"/>
            <x v="236"/>
            <x v="238"/>
            <x v="239"/>
            <x v="242"/>
            <x v="243"/>
            <x v="245"/>
            <x v="247"/>
            <x v="248"/>
            <x v="249"/>
            <x v="255"/>
            <x v="256"/>
            <x v="257"/>
            <x v="258"/>
            <x v="259"/>
            <x v="260"/>
            <x v="263"/>
            <x v="264"/>
            <x v="265"/>
            <x v="266"/>
            <x v="267"/>
            <x v="268"/>
            <x v="270"/>
            <x v="272"/>
            <x v="274"/>
            <x v="276"/>
            <x v="277"/>
            <x v="283"/>
            <x v="284"/>
            <x v="285"/>
            <x v="286"/>
            <x v="288"/>
            <x v="289"/>
            <x v="290"/>
            <x v="291"/>
          </reference>
        </references>
      </pivotArea>
    </format>
    <format dxfId="3035">
      <pivotArea dataOnly="0" labelOnly="1" fieldPosition="0">
        <references count="1">
          <reference field="3" count="27">
            <x v="292"/>
            <x v="293"/>
            <x v="294"/>
            <x v="295"/>
            <x v="296"/>
            <x v="297"/>
            <x v="298"/>
            <x v="300"/>
            <x v="301"/>
            <x v="302"/>
            <x v="304"/>
            <x v="308"/>
            <x v="309"/>
            <x v="311"/>
            <x v="312"/>
            <x v="314"/>
            <x v="316"/>
            <x v="317"/>
            <x v="321"/>
            <x v="322"/>
            <x v="324"/>
            <x v="325"/>
            <x v="326"/>
            <x v="327"/>
            <x v="328"/>
            <x v="329"/>
            <x v="336"/>
          </reference>
        </references>
      </pivotArea>
    </format>
    <format dxfId="3034">
      <pivotArea dataOnly="0" labelOnly="1" fieldPosition="0">
        <references count="1">
          <reference field="3" count="50">
            <x v="1"/>
            <x v="3"/>
            <x v="4"/>
            <x v="6"/>
            <x v="8"/>
            <x v="10"/>
            <x v="13"/>
            <x v="14"/>
            <x v="15"/>
            <x v="17"/>
            <x v="18"/>
            <x v="19"/>
            <x v="20"/>
            <x v="21"/>
            <x v="22"/>
            <x v="23"/>
            <x v="24"/>
            <x v="25"/>
            <x v="26"/>
            <x v="27"/>
            <x v="28"/>
            <x v="29"/>
            <x v="33"/>
            <x v="34"/>
            <x v="35"/>
            <x v="37"/>
            <x v="38"/>
            <x v="39"/>
            <x v="40"/>
            <x v="42"/>
            <x v="44"/>
            <x v="45"/>
            <x v="46"/>
            <x v="47"/>
            <x v="48"/>
            <x v="49"/>
            <x v="50"/>
            <x v="51"/>
            <x v="52"/>
            <x v="53"/>
            <x v="54"/>
            <x v="55"/>
            <x v="58"/>
            <x v="60"/>
            <x v="61"/>
            <x v="63"/>
            <x v="64"/>
            <x v="65"/>
            <x v="67"/>
            <x v="68"/>
          </reference>
        </references>
      </pivotArea>
    </format>
    <format dxfId="3033">
      <pivotArea dataOnly="0" labelOnly="1" fieldPosition="0">
        <references count="1">
          <reference field="3" count="50">
            <x v="69"/>
            <x v="70"/>
            <x v="71"/>
            <x v="72"/>
            <x v="73"/>
            <x v="74"/>
            <x v="76"/>
            <x v="77"/>
            <x v="78"/>
            <x v="80"/>
            <x v="82"/>
            <x v="83"/>
            <x v="86"/>
            <x v="88"/>
            <x v="89"/>
            <x v="91"/>
            <x v="93"/>
            <x v="94"/>
            <x v="95"/>
            <x v="96"/>
            <x v="97"/>
            <x v="99"/>
            <x v="101"/>
            <x v="103"/>
            <x v="104"/>
            <x v="105"/>
            <x v="107"/>
            <x v="108"/>
            <x v="109"/>
            <x v="111"/>
            <x v="113"/>
            <x v="114"/>
            <x v="115"/>
            <x v="116"/>
            <x v="117"/>
            <x v="118"/>
            <x v="119"/>
            <x v="120"/>
            <x v="122"/>
            <x v="124"/>
            <x v="127"/>
            <x v="128"/>
            <x v="130"/>
            <x v="132"/>
            <x v="134"/>
            <x v="135"/>
            <x v="136"/>
            <x v="138"/>
            <x v="139"/>
            <x v="140"/>
          </reference>
        </references>
      </pivotArea>
    </format>
    <format dxfId="3032">
      <pivotArea dataOnly="0" labelOnly="1" fieldPosition="0">
        <references count="1">
          <reference field="3" count="50">
            <x v="141"/>
            <x v="142"/>
            <x v="144"/>
            <x v="145"/>
            <x v="146"/>
            <x v="147"/>
            <x v="149"/>
            <x v="151"/>
            <x v="153"/>
            <x v="154"/>
            <x v="155"/>
            <x v="156"/>
            <x v="158"/>
            <x v="159"/>
            <x v="160"/>
            <x v="161"/>
            <x v="163"/>
            <x v="164"/>
            <x v="165"/>
            <x v="166"/>
            <x v="167"/>
            <x v="168"/>
            <x v="169"/>
            <x v="170"/>
            <x v="171"/>
            <x v="172"/>
            <x v="173"/>
            <x v="174"/>
            <x v="175"/>
            <x v="176"/>
            <x v="177"/>
            <x v="178"/>
            <x v="180"/>
            <x v="181"/>
            <x v="182"/>
            <x v="183"/>
            <x v="184"/>
            <x v="185"/>
            <x v="187"/>
            <x v="188"/>
            <x v="189"/>
            <x v="190"/>
            <x v="192"/>
            <x v="193"/>
            <x v="196"/>
            <x v="197"/>
            <x v="199"/>
            <x v="200"/>
            <x v="204"/>
            <x v="205"/>
          </reference>
        </references>
      </pivotArea>
    </format>
    <format dxfId="3031">
      <pivotArea dataOnly="0" labelOnly="1" fieldPosition="0">
        <references count="1">
          <reference field="3" count="50">
            <x v="207"/>
            <x v="208"/>
            <x v="209"/>
            <x v="210"/>
            <x v="212"/>
            <x v="219"/>
            <x v="220"/>
            <x v="222"/>
            <x v="223"/>
            <x v="225"/>
            <x v="228"/>
            <x v="230"/>
            <x v="231"/>
            <x v="232"/>
            <x v="233"/>
            <x v="234"/>
            <x v="236"/>
            <x v="238"/>
            <x v="239"/>
            <x v="242"/>
            <x v="243"/>
            <x v="245"/>
            <x v="247"/>
            <x v="248"/>
            <x v="249"/>
            <x v="255"/>
            <x v="256"/>
            <x v="257"/>
            <x v="258"/>
            <x v="259"/>
            <x v="260"/>
            <x v="263"/>
            <x v="264"/>
            <x v="265"/>
            <x v="266"/>
            <x v="267"/>
            <x v="268"/>
            <x v="270"/>
            <x v="272"/>
            <x v="274"/>
            <x v="276"/>
            <x v="277"/>
            <x v="283"/>
            <x v="284"/>
            <x v="285"/>
            <x v="286"/>
            <x v="288"/>
            <x v="289"/>
            <x v="290"/>
            <x v="291"/>
          </reference>
        </references>
      </pivotArea>
    </format>
    <format dxfId="3030">
      <pivotArea dataOnly="0" labelOnly="1" fieldPosition="0">
        <references count="1">
          <reference field="3" count="27">
            <x v="292"/>
            <x v="293"/>
            <x v="294"/>
            <x v="295"/>
            <x v="296"/>
            <x v="297"/>
            <x v="298"/>
            <x v="300"/>
            <x v="301"/>
            <x v="302"/>
            <x v="304"/>
            <x v="308"/>
            <x v="309"/>
            <x v="311"/>
            <x v="312"/>
            <x v="314"/>
            <x v="316"/>
            <x v="317"/>
            <x v="321"/>
            <x v="322"/>
            <x v="324"/>
            <x v="325"/>
            <x v="326"/>
            <x v="327"/>
            <x v="328"/>
            <x v="329"/>
            <x v="336"/>
          </reference>
        </references>
      </pivotArea>
    </format>
    <format dxfId="3029">
      <pivotArea field="3" type="button" dataOnly="0" labelOnly="1" outline="0" axis="axisRow" fieldPosition="2"/>
    </format>
    <format dxfId="3028">
      <pivotArea field="6" type="button" dataOnly="0" labelOnly="1" outline="0" axis="axisRow" fieldPosition="3"/>
    </format>
    <format dxfId="3027">
      <pivotArea field="4" type="button" dataOnly="0" labelOnly="1" outline="0" axis="axisRow" fieldPosition="1"/>
    </format>
    <format dxfId="3026">
      <pivotArea dataOnly="0" labelOnly="1" outline="0" fieldPosition="0">
        <references count="3">
          <reference field="3" count="1" selected="0">
            <x v="105"/>
          </reference>
          <reference field="4" count="1" selected="0">
            <x v="0"/>
          </reference>
          <reference field="6" count="1">
            <x v="8"/>
          </reference>
        </references>
      </pivotArea>
    </format>
    <format dxfId="3025">
      <pivotArea dataOnly="0" labelOnly="1" outline="0" fieldPosition="0">
        <references count="3">
          <reference field="3" count="1" selected="0">
            <x v="107"/>
          </reference>
          <reference field="4" count="1" selected="0">
            <x v="0"/>
          </reference>
          <reference field="6" count="1">
            <x v="8"/>
          </reference>
        </references>
      </pivotArea>
    </format>
    <format dxfId="3024">
      <pivotArea dataOnly="0" labelOnly="1" outline="0" fieldPosition="0">
        <references count="3">
          <reference field="3" count="1" selected="0">
            <x v="238"/>
          </reference>
          <reference field="4" count="1" selected="0">
            <x v="0"/>
          </reference>
          <reference field="6" count="1">
            <x v="8"/>
          </reference>
        </references>
      </pivotArea>
    </format>
    <format dxfId="3023">
      <pivotArea dataOnly="0" labelOnly="1" outline="0" fieldPosition="0">
        <references count="3">
          <reference field="3" count="1" selected="0">
            <x v="336"/>
          </reference>
          <reference field="4" count="1" selected="0">
            <x v="0"/>
          </reference>
          <reference field="6" count="1">
            <x v="8"/>
          </reference>
        </references>
      </pivotArea>
    </format>
    <format dxfId="3022">
      <pivotArea dataOnly="0" labelOnly="1" outline="0" fieldPosition="0">
        <references count="3">
          <reference field="3" count="1" selected="0">
            <x v="91"/>
          </reference>
          <reference field="4" count="1" selected="0">
            <x v="2"/>
          </reference>
          <reference field="6" count="1">
            <x v="2"/>
          </reference>
        </references>
      </pivotArea>
    </format>
    <format dxfId="3021">
      <pivotArea dataOnly="0" labelOnly="1" outline="0" fieldPosition="0">
        <references count="3">
          <reference field="3" count="1" selected="0">
            <x v="97"/>
          </reference>
          <reference field="4" count="1" selected="0">
            <x v="2"/>
          </reference>
          <reference field="6" count="1">
            <x v="2"/>
          </reference>
        </references>
      </pivotArea>
    </format>
    <format dxfId="3020">
      <pivotArea dataOnly="0" labelOnly="1" outline="0" fieldPosition="0">
        <references count="3">
          <reference field="3" count="1" selected="0">
            <x v="146"/>
          </reference>
          <reference field="4" count="1" selected="0">
            <x v="2"/>
          </reference>
          <reference field="6" count="1">
            <x v="2"/>
          </reference>
        </references>
      </pivotArea>
    </format>
    <format dxfId="3019">
      <pivotArea dataOnly="0" labelOnly="1" outline="0" fieldPosition="0">
        <references count="3">
          <reference field="3" count="1" selected="0">
            <x v="165"/>
          </reference>
          <reference field="4" count="1" selected="0">
            <x v="2"/>
          </reference>
          <reference field="6" count="1">
            <x v="2"/>
          </reference>
        </references>
      </pivotArea>
    </format>
    <format dxfId="3018">
      <pivotArea dataOnly="0" labelOnly="1" outline="0" fieldPosition="0">
        <references count="3">
          <reference field="3" count="1" selected="0">
            <x v="283"/>
          </reference>
          <reference field="4" count="1" selected="0">
            <x v="2"/>
          </reference>
          <reference field="6" count="1">
            <x v="2"/>
          </reference>
        </references>
      </pivotArea>
    </format>
    <format dxfId="3017">
      <pivotArea dataOnly="0" labelOnly="1" outline="0" fieldPosition="0">
        <references count="3">
          <reference field="3" count="1" selected="0">
            <x v="284"/>
          </reference>
          <reference field="4" count="1" selected="0">
            <x v="2"/>
          </reference>
          <reference field="6" count="1">
            <x v="2"/>
          </reference>
        </references>
      </pivotArea>
    </format>
    <format dxfId="3016">
      <pivotArea dataOnly="0" labelOnly="1" outline="0" fieldPosition="0">
        <references count="3">
          <reference field="3" count="1" selected="0">
            <x v="285"/>
          </reference>
          <reference field="4" count="1" selected="0">
            <x v="2"/>
          </reference>
          <reference field="6" count="1">
            <x v="2"/>
          </reference>
        </references>
      </pivotArea>
    </format>
    <format dxfId="3015">
      <pivotArea dataOnly="0" labelOnly="1" outline="0" fieldPosition="0">
        <references count="3">
          <reference field="3" count="1" selected="0">
            <x v="286"/>
          </reference>
          <reference field="4" count="1" selected="0">
            <x v="2"/>
          </reference>
          <reference field="6" count="1">
            <x v="2"/>
          </reference>
        </references>
      </pivotArea>
    </format>
    <format dxfId="3014">
      <pivotArea dataOnly="0" labelOnly="1" outline="0" fieldPosition="0">
        <references count="3">
          <reference field="3" count="1" selected="0">
            <x v="288"/>
          </reference>
          <reference field="4" count="1" selected="0">
            <x v="2"/>
          </reference>
          <reference field="6" count="1">
            <x v="2"/>
          </reference>
        </references>
      </pivotArea>
    </format>
    <format dxfId="3013">
      <pivotArea dataOnly="0" labelOnly="1" outline="0" fieldPosition="0">
        <references count="3">
          <reference field="3" count="1" selected="0">
            <x v="289"/>
          </reference>
          <reference field="4" count="1" selected="0">
            <x v="2"/>
          </reference>
          <reference field="6" count="1">
            <x v="2"/>
          </reference>
        </references>
      </pivotArea>
    </format>
    <format dxfId="3012">
      <pivotArea dataOnly="0" labelOnly="1" outline="0" fieldPosition="0">
        <references count="3">
          <reference field="3" count="1" selected="0">
            <x v="290"/>
          </reference>
          <reference field="4" count="1" selected="0">
            <x v="2"/>
          </reference>
          <reference field="6" count="1">
            <x v="2"/>
          </reference>
        </references>
      </pivotArea>
    </format>
    <format dxfId="3011">
      <pivotArea dataOnly="0" labelOnly="1" outline="0" fieldPosition="0">
        <references count="3">
          <reference field="3" count="1" selected="0">
            <x v="291"/>
          </reference>
          <reference field="4" count="1" selected="0">
            <x v="2"/>
          </reference>
          <reference field="6" count="1">
            <x v="2"/>
          </reference>
        </references>
      </pivotArea>
    </format>
    <format dxfId="3010">
      <pivotArea dataOnly="0" labelOnly="1" outline="0" fieldPosition="0">
        <references count="3">
          <reference field="3" count="1" selected="0">
            <x v="292"/>
          </reference>
          <reference field="4" count="1" selected="0">
            <x v="2"/>
          </reference>
          <reference field="6" count="1">
            <x v="2"/>
          </reference>
        </references>
      </pivotArea>
    </format>
    <format dxfId="3009">
      <pivotArea dataOnly="0" labelOnly="1" outline="0" fieldPosition="0">
        <references count="3">
          <reference field="3" count="1" selected="0">
            <x v="293"/>
          </reference>
          <reference field="4" count="1" selected="0">
            <x v="2"/>
          </reference>
          <reference field="6" count="1">
            <x v="2"/>
          </reference>
        </references>
      </pivotArea>
    </format>
    <format dxfId="3008">
      <pivotArea dataOnly="0" labelOnly="1" outline="0" fieldPosition="0">
        <references count="3">
          <reference field="3" count="1" selected="0">
            <x v="294"/>
          </reference>
          <reference field="4" count="1" selected="0">
            <x v="2"/>
          </reference>
          <reference field="6" count="1">
            <x v="2"/>
          </reference>
        </references>
      </pivotArea>
    </format>
    <format dxfId="3007">
      <pivotArea dataOnly="0" labelOnly="1" outline="0" fieldPosition="0">
        <references count="3">
          <reference field="3" count="1" selected="0">
            <x v="295"/>
          </reference>
          <reference field="4" count="1" selected="0">
            <x v="2"/>
          </reference>
          <reference field="6" count="1">
            <x v="2"/>
          </reference>
        </references>
      </pivotArea>
    </format>
    <format dxfId="3006">
      <pivotArea dataOnly="0" labelOnly="1" outline="0" fieldPosition="0">
        <references count="3">
          <reference field="3" count="1" selected="0">
            <x v="296"/>
          </reference>
          <reference field="4" count="1" selected="0">
            <x v="2"/>
          </reference>
          <reference field="6" count="1">
            <x v="2"/>
          </reference>
        </references>
      </pivotArea>
    </format>
    <format dxfId="3005">
      <pivotArea dataOnly="0" labelOnly="1" outline="0" fieldPosition="0">
        <references count="3">
          <reference field="3" count="1" selected="0">
            <x v="297"/>
          </reference>
          <reference field="4" count="1" selected="0">
            <x v="2"/>
          </reference>
          <reference field="6" count="1">
            <x v="2"/>
          </reference>
        </references>
      </pivotArea>
    </format>
    <format dxfId="3004">
      <pivotArea dataOnly="0" labelOnly="1" outline="0" fieldPosition="0">
        <references count="3">
          <reference field="3" count="1" selected="0">
            <x v="298"/>
          </reference>
          <reference field="4" count="1" selected="0">
            <x v="2"/>
          </reference>
          <reference field="6" count="1">
            <x v="2"/>
          </reference>
        </references>
      </pivotArea>
    </format>
    <format dxfId="3003">
      <pivotArea dataOnly="0" labelOnly="1" outline="0" fieldPosition="0">
        <references count="3">
          <reference field="3" count="1" selected="0">
            <x v="300"/>
          </reference>
          <reference field="4" count="1" selected="0">
            <x v="2"/>
          </reference>
          <reference field="6" count="1">
            <x v="2"/>
          </reference>
        </references>
      </pivotArea>
    </format>
    <format dxfId="3002">
      <pivotArea dataOnly="0" labelOnly="1" outline="0" fieldPosition="0">
        <references count="3">
          <reference field="3" count="1" selected="0">
            <x v="301"/>
          </reference>
          <reference field="4" count="1" selected="0">
            <x v="2"/>
          </reference>
          <reference field="6" count="1">
            <x v="2"/>
          </reference>
        </references>
      </pivotArea>
    </format>
    <format dxfId="3001">
      <pivotArea dataOnly="0" labelOnly="1" outline="0" fieldPosition="0">
        <references count="3">
          <reference field="3" count="1" selected="0">
            <x v="6"/>
          </reference>
          <reference field="4" count="1" selected="0">
            <x v="3"/>
          </reference>
          <reference field="6" count="1">
            <x v="2"/>
          </reference>
        </references>
      </pivotArea>
    </format>
    <format dxfId="3000">
      <pivotArea dataOnly="0" labelOnly="1" outline="0" fieldPosition="0">
        <references count="3">
          <reference field="3" count="1" selected="0">
            <x v="35"/>
          </reference>
          <reference field="4" count="1" selected="0">
            <x v="3"/>
          </reference>
          <reference field="6" count="1">
            <x v="2"/>
          </reference>
        </references>
      </pivotArea>
    </format>
    <format dxfId="2999">
      <pivotArea dataOnly="0" labelOnly="1" outline="0" fieldPosition="0">
        <references count="3">
          <reference field="3" count="1" selected="0">
            <x v="37"/>
          </reference>
          <reference field="4" count="1" selected="0">
            <x v="3"/>
          </reference>
          <reference field="6" count="1">
            <x v="2"/>
          </reference>
        </references>
      </pivotArea>
    </format>
    <format dxfId="2998">
      <pivotArea dataOnly="0" labelOnly="1" outline="0" fieldPosition="0">
        <references count="3">
          <reference field="3" count="1" selected="0">
            <x v="40"/>
          </reference>
          <reference field="4" count="1" selected="0">
            <x v="3"/>
          </reference>
          <reference field="6" count="1">
            <x v="2"/>
          </reference>
        </references>
      </pivotArea>
    </format>
    <format dxfId="2997">
      <pivotArea dataOnly="0" labelOnly="1" outline="0" fieldPosition="0">
        <references count="3">
          <reference field="3" count="1" selected="0">
            <x v="47"/>
          </reference>
          <reference field="4" count="1" selected="0">
            <x v="3"/>
          </reference>
          <reference field="6" count="1">
            <x v="2"/>
          </reference>
        </references>
      </pivotArea>
    </format>
    <format dxfId="2996">
      <pivotArea dataOnly="0" labelOnly="1" outline="0" fieldPosition="0">
        <references count="3">
          <reference field="3" count="1" selected="0">
            <x v="55"/>
          </reference>
          <reference field="4" count="1" selected="0">
            <x v="3"/>
          </reference>
          <reference field="6" count="1">
            <x v="2"/>
          </reference>
        </references>
      </pivotArea>
    </format>
    <format dxfId="2995">
      <pivotArea dataOnly="0" labelOnly="1" outline="0" fieldPosition="0">
        <references count="3">
          <reference field="3" count="1" selected="0">
            <x v="61"/>
          </reference>
          <reference field="4" count="1" selected="0">
            <x v="3"/>
          </reference>
          <reference field="6" count="1">
            <x v="2"/>
          </reference>
        </references>
      </pivotArea>
    </format>
    <format dxfId="2994">
      <pivotArea dataOnly="0" labelOnly="1" outline="0" fieldPosition="0">
        <references count="3">
          <reference field="3" count="1" selected="0">
            <x v="93"/>
          </reference>
          <reference field="4" count="1" selected="0">
            <x v="3"/>
          </reference>
          <reference field="6" count="1">
            <x v="2"/>
          </reference>
        </references>
      </pivotArea>
    </format>
    <format dxfId="2993">
      <pivotArea dataOnly="0" labelOnly="1" outline="0" fieldPosition="0">
        <references count="3">
          <reference field="3" count="1" selected="0">
            <x v="122"/>
          </reference>
          <reference field="4" count="1" selected="0">
            <x v="3"/>
          </reference>
          <reference field="6" count="1">
            <x v="4"/>
          </reference>
        </references>
      </pivotArea>
    </format>
    <format dxfId="2992">
      <pivotArea dataOnly="0" labelOnly="1" outline="0" fieldPosition="0">
        <references count="3">
          <reference field="3" count="1" selected="0">
            <x v="136"/>
          </reference>
          <reference field="4" count="1" selected="0">
            <x v="3"/>
          </reference>
          <reference field="6" count="1">
            <x v="2"/>
          </reference>
        </references>
      </pivotArea>
    </format>
    <format dxfId="2991">
      <pivotArea dataOnly="0" labelOnly="1" outline="0" fieldPosition="0">
        <references count="3">
          <reference field="3" count="1" selected="0">
            <x v="138"/>
          </reference>
          <reference field="4" count="1" selected="0">
            <x v="3"/>
          </reference>
          <reference field="6" count="1">
            <x v="2"/>
          </reference>
        </references>
      </pivotArea>
    </format>
    <format dxfId="2990">
      <pivotArea dataOnly="0" labelOnly="1" outline="0" fieldPosition="0">
        <references count="3">
          <reference field="3" count="1" selected="0">
            <x v="139"/>
          </reference>
          <reference field="4" count="1" selected="0">
            <x v="3"/>
          </reference>
          <reference field="6" count="1">
            <x v="2"/>
          </reference>
        </references>
      </pivotArea>
    </format>
    <format dxfId="2989">
      <pivotArea dataOnly="0" labelOnly="1" outline="0" fieldPosition="0">
        <references count="3">
          <reference field="3" count="1" selected="0">
            <x v="140"/>
          </reference>
          <reference field="4" count="1" selected="0">
            <x v="3"/>
          </reference>
          <reference field="6" count="1">
            <x v="2"/>
          </reference>
        </references>
      </pivotArea>
    </format>
    <format dxfId="2988">
      <pivotArea dataOnly="0" labelOnly="1" outline="0" fieldPosition="0">
        <references count="3">
          <reference field="3" count="1" selected="0">
            <x v="141"/>
          </reference>
          <reference field="4" count="1" selected="0">
            <x v="3"/>
          </reference>
          <reference field="6" count="1">
            <x v="2"/>
          </reference>
        </references>
      </pivotArea>
    </format>
    <format dxfId="2987">
      <pivotArea dataOnly="0" labelOnly="1" outline="0" fieldPosition="0">
        <references count="3">
          <reference field="3" count="1" selected="0">
            <x v="142"/>
          </reference>
          <reference field="4" count="1" selected="0">
            <x v="3"/>
          </reference>
          <reference field="6" count="1">
            <x v="2"/>
          </reference>
        </references>
      </pivotArea>
    </format>
    <format dxfId="2986">
      <pivotArea dataOnly="0" labelOnly="1" outline="0" fieldPosition="0">
        <references count="3">
          <reference field="3" count="1" selected="0">
            <x v="144"/>
          </reference>
          <reference field="4" count="1" selected="0">
            <x v="3"/>
          </reference>
          <reference field="6" count="1">
            <x v="2"/>
          </reference>
        </references>
      </pivotArea>
    </format>
    <format dxfId="2985">
      <pivotArea dataOnly="0" labelOnly="1" outline="0" fieldPosition="0">
        <references count="3">
          <reference field="3" count="1" selected="0">
            <x v="145"/>
          </reference>
          <reference field="4" count="1" selected="0">
            <x v="3"/>
          </reference>
          <reference field="6" count="1">
            <x v="2"/>
          </reference>
        </references>
      </pivotArea>
    </format>
    <format dxfId="2984">
      <pivotArea dataOnly="0" labelOnly="1" outline="0" fieldPosition="0">
        <references count="3">
          <reference field="3" count="1" selected="0">
            <x v="146"/>
          </reference>
          <reference field="4" count="1" selected="0">
            <x v="3"/>
          </reference>
          <reference field="6" count="1">
            <x v="2"/>
          </reference>
        </references>
      </pivotArea>
    </format>
    <format dxfId="2983">
      <pivotArea dataOnly="0" labelOnly="1" outline="0" fieldPosition="0">
        <references count="3">
          <reference field="3" count="1" selected="0">
            <x v="147"/>
          </reference>
          <reference field="4" count="1" selected="0">
            <x v="3"/>
          </reference>
          <reference field="6" count="1">
            <x v="2"/>
          </reference>
        </references>
      </pivotArea>
    </format>
    <format dxfId="2982">
      <pivotArea dataOnly="0" labelOnly="1" outline="0" fieldPosition="0">
        <references count="3">
          <reference field="3" count="1" selected="0">
            <x v="158"/>
          </reference>
          <reference field="4" count="1" selected="0">
            <x v="3"/>
          </reference>
          <reference field="6" count="1">
            <x v="2"/>
          </reference>
        </references>
      </pivotArea>
    </format>
    <format dxfId="2981">
      <pivotArea dataOnly="0" labelOnly="1" outline="0" fieldPosition="0">
        <references count="3">
          <reference field="3" count="1" selected="0">
            <x v="163"/>
          </reference>
          <reference field="4" count="1" selected="0">
            <x v="3"/>
          </reference>
          <reference field="6" count="1">
            <x v="2"/>
          </reference>
        </references>
      </pivotArea>
    </format>
    <format dxfId="2980">
      <pivotArea dataOnly="0" labelOnly="1" outline="0" fieldPosition="0">
        <references count="3">
          <reference field="3" count="1" selected="0">
            <x v="164"/>
          </reference>
          <reference field="4" count="1" selected="0">
            <x v="3"/>
          </reference>
          <reference field="6" count="1">
            <x v="2"/>
          </reference>
        </references>
      </pivotArea>
    </format>
    <format dxfId="2979">
      <pivotArea dataOnly="0" labelOnly="1" outline="0" fieldPosition="0">
        <references count="3">
          <reference field="3" count="1" selected="0">
            <x v="165"/>
          </reference>
          <reference field="4" count="1" selected="0">
            <x v="3"/>
          </reference>
          <reference field="6" count="1">
            <x v="2"/>
          </reference>
        </references>
      </pivotArea>
    </format>
    <format dxfId="2978">
      <pivotArea dataOnly="0" labelOnly="1" outline="0" fieldPosition="0">
        <references count="3">
          <reference field="3" count="1" selected="0">
            <x v="176"/>
          </reference>
          <reference field="4" count="1" selected="0">
            <x v="3"/>
          </reference>
          <reference field="6" count="1">
            <x v="3"/>
          </reference>
        </references>
      </pivotArea>
    </format>
    <format dxfId="2977">
      <pivotArea dataOnly="0" labelOnly="1" outline="0" fieldPosition="0">
        <references count="3">
          <reference field="3" count="1" selected="0">
            <x v="193"/>
          </reference>
          <reference field="4" count="1" selected="0">
            <x v="3"/>
          </reference>
          <reference field="6" count="1">
            <x v="2"/>
          </reference>
        </references>
      </pivotArea>
    </format>
    <format dxfId="2976">
      <pivotArea dataOnly="0" labelOnly="1" outline="0" fieldPosition="0">
        <references count="3">
          <reference field="3" count="1" selected="0">
            <x v="204"/>
          </reference>
          <reference field="4" count="1" selected="0">
            <x v="3"/>
          </reference>
          <reference field="6" count="1">
            <x v="2"/>
          </reference>
        </references>
      </pivotArea>
    </format>
    <format dxfId="2975">
      <pivotArea dataOnly="0" labelOnly="1" outline="0" fieldPosition="0">
        <references count="3">
          <reference field="3" count="1" selected="0">
            <x v="205"/>
          </reference>
          <reference field="4" count="1" selected="0">
            <x v="3"/>
          </reference>
          <reference field="6" count="1">
            <x v="2"/>
          </reference>
        </references>
      </pivotArea>
    </format>
    <format dxfId="2974">
      <pivotArea dataOnly="0" labelOnly="1" outline="0" fieldPosition="0">
        <references count="3">
          <reference field="3" count="1" selected="0">
            <x v="207"/>
          </reference>
          <reference field="4" count="1" selected="0">
            <x v="3"/>
          </reference>
          <reference field="6" count="1">
            <x v="2"/>
          </reference>
        </references>
      </pivotArea>
    </format>
    <format dxfId="2973">
      <pivotArea dataOnly="0" labelOnly="1" outline="0" fieldPosition="0">
        <references count="3">
          <reference field="3" count="1" selected="0">
            <x v="208"/>
          </reference>
          <reference field="4" count="1" selected="0">
            <x v="3"/>
          </reference>
          <reference field="6" count="1">
            <x v="2"/>
          </reference>
        </references>
      </pivotArea>
    </format>
    <format dxfId="2972">
      <pivotArea dataOnly="0" labelOnly="1" outline="0" fieldPosition="0">
        <references count="3">
          <reference field="3" count="1" selected="0">
            <x v="209"/>
          </reference>
          <reference field="4" count="1" selected="0">
            <x v="3"/>
          </reference>
          <reference field="6" count="1">
            <x v="2"/>
          </reference>
        </references>
      </pivotArea>
    </format>
    <format dxfId="2971">
      <pivotArea dataOnly="0" labelOnly="1" outline="0" fieldPosition="0">
        <references count="3">
          <reference field="3" count="1" selected="0">
            <x v="210"/>
          </reference>
          <reference field="4" count="1" selected="0">
            <x v="3"/>
          </reference>
          <reference field="6" count="1">
            <x v="2"/>
          </reference>
        </references>
      </pivotArea>
    </format>
    <format dxfId="2970">
      <pivotArea dataOnly="0" labelOnly="1" outline="0" fieldPosition="0">
        <references count="3">
          <reference field="3" count="1" selected="0">
            <x v="212"/>
          </reference>
          <reference field="4" count="1" selected="0">
            <x v="3"/>
          </reference>
          <reference field="6" count="1">
            <x v="2"/>
          </reference>
        </references>
      </pivotArea>
    </format>
    <format dxfId="2969">
      <pivotArea dataOnly="0" labelOnly="1" outline="0" fieldPosition="0">
        <references count="3">
          <reference field="3" count="1" selected="0">
            <x v="219"/>
          </reference>
          <reference field="4" count="1" selected="0">
            <x v="3"/>
          </reference>
          <reference field="6" count="1">
            <x v="2"/>
          </reference>
        </references>
      </pivotArea>
    </format>
    <format dxfId="2968">
      <pivotArea dataOnly="0" labelOnly="1" outline="0" fieldPosition="0">
        <references count="3">
          <reference field="3" count="1" selected="0">
            <x v="242"/>
          </reference>
          <reference field="4" count="1" selected="0">
            <x v="3"/>
          </reference>
          <reference field="6" count="1">
            <x v="2"/>
          </reference>
        </references>
      </pivotArea>
    </format>
    <format dxfId="2967">
      <pivotArea dataOnly="0" labelOnly="1" outline="0" fieldPosition="0">
        <references count="3">
          <reference field="3" count="1" selected="0">
            <x v="306"/>
          </reference>
          <reference field="4" count="1" selected="0">
            <x v="3"/>
          </reference>
          <reference field="6" count="1">
            <x v="2"/>
          </reference>
        </references>
      </pivotArea>
    </format>
    <format dxfId="2966">
      <pivotArea dataOnly="0" labelOnly="1" outline="0" fieldPosition="0">
        <references count="3">
          <reference field="3" count="1" selected="0">
            <x v="317"/>
          </reference>
          <reference field="4" count="1" selected="0">
            <x v="3"/>
          </reference>
          <reference field="6" count="1">
            <x v="2"/>
          </reference>
        </references>
      </pivotArea>
    </format>
    <format dxfId="2965">
      <pivotArea dataOnly="0" labelOnly="1" outline="0" fieldPosition="0">
        <references count="3">
          <reference field="3" count="1" selected="0">
            <x v="321"/>
          </reference>
          <reference field="4" count="1" selected="0">
            <x v="3"/>
          </reference>
          <reference field="6" count="1">
            <x v="2"/>
          </reference>
        </references>
      </pivotArea>
    </format>
    <format dxfId="2964">
      <pivotArea dataOnly="0" labelOnly="1" outline="0" fieldPosition="0">
        <references count="3">
          <reference field="3" count="1" selected="0">
            <x v="322"/>
          </reference>
          <reference field="4" count="1" selected="0">
            <x v="3"/>
          </reference>
          <reference field="6" count="1">
            <x v="2"/>
          </reference>
        </references>
      </pivotArea>
    </format>
    <format dxfId="2963">
      <pivotArea dataOnly="0" labelOnly="1" outline="0" fieldPosition="0">
        <references count="3">
          <reference field="3" count="1" selected="0">
            <x v="324"/>
          </reference>
          <reference field="4" count="1" selected="0">
            <x v="3"/>
          </reference>
          <reference field="6" count="1">
            <x v="2"/>
          </reference>
        </references>
      </pivotArea>
    </format>
    <format dxfId="2962">
      <pivotArea dataOnly="0" labelOnly="1" outline="0" fieldPosition="0">
        <references count="3">
          <reference field="3" count="1" selected="0">
            <x v="325"/>
          </reference>
          <reference field="4" count="1" selected="0">
            <x v="3"/>
          </reference>
          <reference field="6" count="1">
            <x v="2"/>
          </reference>
        </references>
      </pivotArea>
    </format>
    <format dxfId="2961">
      <pivotArea dataOnly="0" labelOnly="1" outline="0" fieldPosition="0">
        <references count="3">
          <reference field="3" count="1" selected="0">
            <x v="326"/>
          </reference>
          <reference field="4" count="1" selected="0">
            <x v="3"/>
          </reference>
          <reference field="6" count="1">
            <x v="2"/>
          </reference>
        </references>
      </pivotArea>
    </format>
    <format dxfId="2960">
      <pivotArea dataOnly="0" labelOnly="1" outline="0" fieldPosition="0">
        <references count="3">
          <reference field="3" count="1" selected="0">
            <x v="327"/>
          </reference>
          <reference field="4" count="1" selected="0">
            <x v="3"/>
          </reference>
          <reference field="6" count="1">
            <x v="2"/>
          </reference>
        </references>
      </pivotArea>
    </format>
    <format dxfId="2959">
      <pivotArea dataOnly="0" labelOnly="1" outline="0" fieldPosition="0">
        <references count="3">
          <reference field="3" count="1" selected="0">
            <x v="328"/>
          </reference>
          <reference field="4" count="1" selected="0">
            <x v="3"/>
          </reference>
          <reference field="6" count="1">
            <x v="2"/>
          </reference>
        </references>
      </pivotArea>
    </format>
    <format dxfId="2958">
      <pivotArea dataOnly="0" labelOnly="1" outline="0" fieldPosition="0">
        <references count="3">
          <reference field="3" count="1" selected="0">
            <x v="329"/>
          </reference>
          <reference field="4" count="1" selected="0">
            <x v="3"/>
          </reference>
          <reference field="6" count="1">
            <x v="3"/>
          </reference>
        </references>
      </pivotArea>
    </format>
    <format dxfId="2957">
      <pivotArea dataOnly="0" labelOnly="1" outline="0" fieldPosition="0">
        <references count="3">
          <reference field="3" count="1" selected="0">
            <x v="180"/>
          </reference>
          <reference field="4" count="1" selected="0">
            <x v="4"/>
          </reference>
          <reference field="6" count="1">
            <x v="4"/>
          </reference>
        </references>
      </pivotArea>
    </format>
    <format dxfId="2956">
      <pivotArea dataOnly="0" labelOnly="1" outline="0" fieldPosition="0">
        <references count="3">
          <reference field="3" count="1" selected="0">
            <x v="6"/>
          </reference>
          <reference field="4" count="1" selected="0">
            <x v="5"/>
          </reference>
          <reference field="6" count="1">
            <x v="2"/>
          </reference>
        </references>
      </pivotArea>
    </format>
    <format dxfId="2955">
      <pivotArea dataOnly="0" labelOnly="1" outline="0" fieldPosition="0">
        <references count="3">
          <reference field="3" count="1" selected="0">
            <x v="13"/>
          </reference>
          <reference field="4" count="1" selected="0">
            <x v="5"/>
          </reference>
          <reference field="6" count="1">
            <x v="2"/>
          </reference>
        </references>
      </pivotArea>
    </format>
    <format dxfId="2954">
      <pivotArea dataOnly="0" labelOnly="1" outline="0" fieldPosition="0">
        <references count="3">
          <reference field="3" count="1" selected="0">
            <x v="14"/>
          </reference>
          <reference field="4" count="1" selected="0">
            <x v="5"/>
          </reference>
          <reference field="6" count="1">
            <x v="2"/>
          </reference>
        </references>
      </pivotArea>
    </format>
    <format dxfId="2953">
      <pivotArea dataOnly="0" labelOnly="1" outline="0" fieldPosition="0">
        <references count="3">
          <reference field="3" count="1" selected="0">
            <x v="24"/>
          </reference>
          <reference field="4" count="1" selected="0">
            <x v="5"/>
          </reference>
          <reference field="6" count="1">
            <x v="2"/>
          </reference>
        </references>
      </pivotArea>
    </format>
    <format dxfId="2952">
      <pivotArea dataOnly="0" labelOnly="1" outline="0" fieldPosition="0">
        <references count="3">
          <reference field="3" count="1" selected="0">
            <x v="28"/>
          </reference>
          <reference field="4" count="1" selected="0">
            <x v="5"/>
          </reference>
          <reference field="6" count="1">
            <x v="2"/>
          </reference>
        </references>
      </pivotArea>
    </format>
    <format dxfId="2951">
      <pivotArea dataOnly="0" labelOnly="1" outline="0" fieldPosition="0">
        <references count="3">
          <reference field="3" count="1" selected="0">
            <x v="29"/>
          </reference>
          <reference field="4" count="1" selected="0">
            <x v="5"/>
          </reference>
          <reference field="6" count="1">
            <x v="2"/>
          </reference>
        </references>
      </pivotArea>
    </format>
    <format dxfId="2950">
      <pivotArea dataOnly="0" labelOnly="1" outline="0" fieldPosition="0">
        <references count="3">
          <reference field="3" count="1" selected="0">
            <x v="33"/>
          </reference>
          <reference field="4" count="1" selected="0">
            <x v="5"/>
          </reference>
          <reference field="6" count="1">
            <x v="3"/>
          </reference>
        </references>
      </pivotArea>
    </format>
    <format dxfId="2949">
      <pivotArea dataOnly="0" labelOnly="1" outline="0" fieldPosition="0">
        <references count="3">
          <reference field="3" count="1" selected="0">
            <x v="39"/>
          </reference>
          <reference field="4" count="1" selected="0">
            <x v="5"/>
          </reference>
          <reference field="6" count="1">
            <x v="3"/>
          </reference>
        </references>
      </pivotArea>
    </format>
    <format dxfId="2948">
      <pivotArea dataOnly="0" labelOnly="1" outline="0" fieldPosition="0">
        <references count="3">
          <reference field="3" count="1" selected="0">
            <x v="42"/>
          </reference>
          <reference field="4" count="1" selected="0">
            <x v="5"/>
          </reference>
          <reference field="6" count="1">
            <x v="3"/>
          </reference>
        </references>
      </pivotArea>
    </format>
    <format dxfId="2947">
      <pivotArea dataOnly="0" labelOnly="1" outline="0" fieldPosition="0">
        <references count="3">
          <reference field="3" count="1" selected="0">
            <x v="46"/>
          </reference>
          <reference field="4" count="1" selected="0">
            <x v="5"/>
          </reference>
          <reference field="6" count="1">
            <x v="3"/>
          </reference>
        </references>
      </pivotArea>
    </format>
    <format dxfId="2946">
      <pivotArea dataOnly="0" labelOnly="1" outline="0" fieldPosition="0">
        <references count="3">
          <reference field="3" count="1" selected="0">
            <x v="48"/>
          </reference>
          <reference field="4" count="1" selected="0">
            <x v="5"/>
          </reference>
          <reference field="6" count="1">
            <x v="3"/>
          </reference>
        </references>
      </pivotArea>
    </format>
    <format dxfId="2945">
      <pivotArea dataOnly="0" labelOnly="1" outline="0" fieldPosition="0">
        <references count="3">
          <reference field="3" count="1" selected="0">
            <x v="50"/>
          </reference>
          <reference field="4" count="1" selected="0">
            <x v="5"/>
          </reference>
          <reference field="6" count="1">
            <x v="2"/>
          </reference>
        </references>
      </pivotArea>
    </format>
    <format dxfId="2944">
      <pivotArea dataOnly="0" labelOnly="1" outline="0" fieldPosition="0">
        <references count="3">
          <reference field="3" count="1" selected="0">
            <x v="55"/>
          </reference>
          <reference field="4" count="1" selected="0">
            <x v="5"/>
          </reference>
          <reference field="6" count="1">
            <x v="2"/>
          </reference>
        </references>
      </pivotArea>
    </format>
    <format dxfId="2943">
      <pivotArea dataOnly="0" labelOnly="1" outline="0" fieldPosition="0">
        <references count="3">
          <reference field="3" count="1" selected="0">
            <x v="61"/>
          </reference>
          <reference field="4" count="1" selected="0">
            <x v="5"/>
          </reference>
          <reference field="6" count="1">
            <x v="2"/>
          </reference>
        </references>
      </pivotArea>
    </format>
    <format dxfId="2942">
      <pivotArea dataOnly="0" labelOnly="1" outline="0" fieldPosition="0">
        <references count="3">
          <reference field="3" count="1" selected="0">
            <x v="65"/>
          </reference>
          <reference field="4" count="1" selected="0">
            <x v="5"/>
          </reference>
          <reference field="6" count="1">
            <x v="2"/>
          </reference>
        </references>
      </pivotArea>
    </format>
    <format dxfId="2941">
      <pivotArea dataOnly="0" labelOnly="1" outline="0" fieldPosition="0">
        <references count="3">
          <reference field="3" count="1" selected="0">
            <x v="70"/>
          </reference>
          <reference field="4" count="1" selected="0">
            <x v="5"/>
          </reference>
          <reference field="6" count="1">
            <x v="2"/>
          </reference>
        </references>
      </pivotArea>
    </format>
    <format dxfId="2940">
      <pivotArea dataOnly="0" labelOnly="1" outline="0" fieldPosition="0">
        <references count="3">
          <reference field="3" count="1" selected="0">
            <x v="71"/>
          </reference>
          <reference field="4" count="1" selected="0">
            <x v="5"/>
          </reference>
          <reference field="6" count="1">
            <x v="2"/>
          </reference>
        </references>
      </pivotArea>
    </format>
    <format dxfId="2939">
      <pivotArea dataOnly="0" labelOnly="1" outline="0" fieldPosition="0">
        <references count="3">
          <reference field="3" count="1" selected="0">
            <x v="76"/>
          </reference>
          <reference field="4" count="1" selected="0">
            <x v="5"/>
          </reference>
          <reference field="6" count="1">
            <x v="2"/>
          </reference>
        </references>
      </pivotArea>
    </format>
    <format dxfId="2938">
      <pivotArea dataOnly="0" labelOnly="1" outline="0" fieldPosition="0">
        <references count="3">
          <reference field="3" count="1" selected="0">
            <x v="80"/>
          </reference>
          <reference field="4" count="1" selected="0">
            <x v="5"/>
          </reference>
          <reference field="6" count="1">
            <x v="2"/>
          </reference>
        </references>
      </pivotArea>
    </format>
    <format dxfId="2937">
      <pivotArea dataOnly="0" labelOnly="1" outline="0" fieldPosition="0">
        <references count="3">
          <reference field="3" count="1" selected="0">
            <x v="83"/>
          </reference>
          <reference field="4" count="1" selected="0">
            <x v="5"/>
          </reference>
          <reference field="6" count="1">
            <x v="2"/>
          </reference>
        </references>
      </pivotArea>
    </format>
    <format dxfId="2936">
      <pivotArea dataOnly="0" labelOnly="1" outline="0" fieldPosition="0">
        <references count="3">
          <reference field="3" count="1" selected="0">
            <x v="86"/>
          </reference>
          <reference field="4" count="1" selected="0">
            <x v="5"/>
          </reference>
          <reference field="6" count="1">
            <x v="2"/>
          </reference>
        </references>
      </pivotArea>
    </format>
    <format dxfId="2935">
      <pivotArea dataOnly="0" labelOnly="1" outline="0" fieldPosition="0">
        <references count="3">
          <reference field="3" count="1" selected="0">
            <x v="93"/>
          </reference>
          <reference field="4" count="1" selected="0">
            <x v="5"/>
          </reference>
          <reference field="6" count="1">
            <x v="2"/>
          </reference>
        </references>
      </pivotArea>
    </format>
    <format dxfId="2934">
      <pivotArea dataOnly="0" labelOnly="1" outline="0" fieldPosition="0">
        <references count="3">
          <reference field="3" count="1" selected="0">
            <x v="95"/>
          </reference>
          <reference field="4" count="1" selected="0">
            <x v="5"/>
          </reference>
          <reference field="6" count="1">
            <x v="2"/>
          </reference>
        </references>
      </pivotArea>
    </format>
    <format dxfId="2933">
      <pivotArea dataOnly="0" labelOnly="1" outline="0" fieldPosition="0">
        <references count="3">
          <reference field="3" count="1" selected="0">
            <x v="116"/>
          </reference>
          <reference field="4" count="1" selected="0">
            <x v="5"/>
          </reference>
          <reference field="6" count="1">
            <x v="2"/>
          </reference>
        </references>
      </pivotArea>
    </format>
    <format dxfId="2932">
      <pivotArea dataOnly="0" labelOnly="1" outline="0" fieldPosition="0">
        <references count="3">
          <reference field="3" count="1" selected="0">
            <x v="120"/>
          </reference>
          <reference field="4" count="1" selected="0">
            <x v="5"/>
          </reference>
          <reference field="6" count="1">
            <x v="6"/>
          </reference>
        </references>
      </pivotArea>
    </format>
    <format dxfId="2931">
      <pivotArea dataOnly="0" labelOnly="1" outline="0" fieldPosition="0">
        <references count="3">
          <reference field="3" count="1" selected="0">
            <x v="124"/>
          </reference>
          <reference field="4" count="1" selected="0">
            <x v="5"/>
          </reference>
          <reference field="6" count="1">
            <x v="6"/>
          </reference>
        </references>
      </pivotArea>
    </format>
    <format dxfId="2930">
      <pivotArea dataOnly="0" labelOnly="1" outline="0" fieldPosition="0">
        <references count="3">
          <reference field="3" count="1" selected="0">
            <x v="128"/>
          </reference>
          <reference field="4" count="1" selected="0">
            <x v="5"/>
          </reference>
          <reference field="6" count="1">
            <x v="6"/>
          </reference>
        </references>
      </pivotArea>
    </format>
    <format dxfId="2929">
      <pivotArea dataOnly="0" labelOnly="1" outline="0" fieldPosition="0">
        <references count="3">
          <reference field="3" count="1" selected="0">
            <x v="132"/>
          </reference>
          <reference field="4" count="1" selected="0">
            <x v="5"/>
          </reference>
          <reference field="6" count="1">
            <x v="6"/>
          </reference>
        </references>
      </pivotArea>
    </format>
    <format dxfId="2928">
      <pivotArea dataOnly="0" labelOnly="1" outline="0" fieldPosition="0">
        <references count="3">
          <reference field="3" count="1" selected="0">
            <x v="134"/>
          </reference>
          <reference field="4" count="1" selected="0">
            <x v="5"/>
          </reference>
          <reference field="6" count="1">
            <x v="2"/>
          </reference>
        </references>
      </pivotArea>
    </format>
    <format dxfId="2927">
      <pivotArea dataOnly="0" labelOnly="1" outline="0" fieldPosition="0">
        <references count="3">
          <reference field="3" count="1" selected="0">
            <x v="135"/>
          </reference>
          <reference field="4" count="1" selected="0">
            <x v="5"/>
          </reference>
          <reference field="6" count="1">
            <x v="3"/>
          </reference>
        </references>
      </pivotArea>
    </format>
    <format dxfId="2926">
      <pivotArea dataOnly="0" labelOnly="1" outline="0" fieldPosition="0">
        <references count="3">
          <reference field="3" count="1" selected="0">
            <x v="149"/>
          </reference>
          <reference field="4" count="1" selected="0">
            <x v="5"/>
          </reference>
          <reference field="6" count="1">
            <x v="3"/>
          </reference>
        </references>
      </pivotArea>
    </format>
    <format dxfId="2925">
      <pivotArea dataOnly="0" labelOnly="1" outline="0" fieldPosition="0">
        <references count="3">
          <reference field="3" count="1" selected="0">
            <x v="151"/>
          </reference>
          <reference field="4" count="1" selected="0">
            <x v="5"/>
          </reference>
          <reference field="6" count="1">
            <x v="3"/>
          </reference>
        </references>
      </pivotArea>
    </format>
    <format dxfId="2924">
      <pivotArea dataOnly="0" labelOnly="1" outline="0" fieldPosition="0">
        <references count="3">
          <reference field="3" count="1" selected="0">
            <x v="153"/>
          </reference>
          <reference field="4" count="1" selected="0">
            <x v="5"/>
          </reference>
          <reference field="6" count="1">
            <x v="3"/>
          </reference>
        </references>
      </pivotArea>
    </format>
    <format dxfId="2923">
      <pivotArea dataOnly="0" labelOnly="1" outline="0" fieldPosition="0">
        <references count="3">
          <reference field="3" count="1" selected="0">
            <x v="154"/>
          </reference>
          <reference field="4" count="1" selected="0">
            <x v="5"/>
          </reference>
          <reference field="6" count="1">
            <x v="3"/>
          </reference>
        </references>
      </pivotArea>
    </format>
    <format dxfId="2922">
      <pivotArea dataOnly="0" labelOnly="1" outline="0" fieldPosition="0">
        <references count="3">
          <reference field="3" count="1" selected="0">
            <x v="155"/>
          </reference>
          <reference field="4" count="1" selected="0">
            <x v="5"/>
          </reference>
          <reference field="6" count="1">
            <x v="3"/>
          </reference>
        </references>
      </pivotArea>
    </format>
    <format dxfId="2921">
      <pivotArea dataOnly="0" labelOnly="1" outline="0" fieldPosition="0">
        <references count="3">
          <reference field="3" count="1" selected="0">
            <x v="156"/>
          </reference>
          <reference field="4" count="1" selected="0">
            <x v="5"/>
          </reference>
          <reference field="6" count="1">
            <x v="3"/>
          </reference>
        </references>
      </pivotArea>
    </format>
    <format dxfId="2920">
      <pivotArea dataOnly="0" labelOnly="1" outline="0" fieldPosition="0">
        <references count="3">
          <reference field="3" count="1" selected="0">
            <x v="159"/>
          </reference>
          <reference field="4" count="1" selected="0">
            <x v="5"/>
          </reference>
          <reference field="6" count="1">
            <x v="3"/>
          </reference>
        </references>
      </pivotArea>
    </format>
    <format dxfId="2919">
      <pivotArea dataOnly="0" labelOnly="1" outline="0" fieldPosition="0">
        <references count="3">
          <reference field="3" count="1" selected="0">
            <x v="166"/>
          </reference>
          <reference field="4" count="1" selected="0">
            <x v="5"/>
          </reference>
          <reference field="6" count="1">
            <x v="3"/>
          </reference>
        </references>
      </pivotArea>
    </format>
    <format dxfId="2918">
      <pivotArea dataOnly="0" labelOnly="1" outline="0" fieldPosition="0">
        <references count="3">
          <reference field="3" count="1" selected="0">
            <x v="167"/>
          </reference>
          <reference field="4" count="1" selected="0">
            <x v="5"/>
          </reference>
          <reference field="6" count="1">
            <x v="3"/>
          </reference>
        </references>
      </pivotArea>
    </format>
    <format dxfId="2917">
      <pivotArea dataOnly="0" labelOnly="1" outline="0" fieldPosition="0">
        <references count="3">
          <reference field="3" count="1" selected="0">
            <x v="168"/>
          </reference>
          <reference field="4" count="1" selected="0">
            <x v="5"/>
          </reference>
          <reference field="6" count="1">
            <x v="3"/>
          </reference>
        </references>
      </pivotArea>
    </format>
    <format dxfId="2916">
      <pivotArea dataOnly="0" labelOnly="1" outline="0" fieldPosition="0">
        <references count="3">
          <reference field="3" count="1" selected="0">
            <x v="169"/>
          </reference>
          <reference field="4" count="1" selected="0">
            <x v="5"/>
          </reference>
          <reference field="6" count="1">
            <x v="3"/>
          </reference>
        </references>
      </pivotArea>
    </format>
    <format dxfId="2915">
      <pivotArea dataOnly="0" labelOnly="1" outline="0" fieldPosition="0">
        <references count="3">
          <reference field="3" count="1" selected="0">
            <x v="170"/>
          </reference>
          <reference field="4" count="1" selected="0">
            <x v="5"/>
          </reference>
          <reference field="6" count="1">
            <x v="3"/>
          </reference>
        </references>
      </pivotArea>
    </format>
    <format dxfId="2914">
      <pivotArea dataOnly="0" labelOnly="1" outline="0" fieldPosition="0">
        <references count="3">
          <reference field="3" count="1" selected="0">
            <x v="171"/>
          </reference>
          <reference field="4" count="1" selected="0">
            <x v="5"/>
          </reference>
          <reference field="6" count="1">
            <x v="3"/>
          </reference>
        </references>
      </pivotArea>
    </format>
    <format dxfId="2913">
      <pivotArea dataOnly="0" labelOnly="1" outline="0" fieldPosition="0">
        <references count="3">
          <reference field="3" count="1" selected="0">
            <x v="172"/>
          </reference>
          <reference field="4" count="1" selected="0">
            <x v="5"/>
          </reference>
          <reference field="6" count="1">
            <x v="3"/>
          </reference>
        </references>
      </pivotArea>
    </format>
    <format dxfId="2912">
      <pivotArea dataOnly="0" labelOnly="1" outline="0" fieldPosition="0">
        <references count="3">
          <reference field="3" count="1" selected="0">
            <x v="173"/>
          </reference>
          <reference field="4" count="1" selected="0">
            <x v="5"/>
          </reference>
          <reference field="6" count="1">
            <x v="3"/>
          </reference>
        </references>
      </pivotArea>
    </format>
    <format dxfId="2911">
      <pivotArea dataOnly="0" labelOnly="1" outline="0" fieldPosition="0">
        <references count="3">
          <reference field="3" count="1" selected="0">
            <x v="174"/>
          </reference>
          <reference field="4" count="1" selected="0">
            <x v="5"/>
          </reference>
          <reference field="6" count="1">
            <x v="3"/>
          </reference>
        </references>
      </pivotArea>
    </format>
    <format dxfId="2910">
      <pivotArea dataOnly="0" labelOnly="1" outline="0" fieldPosition="0">
        <references count="3">
          <reference field="3" count="1" selected="0">
            <x v="175"/>
          </reference>
          <reference field="4" count="1" selected="0">
            <x v="5"/>
          </reference>
          <reference field="6" count="1">
            <x v="3"/>
          </reference>
        </references>
      </pivotArea>
    </format>
    <format dxfId="2909">
      <pivotArea dataOnly="0" labelOnly="1" outline="0" fieldPosition="0">
        <references count="3">
          <reference field="3" count="1" selected="0">
            <x v="176"/>
          </reference>
          <reference field="4" count="1" selected="0">
            <x v="5"/>
          </reference>
          <reference field="6" count="1">
            <x v="3"/>
          </reference>
        </references>
      </pivotArea>
    </format>
    <format dxfId="2908">
      <pivotArea dataOnly="0" labelOnly="1" outline="0" fieldPosition="0">
        <references count="3">
          <reference field="3" count="1" selected="0">
            <x v="177"/>
          </reference>
          <reference field="4" count="1" selected="0">
            <x v="5"/>
          </reference>
          <reference field="6" count="1">
            <x v="3"/>
          </reference>
        </references>
      </pivotArea>
    </format>
    <format dxfId="2907">
      <pivotArea dataOnly="0" labelOnly="1" outline="0" fieldPosition="0">
        <references count="3">
          <reference field="3" count="1" selected="0">
            <x v="178"/>
          </reference>
          <reference field="4" count="1" selected="0">
            <x v="5"/>
          </reference>
          <reference field="6" count="1">
            <x v="3"/>
          </reference>
        </references>
      </pivotArea>
    </format>
    <format dxfId="2906">
      <pivotArea dataOnly="0" labelOnly="1" outline="0" fieldPosition="0">
        <references count="3">
          <reference field="3" count="1" selected="0">
            <x v="187"/>
          </reference>
          <reference field="4" count="1" selected="0">
            <x v="5"/>
          </reference>
          <reference field="6" count="1">
            <x v="3"/>
          </reference>
        </references>
      </pivotArea>
    </format>
    <format dxfId="2905">
      <pivotArea dataOnly="0" labelOnly="1" outline="0" fieldPosition="0">
        <references count="3">
          <reference field="3" count="1" selected="0">
            <x v="197"/>
          </reference>
          <reference field="4" count="1" selected="0">
            <x v="5"/>
          </reference>
          <reference field="6" count="1">
            <x v="3"/>
          </reference>
        </references>
      </pivotArea>
    </format>
    <format dxfId="2904">
      <pivotArea dataOnly="0" labelOnly="1" outline="0" fieldPosition="0">
        <references count="3">
          <reference field="3" count="1" selected="0">
            <x v="199"/>
          </reference>
          <reference field="4" count="1" selected="0">
            <x v="5"/>
          </reference>
          <reference field="6" count="1">
            <x v="3"/>
          </reference>
        </references>
      </pivotArea>
    </format>
    <format dxfId="2903">
      <pivotArea dataOnly="0" labelOnly="1" outline="0" fieldPosition="0">
        <references count="3">
          <reference field="3" count="1" selected="0">
            <x v="200"/>
          </reference>
          <reference field="4" count="1" selected="0">
            <x v="5"/>
          </reference>
          <reference field="6" count="1">
            <x v="3"/>
          </reference>
        </references>
      </pivotArea>
    </format>
    <format dxfId="2902">
      <pivotArea dataOnly="0" labelOnly="1" outline="0" fieldPosition="0">
        <references count="3">
          <reference field="3" count="1" selected="0">
            <x v="220"/>
          </reference>
          <reference field="4" count="1" selected="0">
            <x v="5"/>
          </reference>
          <reference field="6" count="1">
            <x v="3"/>
          </reference>
        </references>
      </pivotArea>
    </format>
    <format dxfId="2901">
      <pivotArea dataOnly="0" labelOnly="1" outline="0" fieldPosition="0">
        <references count="3">
          <reference field="3" count="1" selected="0">
            <x v="222"/>
          </reference>
          <reference field="4" count="1" selected="0">
            <x v="5"/>
          </reference>
          <reference field="6" count="1">
            <x v="3"/>
          </reference>
        </references>
      </pivotArea>
    </format>
    <format dxfId="2900">
      <pivotArea dataOnly="0" labelOnly="1" outline="0" fieldPosition="0">
        <references count="3">
          <reference field="3" count="1" selected="0">
            <x v="223"/>
          </reference>
          <reference field="4" count="1" selected="0">
            <x v="5"/>
          </reference>
          <reference field="6" count="1">
            <x v="3"/>
          </reference>
        </references>
      </pivotArea>
    </format>
    <format dxfId="2899">
      <pivotArea dataOnly="0" labelOnly="1" outline="0" fieldPosition="0">
        <references count="3">
          <reference field="3" count="1" selected="0">
            <x v="225"/>
          </reference>
          <reference field="4" count="1" selected="0">
            <x v="5"/>
          </reference>
          <reference field="6" count="1">
            <x v="3"/>
          </reference>
        </references>
      </pivotArea>
    </format>
    <format dxfId="2898">
      <pivotArea dataOnly="0" labelOnly="1" outline="0" fieldPosition="0">
        <references count="3">
          <reference field="3" count="1" selected="0">
            <x v="228"/>
          </reference>
          <reference field="4" count="1" selected="0">
            <x v="5"/>
          </reference>
          <reference field="6" count="1">
            <x v="3"/>
          </reference>
        </references>
      </pivotArea>
    </format>
    <format dxfId="2897">
      <pivotArea dataOnly="0" labelOnly="1" outline="0" fieldPosition="0">
        <references count="3">
          <reference field="3" count="1" selected="0">
            <x v="233"/>
          </reference>
          <reference field="4" count="1" selected="0">
            <x v="5"/>
          </reference>
          <reference field="6" count="1">
            <x v="3"/>
          </reference>
        </references>
      </pivotArea>
    </format>
    <format dxfId="2896">
      <pivotArea dataOnly="0" labelOnly="1" outline="0" fieldPosition="0">
        <references count="3">
          <reference field="3" count="1" selected="0">
            <x v="234"/>
          </reference>
          <reference field="4" count="1" selected="0">
            <x v="5"/>
          </reference>
          <reference field="6" count="1">
            <x v="3"/>
          </reference>
        </references>
      </pivotArea>
    </format>
    <format dxfId="2895">
      <pivotArea dataOnly="0" labelOnly="1" outline="0" fieldPosition="0">
        <references count="3">
          <reference field="3" count="1" selected="0">
            <x v="236"/>
          </reference>
          <reference field="4" count="1" selected="0">
            <x v="5"/>
          </reference>
          <reference field="6" count="1">
            <x v="3"/>
          </reference>
        </references>
      </pivotArea>
    </format>
    <format dxfId="2894">
      <pivotArea dataOnly="0" labelOnly="1" outline="0" fieldPosition="0">
        <references count="3">
          <reference field="3" count="1" selected="0">
            <x v="239"/>
          </reference>
          <reference field="4" count="1" selected="0">
            <x v="5"/>
          </reference>
          <reference field="6" count="1">
            <x v="3"/>
          </reference>
        </references>
      </pivotArea>
    </format>
    <format dxfId="2893">
      <pivotArea dataOnly="0" labelOnly="1" outline="0" fieldPosition="0">
        <references count="3">
          <reference field="3" count="1" selected="0">
            <x v="243"/>
          </reference>
          <reference field="4" count="1" selected="0">
            <x v="5"/>
          </reference>
          <reference field="6" count="1">
            <x v="3"/>
          </reference>
        </references>
      </pivotArea>
    </format>
    <format dxfId="2892">
      <pivotArea dataOnly="0" labelOnly="1" outline="0" fieldPosition="0">
        <references count="3">
          <reference field="3" count="1" selected="0">
            <x v="245"/>
          </reference>
          <reference field="4" count="1" selected="0">
            <x v="5"/>
          </reference>
          <reference field="6" count="1">
            <x v="3"/>
          </reference>
        </references>
      </pivotArea>
    </format>
    <format dxfId="2891">
      <pivotArea dataOnly="0" labelOnly="1" outline="0" fieldPosition="0">
        <references count="3">
          <reference field="3" count="1" selected="0">
            <x v="247"/>
          </reference>
          <reference field="4" count="1" selected="0">
            <x v="5"/>
          </reference>
          <reference field="6" count="1">
            <x v="3"/>
          </reference>
        </references>
      </pivotArea>
    </format>
    <format dxfId="2890">
      <pivotArea dataOnly="0" labelOnly="1" outline="0" fieldPosition="0">
        <references count="3">
          <reference field="3" count="1" selected="0">
            <x v="248"/>
          </reference>
          <reference field="4" count="1" selected="0">
            <x v="5"/>
          </reference>
          <reference field="6" count="1">
            <x v="3"/>
          </reference>
        </references>
      </pivotArea>
    </format>
    <format dxfId="2889">
      <pivotArea dataOnly="0" labelOnly="1" outline="0" fieldPosition="0">
        <references count="3">
          <reference field="3" count="1" selected="0">
            <x v="249"/>
          </reference>
          <reference field="4" count="1" selected="0">
            <x v="5"/>
          </reference>
          <reference field="6" count="1">
            <x v="3"/>
          </reference>
        </references>
      </pivotArea>
    </format>
    <format dxfId="2888">
      <pivotArea dataOnly="0" labelOnly="1" outline="0" fieldPosition="0">
        <references count="3">
          <reference field="3" count="1" selected="0">
            <x v="255"/>
          </reference>
          <reference field="4" count="1" selected="0">
            <x v="5"/>
          </reference>
          <reference field="6" count="1">
            <x v="3"/>
          </reference>
        </references>
      </pivotArea>
    </format>
    <format dxfId="2887">
      <pivotArea dataOnly="0" labelOnly="1" outline="0" fieldPosition="0">
        <references count="3">
          <reference field="3" count="1" selected="0">
            <x v="256"/>
          </reference>
          <reference field="4" count="1" selected="0">
            <x v="5"/>
          </reference>
          <reference field="6" count="1">
            <x v="3"/>
          </reference>
        </references>
      </pivotArea>
    </format>
    <format dxfId="2886">
      <pivotArea dataOnly="0" labelOnly="1" outline="0" fieldPosition="0">
        <references count="3">
          <reference field="3" count="1" selected="0">
            <x v="257"/>
          </reference>
          <reference field="4" count="1" selected="0">
            <x v="5"/>
          </reference>
          <reference field="6" count="1">
            <x v="3"/>
          </reference>
        </references>
      </pivotArea>
    </format>
    <format dxfId="2885">
      <pivotArea dataOnly="0" labelOnly="1" outline="0" fieldPosition="0">
        <references count="3">
          <reference field="3" count="1" selected="0">
            <x v="258"/>
          </reference>
          <reference field="4" count="1" selected="0">
            <x v="5"/>
          </reference>
          <reference field="6" count="1">
            <x v="3"/>
          </reference>
        </references>
      </pivotArea>
    </format>
    <format dxfId="2884">
      <pivotArea dataOnly="0" labelOnly="1" outline="0" fieldPosition="0">
        <references count="3">
          <reference field="3" count="1" selected="0">
            <x v="259"/>
          </reference>
          <reference field="4" count="1" selected="0">
            <x v="5"/>
          </reference>
          <reference field="6" count="1">
            <x v="3"/>
          </reference>
        </references>
      </pivotArea>
    </format>
    <format dxfId="2883">
      <pivotArea dataOnly="0" labelOnly="1" outline="0" fieldPosition="0">
        <references count="3">
          <reference field="3" count="1" selected="0">
            <x v="260"/>
          </reference>
          <reference field="4" count="1" selected="0">
            <x v="5"/>
          </reference>
          <reference field="6" count="1">
            <x v="3"/>
          </reference>
        </references>
      </pivotArea>
    </format>
    <format dxfId="2882">
      <pivotArea dataOnly="0" labelOnly="1" outline="0" fieldPosition="0">
        <references count="3">
          <reference field="3" count="1" selected="0">
            <x v="263"/>
          </reference>
          <reference field="4" count="1" selected="0">
            <x v="5"/>
          </reference>
          <reference field="6" count="1">
            <x v="3"/>
          </reference>
        </references>
      </pivotArea>
    </format>
    <format dxfId="2881">
      <pivotArea dataOnly="0" labelOnly="1" outline="0" fieldPosition="0">
        <references count="3">
          <reference field="3" count="1" selected="0">
            <x v="264"/>
          </reference>
          <reference field="4" count="1" selected="0">
            <x v="5"/>
          </reference>
          <reference field="6" count="1">
            <x v="3"/>
          </reference>
        </references>
      </pivotArea>
    </format>
    <format dxfId="2880">
      <pivotArea dataOnly="0" labelOnly="1" outline="0" fieldPosition="0">
        <references count="3">
          <reference field="3" count="1" selected="0">
            <x v="265"/>
          </reference>
          <reference field="4" count="1" selected="0">
            <x v="5"/>
          </reference>
          <reference field="6" count="1">
            <x v="3"/>
          </reference>
        </references>
      </pivotArea>
    </format>
    <format dxfId="2879">
      <pivotArea dataOnly="0" labelOnly="1" outline="0" fieldPosition="0">
        <references count="3">
          <reference field="3" count="1" selected="0">
            <x v="266"/>
          </reference>
          <reference field="4" count="1" selected="0">
            <x v="5"/>
          </reference>
          <reference field="6" count="1">
            <x v="3"/>
          </reference>
        </references>
      </pivotArea>
    </format>
    <format dxfId="2878">
      <pivotArea dataOnly="0" labelOnly="1" outline="0" fieldPosition="0">
        <references count="3">
          <reference field="3" count="1" selected="0">
            <x v="267"/>
          </reference>
          <reference field="4" count="1" selected="0">
            <x v="5"/>
          </reference>
          <reference field="6" count="1">
            <x v="3"/>
          </reference>
        </references>
      </pivotArea>
    </format>
    <format dxfId="2877">
      <pivotArea dataOnly="0" labelOnly="1" outline="0" fieldPosition="0">
        <references count="3">
          <reference field="3" count="1" selected="0">
            <x v="268"/>
          </reference>
          <reference field="4" count="1" selected="0">
            <x v="5"/>
          </reference>
          <reference field="6" count="1">
            <x v="3"/>
          </reference>
        </references>
      </pivotArea>
    </format>
    <format dxfId="2876">
      <pivotArea dataOnly="0" labelOnly="1" outline="0" fieldPosition="0">
        <references count="3">
          <reference field="3" count="1" selected="0">
            <x v="270"/>
          </reference>
          <reference field="4" count="1" selected="0">
            <x v="5"/>
          </reference>
          <reference field="6" count="1">
            <x v="3"/>
          </reference>
        </references>
      </pivotArea>
    </format>
    <format dxfId="2875">
      <pivotArea dataOnly="0" labelOnly="1" outline="0" fieldPosition="0">
        <references count="3">
          <reference field="3" count="1" selected="0">
            <x v="272"/>
          </reference>
          <reference field="4" count="1" selected="0">
            <x v="5"/>
          </reference>
          <reference field="6" count="1">
            <x v="3"/>
          </reference>
        </references>
      </pivotArea>
    </format>
    <format dxfId="2874">
      <pivotArea dataOnly="0" labelOnly="1" outline="0" fieldPosition="0">
        <references count="3">
          <reference field="3" count="1" selected="0">
            <x v="274"/>
          </reference>
          <reference field="4" count="1" selected="0">
            <x v="5"/>
          </reference>
          <reference field="6" count="1">
            <x v="3"/>
          </reference>
        </references>
      </pivotArea>
    </format>
    <format dxfId="2873">
      <pivotArea dataOnly="0" labelOnly="1" outline="0" fieldPosition="0">
        <references count="3">
          <reference field="3" count="1" selected="0">
            <x v="276"/>
          </reference>
          <reference field="4" count="1" selected="0">
            <x v="5"/>
          </reference>
          <reference field="6" count="1">
            <x v="3"/>
          </reference>
        </references>
      </pivotArea>
    </format>
    <format dxfId="2872">
      <pivotArea dataOnly="0" labelOnly="1" outline="0" fieldPosition="0">
        <references count="3">
          <reference field="3" count="1" selected="0">
            <x v="277"/>
          </reference>
          <reference field="4" count="1" selected="0">
            <x v="5"/>
          </reference>
          <reference field="6" count="1">
            <x v="3"/>
          </reference>
        </references>
      </pivotArea>
    </format>
    <format dxfId="2871">
      <pivotArea dataOnly="0" labelOnly="1" outline="0" fieldPosition="0">
        <references count="3">
          <reference field="3" count="1" selected="0">
            <x v="302"/>
          </reference>
          <reference field="4" count="1" selected="0">
            <x v="5"/>
          </reference>
          <reference field="6" count="1">
            <x v="3"/>
          </reference>
        </references>
      </pivotArea>
    </format>
    <format dxfId="2870">
      <pivotArea dataOnly="0" labelOnly="1" outline="0" fieldPosition="0">
        <references count="3">
          <reference field="3" count="1" selected="0">
            <x v="1"/>
          </reference>
          <reference field="4" count="1" selected="0">
            <x v="6"/>
          </reference>
          <reference field="6" count="1">
            <x v="3"/>
          </reference>
        </references>
      </pivotArea>
    </format>
    <format dxfId="2869">
      <pivotArea dataOnly="0" labelOnly="1" outline="0" fieldPosition="0">
        <references count="3">
          <reference field="3" count="1" selected="0">
            <x v="8"/>
          </reference>
          <reference field="4" count="1" selected="0">
            <x v="6"/>
          </reference>
          <reference field="6" count="1">
            <x v="3"/>
          </reference>
        </references>
      </pivotArea>
    </format>
    <format dxfId="2868">
      <pivotArea dataOnly="0" labelOnly="1" outline="0" fieldPosition="0">
        <references count="3">
          <reference field="3" count="1" selected="0">
            <x v="15"/>
          </reference>
          <reference field="4" count="1" selected="0">
            <x v="6"/>
          </reference>
          <reference field="6" count="1">
            <x v="3"/>
          </reference>
        </references>
      </pivotArea>
    </format>
    <format dxfId="2867">
      <pivotArea dataOnly="0" labelOnly="1" outline="0" fieldPosition="0">
        <references count="3">
          <reference field="3" count="1" selected="0">
            <x v="18"/>
          </reference>
          <reference field="4" count="1" selected="0">
            <x v="6"/>
          </reference>
          <reference field="6" count="1">
            <x v="3"/>
          </reference>
        </references>
      </pivotArea>
    </format>
    <format dxfId="2866">
      <pivotArea dataOnly="0" labelOnly="1" outline="0" fieldPosition="0">
        <references count="3">
          <reference field="3" count="1" selected="0">
            <x v="19"/>
          </reference>
          <reference field="4" count="1" selected="0">
            <x v="6"/>
          </reference>
          <reference field="6" count="1">
            <x v="3"/>
          </reference>
        </references>
      </pivotArea>
    </format>
    <format dxfId="2865">
      <pivotArea dataOnly="0" labelOnly="1" outline="0" fieldPosition="0">
        <references count="3">
          <reference field="3" count="1" selected="0">
            <x v="20"/>
          </reference>
          <reference field="4" count="1" selected="0">
            <x v="6"/>
          </reference>
          <reference field="6" count="1">
            <x v="3"/>
          </reference>
        </references>
      </pivotArea>
    </format>
    <format dxfId="2864">
      <pivotArea dataOnly="0" labelOnly="1" outline="0" fieldPosition="0">
        <references count="3">
          <reference field="3" count="1" selected="0">
            <x v="21"/>
          </reference>
          <reference field="4" count="1" selected="0">
            <x v="6"/>
          </reference>
          <reference field="6" count="1">
            <x v="3"/>
          </reference>
        </references>
      </pivotArea>
    </format>
    <format dxfId="2863">
      <pivotArea dataOnly="0" labelOnly="1" outline="0" fieldPosition="0">
        <references count="3">
          <reference field="3" count="1" selected="0">
            <x v="22"/>
          </reference>
          <reference field="4" count="1" selected="0">
            <x v="6"/>
          </reference>
          <reference field="6" count="1">
            <x v="3"/>
          </reference>
        </references>
      </pivotArea>
    </format>
    <format dxfId="2862">
      <pivotArea dataOnly="0" labelOnly="1" outline="0" fieldPosition="0">
        <references count="3">
          <reference field="3" count="1" selected="0">
            <x v="26"/>
          </reference>
          <reference field="4" count="1" selected="0">
            <x v="6"/>
          </reference>
          <reference field="6" count="1">
            <x v="3"/>
          </reference>
        </references>
      </pivotArea>
    </format>
    <format dxfId="2861">
      <pivotArea dataOnly="0" labelOnly="1" outline="0" fieldPosition="0">
        <references count="3">
          <reference field="3" count="1" selected="0">
            <x v="27"/>
          </reference>
          <reference field="4" count="1" selected="0">
            <x v="6"/>
          </reference>
          <reference field="6" count="1">
            <x v="3"/>
          </reference>
        </references>
      </pivotArea>
    </format>
    <format dxfId="2860">
      <pivotArea dataOnly="0" labelOnly="1" outline="0" fieldPosition="0">
        <references count="3">
          <reference field="3" count="1" selected="0">
            <x v="38"/>
          </reference>
          <reference field="4" count="1" selected="0">
            <x v="6"/>
          </reference>
          <reference field="6" count="1">
            <x v="4"/>
          </reference>
        </references>
      </pivotArea>
    </format>
    <format dxfId="2859">
      <pivotArea dataOnly="0" labelOnly="1" outline="0" fieldPosition="0">
        <references count="3">
          <reference field="3" count="1" selected="0">
            <x v="45"/>
          </reference>
          <reference field="4" count="1" selected="0">
            <x v="6"/>
          </reference>
          <reference field="6" count="1">
            <x v="4"/>
          </reference>
        </references>
      </pivotArea>
    </format>
    <format dxfId="2858">
      <pivotArea dataOnly="0" labelOnly="1" outline="0" fieldPosition="0">
        <references count="3">
          <reference field="3" count="1" selected="0">
            <x v="49"/>
          </reference>
          <reference field="4" count="1" selected="0">
            <x v="6"/>
          </reference>
          <reference field="6" count="1">
            <x v="3"/>
          </reference>
        </references>
      </pivotArea>
    </format>
    <format dxfId="2857">
      <pivotArea dataOnly="0" labelOnly="1" outline="0" fieldPosition="0">
        <references count="3">
          <reference field="3" count="1" selected="0">
            <x v="51"/>
          </reference>
          <reference field="4" count="1" selected="0">
            <x v="6"/>
          </reference>
          <reference field="6" count="1">
            <x v="3"/>
          </reference>
        </references>
      </pivotArea>
    </format>
    <format dxfId="2856">
      <pivotArea dataOnly="0" labelOnly="1" outline="0" fieldPosition="0">
        <references count="3">
          <reference field="3" count="1" selected="0">
            <x v="52"/>
          </reference>
          <reference field="4" count="1" selected="0">
            <x v="6"/>
          </reference>
          <reference field="6" count="1">
            <x v="3"/>
          </reference>
        </references>
      </pivotArea>
    </format>
    <format dxfId="2855">
      <pivotArea dataOnly="0" labelOnly="1" outline="0" fieldPosition="0">
        <references count="3">
          <reference field="3" count="1" selected="0">
            <x v="53"/>
          </reference>
          <reference field="4" count="1" selected="0">
            <x v="6"/>
          </reference>
          <reference field="6" count="1">
            <x v="3"/>
          </reference>
        </references>
      </pivotArea>
    </format>
    <format dxfId="2854">
      <pivotArea dataOnly="0" labelOnly="1" outline="0" fieldPosition="0">
        <references count="3">
          <reference field="3" count="1" selected="0">
            <x v="54"/>
          </reference>
          <reference field="4" count="1" selected="0">
            <x v="6"/>
          </reference>
          <reference field="6" count="1">
            <x v="3"/>
          </reference>
        </references>
      </pivotArea>
    </format>
    <format dxfId="2853">
      <pivotArea dataOnly="0" labelOnly="1" outline="0" fieldPosition="0">
        <references count="3">
          <reference field="3" count="1" selected="0">
            <x v="58"/>
          </reference>
          <reference field="4" count="1" selected="0">
            <x v="6"/>
          </reference>
          <reference field="6" count="1">
            <x v="3"/>
          </reference>
        </references>
      </pivotArea>
    </format>
    <format dxfId="2852">
      <pivotArea dataOnly="0" labelOnly="1" outline="0" fieldPosition="0">
        <references count="3">
          <reference field="3" count="1" selected="0">
            <x v="60"/>
          </reference>
          <reference field="4" count="1" selected="0">
            <x v="6"/>
          </reference>
          <reference field="6" count="1">
            <x v="3"/>
          </reference>
        </references>
      </pivotArea>
    </format>
    <format dxfId="2851">
      <pivotArea dataOnly="0" labelOnly="1" outline="0" fieldPosition="0">
        <references count="3">
          <reference field="3" count="1" selected="0">
            <x v="63"/>
          </reference>
          <reference field="4" count="1" selected="0">
            <x v="6"/>
          </reference>
          <reference field="6" count="1">
            <x v="3"/>
          </reference>
        </references>
      </pivotArea>
    </format>
    <format dxfId="2850">
      <pivotArea dataOnly="0" labelOnly="1" outline="0" fieldPosition="0">
        <references count="3">
          <reference field="3" count="1" selected="0">
            <x v="68"/>
          </reference>
          <reference field="4" count="1" selected="0">
            <x v="6"/>
          </reference>
          <reference field="6" count="1">
            <x v="3"/>
          </reference>
        </references>
      </pivotArea>
    </format>
    <format dxfId="2849">
      <pivotArea dataOnly="0" labelOnly="1" outline="0" fieldPosition="0">
        <references count="3">
          <reference field="3" count="1" selected="0">
            <x v="72"/>
          </reference>
          <reference field="4" count="1" selected="0">
            <x v="6"/>
          </reference>
          <reference field="6" count="1">
            <x v="3"/>
          </reference>
        </references>
      </pivotArea>
    </format>
    <format dxfId="2848">
      <pivotArea dataOnly="0" labelOnly="1" outline="0" fieldPosition="0">
        <references count="3">
          <reference field="3" count="1" selected="0">
            <x v="78"/>
          </reference>
          <reference field="4" count="1" selected="0">
            <x v="6"/>
          </reference>
          <reference field="6" count="1">
            <x v="3"/>
          </reference>
        </references>
      </pivotArea>
    </format>
    <format dxfId="2847">
      <pivotArea dataOnly="0" labelOnly="1" outline="0" fieldPosition="0">
        <references count="3">
          <reference field="3" count="1" selected="0">
            <x v="88"/>
          </reference>
          <reference field="4" count="1" selected="0">
            <x v="6"/>
          </reference>
          <reference field="6" count="1">
            <x v="3"/>
          </reference>
        </references>
      </pivotArea>
    </format>
    <format dxfId="2846">
      <pivotArea dataOnly="0" labelOnly="1" outline="0" fieldPosition="0">
        <references count="3">
          <reference field="3" count="1" selected="0">
            <x v="89"/>
          </reference>
          <reference field="4" count="1" selected="0">
            <x v="6"/>
          </reference>
          <reference field="6" count="1">
            <x v="3"/>
          </reference>
        </references>
      </pivotArea>
    </format>
    <format dxfId="2845">
      <pivotArea dataOnly="0" labelOnly="1" outline="0" fieldPosition="0">
        <references count="3">
          <reference field="3" count="1" selected="0">
            <x v="94"/>
          </reference>
          <reference field="4" count="1" selected="0">
            <x v="6"/>
          </reference>
          <reference field="6" count="1">
            <x v="3"/>
          </reference>
        </references>
      </pivotArea>
    </format>
    <format dxfId="2844">
      <pivotArea dataOnly="0" labelOnly="1" outline="0" fieldPosition="0">
        <references count="3">
          <reference field="3" count="1" selected="0">
            <x v="99"/>
          </reference>
          <reference field="4" count="1" selected="0">
            <x v="6"/>
          </reference>
          <reference field="6" count="1">
            <x v="6"/>
          </reference>
        </references>
      </pivotArea>
    </format>
    <format dxfId="2843">
      <pivotArea dataOnly="0" labelOnly="1" outline="0" fieldPosition="0">
        <references count="3">
          <reference field="3" count="1" selected="0">
            <x v="104"/>
          </reference>
          <reference field="4" count="1" selected="0">
            <x v="6"/>
          </reference>
          <reference field="6" count="1">
            <x v="3"/>
          </reference>
        </references>
      </pivotArea>
    </format>
    <format dxfId="2842">
      <pivotArea dataOnly="0" labelOnly="1" outline="0" fieldPosition="0">
        <references count="3">
          <reference field="3" count="1" selected="0">
            <x v="108"/>
          </reference>
          <reference field="4" count="1" selected="0">
            <x v="6"/>
          </reference>
          <reference field="6" count="1">
            <x v="6"/>
          </reference>
        </references>
      </pivotArea>
    </format>
    <format dxfId="2841">
      <pivotArea dataOnly="0" labelOnly="1" outline="0" fieldPosition="0">
        <references count="3">
          <reference field="3" count="1" selected="0">
            <x v="113"/>
          </reference>
          <reference field="4" count="1" selected="0">
            <x v="6"/>
          </reference>
          <reference field="6" count="1">
            <x v="4"/>
          </reference>
        </references>
      </pivotArea>
    </format>
    <format dxfId="2840">
      <pivotArea dataOnly="0" labelOnly="1" outline="0" fieldPosition="0">
        <references count="3">
          <reference field="3" count="1" selected="0">
            <x v="114"/>
          </reference>
          <reference field="4" count="1" selected="0">
            <x v="6"/>
          </reference>
          <reference field="6" count="1">
            <x v="3"/>
          </reference>
        </references>
      </pivotArea>
    </format>
    <format dxfId="2839">
      <pivotArea dataOnly="0" labelOnly="1" outline="0" fieldPosition="0">
        <references count="3">
          <reference field="3" count="1" selected="0">
            <x v="117"/>
          </reference>
          <reference field="4" count="1" selected="0">
            <x v="6"/>
          </reference>
          <reference field="6" count="1">
            <x v="3"/>
          </reference>
        </references>
      </pivotArea>
    </format>
    <format dxfId="2838">
      <pivotArea dataOnly="0" labelOnly="1" outline="0" fieldPosition="0">
        <references count="3">
          <reference field="3" count="1" selected="0">
            <x v="118"/>
          </reference>
          <reference field="4" count="1" selected="0">
            <x v="6"/>
          </reference>
          <reference field="6" count="1">
            <x v="3"/>
          </reference>
        </references>
      </pivotArea>
    </format>
    <format dxfId="2837">
      <pivotArea dataOnly="0" labelOnly="1" outline="0" fieldPosition="0">
        <references count="3">
          <reference field="3" count="1" selected="0">
            <x v="119"/>
          </reference>
          <reference field="4" count="1" selected="0">
            <x v="6"/>
          </reference>
          <reference field="6" count="1">
            <x v="7"/>
          </reference>
        </references>
      </pivotArea>
    </format>
    <format dxfId="2836">
      <pivotArea dataOnly="0" labelOnly="1" outline="0" fieldPosition="0">
        <references count="3">
          <reference field="3" count="1" selected="0">
            <x v="160"/>
          </reference>
          <reference field="4" count="1" selected="0">
            <x v="6"/>
          </reference>
          <reference field="6" count="1">
            <x v="4"/>
          </reference>
        </references>
      </pivotArea>
    </format>
    <format dxfId="2835">
      <pivotArea dataOnly="0" labelOnly="1" outline="0" fieldPosition="0">
        <references count="3">
          <reference field="3" count="1" selected="0">
            <x v="161"/>
          </reference>
          <reference field="4" count="1" selected="0">
            <x v="6"/>
          </reference>
          <reference field="6" count="1">
            <x v="4"/>
          </reference>
        </references>
      </pivotArea>
    </format>
    <format dxfId="2834">
      <pivotArea dataOnly="0" labelOnly="1" outline="0" fieldPosition="0">
        <references count="3">
          <reference field="3" count="1" selected="0">
            <x v="181"/>
          </reference>
          <reference field="4" count="1" selected="0">
            <x v="6"/>
          </reference>
          <reference field="6" count="1">
            <x v="4"/>
          </reference>
        </references>
      </pivotArea>
    </format>
    <format dxfId="2833">
      <pivotArea dataOnly="0" labelOnly="1" outline="0" fieldPosition="0">
        <references count="3">
          <reference field="3" count="1" selected="0">
            <x v="182"/>
          </reference>
          <reference field="4" count="1" selected="0">
            <x v="6"/>
          </reference>
          <reference field="6" count="1">
            <x v="4"/>
          </reference>
        </references>
      </pivotArea>
    </format>
    <format dxfId="2832">
      <pivotArea dataOnly="0" labelOnly="1" outline="0" fieldPosition="0">
        <references count="3">
          <reference field="3" count="1" selected="0">
            <x v="183"/>
          </reference>
          <reference field="4" count="1" selected="0">
            <x v="6"/>
          </reference>
          <reference field="6" count="1">
            <x v="4"/>
          </reference>
        </references>
      </pivotArea>
    </format>
    <format dxfId="2831">
      <pivotArea dataOnly="0" labelOnly="1" outline="0" fieldPosition="0">
        <references count="3">
          <reference field="3" count="1" selected="0">
            <x v="184"/>
          </reference>
          <reference field="4" count="1" selected="0">
            <x v="6"/>
          </reference>
          <reference field="6" count="1">
            <x v="4"/>
          </reference>
        </references>
      </pivotArea>
    </format>
    <format dxfId="2830">
      <pivotArea dataOnly="0" labelOnly="1" outline="0" fieldPosition="0">
        <references count="3">
          <reference field="3" count="1" selected="0">
            <x v="185"/>
          </reference>
          <reference field="4" count="1" selected="0">
            <x v="6"/>
          </reference>
          <reference field="6" count="1">
            <x v="4"/>
          </reference>
        </references>
      </pivotArea>
    </format>
    <format dxfId="2829">
      <pivotArea dataOnly="0" labelOnly="1" outline="0" fieldPosition="0">
        <references count="3">
          <reference field="3" count="1" selected="0">
            <x v="188"/>
          </reference>
          <reference field="4" count="1" selected="0">
            <x v="6"/>
          </reference>
          <reference field="6" count="1">
            <x v="4"/>
          </reference>
        </references>
      </pivotArea>
    </format>
    <format dxfId="2828">
      <pivotArea dataOnly="0" labelOnly="1" outline="0" fieldPosition="0">
        <references count="3">
          <reference field="3" count="1" selected="0">
            <x v="189"/>
          </reference>
          <reference field="4" count="1" selected="0">
            <x v="6"/>
          </reference>
          <reference field="6" count="1">
            <x v="4"/>
          </reference>
        </references>
      </pivotArea>
    </format>
    <format dxfId="2827">
      <pivotArea dataOnly="0" labelOnly="1" outline="0" fieldPosition="0">
        <references count="3">
          <reference field="3" count="1" selected="0">
            <x v="231"/>
          </reference>
          <reference field="4" count="1" selected="0">
            <x v="6"/>
          </reference>
          <reference field="6" count="1">
            <x v="4"/>
          </reference>
        </references>
      </pivotArea>
    </format>
    <format dxfId="2826">
      <pivotArea dataOnly="0" labelOnly="1" outline="0" fieldPosition="0">
        <references count="3">
          <reference field="3" count="1" selected="0">
            <x v="309"/>
          </reference>
          <reference field="4" count="1" selected="0">
            <x v="6"/>
          </reference>
          <reference field="6" count="1">
            <x v="4"/>
          </reference>
        </references>
      </pivotArea>
    </format>
    <format dxfId="2825">
      <pivotArea dataOnly="0" labelOnly="1" outline="0" fieldPosition="0">
        <references count="3">
          <reference field="3" count="1" selected="0">
            <x v="3"/>
          </reference>
          <reference field="4" count="1" selected="0">
            <x v="7"/>
          </reference>
          <reference field="6" count="1">
            <x v="6"/>
          </reference>
        </references>
      </pivotArea>
    </format>
    <format dxfId="2824">
      <pivotArea dataOnly="0" labelOnly="1" outline="0" fieldPosition="0">
        <references count="3">
          <reference field="3" count="1" selected="0">
            <x v="34"/>
          </reference>
          <reference field="4" count="1" selected="0">
            <x v="7"/>
          </reference>
          <reference field="6" count="1">
            <x v="6"/>
          </reference>
        </references>
      </pivotArea>
    </format>
    <format dxfId="2823">
      <pivotArea dataOnly="0" labelOnly="1" outline="0" fieldPosition="0">
        <references count="3">
          <reference field="3" count="1" selected="0">
            <x v="44"/>
          </reference>
          <reference field="4" count="1" selected="0">
            <x v="7"/>
          </reference>
          <reference field="6" count="1">
            <x v="6"/>
          </reference>
        </references>
      </pivotArea>
    </format>
    <format dxfId="2822">
      <pivotArea dataOnly="0" labelOnly="1" outline="0" fieldPosition="0">
        <references count="3">
          <reference field="3" count="1" selected="0">
            <x v="113"/>
          </reference>
          <reference field="4" count="1" selected="0">
            <x v="7"/>
          </reference>
          <reference field="6" count="1">
            <x v="4"/>
          </reference>
        </references>
      </pivotArea>
    </format>
    <format dxfId="2821">
      <pivotArea dataOnly="0" labelOnly="1" outline="0" fieldPosition="0">
        <references count="3">
          <reference field="3" count="1" selected="0">
            <x v="127"/>
          </reference>
          <reference field="4" count="1" selected="0">
            <x v="7"/>
          </reference>
          <reference field="6" count="1">
            <x v="0"/>
          </reference>
        </references>
      </pivotArea>
    </format>
    <format dxfId="2820">
      <pivotArea dataOnly="0" labelOnly="1" outline="0" fieldPosition="0">
        <references count="3">
          <reference field="3" count="1" selected="0">
            <x v="130"/>
          </reference>
          <reference field="4" count="1" selected="0">
            <x v="7"/>
          </reference>
          <reference field="6" count="1">
            <x v="0"/>
          </reference>
        </references>
      </pivotArea>
    </format>
    <format dxfId="2819">
      <pivotArea dataOnly="0" labelOnly="1" outline="0" fieldPosition="0">
        <references count="3">
          <reference field="3" count="1" selected="0">
            <x v="190"/>
          </reference>
          <reference field="4" count="1" selected="0">
            <x v="7"/>
          </reference>
          <reference field="6" count="1">
            <x v="6"/>
          </reference>
        </references>
      </pivotArea>
    </format>
    <format dxfId="2818">
      <pivotArea dataOnly="0" labelOnly="1" outline="0" fieldPosition="0">
        <references count="3">
          <reference field="3" count="1" selected="0">
            <x v="192"/>
          </reference>
          <reference field="4" count="1" selected="0">
            <x v="7"/>
          </reference>
          <reference field="6" count="1">
            <x v="6"/>
          </reference>
        </references>
      </pivotArea>
    </format>
    <format dxfId="2817">
      <pivotArea dataOnly="0" labelOnly="1" outline="0" fieldPosition="0">
        <references count="3">
          <reference field="3" count="1" selected="0">
            <x v="196"/>
          </reference>
          <reference field="4" count="1" selected="0">
            <x v="7"/>
          </reference>
          <reference field="6" count="1">
            <x v="6"/>
          </reference>
        </references>
      </pivotArea>
    </format>
    <format dxfId="2816">
      <pivotArea dataOnly="0" labelOnly="1" outline="0" fieldPosition="0">
        <references count="3">
          <reference field="3" count="1" selected="0">
            <x v="230"/>
          </reference>
          <reference field="4" count="1" selected="0">
            <x v="7"/>
          </reference>
          <reference field="6" count="1">
            <x v="6"/>
          </reference>
        </references>
      </pivotArea>
    </format>
    <format dxfId="2815">
      <pivotArea dataOnly="0" labelOnly="1" outline="0" fieldPosition="0">
        <references count="3">
          <reference field="3" count="1" selected="0">
            <x v="232"/>
          </reference>
          <reference field="4" count="1" selected="0">
            <x v="7"/>
          </reference>
          <reference field="6" count="1">
            <x v="6"/>
          </reference>
        </references>
      </pivotArea>
    </format>
    <format dxfId="2814">
      <pivotArea dataOnly="0" labelOnly="1" outline="0" fieldPosition="0">
        <references count="3">
          <reference field="3" count="1" selected="0">
            <x v="308"/>
          </reference>
          <reference field="4" count="1" selected="0">
            <x v="7"/>
          </reference>
          <reference field="6" count="1">
            <x v="6"/>
          </reference>
        </references>
      </pivotArea>
    </format>
    <format dxfId="2813">
      <pivotArea dataOnly="0" labelOnly="1" outline="0" fieldPosition="0">
        <references count="3">
          <reference field="3" count="1" selected="0">
            <x v="309"/>
          </reference>
          <reference field="4" count="1" selected="0">
            <x v="7"/>
          </reference>
          <reference field="6" count="1">
            <x v="6"/>
          </reference>
        </references>
      </pivotArea>
    </format>
    <format dxfId="2812">
      <pivotArea dataOnly="0" labelOnly="1" outline="0" fieldPosition="0">
        <references count="3">
          <reference field="3" count="1" selected="0">
            <x v="311"/>
          </reference>
          <reference field="4" count="1" selected="0">
            <x v="7"/>
          </reference>
          <reference field="6" count="1">
            <x v="6"/>
          </reference>
        </references>
      </pivotArea>
    </format>
    <format dxfId="2811">
      <pivotArea dataOnly="0" labelOnly="1" outline="0" fieldPosition="0">
        <references count="3">
          <reference field="3" count="1" selected="0">
            <x v="3"/>
          </reference>
          <reference field="4" count="1" selected="0">
            <x v="8"/>
          </reference>
          <reference field="6" count="1">
            <x v="6"/>
          </reference>
        </references>
      </pivotArea>
    </format>
    <format dxfId="2810">
      <pivotArea dataOnly="0" labelOnly="1" outline="0" fieldPosition="0">
        <references count="3">
          <reference field="3" count="1" selected="0">
            <x v="4"/>
          </reference>
          <reference field="4" count="1" selected="0">
            <x v="8"/>
          </reference>
          <reference field="6" count="1">
            <x v="6"/>
          </reference>
        </references>
      </pivotArea>
    </format>
    <format dxfId="2809">
      <pivotArea dataOnly="0" labelOnly="1" outline="0" fieldPosition="0">
        <references count="3">
          <reference field="3" count="1" selected="0">
            <x v="10"/>
          </reference>
          <reference field="4" count="1" selected="0">
            <x v="8"/>
          </reference>
          <reference field="6" count="1">
            <x v="6"/>
          </reference>
        </references>
      </pivotArea>
    </format>
    <format dxfId="2808">
      <pivotArea dataOnly="0" labelOnly="1" outline="0" fieldPosition="0">
        <references count="3">
          <reference field="3" count="1" selected="0">
            <x v="17"/>
          </reference>
          <reference field="4" count="1" selected="0">
            <x v="8"/>
          </reference>
          <reference field="6" count="1">
            <x v="6"/>
          </reference>
        </references>
      </pivotArea>
    </format>
    <format dxfId="2807">
      <pivotArea dataOnly="0" labelOnly="1" outline="0" fieldPosition="0">
        <references count="3">
          <reference field="3" count="1" selected="0">
            <x v="23"/>
          </reference>
          <reference field="4" count="1" selected="0">
            <x v="8"/>
          </reference>
          <reference field="6" count="1">
            <x v="6"/>
          </reference>
        </references>
      </pivotArea>
    </format>
    <format dxfId="2806">
      <pivotArea dataOnly="0" labelOnly="1" outline="0" fieldPosition="0">
        <references count="3">
          <reference field="3" count="1" selected="0">
            <x v="25"/>
          </reference>
          <reference field="4" count="1" selected="0">
            <x v="8"/>
          </reference>
          <reference field="6" count="1">
            <x v="6"/>
          </reference>
        </references>
      </pivotArea>
    </format>
    <format dxfId="2805">
      <pivotArea dataOnly="0" labelOnly="1" outline="0" fieldPosition="0">
        <references count="3">
          <reference field="3" count="1" selected="0">
            <x v="64"/>
          </reference>
          <reference field="4" count="1" selected="0">
            <x v="8"/>
          </reference>
          <reference field="6" count="1">
            <x v="6"/>
          </reference>
        </references>
      </pivotArea>
    </format>
    <format dxfId="2804">
      <pivotArea dataOnly="0" labelOnly="1" outline="0" fieldPosition="0">
        <references count="3">
          <reference field="3" count="1" selected="0">
            <x v="67"/>
          </reference>
          <reference field="4" count="1" selected="0">
            <x v="8"/>
          </reference>
          <reference field="6" count="1">
            <x v="6"/>
          </reference>
        </references>
      </pivotArea>
    </format>
    <format dxfId="2803">
      <pivotArea dataOnly="0" labelOnly="1" outline="0" fieldPosition="0">
        <references count="3">
          <reference field="3" count="1" selected="0">
            <x v="69"/>
          </reference>
          <reference field="4" count="1" selected="0">
            <x v="8"/>
          </reference>
          <reference field="6" count="1">
            <x v="6"/>
          </reference>
        </references>
      </pivotArea>
    </format>
    <format dxfId="2802">
      <pivotArea dataOnly="0" labelOnly="1" outline="0" fieldPosition="0">
        <references count="3">
          <reference field="3" count="1" selected="0">
            <x v="73"/>
          </reference>
          <reference field="4" count="1" selected="0">
            <x v="8"/>
          </reference>
          <reference field="6" count="1">
            <x v="6"/>
          </reference>
        </references>
      </pivotArea>
    </format>
    <format dxfId="2801">
      <pivotArea dataOnly="0" labelOnly="1" outline="0" fieldPosition="0">
        <references count="3">
          <reference field="3" count="1" selected="0">
            <x v="74"/>
          </reference>
          <reference field="4" count="1" selected="0">
            <x v="8"/>
          </reference>
          <reference field="6" count="1">
            <x v="6"/>
          </reference>
        </references>
      </pivotArea>
    </format>
    <format dxfId="2800">
      <pivotArea dataOnly="0" labelOnly="1" outline="0" fieldPosition="0">
        <references count="3">
          <reference field="3" count="1" selected="0">
            <x v="77"/>
          </reference>
          <reference field="4" count="1" selected="0">
            <x v="8"/>
          </reference>
          <reference field="6" count="1">
            <x v="6"/>
          </reference>
        </references>
      </pivotArea>
    </format>
    <format dxfId="2799">
      <pivotArea dataOnly="0" labelOnly="1" outline="0" fieldPosition="0">
        <references count="3">
          <reference field="3" count="1" selected="0">
            <x v="82"/>
          </reference>
          <reference field="4" count="1" selected="0">
            <x v="8"/>
          </reference>
          <reference field="6" count="1">
            <x v="6"/>
          </reference>
        </references>
      </pivotArea>
    </format>
    <format dxfId="2798">
      <pivotArea dataOnly="0" labelOnly="1" outline="0" fieldPosition="0">
        <references count="3">
          <reference field="3" count="1" selected="0">
            <x v="96"/>
          </reference>
          <reference field="4" count="1" selected="0">
            <x v="8"/>
          </reference>
          <reference field="6" count="1">
            <x v="6"/>
          </reference>
        </references>
      </pivotArea>
    </format>
    <format dxfId="2797">
      <pivotArea dataOnly="0" labelOnly="1" outline="0" fieldPosition="0">
        <references count="3">
          <reference field="3" count="1" selected="0">
            <x v="101"/>
          </reference>
          <reference field="4" count="1" selected="0">
            <x v="8"/>
          </reference>
          <reference field="6" count="1">
            <x v="6"/>
          </reference>
        </references>
      </pivotArea>
    </format>
    <format dxfId="2796">
      <pivotArea dataOnly="0" labelOnly="1" outline="0" fieldPosition="0">
        <references count="3">
          <reference field="3" count="1" selected="0">
            <x v="103"/>
          </reference>
          <reference field="4" count="1" selected="0">
            <x v="8"/>
          </reference>
          <reference field="6" count="1">
            <x v="6"/>
          </reference>
        </references>
      </pivotArea>
    </format>
    <format dxfId="2795">
      <pivotArea dataOnly="0" labelOnly="1" outline="0" fieldPosition="0">
        <references count="3">
          <reference field="3" count="1" selected="0">
            <x v="109"/>
          </reference>
          <reference field="4" count="1" selected="0">
            <x v="8"/>
          </reference>
          <reference field="6" count="1">
            <x v="6"/>
          </reference>
        </references>
      </pivotArea>
    </format>
    <format dxfId="2794">
      <pivotArea dataOnly="0" labelOnly="1" outline="0" fieldPosition="0">
        <references count="3">
          <reference field="3" count="1" selected="0">
            <x v="111"/>
          </reference>
          <reference field="4" count="1" selected="0">
            <x v="8"/>
          </reference>
          <reference field="6" count="1">
            <x v="6"/>
          </reference>
        </references>
      </pivotArea>
    </format>
    <format dxfId="2793">
      <pivotArea dataOnly="0" labelOnly="1" outline="0" fieldPosition="0">
        <references count="3">
          <reference field="3" count="1" selected="0">
            <x v="115"/>
          </reference>
          <reference field="4" count="1" selected="0">
            <x v="8"/>
          </reference>
          <reference field="6" count="1">
            <x v="6"/>
          </reference>
        </references>
      </pivotArea>
    </format>
    <format dxfId="2792">
      <pivotArea dataOnly="0" labelOnly="1" outline="0" fieldPosition="0">
        <references count="3">
          <reference field="3" count="1" selected="0">
            <x v="232"/>
          </reference>
          <reference field="4" count="1" selected="0">
            <x v="8"/>
          </reference>
          <reference field="6" count="1">
            <x v="6"/>
          </reference>
        </references>
      </pivotArea>
    </format>
    <format dxfId="2791">
      <pivotArea dataOnly="0" labelOnly="1" outline="0" fieldPosition="0">
        <references count="4">
          <reference field="1" count="0" selected="0"/>
          <reference field="3" count="1" selected="0">
            <x v="216"/>
          </reference>
          <reference field="4" count="1" selected="0">
            <x v="3"/>
          </reference>
          <reference field="6" count="1">
            <x v="2"/>
          </reference>
        </references>
      </pivotArea>
    </format>
    <format dxfId="2790">
      <pivotArea dataOnly="0" labelOnly="1" outline="0" fieldPosition="0">
        <references count="4">
          <reference field="1" count="0" selected="0"/>
          <reference field="3" count="1" selected="0">
            <x v="66"/>
          </reference>
          <reference field="4" count="1" selected="0">
            <x v="5"/>
          </reference>
          <reference field="6" count="1">
            <x v="2"/>
          </reference>
        </references>
      </pivotArea>
    </format>
    <format dxfId="2789">
      <pivotArea dataOnly="0" labelOnly="1" outline="0" fieldPosition="0">
        <references count="4">
          <reference field="1" count="0" selected="0"/>
          <reference field="3" count="1" selected="0">
            <x v="202"/>
          </reference>
          <reference field="4" count="1" selected="0">
            <x v="3"/>
          </reference>
          <reference field="6" count="1">
            <x v="2"/>
          </reference>
        </references>
      </pivotArea>
    </format>
    <format dxfId="2788">
      <pivotArea dataOnly="0" labelOnly="1" outline="0" fieldPosition="0">
        <references count="4">
          <reference field="1" count="0" selected="0"/>
          <reference field="3" count="1" selected="0">
            <x v="16"/>
          </reference>
          <reference field="4" count="1" selected="0">
            <x v="0"/>
          </reference>
          <reference field="6" count="1">
            <x v="8"/>
          </reference>
        </references>
      </pivotArea>
    </format>
    <format dxfId="2787">
      <pivotArea dataOnly="0" labelOnly="1" outline="0" fieldPosition="0">
        <references count="4">
          <reference field="1" count="0" selected="0"/>
          <reference field="3" count="1" selected="0">
            <x v="295"/>
          </reference>
          <reference field="4" count="1" selected="0">
            <x v="1"/>
          </reference>
          <reference field="6" count="1">
            <x v="3"/>
          </reference>
        </references>
      </pivotArea>
    </format>
    <format dxfId="2786">
      <pivotArea dataOnly="0" labelOnly="1" outline="0" fieldPosition="0">
        <references count="4">
          <reference field="1" count="0" selected="0"/>
          <reference field="3" count="1" selected="0">
            <x v="218"/>
          </reference>
          <reference field="4" count="1" selected="0">
            <x v="3"/>
          </reference>
          <reference field="6" count="1">
            <x v="2"/>
          </reference>
        </references>
      </pivotArea>
    </format>
    <format dxfId="2785">
      <pivotArea dataOnly="0" labelOnly="1" outline="0" fieldPosition="0">
        <references count="4">
          <reference field="1" count="0" selected="0"/>
          <reference field="3" count="1" selected="0">
            <x v="203"/>
          </reference>
          <reference field="4" count="1" selected="0">
            <x v="3"/>
          </reference>
          <reference field="6" count="1">
            <x v="2"/>
          </reference>
        </references>
      </pivotArea>
    </format>
    <format dxfId="2784">
      <pivotArea dataOnly="0" labelOnly="1" outline="0" fieldPosition="0">
        <references count="4">
          <reference field="1" count="0" selected="0"/>
          <reference field="3" count="1" selected="0">
            <x v="262"/>
          </reference>
          <reference field="4" count="1" selected="0">
            <x v="5"/>
          </reference>
          <reference field="6" count="1">
            <x v="3"/>
          </reference>
        </references>
      </pivotArea>
    </format>
    <format dxfId="2783">
      <pivotArea dataOnly="0" labelOnly="1" outline="0" fieldPosition="0">
        <references count="4">
          <reference field="1" count="0" selected="0"/>
          <reference field="3" count="1" selected="0">
            <x v="201"/>
          </reference>
          <reference field="4" count="1" selected="0">
            <x v="3"/>
          </reference>
          <reference field="6" count="1">
            <x v="2"/>
          </reference>
        </references>
      </pivotArea>
    </format>
    <format dxfId="2782">
      <pivotArea dataOnly="0" labelOnly="1" outline="0" fieldPosition="0">
        <references count="4">
          <reference field="1" count="0" selected="0"/>
          <reference field="3" count="1" selected="0">
            <x v="215"/>
          </reference>
          <reference field="4" count="1" selected="0">
            <x v="3"/>
          </reference>
          <reference field="6" count="1">
            <x v="2"/>
          </reference>
        </references>
      </pivotArea>
    </format>
    <format dxfId="2781">
      <pivotArea dataOnly="0" labelOnly="1" outline="0" fieldPosition="0">
        <references count="4">
          <reference field="1" count="0" selected="0"/>
          <reference field="3" count="1" selected="0">
            <x v="261"/>
          </reference>
          <reference field="4" count="1" selected="0">
            <x v="5"/>
          </reference>
          <reference field="6" count="1">
            <x v="3"/>
          </reference>
        </references>
      </pivotArea>
    </format>
    <format dxfId="2780">
      <pivotArea dataOnly="0" labelOnly="1" outline="0" fieldPosition="0">
        <references count="4">
          <reference field="1" count="0" selected="0"/>
          <reference field="3" count="1" selected="0">
            <x v="98"/>
          </reference>
          <reference field="4" count="1" selected="0">
            <x v="6"/>
          </reference>
          <reference field="6" count="1">
            <x v="6"/>
          </reference>
        </references>
      </pivotArea>
    </format>
    <format dxfId="2779">
      <pivotArea dataOnly="0" labelOnly="1" outline="0" fieldPosition="0">
        <references count="4">
          <reference field="1" count="0" selected="0"/>
          <reference field="3" count="1" selected="0">
            <x v="330"/>
          </reference>
          <reference field="4" count="1" selected="0">
            <x v="0"/>
          </reference>
          <reference field="6" count="1">
            <x v="8"/>
          </reference>
        </references>
      </pivotArea>
    </format>
    <format dxfId="2778">
      <pivotArea dataOnly="0" labelOnly="1" outline="0" fieldPosition="0">
        <references count="4">
          <reference field="1" count="0" selected="0"/>
          <reference field="3" count="1" selected="0">
            <x v="217"/>
          </reference>
          <reference field="4" count="1" selected="0">
            <x v="3"/>
          </reference>
          <reference field="6" count="1">
            <x v="2"/>
          </reference>
        </references>
      </pivotArea>
    </format>
    <format dxfId="2777">
      <pivotArea dataOnly="0" labelOnly="1" outline="0" fieldPosition="0">
        <references count="4">
          <reference field="1" count="0" selected="0"/>
          <reference field="3" count="1" selected="0">
            <x v="345"/>
          </reference>
          <reference field="4" count="1" selected="0">
            <x v="6"/>
          </reference>
          <reference field="6" count="1">
            <x v="3"/>
          </reference>
        </references>
      </pivotArea>
    </format>
    <format dxfId="2776">
      <pivotArea dataOnly="0" labelOnly="1" outline="0" fieldPosition="0">
        <references count="4">
          <reference field="1" count="0" selected="0"/>
          <reference field="3" count="1" selected="0">
            <x v="343"/>
          </reference>
          <reference field="4" count="1" selected="0">
            <x v="5"/>
          </reference>
          <reference field="6" count="1">
            <x v="3"/>
          </reference>
        </references>
      </pivotArea>
    </format>
    <format dxfId="2775">
      <pivotArea dataOnly="0" labelOnly="1" outline="0" fieldPosition="0">
        <references count="4">
          <reference field="1" count="0" selected="0"/>
          <reference field="3" count="1" selected="0">
            <x v="346"/>
          </reference>
          <reference field="4" count="1" selected="0">
            <x v="3"/>
          </reference>
          <reference field="6" count="1">
            <x v="2"/>
          </reference>
        </references>
      </pivotArea>
    </format>
    <format dxfId="2774">
      <pivotArea dataOnly="0" labelOnly="1" outline="0" fieldPosition="0">
        <references count="4">
          <reference field="1" count="0" selected="0"/>
          <reference field="3" count="1" selected="0">
            <x v="97"/>
          </reference>
          <reference field="4" count="1" selected="0">
            <x v="3"/>
          </reference>
          <reference field="6" count="1">
            <x v="3"/>
          </reference>
        </references>
      </pivotArea>
    </format>
    <format dxfId="2773">
      <pivotArea dataOnly="0" labelOnly="1" outline="0" fieldPosition="0">
        <references count="4">
          <reference field="1" count="0" selected="0"/>
          <reference field="3" count="1" selected="0">
            <x v="283"/>
          </reference>
          <reference field="4" count="1" selected="0">
            <x v="3"/>
          </reference>
          <reference field="6" count="1">
            <x v="3"/>
          </reference>
        </references>
      </pivotArea>
    </format>
    <format dxfId="2772">
      <pivotArea dataOnly="0" labelOnly="1" outline="0" fieldPosition="0">
        <references count="4">
          <reference field="1" count="0" selected="0"/>
          <reference field="3" count="1" selected="0">
            <x v="291"/>
          </reference>
          <reference field="4" count="1" selected="0">
            <x v="3"/>
          </reference>
          <reference field="6" count="1">
            <x v="3"/>
          </reference>
        </references>
      </pivotArea>
    </format>
    <format dxfId="2771">
      <pivotArea dataOnly="0" labelOnly="1" outline="0" fieldPosition="0">
        <references count="4">
          <reference field="1" count="0" selected="0"/>
          <reference field="3" count="1" selected="0">
            <x v="292"/>
          </reference>
          <reference field="4" count="1" selected="0">
            <x v="3"/>
          </reference>
          <reference field="6" count="1">
            <x v="3"/>
          </reference>
        </references>
      </pivotArea>
    </format>
    <format dxfId="2770">
      <pivotArea dataOnly="0" labelOnly="1" outline="0" fieldPosition="0">
        <references count="4">
          <reference field="1" count="0" selected="0"/>
          <reference field="3" count="1" selected="0">
            <x v="300"/>
          </reference>
          <reference field="4" count="1" selected="0">
            <x v="3"/>
          </reference>
          <reference field="6" count="1">
            <x v="3"/>
          </reference>
        </references>
      </pivotArea>
    </format>
    <format dxfId="2769">
      <pivotArea dataOnly="0" labelOnly="1" outline="0" fieldPosition="0">
        <references count="4">
          <reference field="1" count="0" selected="0"/>
          <reference field="3" count="1" selected="0">
            <x v="301"/>
          </reference>
          <reference field="4" count="1" selected="0">
            <x v="3"/>
          </reference>
          <reference field="6" count="1">
            <x v="3"/>
          </reference>
        </references>
      </pivotArea>
    </format>
    <format dxfId="2768">
      <pivotArea dataOnly="0" labelOnly="1" outline="0" fieldPosition="0">
        <references count="4">
          <reference field="1" count="0" selected="0"/>
          <reference field="3" count="1" selected="0">
            <x v="138"/>
          </reference>
          <reference field="4" count="1" selected="0">
            <x v="5"/>
          </reference>
          <reference field="6" count="1">
            <x v="3"/>
          </reference>
        </references>
      </pivotArea>
    </format>
    <format dxfId="2767">
      <pivotArea dataOnly="0" labelOnly="1" outline="0" fieldPosition="0">
        <references count="4">
          <reference field="1" count="0" selected="0"/>
          <reference field="3" count="1" selected="0">
            <x v="139"/>
          </reference>
          <reference field="4" count="1" selected="0">
            <x v="5"/>
          </reference>
          <reference field="6" count="1">
            <x v="3"/>
          </reference>
        </references>
      </pivotArea>
    </format>
    <format dxfId="2766">
      <pivotArea dataOnly="0" labelOnly="1" outline="0" fieldPosition="0">
        <references count="4">
          <reference field="1" count="0" selected="0"/>
          <reference field="3" count="1" selected="0">
            <x v="147"/>
          </reference>
          <reference field="4" count="1" selected="0">
            <x v="5"/>
          </reference>
          <reference field="6" count="1">
            <x v="3"/>
          </reference>
        </references>
      </pivotArea>
    </format>
    <format dxfId="2765">
      <pivotArea dataOnly="0" labelOnly="1" outline="0" fieldPosition="0">
        <references count="4">
          <reference field="1" count="0" selected="0"/>
          <reference field="3" count="1" selected="0">
            <x v="158"/>
          </reference>
          <reference field="4" count="1" selected="0">
            <x v="5"/>
          </reference>
          <reference field="6" count="1">
            <x v="3"/>
          </reference>
        </references>
      </pivotArea>
    </format>
    <format dxfId="2764">
      <pivotArea dataOnly="0" labelOnly="1" outline="0" fieldPosition="0">
        <references count="4">
          <reference field="1" count="0" selected="0"/>
          <reference field="3" count="1" selected="0">
            <x v="202"/>
          </reference>
          <reference field="4" count="1" selected="0">
            <x v="5"/>
          </reference>
          <reference field="6" count="1">
            <x v="3"/>
          </reference>
        </references>
      </pivotArea>
    </format>
    <format dxfId="2763">
      <pivotArea dataOnly="0" labelOnly="1" outline="0" fieldPosition="0">
        <references count="4">
          <reference field="1" count="0" selected="0"/>
          <reference field="3" count="1" selected="0">
            <x v="203"/>
          </reference>
          <reference field="4" count="1" selected="0">
            <x v="5"/>
          </reference>
          <reference field="6" count="1">
            <x v="3"/>
          </reference>
        </references>
      </pivotArea>
    </format>
    <format dxfId="2762">
      <pivotArea dataOnly="0" labelOnly="1" outline="0" fieldPosition="0">
        <references count="4">
          <reference field="1" count="0" selected="0"/>
          <reference field="3" count="1" selected="0">
            <x v="306"/>
          </reference>
          <reference field="4" count="1" selected="0">
            <x v="5"/>
          </reference>
          <reference field="6" count="1">
            <x v="3"/>
          </reference>
        </references>
      </pivotArea>
    </format>
    <format dxfId="2761">
      <pivotArea dataOnly="0" labelOnly="1" outline="0" fieldPosition="0">
        <references count="4">
          <reference field="1" count="0" selected="0"/>
          <reference field="3" count="1" selected="0">
            <x v="317"/>
          </reference>
          <reference field="4" count="1" selected="0">
            <x v="5"/>
          </reference>
          <reference field="6" count="1">
            <x v="3"/>
          </reference>
        </references>
      </pivotArea>
    </format>
    <format dxfId="2760">
      <pivotArea dataOnly="0" labelOnly="1" outline="0" fieldPosition="0">
        <references count="4">
          <reference field="1" count="0" selected="0"/>
          <reference field="3" count="1" selected="0">
            <x v="329"/>
          </reference>
          <reference field="4" count="1" selected="0">
            <x v="5"/>
          </reference>
          <reference field="6" count="1">
            <x v="4"/>
          </reference>
        </references>
      </pivotArea>
    </format>
    <format dxfId="2759">
      <pivotArea dataOnly="0" labelOnly="1" outline="0" fieldPosition="0">
        <references count="4">
          <reference field="1" count="0" selected="0"/>
          <reference field="3" count="1" selected="0">
            <x v="33"/>
          </reference>
          <reference field="4" count="1" selected="0">
            <x v="6"/>
          </reference>
          <reference field="6" count="1">
            <x v="4"/>
          </reference>
        </references>
      </pivotArea>
    </format>
    <format dxfId="2758">
      <pivotArea dataOnly="0" labelOnly="1" outline="0" fieldPosition="0">
        <references count="4">
          <reference field="1" count="0" selected="0"/>
          <reference field="3" count="1" selected="0">
            <x v="39"/>
          </reference>
          <reference field="4" count="1" selected="0">
            <x v="6"/>
          </reference>
          <reference field="6" count="1">
            <x v="4"/>
          </reference>
        </references>
      </pivotArea>
    </format>
    <format dxfId="2757">
      <pivotArea dataOnly="0" labelOnly="1" outline="0" fieldPosition="0">
        <references count="4">
          <reference field="1" count="0" selected="0"/>
          <reference field="3" count="1" selected="0">
            <x v="65"/>
          </reference>
          <reference field="4" count="1" selected="0">
            <x v="6"/>
          </reference>
          <reference field="6" count="1">
            <x v="3"/>
          </reference>
        </references>
      </pivotArea>
    </format>
    <format dxfId="2756">
      <pivotArea dataOnly="0" labelOnly="1" outline="0" fieldPosition="0">
        <references count="4">
          <reference field="1" count="0" selected="0"/>
          <reference field="3" count="1" selected="0">
            <x v="66"/>
          </reference>
          <reference field="4" count="1" selected="0">
            <x v="6"/>
          </reference>
          <reference field="6" count="1">
            <x v="3"/>
          </reference>
        </references>
      </pivotArea>
    </format>
    <format dxfId="2755">
      <pivotArea dataOnly="0" labelOnly="1" outline="0" fieldPosition="0">
        <references count="4">
          <reference field="1" count="0" selected="0"/>
          <reference field="3" count="1" selected="0">
            <x v="93"/>
          </reference>
          <reference field="4" count="1" selected="0">
            <x v="6"/>
          </reference>
          <reference field="6" count="1">
            <x v="3"/>
          </reference>
        </references>
      </pivotArea>
    </format>
    <format dxfId="2754">
      <pivotArea dataOnly="0" labelOnly="1" outline="0" fieldPosition="0">
        <references count="4">
          <reference field="1" count="0" selected="0"/>
          <reference field="3" count="1" selected="0">
            <x v="95"/>
          </reference>
          <reference field="4" count="1" selected="0">
            <x v="6"/>
          </reference>
          <reference field="6" count="1">
            <x v="3"/>
          </reference>
        </references>
      </pivotArea>
    </format>
    <format dxfId="2753">
      <pivotArea dataOnly="0" labelOnly="1" outline="0" fieldPosition="0">
        <references count="4">
          <reference field="1" count="0" selected="0"/>
          <reference field="3" count="1" selected="0">
            <x v="132"/>
          </reference>
          <reference field="4" count="1" selected="0">
            <x v="6"/>
          </reference>
          <reference field="6" count="1">
            <x v="7"/>
          </reference>
        </references>
      </pivotArea>
    </format>
    <format dxfId="2752">
      <pivotArea dataOnly="0" labelOnly="1" outline="0" fieldPosition="0">
        <references count="4">
          <reference field="1" count="0" selected="0"/>
          <reference field="3" count="1" selected="0">
            <x v="171"/>
          </reference>
          <reference field="4" count="1" selected="0">
            <x v="6"/>
          </reference>
          <reference field="6" count="1">
            <x v="4"/>
          </reference>
        </references>
      </pivotArea>
    </format>
    <format dxfId="2751">
      <pivotArea dataOnly="0" labelOnly="1" outline="0" fieldPosition="0">
        <references count="4">
          <reference field="1" count="0" selected="0"/>
          <reference field="3" count="1" selected="0">
            <x v="172"/>
          </reference>
          <reference field="4" count="1" selected="0">
            <x v="6"/>
          </reference>
          <reference field="6" count="1">
            <x v="4"/>
          </reference>
        </references>
      </pivotArea>
    </format>
    <format dxfId="2750">
      <pivotArea dataOnly="0" labelOnly="1" outline="0" fieldPosition="0">
        <references count="4">
          <reference field="1" count="0" selected="0"/>
          <reference field="3" count="1" selected="0">
            <x v="187"/>
          </reference>
          <reference field="4" count="1" selected="0">
            <x v="6"/>
          </reference>
          <reference field="6" count="1">
            <x v="4"/>
          </reference>
        </references>
      </pivotArea>
    </format>
    <format dxfId="2749">
      <pivotArea dataOnly="0" labelOnly="1" outline="0" fieldPosition="0">
        <references count="4">
          <reference field="1" count="0" selected="0"/>
          <reference field="3" count="1" selected="0">
            <x v="197"/>
          </reference>
          <reference field="4" count="1" selected="0">
            <x v="6"/>
          </reference>
          <reference field="6" count="1">
            <x v="4"/>
          </reference>
        </references>
      </pivotArea>
    </format>
    <format dxfId="2748">
      <pivotArea dataOnly="0" labelOnly="1" outline="0" fieldPosition="0">
        <references count="4">
          <reference field="1" count="0" selected="0"/>
          <reference field="3" count="1" selected="0">
            <x v="228"/>
          </reference>
          <reference field="4" count="1" selected="0">
            <x v="6"/>
          </reference>
          <reference field="6" count="1">
            <x v="4"/>
          </reference>
        </references>
      </pivotArea>
    </format>
    <format dxfId="2747">
      <pivotArea dataOnly="0" labelOnly="1" outline="0" fieldPosition="0">
        <references count="4">
          <reference field="1" count="0" selected="0"/>
          <reference field="3" count="1" selected="0">
            <x v="233"/>
          </reference>
          <reference field="4" count="1" selected="0">
            <x v="6"/>
          </reference>
          <reference field="6" count="1">
            <x v="4"/>
          </reference>
        </references>
      </pivotArea>
    </format>
    <format dxfId="2746">
      <pivotArea dataOnly="0" labelOnly="1" outline="0" fieldPosition="0">
        <references count="4">
          <reference field="1" count="0" selected="0"/>
          <reference field="3" count="1" selected="0">
            <x v="248"/>
          </reference>
          <reference field="4" count="1" selected="0">
            <x v="6"/>
          </reference>
          <reference field="6" count="1">
            <x v="4"/>
          </reference>
        </references>
      </pivotArea>
    </format>
    <format dxfId="2745">
      <pivotArea dataOnly="0" labelOnly="1" outline="0" fieldPosition="0">
        <references count="4">
          <reference field="1" count="0" selected="0"/>
          <reference field="3" count="1" selected="0">
            <x v="249"/>
          </reference>
          <reference field="4" count="1" selected="0">
            <x v="6"/>
          </reference>
          <reference field="6" count="1">
            <x v="4"/>
          </reference>
        </references>
      </pivotArea>
    </format>
    <format dxfId="2744">
      <pivotArea dataOnly="0" labelOnly="1" outline="0" fieldPosition="0">
        <references count="4">
          <reference field="1" count="0" selected="0"/>
          <reference field="3" count="1" selected="0">
            <x v="262"/>
          </reference>
          <reference field="4" count="1" selected="0">
            <x v="6"/>
          </reference>
          <reference field="6" count="1">
            <x v="4"/>
          </reference>
        </references>
      </pivotArea>
    </format>
    <format dxfId="2743">
      <pivotArea dataOnly="0" labelOnly="1" outline="0" fieldPosition="0">
        <references count="4">
          <reference field="1" count="0" selected="0"/>
          <reference field="3" count="1" selected="0">
            <x v="263"/>
          </reference>
          <reference field="4" count="1" selected="0">
            <x v="6"/>
          </reference>
          <reference field="6" count="1">
            <x v="4"/>
          </reference>
        </references>
      </pivotArea>
    </format>
    <format dxfId="2742">
      <pivotArea dataOnly="0" labelOnly="1" outline="0" fieldPosition="0">
        <references count="4">
          <reference field="1" count="0" selected="0"/>
          <reference field="3" count="1" selected="0">
            <x v="272"/>
          </reference>
          <reference field="4" count="1" selected="0">
            <x v="6"/>
          </reference>
          <reference field="6" count="1">
            <x v="4"/>
          </reference>
        </references>
      </pivotArea>
    </format>
    <format dxfId="2741">
      <pivotArea dataOnly="0" labelOnly="1" outline="0" fieldPosition="0">
        <references count="4">
          <reference field="1" count="0" selected="0"/>
          <reference field="3" count="1" selected="0">
            <x v="274"/>
          </reference>
          <reference field="4" count="1" selected="0">
            <x v="6"/>
          </reference>
          <reference field="6" count="1">
            <x v="4"/>
          </reference>
        </references>
      </pivotArea>
    </format>
    <format dxfId="2740">
      <pivotArea dataOnly="0" labelOnly="1" outline="0" fieldPosition="0">
        <references count="4">
          <reference field="1" count="0" selected="0"/>
          <reference field="3" count="1" selected="0">
            <x v="343"/>
          </reference>
          <reference field="4" count="1" selected="0">
            <x v="6"/>
          </reference>
          <reference field="6" count="1">
            <x v="4"/>
          </reference>
        </references>
      </pivotArea>
    </format>
    <format dxfId="2739">
      <pivotArea dataOnly="0" labelOnly="1" outline="0" fieldPosition="0">
        <references count="4">
          <reference field="1" count="0" selected="0"/>
          <reference field="3" count="1" selected="0">
            <x v="19"/>
          </reference>
          <reference field="4" count="1" selected="0">
            <x v="7"/>
          </reference>
          <reference field="6" count="1">
            <x v="4"/>
          </reference>
        </references>
      </pivotArea>
    </format>
    <format dxfId="2738">
      <pivotArea dataOnly="0" labelOnly="1" outline="0" fieldPosition="0">
        <references count="4">
          <reference field="1" count="0" selected="0"/>
          <reference field="3" count="1" selected="0">
            <x v="45"/>
          </reference>
          <reference field="4" count="1" selected="0">
            <x v="7"/>
          </reference>
          <reference field="6" count="1">
            <x v="6"/>
          </reference>
        </references>
      </pivotArea>
    </format>
    <format dxfId="2737">
      <pivotArea dataOnly="0" labelOnly="1" outline="0" fieldPosition="0">
        <references count="4">
          <reference field="1" count="0" selected="0"/>
          <reference field="3" count="1" selected="0">
            <x v="49"/>
          </reference>
          <reference field="4" count="1" selected="0">
            <x v="7"/>
          </reference>
          <reference field="6" count="1">
            <x v="4"/>
          </reference>
        </references>
      </pivotArea>
    </format>
    <format dxfId="2736">
      <pivotArea dataOnly="0" labelOnly="1" outline="0" fieldPosition="0">
        <references count="4">
          <reference field="1" count="0" selected="0"/>
          <reference field="3" count="1" selected="0">
            <x v="63"/>
          </reference>
          <reference field="4" count="1" selected="0">
            <x v="7"/>
          </reference>
          <reference field="6" count="1">
            <x v="4"/>
          </reference>
        </references>
      </pivotArea>
    </format>
    <format dxfId="2735">
      <pivotArea dataOnly="0" labelOnly="1" outline="0" fieldPosition="0">
        <references count="4">
          <reference field="1" count="0" selected="0"/>
          <reference field="3" count="1" selected="0">
            <x v="68"/>
          </reference>
          <reference field="4" count="1" selected="0">
            <x v="7"/>
          </reference>
          <reference field="6" count="1">
            <x v="4"/>
          </reference>
        </references>
      </pivotArea>
    </format>
    <format dxfId="2734">
      <pivotArea dataOnly="0" labelOnly="1" outline="0" fieldPosition="0">
        <references count="4">
          <reference field="1" count="0" selected="0"/>
          <reference field="3" count="1" selected="0">
            <x v="99"/>
          </reference>
          <reference field="4" count="1" selected="0">
            <x v="7"/>
          </reference>
          <reference field="6" count="1">
            <x v="7"/>
          </reference>
        </references>
      </pivotArea>
    </format>
    <format dxfId="2733">
      <pivotArea dataOnly="0" labelOnly="1" outline="0" fieldPosition="0">
        <references count="4">
          <reference field="1" count="0" selected="0"/>
          <reference field="3" count="1" selected="0">
            <x v="104"/>
          </reference>
          <reference field="4" count="1" selected="0">
            <x v="7"/>
          </reference>
          <reference field="6" count="1">
            <x v="4"/>
          </reference>
        </references>
      </pivotArea>
    </format>
    <format dxfId="2732">
      <pivotArea dataOnly="0" labelOnly="1" outline="0" fieldPosition="0">
        <references count="4">
          <reference field="1" count="0" selected="0"/>
          <reference field="3" count="1" selected="0">
            <x v="181"/>
          </reference>
          <reference field="4" count="1" selected="0">
            <x v="7"/>
          </reference>
          <reference field="6" count="1">
            <x v="6"/>
          </reference>
        </references>
      </pivotArea>
    </format>
    <format dxfId="2731">
      <pivotArea dataOnly="0" labelOnly="1" outline="0" fieldPosition="0">
        <references count="4">
          <reference field="1" count="0" selected="0"/>
          <reference field="3" count="1" selected="0">
            <x v="182"/>
          </reference>
          <reference field="4" count="1" selected="0">
            <x v="7"/>
          </reference>
          <reference field="6" count="1">
            <x v="6"/>
          </reference>
        </references>
      </pivotArea>
    </format>
    <format dxfId="2730">
      <pivotArea dataOnly="0" labelOnly="1" outline="0" fieldPosition="0">
        <references count="4">
          <reference field="1" count="0" selected="0"/>
          <reference field="3" count="1" selected="0">
            <x v="230"/>
          </reference>
          <reference field="4" count="1" selected="0">
            <x v="7"/>
          </reference>
          <reference field="6" count="1">
            <x v="6"/>
          </reference>
        </references>
      </pivotArea>
    </format>
    <format dxfId="2729">
      <pivotArea dataOnly="0" labelOnly="1" outline="0" fieldPosition="0">
        <references count="4">
          <reference field="1" count="0" selected="0"/>
          <reference field="3" count="1" selected="0">
            <x v="232"/>
          </reference>
          <reference field="4" count="1" selected="0">
            <x v="7"/>
          </reference>
          <reference field="6" count="1">
            <x v="6"/>
          </reference>
        </references>
      </pivotArea>
    </format>
    <format dxfId="2728">
      <pivotArea dataOnly="0" labelOnly="1" outline="0" fieldPosition="0">
        <references count="4">
          <reference field="1" count="0" selected="0"/>
          <reference field="3" count="1" selected="0">
            <x v="345"/>
          </reference>
          <reference field="4" count="1" selected="0">
            <x v="7"/>
          </reference>
          <reference field="6" count="1">
            <x v="4"/>
          </reference>
        </references>
      </pivotArea>
    </format>
    <format dxfId="2727">
      <pivotArea dataOnly="0" labelOnly="1" outline="0" fieldPosition="0">
        <references count="4">
          <reference field="1" count="0" selected="0"/>
          <reference field="3" count="1" selected="0">
            <x v="23"/>
          </reference>
          <reference field="4" count="1" selected="0">
            <x v="8"/>
          </reference>
          <reference field="6" count="1">
            <x v="6"/>
          </reference>
        </references>
      </pivotArea>
    </format>
    <format dxfId="2726">
      <pivotArea dataOnly="0" labelOnly="1" outline="0" fieldPosition="0">
        <references count="4">
          <reference field="1" count="0" selected="0"/>
          <reference field="3" count="1" selected="0">
            <x v="25"/>
          </reference>
          <reference field="4" count="1" selected="0">
            <x v="8"/>
          </reference>
          <reference field="6" count="1">
            <x v="6"/>
          </reference>
        </references>
      </pivotArea>
    </format>
    <format dxfId="2725">
      <pivotArea dataOnly="0" labelOnly="1" outline="0" fieldPosition="0">
        <references count="4">
          <reference field="1" count="0" selected="0"/>
          <reference field="3" count="1" selected="0">
            <x v="34"/>
          </reference>
          <reference field="4" count="1" selected="0">
            <x v="8"/>
          </reference>
          <reference field="6" count="1">
            <x v="7"/>
          </reference>
        </references>
      </pivotArea>
    </format>
    <format dxfId="2724">
      <pivotArea dataOnly="0" labelOnly="1" outline="0" fieldPosition="0">
        <references count="4">
          <reference field="1" count="0" selected="0"/>
          <reference field="3" count="1" selected="0">
            <x v="44"/>
          </reference>
          <reference field="4" count="1" selected="0">
            <x v="8"/>
          </reference>
          <reference field="6" count="1">
            <x v="7"/>
          </reference>
        </references>
      </pivotArea>
    </format>
    <format dxfId="2723">
      <pivotArea dataOnly="0" labelOnly="1" outline="0" fieldPosition="0">
        <references count="4">
          <reference field="1" count="0" selected="0"/>
          <reference field="3" count="1" selected="0">
            <x v="96"/>
          </reference>
          <reference field="4" count="1" selected="0">
            <x v="8"/>
          </reference>
          <reference field="6" count="1">
            <x v="6"/>
          </reference>
        </references>
      </pivotArea>
    </format>
    <format dxfId="2722">
      <pivotArea dataOnly="0" labelOnly="1" outline="0" fieldPosition="0">
        <references count="4">
          <reference field="1" count="0" selected="0"/>
          <reference field="3" count="1" selected="0">
            <x v="82"/>
          </reference>
          <reference field="4" count="1" selected="0">
            <x v="10"/>
          </reference>
          <reference field="6" count="1">
            <x v="7"/>
          </reference>
        </references>
      </pivotArea>
    </format>
    <format dxfId="2721">
      <pivotArea dataOnly="0" labelOnly="1" outline="0" fieldPosition="0">
        <references count="4">
          <reference field="1" count="0" selected="0"/>
          <reference field="3" count="1" selected="0">
            <x v="91"/>
          </reference>
          <reference field="4" count="1" selected="0">
            <x v="3"/>
          </reference>
          <reference field="6" count="1">
            <x v="3"/>
          </reference>
        </references>
      </pivotArea>
    </format>
    <format dxfId="2720">
      <pivotArea dataOnly="0" labelOnly="1" outline="0" fieldPosition="0">
        <references count="4">
          <reference field="1" count="0" selected="0"/>
          <reference field="3" count="1" selected="0">
            <x v="284"/>
          </reference>
          <reference field="4" count="1" selected="0">
            <x v="3"/>
          </reference>
          <reference field="6" count="1">
            <x v="3"/>
          </reference>
        </references>
      </pivotArea>
    </format>
    <format dxfId="2719">
      <pivotArea dataOnly="0" labelOnly="1" outline="0" fieldPosition="0">
        <references count="4">
          <reference field="1" count="0" selected="0"/>
          <reference field="3" count="1" selected="0">
            <x v="290"/>
          </reference>
          <reference field="4" count="1" selected="0">
            <x v="3"/>
          </reference>
          <reference field="6" count="1">
            <x v="3"/>
          </reference>
        </references>
      </pivotArea>
    </format>
    <format dxfId="2718">
      <pivotArea dataOnly="0" labelOnly="1" outline="0" fieldPosition="0">
        <references count="4">
          <reference field="1" count="0" selected="0"/>
          <reference field="3" count="1" selected="0">
            <x v="293"/>
          </reference>
          <reference field="4" count="1" selected="0">
            <x v="3"/>
          </reference>
          <reference field="6" count="1">
            <x v="3"/>
          </reference>
        </references>
      </pivotArea>
    </format>
    <format dxfId="2717">
      <pivotArea dataOnly="0" labelOnly="1" outline="0" fieldPosition="0">
        <references count="4">
          <reference field="1" count="0" selected="0"/>
          <reference field="3" count="1" selected="0">
            <x v="298"/>
          </reference>
          <reference field="4" count="1" selected="0">
            <x v="3"/>
          </reference>
          <reference field="6" count="1">
            <x v="3"/>
          </reference>
        </references>
      </pivotArea>
    </format>
    <format dxfId="2716">
      <pivotArea dataOnly="0" labelOnly="1" outline="0" fieldPosition="0">
        <references count="4">
          <reference field="1" count="0" selected="0"/>
          <reference field="3" count="1" selected="0">
            <x v="35"/>
          </reference>
          <reference field="4" count="1" selected="0">
            <x v="5"/>
          </reference>
          <reference field="6" count="1">
            <x v="3"/>
          </reference>
        </references>
      </pivotArea>
    </format>
    <format dxfId="2715">
      <pivotArea dataOnly="0" labelOnly="1" outline="0" fieldPosition="0">
        <references count="4">
          <reference field="1" count="0" selected="0"/>
          <reference field="3" count="1" selected="0">
            <x v="136"/>
          </reference>
          <reference field="4" count="1" selected="0">
            <x v="5"/>
          </reference>
          <reference field="6" count="1">
            <x v="3"/>
          </reference>
        </references>
      </pivotArea>
    </format>
    <format dxfId="2714">
      <pivotArea dataOnly="0" labelOnly="1" outline="0" fieldPosition="0">
        <references count="4">
          <reference field="1" count="0" selected="0"/>
          <reference field="3" count="1" selected="0">
            <x v="140"/>
          </reference>
          <reference field="4" count="1" selected="0">
            <x v="5"/>
          </reference>
          <reference field="6" count="1">
            <x v="3"/>
          </reference>
        </references>
      </pivotArea>
    </format>
    <format dxfId="2713">
      <pivotArea dataOnly="0" labelOnly="1" outline="0" fieldPosition="0">
        <references count="4">
          <reference field="1" count="0" selected="0"/>
          <reference field="3" count="1" selected="0">
            <x v="146"/>
          </reference>
          <reference field="4" count="1" selected="0">
            <x v="5"/>
          </reference>
          <reference field="6" count="1">
            <x v="3"/>
          </reference>
        </references>
      </pivotArea>
    </format>
    <format dxfId="2712">
      <pivotArea dataOnly="0" labelOnly="1" outline="0" fieldPosition="0">
        <references count="4">
          <reference field="1" count="0" selected="0"/>
          <reference field="3" count="1" selected="0">
            <x v="163"/>
          </reference>
          <reference field="4" count="1" selected="0">
            <x v="5"/>
          </reference>
          <reference field="6" count="1">
            <x v="3"/>
          </reference>
        </references>
      </pivotArea>
    </format>
    <format dxfId="2711">
      <pivotArea dataOnly="0" labelOnly="1" outline="0" fieldPosition="0">
        <references count="4">
          <reference field="1" count="0" selected="0"/>
          <reference field="3" count="1" selected="0">
            <x v="201"/>
          </reference>
          <reference field="4" count="1" selected="0">
            <x v="5"/>
          </reference>
          <reference field="6" count="1">
            <x v="3"/>
          </reference>
        </references>
      </pivotArea>
    </format>
    <format dxfId="2710">
      <pivotArea dataOnly="0" labelOnly="1" outline="0" fieldPosition="0">
        <references count="4">
          <reference field="1" count="0" selected="0"/>
          <reference field="3" count="1" selected="0">
            <x v="215"/>
          </reference>
          <reference field="4" count="1" selected="0">
            <x v="5"/>
          </reference>
          <reference field="6" count="1">
            <x v="3"/>
          </reference>
        </references>
      </pivotArea>
    </format>
    <format dxfId="2709">
      <pivotArea dataOnly="0" labelOnly="1" outline="0" fieldPosition="0">
        <references count="4">
          <reference field="1" count="0" selected="0"/>
          <reference field="3" count="1" selected="0">
            <x v="242"/>
          </reference>
          <reference field="4" count="1" selected="0">
            <x v="5"/>
          </reference>
          <reference field="6" count="1">
            <x v="3"/>
          </reference>
        </references>
      </pivotArea>
    </format>
    <format dxfId="2708">
      <pivotArea dataOnly="0" labelOnly="1" outline="0" fieldPosition="0">
        <references count="4">
          <reference field="1" count="0" selected="0"/>
          <reference field="3" count="1" selected="0">
            <x v="321"/>
          </reference>
          <reference field="4" count="1" selected="0">
            <x v="5"/>
          </reference>
          <reference field="6" count="1">
            <x v="3"/>
          </reference>
        </references>
      </pivotArea>
    </format>
    <format dxfId="2707">
      <pivotArea dataOnly="0" labelOnly="1" outline="0" fieldPosition="0">
        <references count="4">
          <reference field="1" count="0" selected="0"/>
          <reference field="3" count="1" selected="0">
            <x v="6"/>
          </reference>
          <reference field="4" count="1" selected="0">
            <x v="6"/>
          </reference>
          <reference field="6" count="1">
            <x v="3"/>
          </reference>
        </references>
      </pivotArea>
    </format>
    <format dxfId="2706">
      <pivotArea dataOnly="0" labelOnly="1" outline="0" fieldPosition="0">
        <references count="4">
          <reference field="1" count="0" selected="0"/>
          <reference field="3" count="1" selected="0">
            <x v="29"/>
          </reference>
          <reference field="4" count="1" selected="0">
            <x v="6"/>
          </reference>
          <reference field="6" count="1">
            <x v="3"/>
          </reference>
        </references>
      </pivotArea>
    </format>
    <format dxfId="2705">
      <pivotArea dataOnly="0" labelOnly="1" outline="0" fieldPosition="0">
        <references count="4">
          <reference field="1" count="0" selected="0"/>
          <reference field="3" count="1" selected="0">
            <x v="42"/>
          </reference>
          <reference field="4" count="1" selected="0">
            <x v="6"/>
          </reference>
          <reference field="6" count="1">
            <x v="4"/>
          </reference>
        </references>
      </pivotArea>
    </format>
    <format dxfId="2704">
      <pivotArea dataOnly="0" labelOnly="1" outline="0" fieldPosition="0">
        <references count="4">
          <reference field="1" count="0" selected="0"/>
          <reference field="3" count="1" selected="0">
            <x v="61"/>
          </reference>
          <reference field="4" count="1" selected="0">
            <x v="6"/>
          </reference>
          <reference field="6" count="1">
            <x v="3"/>
          </reference>
        </references>
      </pivotArea>
    </format>
    <format dxfId="2703">
      <pivotArea dataOnly="0" labelOnly="1" outline="0" fieldPosition="0">
        <references count="4">
          <reference field="1" count="0" selected="0"/>
          <reference field="3" count="1" selected="0">
            <x v="70"/>
          </reference>
          <reference field="4" count="1" selected="0">
            <x v="6"/>
          </reference>
          <reference field="6" count="1">
            <x v="3"/>
          </reference>
        </references>
      </pivotArea>
    </format>
    <format dxfId="2702">
      <pivotArea dataOnly="0" labelOnly="1" outline="0" fieldPosition="0">
        <references count="4">
          <reference field="1" count="0" selected="0"/>
          <reference field="3" count="1" selected="0">
            <x v="86"/>
          </reference>
          <reference field="4" count="1" selected="0">
            <x v="6"/>
          </reference>
          <reference field="6" count="1">
            <x v="3"/>
          </reference>
        </references>
      </pivotArea>
    </format>
    <format dxfId="2701">
      <pivotArea dataOnly="0" labelOnly="1" outline="0" fieldPosition="0">
        <references count="4">
          <reference field="1" count="0" selected="0"/>
          <reference field="3" count="1" selected="0">
            <x v="116"/>
          </reference>
          <reference field="4" count="1" selected="0">
            <x v="6"/>
          </reference>
          <reference field="6" count="1">
            <x v="3"/>
          </reference>
        </references>
      </pivotArea>
    </format>
    <format dxfId="2700">
      <pivotArea dataOnly="0" labelOnly="1" outline="0" fieldPosition="0">
        <references count="4">
          <reference field="1" count="0" selected="0"/>
          <reference field="3" count="1" selected="0">
            <x v="134"/>
          </reference>
          <reference field="4" count="1" selected="0">
            <x v="6"/>
          </reference>
          <reference field="6" count="1">
            <x v="3"/>
          </reference>
        </references>
      </pivotArea>
    </format>
    <format dxfId="2699">
      <pivotArea dataOnly="0" labelOnly="1" outline="0" fieldPosition="0">
        <references count="4">
          <reference field="1" count="0" selected="0"/>
          <reference field="3" count="1" selected="0">
            <x v="159"/>
          </reference>
          <reference field="4" count="1" selected="0">
            <x v="6"/>
          </reference>
          <reference field="6" count="1">
            <x v="4"/>
          </reference>
        </references>
      </pivotArea>
    </format>
    <format dxfId="2698">
      <pivotArea dataOnly="0" labelOnly="1" outline="0" fieldPosition="0">
        <references count="4">
          <reference field="1" count="0" selected="0"/>
          <reference field="3" count="1" selected="0">
            <x v="170"/>
          </reference>
          <reference field="4" count="1" selected="0">
            <x v="6"/>
          </reference>
          <reference field="6" count="1">
            <x v="4"/>
          </reference>
        </references>
      </pivotArea>
    </format>
    <format dxfId="2697">
      <pivotArea dataOnly="0" labelOnly="1" outline="0" fieldPosition="0">
        <references count="4">
          <reference field="1" count="0" selected="0"/>
          <reference field="3" count="1" selected="0">
            <x v="173"/>
          </reference>
          <reference field="4" count="1" selected="0">
            <x v="6"/>
          </reference>
          <reference field="6" count="1">
            <x v="4"/>
          </reference>
        </references>
      </pivotArea>
    </format>
    <format dxfId="2696">
      <pivotArea dataOnly="0" labelOnly="1" outline="0" fieldPosition="0">
        <references count="4">
          <reference field="1" count="0" selected="0"/>
          <reference field="3" count="1" selected="0">
            <x v="178"/>
          </reference>
          <reference field="4" count="1" selected="0">
            <x v="6"/>
          </reference>
          <reference field="6" count="1">
            <x v="4"/>
          </reference>
        </references>
      </pivotArea>
    </format>
    <format dxfId="2695">
      <pivotArea dataOnly="0" labelOnly="1" outline="0" fieldPosition="0">
        <references count="4">
          <reference field="1" count="0" selected="0"/>
          <reference field="3" count="1" selected="0">
            <x v="199"/>
          </reference>
          <reference field="4" count="1" selected="0">
            <x v="6"/>
          </reference>
          <reference field="6" count="1">
            <x v="4"/>
          </reference>
        </references>
      </pivotArea>
    </format>
    <format dxfId="2694">
      <pivotArea dataOnly="0" labelOnly="1" outline="0" fieldPosition="0">
        <references count="4">
          <reference field="1" count="0" selected="0"/>
          <reference field="3" count="1" selected="0">
            <x v="225"/>
          </reference>
          <reference field="4" count="1" selected="0">
            <x v="6"/>
          </reference>
          <reference field="6" count="1">
            <x v="4"/>
          </reference>
        </references>
      </pivotArea>
    </format>
    <format dxfId="2693">
      <pivotArea dataOnly="0" labelOnly="1" outline="0" fieldPosition="0">
        <references count="4">
          <reference field="1" count="0" selected="0"/>
          <reference field="3" count="1" selected="0">
            <x v="234"/>
          </reference>
          <reference field="4" count="1" selected="0">
            <x v="6"/>
          </reference>
          <reference field="6" count="1">
            <x v="4"/>
          </reference>
        </references>
      </pivotArea>
    </format>
    <format dxfId="2692">
      <pivotArea dataOnly="0" labelOnly="1" outline="0" fieldPosition="0">
        <references count="4">
          <reference field="1" count="0" selected="0"/>
          <reference field="3" count="1" selected="0">
            <x v="247"/>
          </reference>
          <reference field="4" count="1" selected="0">
            <x v="6"/>
          </reference>
          <reference field="6" count="1">
            <x v="4"/>
          </reference>
        </references>
      </pivotArea>
    </format>
    <format dxfId="2691">
      <pivotArea dataOnly="0" labelOnly="1" outline="0" fieldPosition="0">
        <references count="4">
          <reference field="1" count="0" selected="0"/>
          <reference field="3" count="1" selected="0">
            <x v="255"/>
          </reference>
          <reference field="4" count="1" selected="0">
            <x v="6"/>
          </reference>
          <reference field="6" count="1">
            <x v="4"/>
          </reference>
        </references>
      </pivotArea>
    </format>
    <format dxfId="2690">
      <pivotArea dataOnly="0" labelOnly="1" outline="0" fieldPosition="0">
        <references count="4">
          <reference field="1" count="0" selected="0"/>
          <reference field="3" count="1" selected="0">
            <x v="261"/>
          </reference>
          <reference field="4" count="1" selected="0">
            <x v="6"/>
          </reference>
          <reference field="6" count="1">
            <x v="4"/>
          </reference>
        </references>
      </pivotArea>
    </format>
    <format dxfId="2689">
      <pivotArea dataOnly="0" labelOnly="1" outline="0" fieldPosition="0">
        <references count="4">
          <reference field="1" count="0" selected="0"/>
          <reference field="3" count="1" selected="0">
            <x v="264"/>
          </reference>
          <reference field="4" count="1" selected="0">
            <x v="6"/>
          </reference>
          <reference field="6" count="1">
            <x v="4"/>
          </reference>
        </references>
      </pivotArea>
    </format>
    <format dxfId="2688">
      <pivotArea dataOnly="0" labelOnly="1" outline="0" fieldPosition="0">
        <references count="4">
          <reference field="1" count="0" selected="0"/>
          <reference field="3" count="1" selected="0">
            <x v="270"/>
          </reference>
          <reference field="4" count="1" selected="0">
            <x v="6"/>
          </reference>
          <reference field="6" count="1">
            <x v="4"/>
          </reference>
        </references>
      </pivotArea>
    </format>
    <format dxfId="2687">
      <pivotArea dataOnly="0" labelOnly="1" outline="0" fieldPosition="0">
        <references count="4">
          <reference field="1" count="0" selected="0"/>
          <reference field="3" count="1" selected="0">
            <x v="276"/>
          </reference>
          <reference field="4" count="1" selected="0">
            <x v="6"/>
          </reference>
          <reference field="6" count="1">
            <x v="4"/>
          </reference>
        </references>
      </pivotArea>
    </format>
    <format dxfId="2686">
      <pivotArea dataOnly="0" labelOnly="1" outline="0" fieldPosition="0">
        <references count="4">
          <reference field="1" count="0" selected="0"/>
          <reference field="3" count="1" selected="0">
            <x v="15"/>
          </reference>
          <reference field="4" count="1" selected="0">
            <x v="7"/>
          </reference>
          <reference field="6" count="1">
            <x v="4"/>
          </reference>
        </references>
      </pivotArea>
    </format>
    <format dxfId="2685">
      <pivotArea dataOnly="0" labelOnly="1" outline="0" fieldPosition="0">
        <references count="4">
          <reference field="1" count="0" selected="0"/>
          <reference field="3" count="1" selected="0">
            <x v="20"/>
          </reference>
          <reference field="4" count="1" selected="0">
            <x v="7"/>
          </reference>
          <reference field="6" count="1">
            <x v="4"/>
          </reference>
        </references>
      </pivotArea>
    </format>
    <format dxfId="2684">
      <pivotArea dataOnly="0" labelOnly="1" outline="0" fieldPosition="0">
        <references count="4">
          <reference field="1" count="0" selected="0"/>
          <reference field="3" count="1" selected="0">
            <x v="38"/>
          </reference>
          <reference field="4" count="1" selected="0">
            <x v="7"/>
          </reference>
          <reference field="6" count="1">
            <x v="6"/>
          </reference>
        </references>
      </pivotArea>
    </format>
    <format dxfId="2683">
      <pivotArea dataOnly="0" labelOnly="1" outline="0" fieldPosition="0">
        <references count="4">
          <reference field="1" count="0" selected="0"/>
          <reference field="3" count="1" selected="0">
            <x v="60"/>
          </reference>
          <reference field="4" count="1" selected="0">
            <x v="7"/>
          </reference>
          <reference field="6" count="1">
            <x v="4"/>
          </reference>
        </references>
      </pivotArea>
    </format>
    <format dxfId="2682">
      <pivotArea dataOnly="0" labelOnly="1" outline="0" fieldPosition="0">
        <references count="4">
          <reference field="1" count="0" selected="0"/>
          <reference field="3" count="1" selected="0">
            <x v="72"/>
          </reference>
          <reference field="4" count="1" selected="0">
            <x v="7"/>
          </reference>
          <reference field="6" count="1">
            <x v="4"/>
          </reference>
        </references>
      </pivotArea>
    </format>
    <format dxfId="2681">
      <pivotArea dataOnly="0" labelOnly="1" outline="0" fieldPosition="0">
        <references count="4">
          <reference field="1" count="0" selected="0"/>
          <reference field="3" count="1" selected="0">
            <x v="98"/>
          </reference>
          <reference field="4" count="1" selected="0">
            <x v="7"/>
          </reference>
          <reference field="6" count="1">
            <x v="7"/>
          </reference>
        </references>
      </pivotArea>
    </format>
    <format dxfId="2680">
      <pivotArea dataOnly="0" labelOnly="1" outline="0" fieldPosition="0">
        <references count="4">
          <reference field="1" count="0" selected="0"/>
          <reference field="3" count="1" selected="0">
            <x v="114"/>
          </reference>
          <reference field="4" count="1" selected="0">
            <x v="7"/>
          </reference>
          <reference field="6" count="1">
            <x v="4"/>
          </reference>
        </references>
      </pivotArea>
    </format>
    <format dxfId="2679">
      <pivotArea dataOnly="0" labelOnly="1" outline="0" fieldPosition="0">
        <references count="4">
          <reference field="1" count="0" selected="0"/>
          <reference field="3" count="1" selected="0">
            <x v="161"/>
          </reference>
          <reference field="4" count="1" selected="0">
            <x v="7"/>
          </reference>
          <reference field="6" count="1">
            <x v="6"/>
          </reference>
        </references>
      </pivotArea>
    </format>
    <format dxfId="2678">
      <pivotArea dataOnly="0" labelOnly="1" outline="0" fieldPosition="0">
        <references count="4">
          <reference field="1" count="0" selected="0"/>
          <reference field="3" count="1" selected="0">
            <x v="183"/>
          </reference>
          <reference field="4" count="1" selected="0">
            <x v="7"/>
          </reference>
          <reference field="6" count="1">
            <x v="6"/>
          </reference>
        </references>
      </pivotArea>
    </format>
    <format dxfId="2677">
      <pivotArea dataOnly="0" labelOnly="1" outline="0" fieldPosition="0">
        <references count="4">
          <reference field="1" count="0" selected="0"/>
          <reference field="3" count="1" selected="0">
            <x v="231"/>
          </reference>
          <reference field="4" count="1" selected="0">
            <x v="7"/>
          </reference>
          <reference field="6" count="1">
            <x v="6"/>
          </reference>
        </references>
      </pivotArea>
    </format>
    <format dxfId="2676">
      <pivotArea dataOnly="0" labelOnly="1" outline="0" fieldPosition="0">
        <references count="4">
          <reference field="1" count="0" selected="0"/>
          <reference field="3" count="1" selected="0">
            <x v="308"/>
          </reference>
          <reference field="4" count="1" selected="0">
            <x v="7"/>
          </reference>
          <reference field="6" count="1">
            <x v="6"/>
          </reference>
        </references>
      </pivotArea>
    </format>
    <format dxfId="2675">
      <pivotArea dataOnly="0" labelOnly="1" outline="0" fieldPosition="0">
        <references count="4">
          <reference field="1" count="0" selected="0"/>
          <reference field="3" count="1" selected="0">
            <x v="339"/>
          </reference>
          <reference field="4" count="1" selected="0">
            <x v="7"/>
          </reference>
          <reference field="6" count="1">
            <x v="4"/>
          </reference>
        </references>
      </pivotArea>
    </format>
    <format dxfId="2674">
      <pivotArea dataOnly="0" labelOnly="1" outline="0" fieldPosition="0">
        <references count="4">
          <reference field="1" count="0" selected="0"/>
          <reference field="3" count="1" selected="0">
            <x v="113"/>
          </reference>
          <reference field="4" count="1" selected="0">
            <x v="8"/>
          </reference>
          <reference field="6" count="1">
            <x v="6"/>
          </reference>
        </references>
      </pivotArea>
    </format>
    <format dxfId="2673">
      <pivotArea dataOnly="0" labelOnly="1" outline="0" fieldPosition="0">
        <references count="4">
          <reference field="1" count="0" selected="0"/>
          <reference field="3" count="1" selected="0">
            <x v="196"/>
          </reference>
          <reference field="4" count="1" selected="0">
            <x v="8"/>
          </reference>
          <reference field="6" count="1">
            <x v="7"/>
          </reference>
        </references>
      </pivotArea>
    </format>
    <format dxfId="2672">
      <pivotArea dataOnly="0" labelOnly="1" outline="0" fieldPosition="0">
        <references count="4">
          <reference field="1" count="0" selected="0"/>
          <reference field="3" count="1" selected="0">
            <x v="10"/>
          </reference>
          <reference field="4" count="1" selected="0">
            <x v="10"/>
          </reference>
          <reference field="6" count="1">
            <x v="7"/>
          </reference>
        </references>
      </pivotArea>
    </format>
    <format dxfId="2671">
      <pivotArea dataOnly="0" labelOnly="1" outline="0" fieldPosition="0">
        <references count="4">
          <reference field="1" count="0" selected="0"/>
          <reference field="3" count="1" selected="0">
            <x v="64"/>
          </reference>
          <reference field="4" count="1" selected="0">
            <x v="10"/>
          </reference>
          <reference field="6" count="1">
            <x v="7"/>
          </reference>
        </references>
      </pivotArea>
    </format>
    <format dxfId="2670">
      <pivotArea dataOnly="0" labelOnly="1" outline="0" fieldPosition="0">
        <references count="4">
          <reference field="1" count="0" selected="0"/>
          <reference field="3" count="1" selected="0">
            <x v="77"/>
          </reference>
          <reference field="4" count="1" selected="0">
            <x v="10"/>
          </reference>
          <reference field="6" count="1">
            <x v="7"/>
          </reference>
        </references>
      </pivotArea>
    </format>
    <format dxfId="2669">
      <pivotArea dataOnly="0" labelOnly="1" outline="0" fieldPosition="0">
        <references count="4">
          <reference field="1" count="0" selected="0"/>
          <reference field="3" count="1" selected="0">
            <x v="101"/>
          </reference>
          <reference field="4" count="1" selected="0">
            <x v="10"/>
          </reference>
          <reference field="6" count="1">
            <x v="7"/>
          </reference>
        </references>
      </pivotArea>
    </format>
    <format dxfId="2668">
      <pivotArea dataOnly="0" labelOnly="1" outline="0" fieldPosition="0">
        <references count="4">
          <reference field="1" count="0" selected="0"/>
          <reference field="3" count="1" selected="0">
            <x v="344"/>
          </reference>
          <reference field="4" count="1" selected="0">
            <x v="0"/>
          </reference>
          <reference field="6" count="1">
            <x v="8"/>
          </reference>
        </references>
      </pivotArea>
    </format>
    <format dxfId="2667">
      <pivotArea dataOnly="0" labelOnly="1" outline="0" fieldPosition="0">
        <references count="4">
          <reference field="1" count="0" selected="0"/>
          <reference field="3" count="1" selected="0">
            <x v="285"/>
          </reference>
          <reference field="4" count="1" selected="0">
            <x v="3"/>
          </reference>
          <reference field="6" count="1">
            <x v="3"/>
          </reference>
        </references>
      </pivotArea>
    </format>
    <format dxfId="2666">
      <pivotArea dataOnly="0" labelOnly="1" outline="0" fieldPosition="0">
        <references count="4">
          <reference field="1" count="0" selected="0"/>
          <reference field="3" count="1" selected="0">
            <x v="289"/>
          </reference>
          <reference field="4" count="1" selected="0">
            <x v="3"/>
          </reference>
          <reference field="6" count="1">
            <x v="3"/>
          </reference>
        </references>
      </pivotArea>
    </format>
    <format dxfId="2665">
      <pivotArea dataOnly="0" labelOnly="1" outline="0" fieldPosition="0">
        <references count="4">
          <reference field="1" count="0" selected="0"/>
          <reference field="3" count="1" selected="0">
            <x v="294"/>
          </reference>
          <reference field="4" count="1" selected="0">
            <x v="3"/>
          </reference>
          <reference field="6" count="1">
            <x v="3"/>
          </reference>
        </references>
      </pivotArea>
    </format>
    <format dxfId="2664">
      <pivotArea dataOnly="0" labelOnly="1" outline="0" fieldPosition="0">
        <references count="4">
          <reference field="1" count="0" selected="0"/>
          <reference field="3" count="1" selected="0">
            <x v="297"/>
          </reference>
          <reference field="4" count="1" selected="0">
            <x v="3"/>
          </reference>
          <reference field="6" count="1">
            <x v="3"/>
          </reference>
        </references>
      </pivotArea>
    </format>
    <format dxfId="2663">
      <pivotArea dataOnly="0" labelOnly="1" outline="0" fieldPosition="0">
        <references count="4">
          <reference field="1" count="0" selected="0"/>
          <reference field="3" count="1" selected="0">
            <x v="37"/>
          </reference>
          <reference field="4" count="1" selected="0">
            <x v="5"/>
          </reference>
          <reference field="6" count="1">
            <x v="3"/>
          </reference>
        </references>
      </pivotArea>
    </format>
    <format dxfId="2662">
      <pivotArea dataOnly="0" labelOnly="1" outline="0" fieldPosition="0">
        <references count="4">
          <reference field="1" count="0" selected="0"/>
          <reference field="3" count="1" selected="0">
            <x v="122"/>
          </reference>
          <reference field="4" count="1" selected="0">
            <x v="5"/>
          </reference>
          <reference field="6" count="1">
            <x v="6"/>
          </reference>
        </references>
      </pivotArea>
    </format>
    <format dxfId="2661">
      <pivotArea dataOnly="0" labelOnly="1" outline="0" fieldPosition="0">
        <references count="4">
          <reference field="1" count="0" selected="0"/>
          <reference field="3" count="1" selected="0">
            <x v="141"/>
          </reference>
          <reference field="4" count="1" selected="0">
            <x v="5"/>
          </reference>
          <reference field="6" count="1">
            <x v="3"/>
          </reference>
        </references>
      </pivotArea>
    </format>
    <format dxfId="2660">
      <pivotArea dataOnly="0" labelOnly="1" outline="0" fieldPosition="0">
        <references count="4">
          <reference field="1" count="0" selected="0"/>
          <reference field="3" count="1" selected="0">
            <x v="145"/>
          </reference>
          <reference field="4" count="1" selected="0">
            <x v="5"/>
          </reference>
          <reference field="6" count="1">
            <x v="3"/>
          </reference>
        </references>
      </pivotArea>
    </format>
    <format dxfId="2659">
      <pivotArea dataOnly="0" labelOnly="1" outline="0" fieldPosition="0">
        <references count="4">
          <reference field="1" count="0" selected="0"/>
          <reference field="3" count="1" selected="0">
            <x v="164"/>
          </reference>
          <reference field="4" count="1" selected="0">
            <x v="5"/>
          </reference>
          <reference field="6" count="1">
            <x v="3"/>
          </reference>
        </references>
      </pivotArea>
    </format>
    <format dxfId="2658">
      <pivotArea dataOnly="0" labelOnly="1" outline="0" fieldPosition="0">
        <references count="4">
          <reference field="1" count="0" selected="0"/>
          <reference field="3" count="1" selected="0">
            <x v="193"/>
          </reference>
          <reference field="4" count="1" selected="0">
            <x v="5"/>
          </reference>
          <reference field="6" count="1">
            <x v="3"/>
          </reference>
        </references>
      </pivotArea>
    </format>
    <format dxfId="2657">
      <pivotArea dataOnly="0" labelOnly="1" outline="0" fieldPosition="0">
        <references count="4">
          <reference field="1" count="0" selected="0"/>
          <reference field="3" count="1" selected="0">
            <x v="216"/>
          </reference>
          <reference field="4" count="1" selected="0">
            <x v="5"/>
          </reference>
          <reference field="6" count="1">
            <x v="3"/>
          </reference>
        </references>
      </pivotArea>
    </format>
    <format dxfId="2656">
      <pivotArea dataOnly="0" labelOnly="1" outline="0" fieldPosition="0">
        <references count="4">
          <reference field="1" count="0" selected="0"/>
          <reference field="3" count="1" selected="0">
            <x v="219"/>
          </reference>
          <reference field="4" count="1" selected="0">
            <x v="5"/>
          </reference>
          <reference field="6" count="1">
            <x v="3"/>
          </reference>
        </references>
      </pivotArea>
    </format>
    <format dxfId="2655">
      <pivotArea dataOnly="0" labelOnly="1" outline="0" fieldPosition="0">
        <references count="4">
          <reference field="1" count="0" selected="0"/>
          <reference field="3" count="1" selected="0">
            <x v="340"/>
          </reference>
          <reference field="4" count="1" selected="0">
            <x v="5"/>
          </reference>
          <reference field="6" count="1">
            <x v="3"/>
          </reference>
        </references>
      </pivotArea>
    </format>
    <format dxfId="2654">
      <pivotArea dataOnly="0" labelOnly="1" outline="0" fieldPosition="0">
        <references count="4">
          <reference field="1" count="0" selected="0"/>
          <reference field="3" count="1" selected="0">
            <x v="341"/>
          </reference>
          <reference field="4" count="1" selected="0">
            <x v="5"/>
          </reference>
          <reference field="6" count="1">
            <x v="3"/>
          </reference>
        </references>
      </pivotArea>
    </format>
    <format dxfId="2653">
      <pivotArea dataOnly="0" labelOnly="1" outline="0" fieldPosition="0">
        <references count="4">
          <reference field="1" count="0" selected="0"/>
          <reference field="3" count="1" selected="0">
            <x v="13"/>
          </reference>
          <reference field="4" count="1" selected="0">
            <x v="6"/>
          </reference>
          <reference field="6" count="1">
            <x v="3"/>
          </reference>
        </references>
      </pivotArea>
    </format>
    <format dxfId="2652">
      <pivotArea dataOnly="0" labelOnly="1" outline="0" fieldPosition="0">
        <references count="4">
          <reference field="1" count="0" selected="0"/>
          <reference field="3" count="1" selected="0">
            <x v="28"/>
          </reference>
          <reference field="4" count="1" selected="0">
            <x v="6"/>
          </reference>
          <reference field="6" count="1">
            <x v="3"/>
          </reference>
        </references>
      </pivotArea>
    </format>
    <format dxfId="2651">
      <pivotArea dataOnly="0" labelOnly="1" outline="0" fieldPosition="0">
        <references count="4">
          <reference field="1" count="0" selected="0"/>
          <reference field="3" count="1" selected="0">
            <x v="46"/>
          </reference>
          <reference field="4" count="1" selected="0">
            <x v="6"/>
          </reference>
          <reference field="6" count="1">
            <x v="4"/>
          </reference>
        </references>
      </pivotArea>
    </format>
    <format dxfId="2650">
      <pivotArea dataOnly="0" labelOnly="1" outline="0" fieldPosition="0">
        <references count="4">
          <reference field="1" count="0" selected="0"/>
          <reference field="3" count="1" selected="0">
            <x v="55"/>
          </reference>
          <reference field="4" count="1" selected="0">
            <x v="6"/>
          </reference>
          <reference field="6" count="1">
            <x v="3"/>
          </reference>
        </references>
      </pivotArea>
    </format>
    <format dxfId="2649">
      <pivotArea dataOnly="0" labelOnly="1" outline="0" fieldPosition="0">
        <references count="4">
          <reference field="1" count="0" selected="0"/>
          <reference field="3" count="1" selected="0">
            <x v="71"/>
          </reference>
          <reference field="4" count="1" selected="0">
            <x v="6"/>
          </reference>
          <reference field="6" count="1">
            <x v="3"/>
          </reference>
        </references>
      </pivotArea>
    </format>
    <format dxfId="2648">
      <pivotArea dataOnly="0" labelOnly="1" outline="0" fieldPosition="0">
        <references count="4">
          <reference field="1" count="0" selected="0"/>
          <reference field="3" count="1" selected="0">
            <x v="83"/>
          </reference>
          <reference field="4" count="1" selected="0">
            <x v="6"/>
          </reference>
          <reference field="6" count="1">
            <x v="3"/>
          </reference>
        </references>
      </pivotArea>
    </format>
    <format dxfId="2647">
      <pivotArea dataOnly="0" labelOnly="1" outline="0" fieldPosition="0">
        <references count="4">
          <reference field="1" count="0" selected="0"/>
          <reference field="3" count="1" selected="0">
            <x v="120"/>
          </reference>
          <reference field="4" count="1" selected="0">
            <x v="6"/>
          </reference>
          <reference field="6" count="1">
            <x v="7"/>
          </reference>
        </references>
      </pivotArea>
    </format>
    <format dxfId="2646">
      <pivotArea dataOnly="0" labelOnly="1" outline="0" fieldPosition="0">
        <references count="4">
          <reference field="1" count="0" selected="0"/>
          <reference field="3" count="1" selected="0">
            <x v="135"/>
          </reference>
          <reference field="4" count="1" selected="0">
            <x v="6"/>
          </reference>
          <reference field="6" count="1">
            <x v="4"/>
          </reference>
        </references>
      </pivotArea>
    </format>
    <format dxfId="2645">
      <pivotArea dataOnly="0" labelOnly="1" outline="0" fieldPosition="0">
        <references count="4">
          <reference field="1" count="0" selected="0"/>
          <reference field="3" count="1" selected="0">
            <x v="166"/>
          </reference>
          <reference field="4" count="1" selected="0">
            <x v="6"/>
          </reference>
          <reference field="6" count="1">
            <x v="4"/>
          </reference>
        </references>
      </pivotArea>
    </format>
    <format dxfId="2644">
      <pivotArea dataOnly="0" labelOnly="1" outline="0" fieldPosition="0">
        <references count="4">
          <reference field="1" count="0" selected="0"/>
          <reference field="3" count="1" selected="0">
            <x v="169"/>
          </reference>
          <reference field="4" count="1" selected="0">
            <x v="6"/>
          </reference>
          <reference field="6" count="1">
            <x v="4"/>
          </reference>
        </references>
      </pivotArea>
    </format>
    <format dxfId="2643">
      <pivotArea dataOnly="0" labelOnly="1" outline="0" fieldPosition="0">
        <references count="4">
          <reference field="1" count="0" selected="0"/>
          <reference field="3" count="1" selected="0">
            <x v="174"/>
          </reference>
          <reference field="4" count="1" selected="0">
            <x v="6"/>
          </reference>
          <reference field="6" count="1">
            <x v="4"/>
          </reference>
        </references>
      </pivotArea>
    </format>
    <format dxfId="2642">
      <pivotArea dataOnly="0" labelOnly="1" outline="0" fieldPosition="0">
        <references count="4">
          <reference field="1" count="0" selected="0"/>
          <reference field="3" count="1" selected="0">
            <x v="177"/>
          </reference>
          <reference field="4" count="1" selected="0">
            <x v="6"/>
          </reference>
          <reference field="6" count="1">
            <x v="4"/>
          </reference>
        </references>
      </pivotArea>
    </format>
    <format dxfId="2641">
      <pivotArea dataOnly="0" labelOnly="1" outline="0" fieldPosition="0">
        <references count="4">
          <reference field="1" count="0" selected="0"/>
          <reference field="3" count="1" selected="0">
            <x v="200"/>
          </reference>
          <reference field="4" count="1" selected="0">
            <x v="6"/>
          </reference>
          <reference field="6" count="1">
            <x v="4"/>
          </reference>
        </references>
      </pivotArea>
    </format>
    <format dxfId="2640">
      <pivotArea dataOnly="0" labelOnly="1" outline="0" fieldPosition="0">
        <references count="4">
          <reference field="1" count="0" selected="0"/>
          <reference field="3" count="1" selected="0">
            <x v="223"/>
          </reference>
          <reference field="4" count="1" selected="0">
            <x v="6"/>
          </reference>
          <reference field="6" count="1">
            <x v="4"/>
          </reference>
        </references>
      </pivotArea>
    </format>
    <format dxfId="2639">
      <pivotArea dataOnly="0" labelOnly="1" outline="0" fieldPosition="0">
        <references count="4">
          <reference field="1" count="0" selected="0"/>
          <reference field="3" count="1" selected="0">
            <x v="236"/>
          </reference>
          <reference field="4" count="1" selected="0">
            <x v="6"/>
          </reference>
          <reference field="6" count="1">
            <x v="4"/>
          </reference>
        </references>
      </pivotArea>
    </format>
    <format dxfId="2638">
      <pivotArea dataOnly="0" labelOnly="1" outline="0" fieldPosition="0">
        <references count="4">
          <reference field="1" count="0" selected="0"/>
          <reference field="3" count="1" selected="0">
            <x v="245"/>
          </reference>
          <reference field="4" count="1" selected="0">
            <x v="6"/>
          </reference>
          <reference field="6" count="1">
            <x v="4"/>
          </reference>
        </references>
      </pivotArea>
    </format>
    <format dxfId="2637">
      <pivotArea dataOnly="0" labelOnly="1" outline="0" fieldPosition="0">
        <references count="4">
          <reference field="1" count="0" selected="0"/>
          <reference field="3" count="1" selected="0">
            <x v="256"/>
          </reference>
          <reference field="4" count="1" selected="0">
            <x v="6"/>
          </reference>
          <reference field="6" count="1">
            <x v="4"/>
          </reference>
        </references>
      </pivotArea>
    </format>
    <format dxfId="2636">
      <pivotArea dataOnly="0" labelOnly="1" outline="0" fieldPosition="0">
        <references count="4">
          <reference field="1" count="0" selected="0"/>
          <reference field="3" count="1" selected="0">
            <x v="260"/>
          </reference>
          <reference field="4" count="1" selected="0">
            <x v="6"/>
          </reference>
          <reference field="6" count="1">
            <x v="4"/>
          </reference>
        </references>
      </pivotArea>
    </format>
    <format dxfId="2635">
      <pivotArea dataOnly="0" labelOnly="1" outline="0" fieldPosition="0">
        <references count="4">
          <reference field="1" count="0" selected="0"/>
          <reference field="3" count="1" selected="0">
            <x v="265"/>
          </reference>
          <reference field="4" count="1" selected="0">
            <x v="6"/>
          </reference>
          <reference field="6" count="1">
            <x v="4"/>
          </reference>
        </references>
      </pivotArea>
    </format>
    <format dxfId="2634">
      <pivotArea dataOnly="0" labelOnly="1" outline="0" fieldPosition="0">
        <references count="4">
          <reference field="1" count="0" selected="0"/>
          <reference field="3" count="1" selected="0">
            <x v="268"/>
          </reference>
          <reference field="4" count="1" selected="0">
            <x v="6"/>
          </reference>
          <reference field="6" count="1">
            <x v="4"/>
          </reference>
        </references>
      </pivotArea>
    </format>
    <format dxfId="2633">
      <pivotArea dataOnly="0" labelOnly="1" outline="0" fieldPosition="0">
        <references count="4">
          <reference field="1" count="0" selected="0"/>
          <reference field="3" count="1" selected="0">
            <x v="277"/>
          </reference>
          <reference field="4" count="1" selected="0">
            <x v="6"/>
          </reference>
          <reference field="6" count="1">
            <x v="4"/>
          </reference>
        </references>
      </pivotArea>
    </format>
    <format dxfId="2632">
      <pivotArea dataOnly="0" labelOnly="1" outline="0" fieldPosition="0">
        <references count="4">
          <reference field="1" count="0" selected="0"/>
          <reference field="3" count="1" selected="0">
            <x v="342"/>
          </reference>
          <reference field="4" count="1" selected="0">
            <x v="6"/>
          </reference>
          <reference field="6" count="1">
            <x v="4"/>
          </reference>
        </references>
      </pivotArea>
    </format>
    <format dxfId="2631">
      <pivotArea dataOnly="0" labelOnly="1" outline="0" fieldPosition="0">
        <references count="4">
          <reference field="1" count="0" selected="0"/>
          <reference field="3" count="1" selected="0">
            <x v="8"/>
          </reference>
          <reference field="4" count="1" selected="0">
            <x v="7"/>
          </reference>
          <reference field="6" count="1">
            <x v="4"/>
          </reference>
        </references>
      </pivotArea>
    </format>
    <format dxfId="2630">
      <pivotArea dataOnly="0" labelOnly="1" outline="0" fieldPosition="0">
        <references count="4">
          <reference field="1" count="0" selected="0"/>
          <reference field="3" count="1" selected="0">
            <x v="27"/>
          </reference>
          <reference field="4" count="1" selected="0">
            <x v="7"/>
          </reference>
          <reference field="6" count="1">
            <x v="4"/>
          </reference>
        </references>
      </pivotArea>
    </format>
    <format dxfId="2629">
      <pivotArea dataOnly="0" labelOnly="1" outline="0" fieldPosition="0">
        <references count="4">
          <reference field="1" count="0" selected="0"/>
          <reference field="3" count="1" selected="0">
            <x v="58"/>
          </reference>
          <reference field="4" count="1" selected="0">
            <x v="7"/>
          </reference>
          <reference field="6" count="1">
            <x v="4"/>
          </reference>
        </references>
      </pivotArea>
    </format>
    <format dxfId="2628">
      <pivotArea dataOnly="0" labelOnly="1" outline="0" fieldPosition="0">
        <references count="4">
          <reference field="1" count="0" selected="0"/>
          <reference field="3" count="1" selected="0">
            <x v="78"/>
          </reference>
          <reference field="4" count="1" selected="0">
            <x v="7"/>
          </reference>
          <reference field="6" count="1">
            <x v="4"/>
          </reference>
        </references>
      </pivotArea>
    </format>
    <format dxfId="2627">
      <pivotArea dataOnly="0" labelOnly="1" outline="0" fieldPosition="0">
        <references count="4">
          <reference field="1" count="0" selected="0"/>
          <reference field="3" count="1" selected="0">
            <x v="94"/>
          </reference>
          <reference field="4" count="1" selected="0">
            <x v="7"/>
          </reference>
          <reference field="6" count="1">
            <x v="4"/>
          </reference>
        </references>
      </pivotArea>
    </format>
    <format dxfId="2626">
      <pivotArea dataOnly="0" labelOnly="1" outline="0" fieldPosition="0">
        <references count="4">
          <reference field="1" count="0" selected="0"/>
          <reference field="3" count="1" selected="0">
            <x v="117"/>
          </reference>
          <reference field="4" count="1" selected="0">
            <x v="7"/>
          </reference>
          <reference field="6" count="1">
            <x v="4"/>
          </reference>
        </references>
      </pivotArea>
    </format>
    <format dxfId="2625">
      <pivotArea dataOnly="0" labelOnly="1" outline="0" fieldPosition="0">
        <references count="4">
          <reference field="1" count="0" selected="0"/>
          <reference field="3" count="1" selected="0">
            <x v="160"/>
          </reference>
          <reference field="4" count="1" selected="0">
            <x v="7"/>
          </reference>
          <reference field="6" count="1">
            <x v="6"/>
          </reference>
        </references>
      </pivotArea>
    </format>
    <format dxfId="2624">
      <pivotArea dataOnly="0" labelOnly="1" outline="0" fieldPosition="0">
        <references count="4">
          <reference field="1" count="0" selected="0"/>
          <reference field="3" count="1" selected="0">
            <x v="184"/>
          </reference>
          <reference field="4" count="1" selected="0">
            <x v="7"/>
          </reference>
          <reference field="6" count="1">
            <x v="6"/>
          </reference>
        </references>
      </pivotArea>
    </format>
    <format dxfId="2623">
      <pivotArea dataOnly="0" labelOnly="1" outline="0" fieldPosition="0">
        <references count="4">
          <reference field="1" count="0" selected="0"/>
          <reference field="3" count="1" selected="0">
            <x v="189"/>
          </reference>
          <reference field="4" count="1" selected="0">
            <x v="7"/>
          </reference>
          <reference field="6" count="1">
            <x v="6"/>
          </reference>
        </references>
      </pivotArea>
    </format>
    <format dxfId="2622">
      <pivotArea dataOnly="0" labelOnly="1" outline="0" fieldPosition="0">
        <references count="4">
          <reference field="1" count="0" selected="0"/>
          <reference field="3" count="1" selected="0">
            <x v="309"/>
          </reference>
          <reference field="4" count="1" selected="0">
            <x v="7"/>
          </reference>
          <reference field="6" count="1">
            <x v="6"/>
          </reference>
        </references>
      </pivotArea>
    </format>
    <format dxfId="2621">
      <pivotArea dataOnly="0" labelOnly="1" outline="0" fieldPosition="0">
        <references count="4">
          <reference field="1" count="0" selected="0"/>
          <reference field="3" count="1" selected="0">
            <x v="338"/>
          </reference>
          <reference field="4" count="1" selected="0">
            <x v="7"/>
          </reference>
          <reference field="6" count="1">
            <x v="4"/>
          </reference>
        </references>
      </pivotArea>
    </format>
    <format dxfId="2620">
      <pivotArea dataOnly="0" labelOnly="1" outline="0" fieldPosition="0">
        <references count="4">
          <reference field="1" count="0" selected="0"/>
          <reference field="3" count="1" selected="0">
            <x v="127"/>
          </reference>
          <reference field="4" count="1" selected="0">
            <x v="8"/>
          </reference>
          <reference field="6" count="1">
            <x v="10"/>
          </reference>
        </references>
      </pivotArea>
    </format>
    <format dxfId="2619">
      <pivotArea dataOnly="0" labelOnly="1" outline="0" fieldPosition="0">
        <references count="4">
          <reference field="1" count="0" selected="0"/>
          <reference field="3" count="1" selected="0">
            <x v="192"/>
          </reference>
          <reference field="4" count="1" selected="0">
            <x v="8"/>
          </reference>
          <reference field="6" count="1">
            <x v="7"/>
          </reference>
        </references>
      </pivotArea>
    </format>
    <format dxfId="2618">
      <pivotArea dataOnly="0" labelOnly="1" outline="0" fieldPosition="0">
        <references count="4">
          <reference field="1" count="0" selected="0"/>
          <reference field="3" count="1" selected="0">
            <x v="4"/>
          </reference>
          <reference field="4" count="1" selected="0">
            <x v="10"/>
          </reference>
          <reference field="6" count="1">
            <x v="7"/>
          </reference>
        </references>
      </pivotArea>
    </format>
    <format dxfId="2617">
      <pivotArea dataOnly="0" labelOnly="1" outline="0" fieldPosition="0">
        <references count="4">
          <reference field="1" count="0" selected="0"/>
          <reference field="3" count="1" selected="0">
            <x v="67"/>
          </reference>
          <reference field="4" count="1" selected="0">
            <x v="10"/>
          </reference>
          <reference field="6" count="1">
            <x v="7"/>
          </reference>
        </references>
      </pivotArea>
    </format>
    <format dxfId="2616">
      <pivotArea dataOnly="0" labelOnly="1" outline="0" fieldPosition="0">
        <references count="4">
          <reference field="1" count="0" selected="0"/>
          <reference field="3" count="1" selected="0">
            <x v="74"/>
          </reference>
          <reference field="4" count="1" selected="0">
            <x v="10"/>
          </reference>
          <reference field="6" count="1">
            <x v="7"/>
          </reference>
        </references>
      </pivotArea>
    </format>
    <format dxfId="2615">
      <pivotArea dataOnly="0" labelOnly="1" outline="0" fieldPosition="0">
        <references count="4">
          <reference field="1" count="0" selected="0"/>
          <reference field="3" count="1" selected="0">
            <x v="103"/>
          </reference>
          <reference field="4" count="1" selected="0">
            <x v="10"/>
          </reference>
          <reference field="6" count="1">
            <x v="7"/>
          </reference>
        </references>
      </pivotArea>
    </format>
    <format dxfId="2614">
      <pivotArea dataOnly="0" labelOnly="1" outline="0" fieldPosition="0">
        <references count="4">
          <reference field="1" count="0" selected="0"/>
          <reference field="3" count="1" selected="0">
            <x v="115"/>
          </reference>
          <reference field="4" count="1" selected="0">
            <x v="10"/>
          </reference>
          <reference field="6" count="1">
            <x v="7"/>
          </reference>
        </references>
      </pivotArea>
    </format>
    <format dxfId="2613">
      <pivotArea dataOnly="0" labelOnly="1" outline="0" fieldPosition="0">
        <references count="4">
          <reference field="1" count="0" selected="0"/>
          <reference field="3" count="1" selected="0">
            <x v="286"/>
          </reference>
          <reference field="4" count="1" selected="0">
            <x v="3"/>
          </reference>
          <reference field="6" count="1">
            <x v="3"/>
          </reference>
        </references>
      </pivotArea>
    </format>
    <format dxfId="2612">
      <pivotArea dataOnly="0" labelOnly="1" outline="0" fieldPosition="0">
        <references count="4">
          <reference field="1" count="0" selected="0"/>
          <reference field="3" count="1" selected="0">
            <x v="288"/>
          </reference>
          <reference field="4" count="1" selected="0">
            <x v="3"/>
          </reference>
          <reference field="6" count="1">
            <x v="3"/>
          </reference>
        </references>
      </pivotArea>
    </format>
    <format dxfId="2611">
      <pivotArea dataOnly="0" labelOnly="1" outline="0" fieldPosition="0">
        <references count="4">
          <reference field="1" count="0" selected="0"/>
          <reference field="3" count="1" selected="0">
            <x v="295"/>
          </reference>
          <reference field="4" count="1" selected="0">
            <x v="3"/>
          </reference>
          <reference field="6" count="1">
            <x v="3"/>
          </reference>
        </references>
      </pivotArea>
    </format>
    <format dxfId="2610">
      <pivotArea dataOnly="0" labelOnly="1" outline="0" fieldPosition="0">
        <references count="4">
          <reference field="1" count="0" selected="0"/>
          <reference field="3" count="1" selected="0">
            <x v="296"/>
          </reference>
          <reference field="4" count="1" selected="0">
            <x v="3"/>
          </reference>
          <reference field="6" count="1">
            <x v="3"/>
          </reference>
        </references>
      </pivotArea>
    </format>
    <format dxfId="2609">
      <pivotArea dataOnly="0" labelOnly="1" outline="0" fieldPosition="0">
        <references count="4">
          <reference field="1" count="0" selected="0"/>
          <reference field="3" count="1" selected="0">
            <x v="40"/>
          </reference>
          <reference field="4" count="1" selected="0">
            <x v="5"/>
          </reference>
          <reference field="6" count="1">
            <x v="3"/>
          </reference>
        </references>
      </pivotArea>
    </format>
    <format dxfId="2608">
      <pivotArea dataOnly="0" labelOnly="1" outline="0" fieldPosition="0">
        <references count="4">
          <reference field="1" count="0" selected="0"/>
          <reference field="3" count="1" selected="0">
            <x v="47"/>
          </reference>
          <reference field="4" count="1" selected="0">
            <x v="5"/>
          </reference>
          <reference field="6" count="1">
            <x v="3"/>
          </reference>
        </references>
      </pivotArea>
    </format>
    <format dxfId="2607">
      <pivotArea dataOnly="0" labelOnly="1" outline="0" fieldPosition="0">
        <references count="4">
          <reference field="1" count="0" selected="0"/>
          <reference field="3" count="1" selected="0">
            <x v="142"/>
          </reference>
          <reference field="4" count="1" selected="0">
            <x v="5"/>
          </reference>
          <reference field="6" count="1">
            <x v="3"/>
          </reference>
        </references>
      </pivotArea>
    </format>
    <format dxfId="2606">
      <pivotArea dataOnly="0" labelOnly="1" outline="0" fieldPosition="0">
        <references count="4">
          <reference field="1" count="0" selected="0"/>
          <reference field="3" count="1" selected="0">
            <x v="144"/>
          </reference>
          <reference field="4" count="1" selected="0">
            <x v="5"/>
          </reference>
          <reference field="6" count="1">
            <x v="3"/>
          </reference>
        </references>
      </pivotArea>
    </format>
    <format dxfId="2605">
      <pivotArea dataOnly="0" labelOnly="1" outline="0" fieldPosition="0">
        <references count="4">
          <reference field="1" count="0" selected="0"/>
          <reference field="3" count="1" selected="0">
            <x v="165"/>
          </reference>
          <reference field="4" count="1" selected="0">
            <x v="5"/>
          </reference>
          <reference field="6" count="1">
            <x v="3"/>
          </reference>
        </references>
      </pivotArea>
    </format>
    <format dxfId="2604">
      <pivotArea dataOnly="0" labelOnly="1" outline="0" fieldPosition="0">
        <references count="4">
          <reference field="1" count="0" selected="0"/>
          <reference field="3" count="1" selected="0">
            <x v="217"/>
          </reference>
          <reference field="4" count="1" selected="0">
            <x v="5"/>
          </reference>
          <reference field="6" count="1">
            <x v="3"/>
          </reference>
        </references>
      </pivotArea>
    </format>
    <format dxfId="2603">
      <pivotArea dataOnly="0" labelOnly="1" outline="0" fieldPosition="0">
        <references count="4">
          <reference field="1" count="0" selected="0"/>
          <reference field="3" count="1" selected="0">
            <x v="325"/>
          </reference>
          <reference field="4" count="1" selected="0">
            <x v="5"/>
          </reference>
          <reference field="6" count="1">
            <x v="3"/>
          </reference>
        </references>
      </pivotArea>
    </format>
    <format dxfId="2602">
      <pivotArea dataOnly="0" labelOnly="1" outline="0" fieldPosition="0">
        <references count="4">
          <reference field="1" count="0" selected="0"/>
          <reference field="3" count="1" selected="0">
            <x v="346"/>
          </reference>
          <reference field="4" count="1" selected="0">
            <x v="5"/>
          </reference>
          <reference field="6" count="1">
            <x v="3"/>
          </reference>
        </references>
      </pivotArea>
    </format>
    <format dxfId="2601">
      <pivotArea dataOnly="0" labelOnly="1" outline="0" fieldPosition="0">
        <references count="4">
          <reference field="1" count="0" selected="0"/>
          <reference field="3" count="1" selected="0">
            <x v="14"/>
          </reference>
          <reference field="4" count="1" selected="0">
            <x v="6"/>
          </reference>
          <reference field="6" count="1">
            <x v="3"/>
          </reference>
        </references>
      </pivotArea>
    </format>
    <format dxfId="2600">
      <pivotArea dataOnly="0" labelOnly="1" outline="0" fieldPosition="0">
        <references count="4">
          <reference field="1" count="0" selected="0"/>
          <reference field="3" count="1" selected="0">
            <x v="24"/>
          </reference>
          <reference field="4" count="1" selected="0">
            <x v="6"/>
          </reference>
          <reference field="6" count="1">
            <x v="3"/>
          </reference>
        </references>
      </pivotArea>
    </format>
    <format dxfId="2599">
      <pivotArea dataOnly="0" labelOnly="1" outline="0" fieldPosition="0">
        <references count="4">
          <reference field="1" count="0" selected="0"/>
          <reference field="3" count="1" selected="0">
            <x v="48"/>
          </reference>
          <reference field="4" count="1" selected="0">
            <x v="6"/>
          </reference>
          <reference field="6" count="1">
            <x v="4"/>
          </reference>
        </references>
      </pivotArea>
    </format>
    <format dxfId="2598">
      <pivotArea dataOnly="0" labelOnly="1" outline="0" fieldPosition="0">
        <references count="4">
          <reference field="1" count="0" selected="0"/>
          <reference field="3" count="1" selected="0">
            <x v="50"/>
          </reference>
          <reference field="4" count="1" selected="0">
            <x v="6"/>
          </reference>
          <reference field="6" count="1">
            <x v="3"/>
          </reference>
        </references>
      </pivotArea>
    </format>
    <format dxfId="2597">
      <pivotArea dataOnly="0" labelOnly="1" outline="0" fieldPosition="0">
        <references count="4">
          <reference field="1" count="0" selected="0"/>
          <reference field="3" count="1" selected="0">
            <x v="76"/>
          </reference>
          <reference field="4" count="1" selected="0">
            <x v="6"/>
          </reference>
          <reference field="6" count="1">
            <x v="3"/>
          </reference>
        </references>
      </pivotArea>
    </format>
    <format dxfId="2596">
      <pivotArea dataOnly="0" labelOnly="1" outline="0" fieldPosition="0">
        <references count="4">
          <reference field="1" count="0" selected="0"/>
          <reference field="3" count="1" selected="0">
            <x v="80"/>
          </reference>
          <reference field="4" count="1" selected="0">
            <x v="6"/>
          </reference>
          <reference field="6" count="1">
            <x v="3"/>
          </reference>
        </references>
      </pivotArea>
    </format>
    <format dxfId="2595">
      <pivotArea dataOnly="0" labelOnly="1" outline="0" fieldPosition="0">
        <references count="4">
          <reference field="1" count="0" selected="0"/>
          <reference field="3" count="1" selected="0">
            <x v="124"/>
          </reference>
          <reference field="4" count="1" selected="0">
            <x v="6"/>
          </reference>
          <reference field="6" count="1">
            <x v="7"/>
          </reference>
        </references>
      </pivotArea>
    </format>
    <format dxfId="2594">
      <pivotArea dataOnly="0" labelOnly="1" outline="0" fieldPosition="0">
        <references count="4">
          <reference field="1" count="0" selected="0"/>
          <reference field="3" count="1" selected="0">
            <x v="128"/>
          </reference>
          <reference field="4" count="1" selected="0">
            <x v="6"/>
          </reference>
          <reference field="6" count="1">
            <x v="7"/>
          </reference>
        </references>
      </pivotArea>
    </format>
    <format dxfId="2593">
      <pivotArea dataOnly="0" labelOnly="1" outline="0" fieldPosition="0">
        <references count="4">
          <reference field="1" count="0" selected="0"/>
          <reference field="3" count="1" selected="0">
            <x v="149"/>
          </reference>
          <reference field="4" count="1" selected="0">
            <x v="6"/>
          </reference>
          <reference field="6" count="1">
            <x v="4"/>
          </reference>
        </references>
      </pivotArea>
    </format>
    <format dxfId="2592">
      <pivotArea dataOnly="0" labelOnly="1" outline="0" fieldPosition="0">
        <references count="4">
          <reference field="1" count="0" selected="0"/>
          <reference field="3" count="1" selected="0">
            <x v="151"/>
          </reference>
          <reference field="4" count="1" selected="0">
            <x v="6"/>
          </reference>
          <reference field="6" count="1">
            <x v="4"/>
          </reference>
        </references>
      </pivotArea>
    </format>
    <format dxfId="2591">
      <pivotArea dataOnly="0" labelOnly="1" outline="0" fieldPosition="0">
        <references count="4">
          <reference field="1" count="0" selected="0"/>
          <reference field="3" count="1" selected="0">
            <x v="167"/>
          </reference>
          <reference field="4" count="1" selected="0">
            <x v="6"/>
          </reference>
          <reference field="6" count="1">
            <x v="4"/>
          </reference>
        </references>
      </pivotArea>
    </format>
    <format dxfId="2590">
      <pivotArea dataOnly="0" labelOnly="1" outline="0" fieldPosition="0">
        <references count="4">
          <reference field="1" count="0" selected="0"/>
          <reference field="3" count="1" selected="0">
            <x v="168"/>
          </reference>
          <reference field="4" count="1" selected="0">
            <x v="6"/>
          </reference>
          <reference field="6" count="1">
            <x v="4"/>
          </reference>
        </references>
      </pivotArea>
    </format>
    <format dxfId="2589">
      <pivotArea dataOnly="0" labelOnly="1" outline="0" fieldPosition="0">
        <references count="4">
          <reference field="1" count="0" selected="0"/>
          <reference field="3" count="1" selected="0">
            <x v="175"/>
          </reference>
          <reference field="4" count="1" selected="0">
            <x v="6"/>
          </reference>
          <reference field="6" count="1">
            <x v="4"/>
          </reference>
        </references>
      </pivotArea>
    </format>
    <format dxfId="2588">
      <pivotArea dataOnly="0" labelOnly="1" outline="0" fieldPosition="0">
        <references count="4">
          <reference field="1" count="0" selected="0"/>
          <reference field="3" count="1" selected="0">
            <x v="176"/>
          </reference>
          <reference field="4" count="1" selected="0">
            <x v="6"/>
          </reference>
          <reference field="6" count="1">
            <x v="4"/>
          </reference>
        </references>
      </pivotArea>
    </format>
    <format dxfId="2587">
      <pivotArea dataOnly="0" labelOnly="1" outline="0" fieldPosition="0">
        <references count="4">
          <reference field="1" count="0" selected="0"/>
          <reference field="3" count="1" selected="0">
            <x v="220"/>
          </reference>
          <reference field="4" count="1" selected="0">
            <x v="6"/>
          </reference>
          <reference field="6" count="1">
            <x v="4"/>
          </reference>
        </references>
      </pivotArea>
    </format>
    <format dxfId="2586">
      <pivotArea dataOnly="0" labelOnly="1" outline="0" fieldPosition="0">
        <references count="4">
          <reference field="1" count="0" selected="0"/>
          <reference field="3" count="1" selected="0">
            <x v="222"/>
          </reference>
          <reference field="4" count="1" selected="0">
            <x v="6"/>
          </reference>
          <reference field="6" count="1">
            <x v="4"/>
          </reference>
        </references>
      </pivotArea>
    </format>
    <format dxfId="2585">
      <pivotArea dataOnly="0" labelOnly="1" outline="0" fieldPosition="0">
        <references count="4">
          <reference field="1" count="0" selected="0"/>
          <reference field="3" count="1" selected="0">
            <x v="239"/>
          </reference>
          <reference field="4" count="1" selected="0">
            <x v="6"/>
          </reference>
          <reference field="6" count="1">
            <x v="4"/>
          </reference>
        </references>
      </pivotArea>
    </format>
    <format dxfId="2584">
      <pivotArea dataOnly="0" labelOnly="1" outline="0" fieldPosition="0">
        <references count="4">
          <reference field="1" count="0" selected="0"/>
          <reference field="3" count="1" selected="0">
            <x v="243"/>
          </reference>
          <reference field="4" count="1" selected="0">
            <x v="6"/>
          </reference>
          <reference field="6" count="1">
            <x v="4"/>
          </reference>
        </references>
      </pivotArea>
    </format>
    <format dxfId="2583">
      <pivotArea dataOnly="0" labelOnly="1" outline="0" fieldPosition="0">
        <references count="4">
          <reference field="1" count="0" selected="0"/>
          <reference field="3" count="1" selected="0">
            <x v="257"/>
          </reference>
          <reference field="4" count="1" selected="0">
            <x v="6"/>
          </reference>
          <reference field="6" count="1">
            <x v="4"/>
          </reference>
        </references>
      </pivotArea>
    </format>
    <format dxfId="2582">
      <pivotArea dataOnly="0" labelOnly="1" outline="0" fieldPosition="0">
        <references count="4">
          <reference field="1" count="0" selected="0"/>
          <reference field="3" count="1" selected="0">
            <x v="258"/>
          </reference>
          <reference field="4" count="1" selected="0">
            <x v="6"/>
          </reference>
          <reference field="6" count="1">
            <x v="4"/>
          </reference>
        </references>
      </pivotArea>
    </format>
    <format dxfId="2581">
      <pivotArea dataOnly="0" labelOnly="1" outline="0" fieldPosition="0">
        <references count="4">
          <reference field="1" count="0" selected="0"/>
          <reference field="3" count="1" selected="0">
            <x v="266"/>
          </reference>
          <reference field="4" count="1" selected="0">
            <x v="6"/>
          </reference>
          <reference field="6" count="1">
            <x v="4"/>
          </reference>
        </references>
      </pivotArea>
    </format>
    <format dxfId="2580">
      <pivotArea dataOnly="0" labelOnly="1" outline="0" fieldPosition="0">
        <references count="4">
          <reference field="1" count="0" selected="0"/>
          <reference field="3" count="1" selected="0">
            <x v="267"/>
          </reference>
          <reference field="4" count="1" selected="0">
            <x v="6"/>
          </reference>
          <reference field="6" count="1">
            <x v="4"/>
          </reference>
        </references>
      </pivotArea>
    </format>
    <format dxfId="2579">
      <pivotArea dataOnly="0" labelOnly="1" outline="0" fieldPosition="0">
        <references count="4">
          <reference field="1" count="0" selected="0"/>
          <reference field="3" count="1" selected="0">
            <x v="302"/>
          </reference>
          <reference field="4" count="1" selected="0">
            <x v="6"/>
          </reference>
          <reference field="6" count="1">
            <x v="4"/>
          </reference>
        </references>
      </pivotArea>
    </format>
    <format dxfId="2578">
      <pivotArea dataOnly="0" labelOnly="1" outline="0" fieldPosition="0">
        <references count="4">
          <reference field="1" count="0" selected="0"/>
          <reference field="3" count="1" selected="0">
            <x v="1"/>
          </reference>
          <reference field="4" count="1" selected="0">
            <x v="7"/>
          </reference>
          <reference field="6" count="1">
            <x v="4"/>
          </reference>
        </references>
      </pivotArea>
    </format>
    <format dxfId="2577">
      <pivotArea dataOnly="0" labelOnly="1" outline="0" fieldPosition="0">
        <references count="4">
          <reference field="1" count="0" selected="0"/>
          <reference field="3" count="1" selected="0">
            <x v="26"/>
          </reference>
          <reference field="4" count="1" selected="0">
            <x v="7"/>
          </reference>
          <reference field="6" count="1">
            <x v="4"/>
          </reference>
        </references>
      </pivotArea>
    </format>
    <format dxfId="2576">
      <pivotArea dataOnly="0" labelOnly="1" outline="0" fieldPosition="0">
        <references count="4">
          <reference field="1" count="0" selected="0"/>
          <reference field="3" count="1" selected="0">
            <x v="53"/>
          </reference>
          <reference field="4" count="1" selected="0">
            <x v="7"/>
          </reference>
          <reference field="6" count="1">
            <x v="4"/>
          </reference>
        </references>
      </pivotArea>
    </format>
    <format dxfId="2575">
      <pivotArea dataOnly="0" labelOnly="1" outline="0" fieldPosition="0">
        <references count="4">
          <reference field="1" count="0" selected="0"/>
          <reference field="3" count="1" selected="0">
            <x v="54"/>
          </reference>
          <reference field="4" count="1" selected="0">
            <x v="7"/>
          </reference>
          <reference field="6" count="1">
            <x v="4"/>
          </reference>
        </references>
      </pivotArea>
    </format>
    <format dxfId="2574">
      <pivotArea dataOnly="0" labelOnly="1" outline="0" fieldPosition="0">
        <references count="4">
          <reference field="1" count="0" selected="0"/>
          <reference field="3" count="1" selected="0">
            <x v="88"/>
          </reference>
          <reference field="4" count="1" selected="0">
            <x v="7"/>
          </reference>
          <reference field="6" count="1">
            <x v="4"/>
          </reference>
        </references>
      </pivotArea>
    </format>
    <format dxfId="2573">
      <pivotArea dataOnly="0" labelOnly="1" outline="0" fieldPosition="0">
        <references count="4">
          <reference field="1" count="0" selected="0"/>
          <reference field="3" count="1" selected="0">
            <x v="89"/>
          </reference>
          <reference field="4" count="1" selected="0">
            <x v="7"/>
          </reference>
          <reference field="6" count="1">
            <x v="4"/>
          </reference>
        </references>
      </pivotArea>
    </format>
    <format dxfId="2572">
      <pivotArea dataOnly="0" labelOnly="1" outline="0" fieldPosition="0">
        <references count="4">
          <reference field="1" count="0" selected="0"/>
          <reference field="3" count="1" selected="0">
            <x v="118"/>
          </reference>
          <reference field="4" count="1" selected="0">
            <x v="7"/>
          </reference>
          <reference field="6" count="1">
            <x v="4"/>
          </reference>
        </references>
      </pivotArea>
    </format>
    <format dxfId="2571">
      <pivotArea dataOnly="0" labelOnly="1" outline="0" fieldPosition="0">
        <references count="4">
          <reference field="1" count="0" selected="0"/>
          <reference field="3" count="1" selected="0">
            <x v="119"/>
          </reference>
          <reference field="4" count="1" selected="0">
            <x v="7"/>
          </reference>
          <reference field="6" count="1">
            <x v="0"/>
          </reference>
        </references>
      </pivotArea>
    </format>
    <format dxfId="2570">
      <pivotArea dataOnly="0" labelOnly="1" outline="0" fieldPosition="0">
        <references count="4">
          <reference field="1" count="0" selected="0"/>
          <reference field="3" count="1" selected="0">
            <x v="130"/>
          </reference>
          <reference field="4" count="1" selected="0">
            <x v="7"/>
          </reference>
          <reference field="6" count="1">
            <x v="0"/>
          </reference>
        </references>
      </pivotArea>
    </format>
    <format dxfId="2569">
      <pivotArea dataOnly="0" labelOnly="1" outline="0" fieldPosition="0">
        <references count="4">
          <reference field="1" count="0" selected="0"/>
          <reference field="3" count="1" selected="0">
            <x v="185"/>
          </reference>
          <reference field="4" count="1" selected="0">
            <x v="7"/>
          </reference>
          <reference field="6" count="1">
            <x v="6"/>
          </reference>
        </references>
      </pivotArea>
    </format>
    <format dxfId="2568">
      <pivotArea dataOnly="0" labelOnly="1" outline="0" fieldPosition="0">
        <references count="4">
          <reference field="1" count="0" selected="0"/>
          <reference field="3" count="1" selected="0">
            <x v="188"/>
          </reference>
          <reference field="4" count="1" selected="0">
            <x v="7"/>
          </reference>
          <reference field="6" count="1">
            <x v="6"/>
          </reference>
        </references>
      </pivotArea>
    </format>
    <format dxfId="2567">
      <pivotArea dataOnly="0" labelOnly="1" outline="0" fieldPosition="0">
        <references count="4">
          <reference field="1" count="0" selected="0"/>
          <reference field="3" count="1" selected="0">
            <x v="311"/>
          </reference>
          <reference field="4" count="1" selected="0">
            <x v="7"/>
          </reference>
          <reference field="6" count="1">
            <x v="6"/>
          </reference>
        </references>
      </pivotArea>
    </format>
    <format dxfId="2566">
      <pivotArea dataOnly="0" labelOnly="1" outline="0" fieldPosition="0">
        <references count="4">
          <reference field="1" count="0" selected="0"/>
          <reference field="3" count="1" selected="0">
            <x v="3"/>
          </reference>
          <reference field="4" count="1" selected="0">
            <x v="8"/>
          </reference>
          <reference field="6" count="1">
            <x v="6"/>
          </reference>
        </references>
      </pivotArea>
    </format>
    <format dxfId="2565">
      <pivotArea dataOnly="0" labelOnly="1" outline="0" fieldPosition="0">
        <references count="4">
          <reference field="1" count="0" selected="0"/>
          <reference field="3" count="1" selected="0">
            <x v="69"/>
          </reference>
          <reference field="4" count="1" selected="0">
            <x v="8"/>
          </reference>
          <reference field="6" count="1">
            <x v="6"/>
          </reference>
        </references>
      </pivotArea>
    </format>
    <format dxfId="2564">
      <pivotArea dataOnly="0" labelOnly="1" outline="0" fieldPosition="0">
        <references count="4">
          <reference field="1" count="0" selected="0"/>
          <reference field="3" count="1" selected="0">
            <x v="73"/>
          </reference>
          <reference field="4" count="1" selected="0">
            <x v="8"/>
          </reference>
          <reference field="6" count="1">
            <x v="6"/>
          </reference>
        </references>
      </pivotArea>
    </format>
    <format dxfId="2563">
      <pivotArea dataOnly="0" labelOnly="1" outline="0" fieldPosition="0">
        <references count="4">
          <reference field="1" count="0" selected="0"/>
          <reference field="3" count="1" selected="0">
            <x v="111"/>
          </reference>
          <reference field="4" count="1" selected="0">
            <x v="8"/>
          </reference>
          <reference field="6" count="1">
            <x v="6"/>
          </reference>
        </references>
      </pivotArea>
    </format>
    <format dxfId="2562">
      <pivotArea dataOnly="0" labelOnly="1" outline="0" fieldPosition="0">
        <references count="4">
          <reference field="1" count="0" selected="0"/>
          <reference field="3" count="1" selected="0">
            <x v="190"/>
          </reference>
          <reference field="4" count="1" selected="0">
            <x v="8"/>
          </reference>
          <reference field="6" count="1">
            <x v="7"/>
          </reference>
        </references>
      </pivotArea>
    </format>
    <format dxfId="2561">
      <pivotArea dataOnly="0" labelOnly="1" outline="0" fieldPosition="0">
        <references count="4">
          <reference field="1" count="0" selected="0"/>
          <reference field="3" count="1" selected="0">
            <x v="109"/>
          </reference>
          <reference field="4" count="1" selected="0">
            <x v="10"/>
          </reference>
          <reference field="6" count="1">
            <x v="7"/>
          </reference>
        </references>
      </pivotArea>
    </format>
    <format dxfId="2560">
      <pivotArea dataOnly="0" labelOnly="1" outline="0" fieldPosition="0">
        <references count="4">
          <reference field="1" count="0" selected="0"/>
          <reference field="3" count="1" selected="0">
            <x v="180"/>
          </reference>
          <reference field="4" count="1" selected="0">
            <x v="11"/>
          </reference>
          <reference field="6" count="1">
            <x v="6"/>
          </reference>
        </references>
      </pivotArea>
    </format>
    <format dxfId="2559">
      <pivotArea dataOnly="0" labelOnly="1" outline="0" fieldPosition="0">
        <references count="4">
          <reference field="1" count="0" selected="0"/>
          <reference field="3" count="1" selected="0">
            <x v="164"/>
          </reference>
          <reference field="4" count="1" selected="0">
            <x v="0"/>
          </reference>
          <reference field="6" count="1">
            <x v="8"/>
          </reference>
        </references>
      </pivotArea>
    </format>
    <format dxfId="2558">
      <pivotArea dataOnly="0" labelOnly="1" outline="0" fieldPosition="0">
        <references count="4">
          <reference field="1" count="0" selected="0"/>
          <reference field="3" count="1" selected="0">
            <x v="347"/>
          </reference>
          <reference field="4" count="1" selected="0">
            <x v="0"/>
          </reference>
          <reference field="6" count="1">
            <x v="8"/>
          </reference>
        </references>
      </pivotArea>
    </format>
    <format dxfId="2557">
      <pivotArea dataOnly="0" labelOnly="1" outline="0" fieldPosition="0">
        <references count="4">
          <reference field="1" count="0" selected="0"/>
          <reference field="3" count="1" selected="0">
            <x v="348"/>
          </reference>
          <reference field="4" count="1" selected="0">
            <x v="0"/>
          </reference>
          <reference field="6" count="1">
            <x v="8"/>
          </reference>
        </references>
      </pivotArea>
    </format>
    <format dxfId="2556">
      <pivotArea dataOnly="0" labelOnly="1" outline="0" fieldPosition="0">
        <references count="4">
          <reference field="1" count="0" selected="0"/>
          <reference field="3" count="1" selected="0">
            <x v="347"/>
          </reference>
          <reference field="4" count="1" selected="0">
            <x v="5"/>
          </reference>
          <reference field="6" count="1">
            <x v="3"/>
          </reference>
        </references>
      </pivotArea>
    </format>
    <format dxfId="2555">
      <pivotArea dataOnly="0" labelOnly="1" outline="0" fieldPosition="0">
        <references count="4">
          <reference field="1" count="0" selected="0"/>
          <reference field="3" count="1" selected="0">
            <x v="350"/>
          </reference>
          <reference field="4" count="1" selected="0">
            <x v="6"/>
          </reference>
          <reference field="6" count="1">
            <x v="4"/>
          </reference>
        </references>
      </pivotArea>
    </format>
    <format dxfId="2554">
      <pivotArea dataOnly="0" labelOnly="1" outline="0" fieldPosition="0">
        <references count="4">
          <reference field="1" count="0" selected="0"/>
          <reference field="3" count="1" selected="0">
            <x v="352"/>
          </reference>
          <reference field="4" count="1" selected="0">
            <x v="6"/>
          </reference>
          <reference field="6" count="1">
            <x v="4"/>
          </reference>
        </references>
      </pivotArea>
    </format>
    <format dxfId="2553">
      <pivotArea dataOnly="0" labelOnly="1" outline="0" fieldPosition="0">
        <references count="4">
          <reference field="1" count="0" selected="0"/>
          <reference field="3" count="1" selected="0">
            <x v="351"/>
          </reference>
          <reference field="4" count="1" selected="0">
            <x v="6"/>
          </reference>
          <reference field="6" count="1">
            <x v="4"/>
          </reference>
        </references>
      </pivotArea>
    </format>
    <format dxfId="2552">
      <pivotArea dataOnly="0" labelOnly="1" outline="0" fieldPosition="0">
        <references count="4">
          <reference field="1" count="0" selected="0"/>
          <reference field="3" count="1" selected="0">
            <x v="340"/>
          </reference>
          <reference field="4" count="1" selected="0">
            <x v="3"/>
          </reference>
          <reference field="6" count="1">
            <x v="2"/>
          </reference>
        </references>
      </pivotArea>
    </format>
    <format dxfId="2551">
      <pivotArea dataOnly="0" labelOnly="1" outline="0" fieldPosition="0">
        <references count="4">
          <reference field="1" count="0" selected="0"/>
          <reference field="3" count="1" selected="0">
            <x v="347"/>
          </reference>
          <reference field="4" count="1" selected="0">
            <x v="3"/>
          </reference>
          <reference field="6" count="1">
            <x v="2"/>
          </reference>
        </references>
      </pivotArea>
    </format>
    <format dxfId="2550">
      <pivotArea dataOnly="0" labelOnly="1" outline="0" fieldPosition="0">
        <references count="4">
          <reference field="1" count="0" selected="0"/>
          <reference field="3" count="1" selected="0">
            <x v="349"/>
          </reference>
          <reference field="4" count="1" selected="0">
            <x v="5"/>
          </reference>
          <reference field="6" count="1">
            <x v="3"/>
          </reference>
        </references>
      </pivotArea>
    </format>
    <format dxfId="2549">
      <pivotArea dataOnly="0" labelOnly="1" outline="0" fieldPosition="0">
        <references count="4">
          <reference field="1" count="0" selected="0"/>
          <reference field="3" count="1" selected="0">
            <x v="308"/>
          </reference>
          <reference field="4" count="1" selected="0">
            <x v="7"/>
          </reference>
          <reference field="6" count="1">
            <x v="4"/>
          </reference>
        </references>
      </pivotArea>
    </format>
    <format dxfId="2548">
      <pivotArea dataOnly="0" labelOnly="1" outline="0" fieldPosition="0">
        <references count="4">
          <reference field="1" count="0" selected="0"/>
          <reference field="3" count="1" selected="0">
            <x v="309"/>
          </reference>
          <reference field="4" count="1" selected="0">
            <x v="7"/>
          </reference>
          <reference field="6" count="1">
            <x v="4"/>
          </reference>
        </references>
      </pivotArea>
    </format>
    <format dxfId="2547">
      <pivotArea dataOnly="0" labelOnly="1" outline="0" fieldPosition="0">
        <references count="4">
          <reference field="1" count="0" selected="0"/>
          <reference field="3" count="1" selected="0">
            <x v="341"/>
          </reference>
          <reference field="4" count="1" selected="0">
            <x v="3"/>
          </reference>
          <reference field="6" count="1">
            <x v="2"/>
          </reference>
        </references>
      </pivotArea>
    </format>
    <format dxfId="2546">
      <pivotArea dataOnly="0" labelOnly="1" outline="0" fieldPosition="0">
        <references count="4">
          <reference field="1" count="0" selected="0"/>
          <reference field="3" count="1" selected="0">
            <x v="342"/>
          </reference>
          <reference field="4" count="1" selected="0">
            <x v="5"/>
          </reference>
          <reference field="6" count="1">
            <x v="3"/>
          </reference>
        </references>
      </pivotArea>
    </format>
    <format dxfId="2545">
      <pivotArea dataOnly="0" labelOnly="1" outline="0" fieldPosition="0">
        <references count="4">
          <reference field="1" count="0" selected="0"/>
          <reference field="3" count="1" selected="0">
            <x v="350"/>
          </reference>
          <reference field="4" count="1" selected="0">
            <x v="5"/>
          </reference>
          <reference field="6" count="1">
            <x v="3"/>
          </reference>
        </references>
      </pivotArea>
    </format>
    <format dxfId="2544">
      <pivotArea dataOnly="0" labelOnly="1" outline="0" fieldPosition="0">
        <references count="4">
          <reference field="1" count="0" selected="0"/>
          <reference field="3" count="1" selected="0">
            <x v="182"/>
          </reference>
          <reference field="4" count="1" selected="0">
            <x v="6"/>
          </reference>
          <reference field="6" count="1">
            <x v="4"/>
          </reference>
        </references>
      </pivotArea>
    </format>
    <format dxfId="2543">
      <pivotArea dataOnly="0" labelOnly="1" outline="0" fieldPosition="0">
        <references count="4">
          <reference field="1" count="0" selected="0"/>
          <reference field="3" count="1" selected="0">
            <x v="185"/>
          </reference>
          <reference field="4" count="1" selected="0">
            <x v="6"/>
          </reference>
          <reference field="6" count="1">
            <x v="4"/>
          </reference>
        </references>
      </pivotArea>
    </format>
    <format dxfId="2542">
      <pivotArea dataOnly="0" labelOnly="1" outline="0" fieldPosition="0">
        <references count="4">
          <reference field="1" count="0" selected="0"/>
          <reference field="3" count="1" selected="0">
            <x v="232"/>
          </reference>
          <reference field="4" count="1" selected="0">
            <x v="7"/>
          </reference>
          <reference field="6" count="1">
            <x v="4"/>
          </reference>
        </references>
      </pivotArea>
    </format>
    <format dxfId="2541">
      <pivotArea dataOnly="0" labelOnly="1" outline="0" fieldPosition="0">
        <references count="4">
          <reference field="1" count="0" selected="0"/>
          <reference field="3" count="1" selected="0">
            <x v="311"/>
          </reference>
          <reference field="4" count="1" selected="0">
            <x v="7"/>
          </reference>
          <reference field="6" count="1">
            <x v="4"/>
          </reference>
        </references>
      </pivotArea>
    </format>
    <format dxfId="2540">
      <pivotArea dataOnly="0" labelOnly="1" outline="0" fieldPosition="0">
        <references count="4">
          <reference field="1" count="0" selected="0"/>
          <reference field="3" count="1" selected="0">
            <x v="352"/>
          </reference>
          <reference field="4" count="1" selected="0">
            <x v="5"/>
          </reference>
          <reference field="6" count="1">
            <x v="3"/>
          </reference>
        </references>
      </pivotArea>
    </format>
    <format dxfId="2539">
      <pivotArea dataOnly="0" labelOnly="1" outline="0" fieldPosition="0">
        <references count="4">
          <reference field="1" count="0" selected="0"/>
          <reference field="3" count="1" selected="0">
            <x v="351"/>
          </reference>
          <reference field="4" count="1" selected="0">
            <x v="5"/>
          </reference>
          <reference field="6" count="1">
            <x v="3"/>
          </reference>
        </references>
      </pivotArea>
    </format>
    <format dxfId="2538">
      <pivotArea dataOnly="0" labelOnly="1" outline="0" fieldPosition="0">
        <references count="4">
          <reference field="1" count="0" selected="0"/>
          <reference field="3" count="1" selected="0">
            <x v="160"/>
          </reference>
          <reference field="4" count="1" selected="0">
            <x v="6"/>
          </reference>
          <reference field="6" count="1">
            <x v="4"/>
          </reference>
        </references>
      </pivotArea>
    </format>
    <format dxfId="2537">
      <pivotArea dataOnly="0" labelOnly="1" outline="0" fieldPosition="0">
        <references count="4">
          <reference field="1" count="0" selected="0"/>
          <reference field="3" count="1" selected="0">
            <x v="161"/>
          </reference>
          <reference field="4" count="1" selected="0">
            <x v="6"/>
          </reference>
          <reference field="6" count="1">
            <x v="4"/>
          </reference>
        </references>
      </pivotArea>
    </format>
    <format dxfId="2536">
      <pivotArea dataOnly="0" labelOnly="1" outline="0" fieldPosition="0">
        <references count="4">
          <reference field="1" count="0" selected="0"/>
          <reference field="3" count="1" selected="0">
            <x v="189"/>
          </reference>
          <reference field="4" count="1" selected="0">
            <x v="6"/>
          </reference>
          <reference field="6" count="1">
            <x v="4"/>
          </reference>
        </references>
      </pivotArea>
    </format>
    <format dxfId="2535">
      <pivotArea dataOnly="0" labelOnly="1" outline="0" fieldPosition="0">
        <references count="4">
          <reference field="1" count="0" selected="0"/>
          <reference field="3" count="1" selected="0">
            <x v="192"/>
          </reference>
          <reference field="4" count="1" selected="0">
            <x v="7"/>
          </reference>
          <reference field="6" count="1">
            <x v="6"/>
          </reference>
        </references>
      </pivotArea>
    </format>
    <format dxfId="2534">
      <pivotArea dataOnly="0" labelOnly="1" outline="0" fieldPosition="0">
        <references count="4">
          <reference field="1" count="0" selected="0"/>
          <reference field="3" count="1" selected="0">
            <x v="196"/>
          </reference>
          <reference field="4" count="1" selected="0">
            <x v="7"/>
          </reference>
          <reference field="6" count="1">
            <x v="6"/>
          </reference>
        </references>
      </pivotArea>
    </format>
    <format dxfId="2533">
      <pivotArea dataOnly="0" labelOnly="1" outline="0" fieldPosition="0">
        <references count="4">
          <reference field="1" count="0" selected="0"/>
          <reference field="3" count="1" selected="0">
            <x v="230"/>
          </reference>
          <reference field="4" count="1" selected="0">
            <x v="7"/>
          </reference>
          <reference field="6" count="1">
            <x v="4"/>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7FB323-F2D7-43B0-9E49-06EA17FCC2C4}" name="Operation Split" cacheId="1"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Operators Split">
  <location ref="C12:L13" firstHeaderRow="1" firstDataRow="2" firstDataCol="0"/>
  <pivotFields count="17">
    <pivotField showAll="0"/>
    <pivotField axis="axisCol" showAll="0">
      <items count="42">
        <item m="1" x="12"/>
        <item m="1" x="17"/>
        <item m="1" x="18"/>
        <item m="1" x="19"/>
        <item m="1" x="13"/>
        <item m="1" x="14"/>
        <item m="1" x="15"/>
        <item m="1" x="16"/>
        <item m="1" x="11"/>
        <item m="1" x="10"/>
        <item x="3"/>
        <item x="4"/>
        <item x="5"/>
        <item x="6"/>
        <item x="7"/>
        <item x="8"/>
        <item m="1" x="20"/>
        <item m="1" x="21"/>
        <item m="1" x="22"/>
        <item m="1" x="23"/>
        <item m="1" x="24"/>
        <item m="1" x="25"/>
        <item m="1" x="26"/>
        <item m="1" x="27"/>
        <item m="1" x="28"/>
        <item m="1" x="29"/>
        <item m="1" x="30"/>
        <item m="1" x="31"/>
        <item m="1" x="32"/>
        <item m="1" x="33"/>
        <item m="1" x="34"/>
        <item m="1" x="35"/>
        <item m="1" x="36"/>
        <item m="1" x="37"/>
        <item m="1" x="38"/>
        <item m="1" x="39"/>
        <item m="1" x="40"/>
        <item x="0"/>
        <item x="1"/>
        <item x="2"/>
        <item x="9"/>
        <item t="default"/>
      </items>
    </pivotField>
    <pivotField showAll="0">
      <items count="43">
        <item h="1" x="0"/>
        <item h="1" x="1"/>
        <item h="1" x="2"/>
        <item h="1" x="3"/>
        <item h="1" x="4"/>
        <item h="1" x="5"/>
        <item h="1" x="6"/>
        <item h="1" x="7"/>
        <item h="1" x="8"/>
        <item h="1" m="1" x="16"/>
        <item h="1" m="1" x="15"/>
        <item h="1" m="1" x="10"/>
        <item h="1" m="1" x="14"/>
        <item h="1" m="1" x="17"/>
        <item h="1" m="1" x="13"/>
        <item h="1" m="1" x="11"/>
        <item h="1" m="1" x="12"/>
        <item m="1" x="18"/>
        <item h="1" m="1" x="25"/>
        <item h="1" m="1" x="19"/>
        <item h="1" m="1" x="24"/>
        <item h="1" m="1" x="20"/>
        <item h="1" m="1" x="26"/>
        <item h="1" m="1" x="21"/>
        <item h="1" m="1" x="27"/>
        <item h="1" m="1" x="22"/>
        <item h="1" m="1" x="28"/>
        <item h="1" m="1" x="23"/>
        <item h="1" m="1" x="29"/>
        <item h="1" m="1" x="30"/>
        <item h="1" m="1" x="31"/>
        <item h="1" m="1" x="41"/>
        <item h="1" m="1" x="32"/>
        <item h="1" m="1" x="35"/>
        <item h="1" m="1" x="36"/>
        <item h="1" m="1" x="34"/>
        <item h="1" m="1" x="33"/>
        <item h="1" m="1" x="37"/>
        <item h="1" m="1" x="38"/>
        <item h="1" m="1" x="39"/>
        <item h="1" m="1" x="40"/>
        <item h="1" x="9"/>
        <item t="default"/>
      </items>
    </pivotField>
    <pivotField showAll="0">
      <items count="456">
        <item m="1" x="376"/>
        <item m="1" x="269"/>
        <item m="1" x="432"/>
        <item m="1" x="304"/>
        <item m="1" x="351"/>
        <item m="1" x="449"/>
        <item m="1" x="298"/>
        <item m="1" x="435"/>
        <item m="1" x="254"/>
        <item m="1" x="258"/>
        <item m="1" x="299"/>
        <item m="1" x="433"/>
        <item m="1" x="331"/>
        <item m="1" x="237"/>
        <item m="1" x="287"/>
        <item m="1" x="344"/>
        <item m="1" x="345"/>
        <item m="1" x="238"/>
        <item m="1" x="255"/>
        <item m="1" x="239"/>
        <item m="1" x="280"/>
        <item m="1" x="281"/>
        <item m="1" x="257"/>
        <item m="1" x="442"/>
        <item m="1" x="379"/>
        <item m="1" x="240"/>
        <item m="1" x="241"/>
        <item m="1" x="293"/>
        <item m="1" x="294"/>
        <item m="1" x="265"/>
        <item m="1" x="242"/>
        <item m="1" x="271"/>
        <item m="1" x="401"/>
        <item m="1" x="243"/>
        <item m="1" x="244"/>
        <item m="1" x="291"/>
        <item m="1" x="259"/>
        <item m="1" x="245"/>
        <item m="1" x="310"/>
        <item m="1" x="342"/>
        <item m="1" x="343"/>
        <item m="1" x="261"/>
        <item m="1" x="262"/>
        <item m="1" x="355"/>
        <item m="1" x="260"/>
        <item m="1" x="443"/>
        <item m="1" x="322"/>
        <item m="1" x="453"/>
        <item m="1" x="246"/>
        <item m="1" x="251"/>
        <item m="1" x="247"/>
        <item m="1" x="282"/>
        <item m="1" x="249"/>
        <item m="1" x="253"/>
        <item m="1" x="295"/>
        <item m="1" x="286"/>
        <item m="1" x="292"/>
        <item m="1" x="300"/>
        <item m="1" x="252"/>
        <item m="1" x="272"/>
        <item m="1" x="323"/>
        <item m="1" x="373"/>
        <item m="1" x="408"/>
        <item m="1" x="250"/>
        <item m="1" x="296"/>
        <item m="1" x="363"/>
        <item m="1" x="278"/>
        <item m="1" x="439"/>
        <item m="1" x="324"/>
        <item m="1" x="312"/>
        <item m="1" x="326"/>
        <item m="1" x="313"/>
        <item m="1" x="314"/>
        <item m="1" x="315"/>
        <item m="1" x="274"/>
        <item m="1" x="372"/>
        <item m="1" x="276"/>
        <item m="1" x="263"/>
        <item m="1" x="347"/>
        <item m="1" x="267"/>
        <item m="1" x="430"/>
        <item m="1" x="425"/>
        <item m="1" x="325"/>
        <item m="1" x="284"/>
        <item m="1" x="288"/>
        <item m="1" x="318"/>
        <item m="1" x="317"/>
        <item m="1" x="289"/>
        <item m="1" x="328"/>
        <item m="1" x="327"/>
        <item m="1" x="361"/>
        <item m="1" x="452"/>
        <item m="1" x="434"/>
        <item m="1" x="385"/>
        <item m="1" x="319"/>
        <item m="1" x="378"/>
        <item m="1" x="369"/>
        <item m="1" x="383"/>
        <item m="1" x="320"/>
        <item m="1" x="112"/>
        <item m="1" x="113"/>
        <item m="1" x="114"/>
        <item m="1" x="115"/>
        <item m="1" x="235"/>
        <item m="1" x="116"/>
        <item m="1" x="117"/>
        <item m="1" x="118"/>
        <item m="1" x="119"/>
        <item m="1" x="120"/>
        <item m="1" x="121"/>
        <item m="1" x="436"/>
        <item m="1" x="377"/>
        <item m="1" x="335"/>
        <item m="1" x="336"/>
        <item m="1" x="333"/>
        <item m="1" x="334"/>
        <item m="1" x="126"/>
        <item m="1" x="127"/>
        <item m="1" x="128"/>
        <item m="1" x="230"/>
        <item m="1" x="427"/>
        <item m="1" x="234"/>
        <item m="1" x="132"/>
        <item m="1" x="133"/>
        <item m="1" x="134"/>
        <item m="1" x="135"/>
        <item m="1" x="136"/>
        <item m="1" x="137"/>
        <item m="1" x="138"/>
        <item m="1" x="139"/>
        <item m="1" x="140"/>
        <item m="1" x="141"/>
        <item m="1" x="142"/>
        <item m="1" x="143"/>
        <item m="1" x="231"/>
        <item m="1" x="232"/>
        <item m="1" x="146"/>
        <item m="1" x="147"/>
        <item m="1" x="148"/>
        <item m="1" x="149"/>
        <item m="1" x="150"/>
        <item m="1" x="151"/>
        <item x="31"/>
        <item m="1" x="152"/>
        <item m="1" x="153"/>
        <item m="1" x="154"/>
        <item m="1" x="155"/>
        <item m="1" x="156"/>
        <item x="33"/>
        <item m="1" x="157"/>
        <item m="1" x="409"/>
        <item m="1" x="158"/>
        <item m="1" x="159"/>
        <item m="1" x="387"/>
        <item m="1" x="356"/>
        <item m="1" x="450"/>
        <item m="1" x="440"/>
        <item m="1" x="354"/>
        <item m="1" x="388"/>
        <item m="1" x="167"/>
        <item m="1" x="168"/>
        <item m="1" x="386"/>
        <item m="1" x="169"/>
        <item m="1" x="451"/>
        <item m="1" x="444"/>
        <item m="1" x="426"/>
        <item m="1" x="173"/>
        <item m="1" x="174"/>
        <item m="1" x="175"/>
        <item m="1" x="233"/>
        <item m="1" x="413"/>
        <item m="1" x="352"/>
        <item m="1" x="179"/>
        <item m="1" x="418"/>
        <item m="1" x="181"/>
        <item m="1" x="399"/>
        <item m="1" x="183"/>
        <item m="1" x="389"/>
        <item m="1" x="185"/>
        <item m="1" x="382"/>
        <item m="1" x="447"/>
        <item m="1" x="420"/>
        <item m="1" x="188"/>
        <item m="1" x="190"/>
        <item m="1" x="194"/>
        <item m="1" x="196"/>
        <item m="1" x="197"/>
        <item m="1" x="198"/>
        <item m="1" x="199"/>
        <item m="1" x="406"/>
        <item m="1" x="402"/>
        <item m="1" x="403"/>
        <item m="1" x="203"/>
        <item m="1" x="204"/>
        <item m="1" x="375"/>
        <item m="1" x="205"/>
        <item m="1" x="206"/>
        <item x="50"/>
        <item m="1" x="207"/>
        <item m="1" x="208"/>
        <item m="1" x="209"/>
        <item m="1" x="210"/>
        <item m="1" x="212"/>
        <item x="52"/>
        <item x="53"/>
        <item m="1" x="213"/>
        <item m="1" x="214"/>
        <item m="1" x="229"/>
        <item m="1" x="353"/>
        <item x="55"/>
        <item m="1" x="215"/>
        <item m="1" x="346"/>
        <item m="1" x="218"/>
        <item m="1" x="219"/>
        <item m="1" x="370"/>
        <item m="1" x="220"/>
        <item m="1" x="411"/>
        <item m="1" x="390"/>
        <item m="1" x="222"/>
        <item m="1" x="341"/>
        <item m="1" x="350"/>
        <item m="1" x="224"/>
        <item m="1" x="338"/>
        <item m="1" x="339"/>
        <item m="1" x="337"/>
        <item m="1" x="226"/>
        <item m="1" x="417"/>
        <item m="1" x="332"/>
        <item m="1" x="381"/>
        <item m="1" x="359"/>
        <item m="1" x="400"/>
        <item m="1" x="308"/>
        <item m="1" x="172"/>
        <item m="1" x="405"/>
        <item m="1" x="309"/>
        <item m="1" x="200"/>
        <item m="1" x="368"/>
        <item m="1" x="365"/>
        <item m="1" x="187"/>
        <item m="1" x="393"/>
        <item m="1" x="184"/>
        <item m="1" x="195"/>
        <item m="1" x="422"/>
        <item m="1" x="189"/>
        <item m="1" x="270"/>
        <item m="1" x="186"/>
        <item x="49"/>
        <item m="1" x="191"/>
        <item m="1" x="264"/>
        <item m="1" x="421"/>
        <item x="60"/>
        <item m="1" x="415"/>
        <item m="1" x="202"/>
        <item m="1" x="123"/>
        <item m="1" x="396"/>
        <item m="1" x="371"/>
        <item m="1" x="397"/>
        <item m="1" x="428"/>
        <item m="1" x="384"/>
        <item x="51"/>
        <item m="1" x="423"/>
        <item m="1" x="349"/>
        <item m="1" x="398"/>
        <item m="1" x="360"/>
        <item m="1" x="437"/>
        <item m="1" x="348"/>
        <item m="1" x="340"/>
        <item m="1" x="438"/>
        <item m="1" x="414"/>
        <item m="1" x="407"/>
        <item m="1" x="321"/>
        <item m="1" x="201"/>
        <item m="1" x="170"/>
        <item m="1" x="285"/>
        <item m="1" x="306"/>
        <item m="1" x="275"/>
        <item m="1" x="316"/>
        <item m="1" x="395"/>
        <item m="1" x="424"/>
        <item m="1" x="454"/>
        <item m="1" x="431"/>
        <item m="1" x="178"/>
        <item m="1" x="182"/>
        <item m="1" x="122"/>
        <item m="1" x="171"/>
        <item m="1" x="392"/>
        <item m="1" x="211"/>
        <item m="1" x="394"/>
        <item m="1" x="441"/>
        <item m="1" x="358"/>
        <item m="1" x="301"/>
        <item m="1" x="419"/>
        <item m="1" x="302"/>
        <item m="1" x="362"/>
        <item m="1" x="329"/>
        <item m="1" x="445"/>
        <item m="1" x="305"/>
        <item m="1" x="380"/>
        <item m="1" x="364"/>
        <item m="1" x="303"/>
        <item m="1" x="367"/>
        <item m="1" x="130"/>
        <item m="1" x="429"/>
        <item m="1" x="391"/>
        <item m="1" x="216"/>
        <item m="1" x="357"/>
        <item m="1" x="446"/>
        <item m="1" x="366"/>
        <item m="1" x="266"/>
        <item m="1" x="268"/>
        <item m="1" x="416"/>
        <item m="1" x="412"/>
        <item m="1" x="256"/>
        <item m="1" x="177"/>
        <item m="1" x="297"/>
        <item m="1" x="311"/>
        <item m="1" x="273"/>
        <item m="1" x="290"/>
        <item m="1" x="448"/>
        <item m="1" x="221"/>
        <item m="1" x="180"/>
        <item m="1" x="410"/>
        <item m="1" x="374"/>
        <item m="1" x="217"/>
        <item m="1" x="404"/>
        <item m="1" x="192"/>
        <item m="1" x="164"/>
        <item m="1" x="161"/>
        <item m="1" x="330"/>
        <item m="1" x="162"/>
        <item m="1" x="163"/>
        <item m="1" x="160"/>
        <item m="1" x="165"/>
        <item m="1" x="283"/>
        <item m="1" x="248"/>
        <item m="1" x="236"/>
        <item m="1" x="193"/>
        <item x="58"/>
        <item m="1" x="279"/>
        <item m="1" x="277"/>
        <item m="1" x="223"/>
        <item m="1" x="225"/>
        <item m="1" x="124"/>
        <item m="1" x="125"/>
        <item m="1" x="227"/>
        <item m="1" x="307"/>
        <item m="1" x="166"/>
        <item m="1" x="131"/>
        <item m="1" x="228"/>
        <item m="1" x="176"/>
        <item x="34"/>
        <item m="1" x="144"/>
        <item m="1" x="145"/>
        <item m="1" x="129"/>
        <item m="1" x="107"/>
        <item x="30"/>
        <item x="54"/>
        <item m="1" x="71"/>
        <item x="1"/>
        <item m="1" x="96"/>
        <item x="40"/>
        <item m="1" x="104"/>
        <item x="42"/>
        <item m="1" x="102"/>
        <item x="47"/>
        <item x="48"/>
        <item x="35"/>
        <item m="1" x="111"/>
        <item x="37"/>
        <item m="1" x="101"/>
        <item m="1" x="95"/>
        <item m="1" x="92"/>
        <item m="1" x="94"/>
        <item m="1" x="108"/>
        <item x="32"/>
        <item x="27"/>
        <item m="1" x="109"/>
        <item m="1" x="110"/>
        <item m="1" x="97"/>
        <item m="1" x="98"/>
        <item x="16"/>
        <item x="57"/>
        <item m="1" x="61"/>
        <item x="38"/>
        <item x="46"/>
        <item m="1" x="106"/>
        <item x="44"/>
        <item m="1" x="105"/>
        <item m="1" x="93"/>
        <item x="41"/>
        <item m="1" x="103"/>
        <item x="43"/>
        <item x="2"/>
        <item x="36"/>
        <item x="45"/>
        <item m="1" x="86"/>
        <item m="1" x="87"/>
        <item m="1" x="100"/>
        <item m="1" x="88"/>
        <item m="1" x="62"/>
        <item x="9"/>
        <item m="1" x="89"/>
        <item m="1" x="99"/>
        <item m="1" x="90"/>
        <item m="1" x="91"/>
        <item m="1" x="79"/>
        <item m="1" x="80"/>
        <item m="1" x="81"/>
        <item m="1" x="82"/>
        <item m="1" x="83"/>
        <item m="1" x="84"/>
        <item m="1" x="85"/>
        <item m="1" x="72"/>
        <item m="1" x="73"/>
        <item m="1" x="74"/>
        <item m="1" x="75"/>
        <item m="1" x="76"/>
        <item m="1" x="77"/>
        <item m="1" x="78"/>
        <item x="24"/>
        <item x="23"/>
        <item x="13"/>
        <item x="8"/>
        <item x="20"/>
        <item x="12"/>
        <item x="0"/>
        <item x="3"/>
        <item x="4"/>
        <item x="5"/>
        <item x="6"/>
        <item x="10"/>
        <item m="1" x="64"/>
        <item x="56"/>
        <item x="15"/>
        <item x="22"/>
        <item m="1" x="70"/>
        <item x="29"/>
        <item m="1" x="67"/>
        <item m="1" x="68"/>
        <item m="1" x="69"/>
        <item m="1" x="66"/>
        <item m="1" x="63"/>
        <item m="1" x="65"/>
        <item x="25"/>
        <item x="26"/>
        <item x="18"/>
        <item x="11"/>
        <item x="17"/>
        <item x="21"/>
        <item x="14"/>
        <item x="19"/>
        <item x="28"/>
        <item x="7"/>
        <item x="59"/>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1"/>
  </colFields>
  <colItems count="10">
    <i>
      <x v="10"/>
    </i>
    <i>
      <x v="11"/>
    </i>
    <i>
      <x v="12"/>
    </i>
    <i>
      <x v="13"/>
    </i>
    <i>
      <x v="14"/>
    </i>
    <i>
      <x v="15"/>
    </i>
    <i>
      <x v="37"/>
    </i>
    <i>
      <x v="38"/>
    </i>
    <i>
      <x v="39"/>
    </i>
    <i>
      <x v="40"/>
    </i>
  </colItems>
  <formats count="13">
    <format dxfId="1770">
      <pivotArea field="3" type="button" dataOnly="0" labelOnly="1" outline="0"/>
    </format>
    <format dxfId="1769">
      <pivotArea dataOnly="0" labelOnly="1" outline="0" axis="axisValues" fieldPosition="0"/>
    </format>
    <format dxfId="1768">
      <pivotArea outline="0" collapsedLevelsAreSubtotals="1" fieldPosition="0"/>
    </format>
    <format dxfId="1767">
      <pivotArea outline="0" collapsedLevelsAreSubtotals="1" fieldPosition="0"/>
    </format>
    <format dxfId="1766">
      <pivotArea field="2" type="button" dataOnly="0" labelOnly="1" outline="0"/>
    </format>
    <format dxfId="1765">
      <pivotArea field="1" type="button" dataOnly="0" labelOnly="1" outline="0" axis="axisCol" fieldPosition="0"/>
    </format>
    <format dxfId="1764">
      <pivotArea dataOnly="0" labelOnly="1" fieldPosition="0">
        <references count="1">
          <reference field="1" count="0"/>
        </references>
      </pivotArea>
    </format>
    <format dxfId="1763">
      <pivotArea dataOnly="0" outline="0" fieldPosition="0">
        <references count="1">
          <reference field="1" count="0"/>
        </references>
      </pivotArea>
    </format>
    <format dxfId="1762">
      <pivotArea dataOnly="0" outline="0" fieldPosition="0">
        <references count="1">
          <reference field="1" count="0"/>
        </references>
      </pivotArea>
    </format>
    <format dxfId="1761">
      <pivotArea dataOnly="0" labelOnly="1" fieldPosition="0">
        <references count="1">
          <reference field="1" count="0"/>
        </references>
      </pivotArea>
    </format>
    <format dxfId="1760">
      <pivotArea dataOnly="0" labelOnly="1" fieldPosition="0">
        <references count="1">
          <reference field="1" count="0"/>
        </references>
      </pivotArea>
    </format>
    <format dxfId="1759">
      <pivotArea dataOnly="0" labelOnly="1" fieldPosition="0">
        <references count="1">
          <reference field="1" count="0"/>
        </references>
      </pivotArea>
    </format>
    <format dxfId="1758">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5C02183-D962-46E7-9034-5A43F51C81A8}" name="Split Principal" cacheId="0"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A15:D25" firstHeaderRow="1" firstDataRow="1" firstDataCol="3"/>
  <pivotFields count="8">
    <pivotField axis="axisRow" compact="0" outline="0" showAll="0" defaultSubtotal="0">
      <items count="8">
        <item x="0"/>
        <item h="1" x="1"/>
        <item h="1" x="2"/>
        <item h="1" x="3"/>
        <item h="1" m="1" x="5"/>
        <item h="1" m="1" x="6"/>
        <item h="1" m="1" x="7"/>
        <item h="1" m="1" x="4"/>
      </items>
    </pivotField>
    <pivotField dataField="1" compact="0" outline="0" showAll="0" defaultSubtotal="0">
      <items count="7">
        <item x="0"/>
        <item h="1" x="2"/>
        <item h="1" x="3"/>
        <item h="1" x="1"/>
        <item h="1" m="1" x="4"/>
        <item h="1" m="1" x="5"/>
        <item h="1" m="1" x="6"/>
      </items>
    </pivotField>
    <pivotField axis="axisRow" compact="0" outline="0" showAll="0" defaultSubtotal="0">
      <items count="9">
        <item x="6"/>
        <item x="1"/>
        <item x="0"/>
        <item x="2"/>
        <item x="3"/>
        <item x="5"/>
        <item m="1" x="8"/>
        <item m="1" x="7"/>
        <item x="4"/>
      </items>
    </pivotField>
    <pivotField compact="0" outline="0" showAll="0" defaultSubtotal="0">
      <items count="5">
        <item x="1"/>
        <item x="0"/>
        <item x="2"/>
        <item x="3"/>
        <item m="1" x="4"/>
      </items>
    </pivotField>
    <pivotField name="Sites" axis="axisRow" compact="0" outline="0" showAll="0" nonAutoSortDefault="1" defaultSubtotal="0">
      <items count="191">
        <item m="1" x="51"/>
        <item m="1" x="41"/>
        <item m="1" x="43"/>
        <item m="1" x="163"/>
        <item m="1" x="49"/>
        <item m="1" x="55"/>
        <item x="2"/>
        <item m="1" x="85"/>
        <item m="1" x="180"/>
        <item x="25"/>
        <item x="7"/>
        <item x="31"/>
        <item x="32"/>
        <item x="12"/>
        <item x="15"/>
        <item x="9"/>
        <item m="1" x="119"/>
        <item m="1" x="149"/>
        <item m="1" x="177"/>
        <item x="0"/>
        <item m="1" x="122"/>
        <item m="1" x="171"/>
        <item m="1" x="187"/>
        <item m="1" x="50"/>
        <item m="1" x="52"/>
        <item x="13"/>
        <item x="14"/>
        <item m="1" x="178"/>
        <item m="1" x="59"/>
        <item m="1" x="70"/>
        <item x="35"/>
        <item m="1" x="127"/>
        <item x="27"/>
        <item m="1" x="107"/>
        <item x="10"/>
        <item x="20"/>
        <item m="1" x="168"/>
        <item m="1" x="46"/>
        <item m="1" x="47"/>
        <item m="1" x="69"/>
        <item m="1" x="166"/>
        <item m="1" x="61"/>
        <item x="33"/>
        <item m="1" x="100"/>
        <item m="1" x="88"/>
        <item m="1" x="188"/>
        <item m="1" x="189"/>
        <item m="1" x="181"/>
        <item m="1" x="183"/>
        <item m="1" x="153"/>
        <item m="1" x="132"/>
        <item m="1" x="160"/>
        <item x="18"/>
        <item m="1" x="150"/>
        <item m="1" x="109"/>
        <item m="1" x="154"/>
        <item m="1" x="123"/>
        <item m="1" x="182"/>
        <item m="1" x="176"/>
        <item m="1" x="126"/>
        <item m="1" x="139"/>
        <item m="1" x="159"/>
        <item m="1" x="147"/>
        <item x="26"/>
        <item m="1" x="95"/>
        <item m="1" x="111"/>
        <item m="1" x="98"/>
        <item m="1" x="134"/>
        <item m="1" x="99"/>
        <item m="1" x="136"/>
        <item x="1"/>
        <item m="1" x="130"/>
        <item m="1" x="124"/>
        <item x="6"/>
        <item m="1" x="58"/>
        <item m="1" x="128"/>
        <item m="1" x="170"/>
        <item m="1" x="93"/>
        <item m="1" x="156"/>
        <item m="1" x="144"/>
        <item m="1" x="158"/>
        <item m="1" x="186"/>
        <item m="1" x="45"/>
        <item m="1" x="137"/>
        <item m="1" x="173"/>
        <item m="1" x="129"/>
        <item m="1" x="179"/>
        <item m="1" x="140"/>
        <item m="1" x="152"/>
        <item m="1" x="172"/>
        <item m="1" x="155"/>
        <item m="1" x="138"/>
        <item m="1" x="167"/>
        <item m="1" x="143"/>
        <item m="1" x="80"/>
        <item m="1" x="64"/>
        <item m="1" x="174"/>
        <item m="1" x="65"/>
        <item m="1" x="54"/>
        <item m="1" x="117"/>
        <item m="1" x="86"/>
        <item x="8"/>
        <item m="1" x="157"/>
        <item m="1" x="164"/>
        <item m="1" x="148"/>
        <item m="1" x="169"/>
        <item m="1" x="175"/>
        <item m="1" x="131"/>
        <item m="1" x="190"/>
        <item m="1" x="165"/>
        <item m="1" x="184"/>
        <item m="1" x="185"/>
        <item m="1" x="102"/>
        <item m="1" x="89"/>
        <item m="1" x="145"/>
        <item m="1" x="162"/>
        <item x="23"/>
        <item m="1" x="92"/>
        <item m="1" x="161"/>
        <item m="1" x="40"/>
        <item m="1" x="121"/>
        <item m="1" x="44"/>
        <item m="1" x="112"/>
        <item x="29"/>
        <item m="1" x="87"/>
        <item m="1" x="57"/>
        <item m="1" x="125"/>
        <item m="1" x="113"/>
        <item m="1" x="97"/>
        <item m="1" x="62"/>
        <item m="1" x="105"/>
        <item m="1" x="146"/>
        <item m="1" x="103"/>
        <item m="1" x="133"/>
        <item m="1" x="151"/>
        <item m="1" x="90"/>
        <item m="1" x="141"/>
        <item m="1" x="135"/>
        <item m="1" x="142"/>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s>
    </pivotField>
    <pivotField compact="0" outline="0" showAll="0" defaultSubtotal="0">
      <items count="9">
        <item m="1" x="5"/>
        <item x="0"/>
        <item x="1"/>
        <item x="2"/>
        <item x="4"/>
        <item m="1" x="6"/>
        <item m="1" x="8"/>
        <item m="1" x="7"/>
        <item x="3"/>
      </items>
    </pivotField>
    <pivotField compact="0" outline="0" showAll="0" defaultSubtotal="0">
      <items count="10">
        <item x="1"/>
        <item m="1" x="6"/>
        <item x="0"/>
        <item x="2"/>
        <item m="1" x="4"/>
        <item m="1" x="8"/>
        <item m="1" x="7"/>
        <item m="1" x="9"/>
        <item m="1" x="5"/>
        <item x="3"/>
      </items>
    </pivotField>
    <pivotField compact="0" outline="0" showAll="0"/>
  </pivotFields>
  <rowFields count="3">
    <field x="0"/>
    <field x="2"/>
    <field x="4"/>
  </rowFields>
  <rowItems count="10">
    <i>
      <x/>
      <x/>
      <x v="30"/>
    </i>
    <i r="2">
      <x v="181"/>
    </i>
    <i r="2">
      <x v="182"/>
    </i>
    <i r="2">
      <x v="190"/>
    </i>
    <i r="1">
      <x v="2"/>
      <x v="19"/>
    </i>
    <i r="2">
      <x v="141"/>
    </i>
    <i r="1">
      <x v="3"/>
      <x v="9"/>
    </i>
    <i r="1">
      <x v="4"/>
      <x v="167"/>
    </i>
    <i r="2">
      <x v="189"/>
    </i>
    <i r="1">
      <x v="5"/>
      <x v="11"/>
    </i>
  </rowItems>
  <colItems count="1">
    <i/>
  </colItems>
  <dataFields count="1">
    <dataField name="Suma de Station" fld="1" baseField="0" baseItem="0"/>
  </dataFields>
  <formats count="142">
    <format dxfId="1912">
      <pivotArea field="4" type="button" dataOnly="0" labelOnly="1" outline="0" axis="axisRow" fieldPosition="2"/>
    </format>
    <format dxfId="1911">
      <pivotArea field="4" type="button" dataOnly="0" labelOnly="1" outline="0" axis="axisRow" fieldPosition="2"/>
    </format>
    <format dxfId="1910">
      <pivotArea field="3" type="button" dataOnly="0" labelOnly="1" outline="0"/>
    </format>
    <format dxfId="1909">
      <pivotArea field="2" type="button" dataOnly="0" labelOnly="1" outline="0" axis="axisRow" fieldPosition="1"/>
    </format>
    <format dxfId="1908">
      <pivotArea field="0" type="button" dataOnly="0" labelOnly="1" outline="0" axis="axisRow" fieldPosition="0"/>
    </format>
    <format dxfId="1907">
      <pivotArea field="5" type="button" dataOnly="0" labelOnly="1" outline="0"/>
    </format>
    <format dxfId="1906">
      <pivotArea field="6" type="button" dataOnly="0" labelOnly="1" outline="0"/>
    </format>
    <format dxfId="1905">
      <pivotArea dataOnly="0" labelOnly="1" outline="0" fieldPosition="0">
        <references count="2">
          <reference field="0" count="0" selected="0"/>
          <reference field="2" count="1">
            <x v="0"/>
          </reference>
        </references>
      </pivotArea>
    </format>
    <format dxfId="1904">
      <pivotArea dataOnly="0" labelOnly="1" outline="0" fieldPosition="0">
        <references count="2">
          <reference field="0" count="0" selected="0"/>
          <reference field="2" count="1">
            <x v="0"/>
          </reference>
        </references>
      </pivotArea>
    </format>
    <format dxfId="1903">
      <pivotArea dataOnly="0" labelOnly="1" outline="0" fieldPosition="0">
        <references count="1">
          <reference field="0" count="0"/>
        </references>
      </pivotArea>
    </format>
    <format dxfId="1902">
      <pivotArea dataOnly="0" labelOnly="1" outline="0" fieldPosition="0">
        <references count="2">
          <reference field="0" count="0" selected="0"/>
          <reference field="2" count="1">
            <x v="1"/>
          </reference>
        </references>
      </pivotArea>
    </format>
    <format dxfId="1901">
      <pivotArea dataOnly="0" labelOnly="1" outline="0" fieldPosition="0">
        <references count="2">
          <reference field="0" count="0" selected="0"/>
          <reference field="2" count="1">
            <x v="2"/>
          </reference>
        </references>
      </pivotArea>
    </format>
    <format dxfId="1900">
      <pivotArea dataOnly="0" labelOnly="1" outline="0" fieldPosition="0">
        <references count="2">
          <reference field="0" count="0" selected="0"/>
          <reference field="2" count="1">
            <x v="3"/>
          </reference>
        </references>
      </pivotArea>
    </format>
    <format dxfId="1899">
      <pivotArea dataOnly="0" labelOnly="1" outline="0" fieldPosition="0">
        <references count="2">
          <reference field="0" count="0" selected="0"/>
          <reference field="2" count="1">
            <x v="4"/>
          </reference>
        </references>
      </pivotArea>
    </format>
    <format dxfId="1898">
      <pivotArea dataOnly="0" labelOnly="1" outline="0" fieldPosition="0">
        <references count="2">
          <reference field="0" count="0" selected="0"/>
          <reference field="2" count="1">
            <x v="5"/>
          </reference>
        </references>
      </pivotArea>
    </format>
    <format dxfId="1897">
      <pivotArea dataOnly="0" labelOnly="1" outline="0" fieldPosition="0">
        <references count="2">
          <reference field="0" count="0" selected="0"/>
          <reference field="2" count="1">
            <x v="6"/>
          </reference>
        </references>
      </pivotArea>
    </format>
    <format dxfId="1896">
      <pivotArea dataOnly="0" labelOnly="1" outline="0" fieldPosition="0">
        <references count="2">
          <reference field="0" count="0" selected="0"/>
          <reference field="2" count="1">
            <x v="0"/>
          </reference>
        </references>
      </pivotArea>
    </format>
    <format dxfId="1895">
      <pivotArea dataOnly="0" labelOnly="1" outline="0" fieldPosition="0">
        <references count="2">
          <reference field="0" count="0" selected="0"/>
          <reference field="2" count="0"/>
        </references>
      </pivotArea>
    </format>
    <format dxfId="1894">
      <pivotArea dataOnly="0" labelOnly="1" outline="0" fieldPosition="0">
        <references count="2">
          <reference field="0" count="0" selected="0"/>
          <reference field="2" count="7">
            <x v="0"/>
            <x v="1"/>
            <x v="2"/>
            <x v="3"/>
            <x v="4"/>
            <x v="5"/>
            <x v="6"/>
          </reference>
        </references>
      </pivotArea>
    </format>
    <format dxfId="1893">
      <pivotArea field="5" type="button" dataOnly="0" labelOnly="1" outline="0"/>
    </format>
    <format dxfId="1892">
      <pivotArea field="3" type="button" dataOnly="0" labelOnly="1" outline="0"/>
    </format>
    <format dxfId="1891">
      <pivotArea dataOnly="0" labelOnly="1" outline="0" fieldPosition="0">
        <references count="2">
          <reference field="0" count="0" selected="0"/>
          <reference field="2" count="1">
            <x v="1"/>
          </reference>
        </references>
      </pivotArea>
    </format>
    <format dxfId="1890">
      <pivotArea dataOnly="0" labelOnly="1" outline="0" fieldPosition="0">
        <references count="2">
          <reference field="0" count="0" selected="0"/>
          <reference field="2" count="1">
            <x v="2"/>
          </reference>
        </references>
      </pivotArea>
    </format>
    <format dxfId="1889">
      <pivotArea dataOnly="0" labelOnly="1" outline="0" offset="IV2:IV256" fieldPosition="0">
        <references count="1">
          <reference field="0" count="0"/>
        </references>
      </pivotArea>
    </format>
    <format dxfId="1888">
      <pivotArea dataOnly="0" labelOnly="1" outline="0" fieldPosition="0">
        <references count="2">
          <reference field="0" count="0" selected="0"/>
          <reference field="2" count="1">
            <x v="3"/>
          </reference>
        </references>
      </pivotArea>
    </format>
    <format dxfId="1887">
      <pivotArea dataOnly="0" labelOnly="1" outline="0" fieldPosition="0">
        <references count="2">
          <reference field="0" count="0" selected="0"/>
          <reference field="2" count="1">
            <x v="4"/>
          </reference>
        </references>
      </pivotArea>
    </format>
    <format dxfId="1886">
      <pivotArea dataOnly="0" labelOnly="1" outline="0" fieldPosition="0">
        <references count="2">
          <reference field="0" count="0" selected="0"/>
          <reference field="2" count="1">
            <x v="5"/>
          </reference>
        </references>
      </pivotArea>
    </format>
    <format dxfId="1885">
      <pivotArea dataOnly="0" labelOnly="1" outline="0" fieldPosition="0">
        <references count="2">
          <reference field="0" count="0" selected="0"/>
          <reference field="2" count="1">
            <x v="6"/>
          </reference>
        </references>
      </pivotArea>
    </format>
    <format dxfId="1884">
      <pivotArea dataOnly="0" labelOnly="1" outline="0" offset="IV1" fieldPosition="0">
        <references count="1">
          <reference field="0" count="0"/>
        </references>
      </pivotArea>
    </format>
    <format dxfId="1883">
      <pivotArea dataOnly="0" labelOnly="1" outline="0" offset="IV1" fieldPosition="0">
        <references count="1">
          <reference field="0" count="0"/>
        </references>
      </pivotArea>
    </format>
    <format dxfId="1882">
      <pivotArea field="4" type="button" dataOnly="0" labelOnly="1" outline="0" axis="axisRow" fieldPosition="2"/>
    </format>
    <format dxfId="1881">
      <pivotArea field="0" type="button" dataOnly="0" labelOnly="1" outline="0" axis="axisRow" fieldPosition="0"/>
    </format>
    <format dxfId="1880">
      <pivotArea field="2" type="button" dataOnly="0" labelOnly="1" outline="0" axis="axisRow" fieldPosition="1"/>
    </format>
    <format dxfId="1879">
      <pivotArea field="4" type="button" dataOnly="0" labelOnly="1" outline="0" axis="axisRow" fieldPosition="2"/>
    </format>
    <format dxfId="1878">
      <pivotArea dataOnly="0" labelOnly="1" outline="0" axis="axisValues" fieldPosition="0"/>
    </format>
    <format dxfId="1877">
      <pivotArea dataOnly="0" labelOnly="1" outline="0" fieldPosition="0">
        <references count="3">
          <reference field="0" count="0" selected="0"/>
          <reference field="2" count="1" selected="0">
            <x v="3"/>
          </reference>
          <reference field="4" count="5">
            <x v="1"/>
            <x v="9"/>
            <x v="13"/>
            <x v="14"/>
            <x v="119"/>
          </reference>
        </references>
      </pivotArea>
    </format>
    <format dxfId="1876">
      <pivotArea dataOnly="0" labelOnly="1" outline="0" fieldPosition="0">
        <references count="3">
          <reference field="0" count="0" selected="0"/>
          <reference field="2" count="1" selected="0">
            <x v="4"/>
          </reference>
          <reference field="4" count="5">
            <x v="0"/>
            <x v="2"/>
            <x v="4"/>
            <x v="7"/>
            <x v="8"/>
          </reference>
        </references>
      </pivotArea>
    </format>
    <format dxfId="1875">
      <pivotArea dataOnly="0" labelOnly="1" outline="0" fieldPosition="0">
        <references count="3">
          <reference field="0" count="0" selected="0"/>
          <reference field="2" count="1" selected="0">
            <x v="5"/>
          </reference>
          <reference field="4" count="2">
            <x v="11"/>
            <x v="12"/>
          </reference>
        </references>
      </pivotArea>
    </format>
    <format dxfId="1874">
      <pivotArea dataOnly="0" labelOnly="1" outline="0" fieldPosition="0">
        <references count="3">
          <reference field="0" count="0" selected="0"/>
          <reference field="2" count="1" selected="0">
            <x v="0"/>
          </reference>
          <reference field="4" count="1">
            <x v="16"/>
          </reference>
        </references>
      </pivotArea>
    </format>
    <format dxfId="1873">
      <pivotArea dataOnly="0" labelOnly="1" outline="0" fieldPosition="0">
        <references count="3">
          <reference field="0" count="0" selected="0"/>
          <reference field="2" count="1" selected="0">
            <x v="2"/>
          </reference>
          <reference field="4" count="3">
            <x v="17"/>
            <x v="19"/>
            <x v="120"/>
          </reference>
        </references>
      </pivotArea>
    </format>
    <format dxfId="1872">
      <pivotArea dataOnly="0" labelOnly="1" outline="0" fieldPosition="0">
        <references count="3">
          <reference field="0" count="0" selected="0"/>
          <reference field="2" count="1" selected="0">
            <x v="3"/>
          </reference>
          <reference field="4" count="9">
            <x v="20"/>
            <x v="21"/>
            <x v="23"/>
            <x v="24"/>
            <x v="25"/>
            <x v="26"/>
            <x v="28"/>
            <x v="121"/>
            <x v="122"/>
          </reference>
        </references>
      </pivotArea>
    </format>
    <format dxfId="1871">
      <pivotArea dataOnly="0" labelOnly="1" outline="0" fieldPosition="0">
        <references count="3">
          <reference field="0" count="0" selected="0"/>
          <reference field="2" count="1" selected="0">
            <x v="3"/>
          </reference>
          <reference field="4" count="4">
            <x v="33"/>
            <x v="34"/>
            <x v="35"/>
            <x v="36"/>
          </reference>
        </references>
      </pivotArea>
    </format>
    <format dxfId="1870">
      <pivotArea dataOnly="0" labelOnly="1" outline="0" fieldPosition="0">
        <references count="3">
          <reference field="0" count="0" selected="0"/>
          <reference field="2" count="1" selected="0">
            <x v="4"/>
          </reference>
          <reference field="4" count="4">
            <x v="37"/>
            <x v="38"/>
            <x v="39"/>
            <x v="123"/>
          </reference>
        </references>
      </pivotArea>
    </format>
    <format dxfId="1869">
      <pivotArea dataOnly="0" labelOnly="1" outline="0" fieldPosition="0">
        <references count="3">
          <reference field="0" count="0" selected="0"/>
          <reference field="2" count="1" selected="0">
            <x v="5"/>
          </reference>
          <reference field="4" count="3">
            <x v="41"/>
            <x v="42"/>
            <x v="43"/>
          </reference>
        </references>
      </pivotArea>
    </format>
    <format dxfId="1868">
      <pivotArea dataOnly="0" labelOnly="1" outline="0" fieldPosition="0">
        <references count="3">
          <reference field="0" count="0" selected="0"/>
          <reference field="2" count="1" selected="0">
            <x v="6"/>
          </reference>
          <reference field="4" count="2">
            <x v="44"/>
            <x v="124"/>
          </reference>
        </references>
      </pivotArea>
    </format>
    <format dxfId="1867">
      <pivotArea dataOnly="0" labelOnly="1" outline="0" fieldPosition="0">
        <references count="3">
          <reference field="0" count="0" selected="0"/>
          <reference field="2" count="1" selected="0">
            <x v="6"/>
          </reference>
          <reference field="4" count="5">
            <x v="80"/>
            <x v="81"/>
            <x v="82"/>
            <x v="83"/>
            <x v="84"/>
          </reference>
        </references>
      </pivotArea>
    </format>
    <format dxfId="1866">
      <pivotArea dataOnly="0" labelOnly="1" outline="0" fieldPosition="0">
        <references count="3">
          <reference field="0" count="0" selected="0"/>
          <reference field="2" count="1" selected="0">
            <x v="2"/>
          </reference>
          <reference field="4" count="2">
            <x v="19"/>
            <x v="138"/>
          </reference>
        </references>
      </pivotArea>
    </format>
    <format dxfId="1865">
      <pivotArea dataOnly="0" labelOnly="1" outline="0" fieldPosition="0">
        <references count="3">
          <reference field="0" count="0" selected="0"/>
          <reference field="2" count="1" selected="0">
            <x v="3"/>
          </reference>
          <reference field="4" count="6">
            <x v="1"/>
            <x v="24"/>
            <x v="33"/>
            <x v="54"/>
            <x v="119"/>
            <x v="127"/>
          </reference>
        </references>
      </pivotArea>
    </format>
    <format dxfId="1864">
      <pivotArea dataOnly="0" labelOnly="1" outline="0" fieldPosition="0">
        <references count="3">
          <reference field="0" count="0" selected="0"/>
          <reference field="2" count="1" selected="0">
            <x v="4"/>
          </reference>
          <reference field="4" count="4">
            <x v="8"/>
            <x v="56"/>
            <x v="123"/>
            <x v="129"/>
          </reference>
        </references>
      </pivotArea>
    </format>
    <format dxfId="1863">
      <pivotArea dataOnly="0" labelOnly="1" outline="0" fieldPosition="0">
        <references count="3">
          <reference field="0" count="0" selected="0"/>
          <reference field="2" count="1" selected="0">
            <x v="5"/>
          </reference>
          <reference field="4" count="1">
            <x v="11"/>
          </reference>
        </references>
      </pivotArea>
    </format>
    <format dxfId="1862">
      <pivotArea dataOnly="0" labelOnly="1" outline="0" fieldPosition="0">
        <references count="3">
          <reference field="0" count="0" selected="0"/>
          <reference field="2" count="1" selected="0">
            <x v="2"/>
          </reference>
          <reference field="4" count="3">
            <x v="17"/>
            <x v="49"/>
            <x v="72"/>
          </reference>
        </references>
      </pivotArea>
    </format>
    <format dxfId="1861">
      <pivotArea dataOnly="0" labelOnly="1" outline="0" fieldPosition="0">
        <references count="3">
          <reference field="0" count="0" selected="0"/>
          <reference field="2" count="1" selected="0">
            <x v="3"/>
          </reference>
          <reference field="4" count="7">
            <x v="9"/>
            <x v="14"/>
            <x v="23"/>
            <x v="35"/>
            <x v="52"/>
            <x v="86"/>
            <x v="128"/>
          </reference>
        </references>
      </pivotArea>
    </format>
    <format dxfId="1860">
      <pivotArea dataOnly="0" labelOnly="1" outline="0" fieldPosition="0">
        <references count="3">
          <reference field="0" count="0" selected="0"/>
          <reference field="2" count="1" selected="0">
            <x v="4"/>
          </reference>
          <reference field="4" count="4">
            <x v="4"/>
            <x v="28"/>
            <x v="29"/>
            <x v="98"/>
          </reference>
        </references>
      </pivotArea>
    </format>
    <format dxfId="1859">
      <pivotArea dataOnly="0" labelOnly="1" outline="0" fieldPosition="0">
        <references count="3">
          <reference field="0" count="0" selected="0"/>
          <reference field="2" count="1" selected="0">
            <x v="1"/>
          </reference>
          <reference field="4" count="1">
            <x v="113"/>
          </reference>
        </references>
      </pivotArea>
    </format>
    <format dxfId="1858">
      <pivotArea dataOnly="0" labelOnly="1" outline="0" fieldPosition="0">
        <references count="3">
          <reference field="0" count="0" selected="0"/>
          <reference field="2" count="1" selected="0">
            <x v="2"/>
          </reference>
          <reference field="4" count="4">
            <x v="19"/>
            <x v="49"/>
            <x v="114"/>
            <x v="137"/>
          </reference>
        </references>
      </pivotArea>
    </format>
    <format dxfId="1857">
      <pivotArea dataOnly="0" labelOnly="1" outline="0" fieldPosition="0">
        <references count="3">
          <reference field="0" count="0" selected="0"/>
          <reference field="2" count="1" selected="0">
            <x v="3"/>
          </reference>
          <reference field="4" count="5">
            <x v="14"/>
            <x v="77"/>
            <x v="106"/>
            <x v="116"/>
            <x v="117"/>
          </reference>
        </references>
      </pivotArea>
    </format>
    <format dxfId="1856">
      <pivotArea dataOnly="0" labelOnly="1" outline="0" fieldPosition="0">
        <references count="3">
          <reference field="0" count="0" selected="0"/>
          <reference field="2" count="1" selected="0">
            <x v="4"/>
          </reference>
          <reference field="4" count="3">
            <x v="7"/>
            <x v="66"/>
            <x v="118"/>
          </reference>
        </references>
      </pivotArea>
    </format>
    <format dxfId="1855">
      <pivotArea dataOnly="0" labelOnly="1" outline="0" fieldPosition="0">
        <references count="3">
          <reference field="0" count="0" selected="0"/>
          <reference field="2" count="1" selected="0">
            <x v="6"/>
          </reference>
          <reference field="4" count="2">
            <x v="83"/>
            <x v="84"/>
          </reference>
        </references>
      </pivotArea>
    </format>
    <format dxfId="1854">
      <pivotArea dataOnly="0" labelOnly="1" outline="0" fieldPosition="0">
        <references count="3">
          <reference field="0" count="0" selected="0"/>
          <reference field="2" count="1" selected="0">
            <x v="3"/>
          </reference>
          <reference field="4" count="5">
            <x v="9"/>
            <x v="105"/>
            <x v="106"/>
            <x v="107"/>
            <x v="121"/>
          </reference>
        </references>
      </pivotArea>
    </format>
    <format dxfId="1853">
      <pivotArea dataOnly="0" labelOnly="1" outline="0" fieldPosition="0">
        <references count="3">
          <reference field="0" count="0" selected="0"/>
          <reference field="2" count="1" selected="0">
            <x v="3"/>
          </reference>
          <reference field="4" count="8">
            <x v="28"/>
            <x v="89"/>
            <x v="90"/>
            <x v="91"/>
            <x v="92"/>
            <x v="94"/>
            <x v="132"/>
            <x v="133"/>
          </reference>
        </references>
      </pivotArea>
    </format>
    <format dxfId="1852">
      <pivotArea dataOnly="0" labelOnly="1" outline="0" fieldPosition="0">
        <references count="3">
          <reference field="0" count="0" selected="0"/>
          <reference field="2" count="1" selected="0">
            <x v="4"/>
          </reference>
          <reference field="4" count="6">
            <x v="2"/>
            <x v="7"/>
            <x v="95"/>
            <x v="97"/>
            <x v="98"/>
            <x v="134"/>
          </reference>
        </references>
      </pivotArea>
    </format>
    <format dxfId="1851">
      <pivotArea dataOnly="0" labelOnly="1" outline="0" fieldPosition="0">
        <references count="3">
          <reference field="0" count="0" selected="0"/>
          <reference field="2" count="1" selected="0">
            <x v="6"/>
          </reference>
          <reference field="4" count="1">
            <x v="124"/>
          </reference>
        </references>
      </pivotArea>
    </format>
    <format dxfId="1850">
      <pivotArea dataOnly="0" labelOnly="1" outline="0" fieldPosition="0">
        <references count="2">
          <reference field="0" count="0" selected="0"/>
          <reference field="2" count="0"/>
        </references>
      </pivotArea>
    </format>
    <format dxfId="1849">
      <pivotArea dataOnly="0" labelOnly="1" outline="0" fieldPosition="0">
        <references count="3">
          <reference field="0" count="0" selected="0"/>
          <reference field="2" count="1" selected="0">
            <x v="0"/>
          </reference>
          <reference field="4" count="1">
            <x v="30"/>
          </reference>
        </references>
      </pivotArea>
    </format>
    <format dxfId="1848">
      <pivotArea dataOnly="0" labelOnly="1" outline="0" fieldPosition="0">
        <references count="3">
          <reference field="0" count="0" selected="0"/>
          <reference field="2" count="1" selected="0">
            <x v="1"/>
          </reference>
          <reference field="4" count="1">
            <x v="130"/>
          </reference>
        </references>
      </pivotArea>
    </format>
    <format dxfId="1847">
      <pivotArea dataOnly="0" labelOnly="1" outline="0" fieldPosition="0">
        <references count="3">
          <reference field="0" count="0" selected="0"/>
          <reference field="2" count="1" selected="0">
            <x v="2"/>
          </reference>
          <reference field="4" count="5">
            <x v="17"/>
            <x v="70"/>
            <x v="71"/>
            <x v="72"/>
            <x v="73"/>
          </reference>
        </references>
      </pivotArea>
    </format>
    <format dxfId="1846">
      <pivotArea dataOnly="0" labelOnly="1" outline="0" fieldPosition="0">
        <references count="3">
          <reference field="0" count="0" selected="0"/>
          <reference field="2" count="1" selected="0">
            <x v="3"/>
          </reference>
          <reference field="4" count="6">
            <x v="14"/>
            <x v="74"/>
            <x v="75"/>
            <x v="76"/>
            <x v="77"/>
            <x v="131"/>
          </reference>
        </references>
      </pivotArea>
    </format>
    <format dxfId="1845">
      <pivotArea dataOnly="0" labelOnly="1" outline="0" fieldPosition="0">
        <references count="3">
          <reference field="0" count="0" selected="0"/>
          <reference field="2" count="1" selected="0">
            <x v="4"/>
          </reference>
          <reference field="4" count="6">
            <x v="0"/>
            <x v="29"/>
            <x v="37"/>
            <x v="38"/>
            <x v="39"/>
            <x v="79"/>
          </reference>
        </references>
      </pivotArea>
    </format>
    <format dxfId="1844">
      <pivotArea dataOnly="0" labelOnly="1" outline="0" fieldPosition="0">
        <references count="3">
          <reference field="0" count="0" selected="0"/>
          <reference field="2" count="1" selected="0">
            <x v="6"/>
          </reference>
          <reference field="4" count="3">
            <x v="80"/>
            <x v="81"/>
            <x v="100"/>
          </reference>
        </references>
      </pivotArea>
    </format>
    <format dxfId="1843">
      <pivotArea dataOnly="0" labelOnly="1" outline="0" fieldPosition="0">
        <references count="2">
          <reference field="0" count="0" selected="0"/>
          <reference field="2" count="6">
            <x v="1"/>
            <x v="2"/>
            <x v="3"/>
            <x v="4"/>
            <x v="5"/>
            <x v="6"/>
          </reference>
        </references>
      </pivotArea>
    </format>
    <format dxfId="1842">
      <pivotArea dataOnly="0" labelOnly="1" outline="0" fieldPosition="0">
        <references count="3">
          <reference field="0" count="0" selected="0"/>
          <reference field="2" count="1" selected="0">
            <x v="1"/>
          </reference>
          <reference field="4" count="1">
            <x v="31"/>
          </reference>
        </references>
      </pivotArea>
    </format>
    <format dxfId="1841">
      <pivotArea dataOnly="0" labelOnly="1" outline="0" fieldPosition="0">
        <references count="3">
          <reference field="0" count="0" selected="0"/>
          <reference field="2" count="1" selected="0">
            <x v="2"/>
          </reference>
          <reference field="4" count="7">
            <x v="6"/>
            <x v="32"/>
            <x v="34"/>
            <x v="58"/>
            <x v="59"/>
            <x v="60"/>
            <x v="61"/>
          </reference>
        </references>
      </pivotArea>
    </format>
    <format dxfId="1840">
      <pivotArea dataOnly="0" labelOnly="1" outline="0" fieldPosition="0">
        <references count="3">
          <reference field="0" count="0" selected="0"/>
          <reference field="2" count="1" selected="0">
            <x v="3"/>
          </reference>
          <reference field="4" count="7">
            <x v="23"/>
            <x v="25"/>
            <x v="26"/>
            <x v="62"/>
            <x v="63"/>
            <x v="64"/>
            <x v="65"/>
          </reference>
        </references>
      </pivotArea>
    </format>
    <format dxfId="1839">
      <pivotArea dataOnly="0" labelOnly="1" outline="0" fieldPosition="0">
        <references count="3">
          <reference field="0" count="0" selected="0"/>
          <reference field="2" count="1" selected="0">
            <x v="4"/>
          </reference>
          <reference field="4" count="3">
            <x v="66"/>
            <x v="67"/>
            <x v="68"/>
          </reference>
        </references>
      </pivotArea>
    </format>
    <format dxfId="1838">
      <pivotArea dataOnly="0" labelOnly="1" outline="0" fieldPosition="0">
        <references count="3">
          <reference field="0" count="0" selected="0"/>
          <reference field="2" count="1" selected="0">
            <x v="5"/>
          </reference>
          <reference field="4" count="2">
            <x v="12"/>
            <x v="42"/>
          </reference>
        </references>
      </pivotArea>
    </format>
    <format dxfId="1837">
      <pivotArea dataOnly="0" labelOnly="1" outline="0" fieldPosition="0">
        <references count="3">
          <reference field="0" count="0" selected="0"/>
          <reference field="2" count="1" selected="0">
            <x v="6"/>
          </reference>
          <reference field="4" count="1">
            <x v="5"/>
          </reference>
        </references>
      </pivotArea>
    </format>
    <format dxfId="1836">
      <pivotArea dataOnly="0" labelOnly="1" outline="0" fieldPosition="0">
        <references count="3">
          <reference field="0" count="0" selected="0"/>
          <reference field="2" count="1" selected="0">
            <x v="1"/>
          </reference>
          <reference field="4" count="2">
            <x v="101"/>
            <x v="102"/>
          </reference>
        </references>
      </pivotArea>
    </format>
    <format dxfId="1835">
      <pivotArea dataOnly="0" labelOnly="1" outline="0" fieldPosition="0">
        <references count="3">
          <reference field="0" count="0" selected="0"/>
          <reference field="2" count="1" selected="0">
            <x v="2"/>
          </reference>
          <reference field="4" count="3">
            <x v="73"/>
            <x v="135"/>
            <x v="136"/>
          </reference>
        </references>
      </pivotArea>
    </format>
    <format dxfId="1834">
      <pivotArea dataOnly="0" labelOnly="1" outline="0" fieldPosition="0">
        <references count="3">
          <reference field="0" count="0" selected="0"/>
          <reference field="2" count="1" selected="0">
            <x v="3"/>
          </reference>
          <reference field="4" count="4">
            <x v="105"/>
            <x v="106"/>
            <x v="107"/>
            <x v="121"/>
          </reference>
        </references>
      </pivotArea>
    </format>
    <format dxfId="1833">
      <pivotArea dataOnly="0" labelOnly="1" outline="0" fieldPosition="0">
        <references count="3">
          <reference field="0" count="0" selected="0"/>
          <reference field="2" count="1" selected="0">
            <x v="4"/>
          </reference>
          <reference field="4" count="4">
            <x v="97"/>
            <x v="108"/>
            <x v="109"/>
            <x v="110"/>
          </reference>
        </references>
      </pivotArea>
    </format>
    <format dxfId="1832">
      <pivotArea dataOnly="0" labelOnly="1" outline="0" fieldPosition="0">
        <references count="3">
          <reference field="0" count="0" selected="0"/>
          <reference field="2" count="1" selected="0">
            <x v="6"/>
          </reference>
          <reference field="4" count="2">
            <x v="111"/>
            <x v="112"/>
          </reference>
        </references>
      </pivotArea>
    </format>
    <format dxfId="1831">
      <pivotArea dataOnly="0" labelOnly="1" outline="0" fieldPosition="0">
        <references count="2">
          <reference field="0" count="0" selected="0"/>
          <reference field="2" count="5">
            <x v="1"/>
            <x v="2"/>
            <x v="3"/>
            <x v="4"/>
            <x v="5"/>
          </reference>
        </references>
      </pivotArea>
    </format>
    <format dxfId="1830">
      <pivotArea dataOnly="0" labelOnly="1" outline="0" fieldPosition="0">
        <references count="3">
          <reference field="0" count="0" selected="0"/>
          <reference field="2" count="1" selected="0">
            <x v="1"/>
          </reference>
          <reference field="4" count="2">
            <x v="10"/>
            <x v="15"/>
          </reference>
        </references>
      </pivotArea>
    </format>
    <format dxfId="1829">
      <pivotArea dataOnly="0" labelOnly="1" outline="0" fieldPosition="0">
        <references count="3">
          <reference field="0" count="0" selected="0"/>
          <reference field="2" count="1" selected="0">
            <x v="2"/>
          </reference>
          <reference field="4" count="2">
            <x v="86"/>
            <x v="87"/>
          </reference>
        </references>
      </pivotArea>
    </format>
    <format dxfId="1828">
      <pivotArea dataOnly="0" labelOnly="1" outline="0" fieldPosition="0">
        <references count="3">
          <reference field="0" count="0" selected="0"/>
          <reference field="2" count="1" selected="0">
            <x v="3"/>
          </reference>
          <reference field="4" count="5">
            <x v="28"/>
            <x v="90"/>
            <x v="92"/>
            <x v="94"/>
            <x v="132"/>
          </reference>
        </references>
      </pivotArea>
    </format>
    <format dxfId="1827">
      <pivotArea dataOnly="0" labelOnly="1" outline="0" fieldPosition="0">
        <references count="3">
          <reference field="0" count="0" selected="0"/>
          <reference field="2" count="1" selected="0">
            <x v="4"/>
          </reference>
          <reference field="4" count="4">
            <x v="2"/>
            <x v="95"/>
            <x v="97"/>
            <x v="98"/>
          </reference>
        </references>
      </pivotArea>
    </format>
    <format dxfId="1826">
      <pivotArea outline="0" collapsedLevelsAreSubtotals="1" fieldPosition="0"/>
    </format>
    <format dxfId="1825">
      <pivotArea dataOnly="0" labelOnly="1" outline="0" fieldPosition="0">
        <references count="1">
          <reference field="0" count="0"/>
        </references>
      </pivotArea>
    </format>
    <format dxfId="1824">
      <pivotArea dataOnly="0" labelOnly="1" outline="0" fieldPosition="0">
        <references count="2">
          <reference field="0" count="0" selected="0"/>
          <reference field="2" count="6">
            <x v="0"/>
            <x v="1"/>
            <x v="2"/>
            <x v="3"/>
            <x v="4"/>
            <x v="6"/>
          </reference>
        </references>
      </pivotArea>
    </format>
    <format dxfId="1823">
      <pivotArea dataOnly="0" labelOnly="1" outline="0" fieldPosition="0">
        <references count="3">
          <reference field="0" count="0" selected="0"/>
          <reference field="2" count="1" selected="0">
            <x v="0"/>
          </reference>
          <reference field="4" count="1">
            <x v="125"/>
          </reference>
        </references>
      </pivotArea>
    </format>
    <format dxfId="1822">
      <pivotArea dataOnly="0" labelOnly="1" outline="0" fieldPosition="0">
        <references count="3">
          <reference field="0" count="0" selected="0"/>
          <reference field="2" count="1" selected="0">
            <x v="1"/>
          </reference>
          <reference field="4" count="1">
            <x v="47"/>
          </reference>
        </references>
      </pivotArea>
    </format>
    <format dxfId="1821">
      <pivotArea dataOnly="0" labelOnly="1" outline="0" fieldPosition="0">
        <references count="3">
          <reference field="0" count="0" selected="0"/>
          <reference field="2" count="1" selected="0">
            <x v="2"/>
          </reference>
          <reference field="4" count="1">
            <x v="19"/>
          </reference>
        </references>
      </pivotArea>
    </format>
    <format dxfId="1820">
      <pivotArea dataOnly="0" labelOnly="1" outline="0" fieldPosition="0">
        <references count="3">
          <reference field="0" count="0" selected="0"/>
          <reference field="2" count="1" selected="0">
            <x v="3"/>
          </reference>
          <reference field="4" count="7">
            <x v="24"/>
            <x v="33"/>
            <x v="35"/>
            <x v="54"/>
            <x v="119"/>
            <x v="127"/>
            <x v="128"/>
          </reference>
        </references>
      </pivotArea>
    </format>
    <format dxfId="1819">
      <pivotArea dataOnly="0" labelOnly="1" outline="0" fieldPosition="0">
        <references count="3">
          <reference field="0" count="0" selected="0"/>
          <reference field="2" count="1" selected="0">
            <x v="4"/>
          </reference>
          <reference field="4" count="4">
            <x v="4"/>
            <x v="8"/>
            <x v="56"/>
            <x v="123"/>
          </reference>
        </references>
      </pivotArea>
    </format>
    <format dxfId="1818">
      <pivotArea dataOnly="0" labelOnly="1" outline="0" fieldPosition="0">
        <references count="3">
          <reference field="0" count="0" selected="0"/>
          <reference field="2" count="1" selected="0">
            <x v="6"/>
          </reference>
          <reference field="4" count="2">
            <x v="44"/>
            <x v="57"/>
          </reference>
        </references>
      </pivotArea>
    </format>
    <format dxfId="1817">
      <pivotArea dataOnly="0" labelOnly="1" outline="0" fieldPosition="0">
        <references count="3">
          <reference field="0" count="0" selected="0"/>
          <reference field="2" count="1" selected="0">
            <x v="0"/>
          </reference>
          <reference field="4" count="1">
            <x v="139"/>
          </reference>
        </references>
      </pivotArea>
    </format>
    <format dxfId="1816">
      <pivotArea dataOnly="0" labelOnly="1" outline="0" fieldPosition="0">
        <references count="3">
          <reference field="0" count="0" selected="0"/>
          <reference field="2" count="1" selected="0">
            <x v="2"/>
          </reference>
          <reference field="4" count="1">
            <x v="141"/>
          </reference>
        </references>
      </pivotArea>
    </format>
    <format dxfId="1815">
      <pivotArea dataOnly="0" labelOnly="1" outline="0" fieldPosition="0">
        <references count="3">
          <reference field="0" count="0" selected="0"/>
          <reference field="2" count="1" selected="0">
            <x v="4"/>
          </reference>
          <reference field="4" count="1">
            <x v="142"/>
          </reference>
        </references>
      </pivotArea>
    </format>
    <format dxfId="1814">
      <pivotArea dataOnly="0" labelOnly="1" outline="0" fieldPosition="0">
        <references count="3">
          <reference field="0" count="0" selected="0"/>
          <reference field="2" count="1" selected="0">
            <x v="3"/>
          </reference>
          <reference field="4" count="1">
            <x v="39"/>
          </reference>
        </references>
      </pivotArea>
    </format>
    <format dxfId="1813">
      <pivotArea dataOnly="0" labelOnly="1" outline="0" fieldPosition="0">
        <references count="3">
          <reference field="0" count="0" selected="0"/>
          <reference field="2" count="1" selected="0">
            <x v="5"/>
          </reference>
          <reference field="4" count="1">
            <x v="143"/>
          </reference>
        </references>
      </pivotArea>
    </format>
    <format dxfId="1812">
      <pivotArea dataOnly="0" labelOnly="1" outline="0" fieldPosition="0">
        <references count="3">
          <reference field="0" count="0" selected="0"/>
          <reference field="2" count="1" selected="0">
            <x v="2"/>
          </reference>
          <reference field="4" count="1">
            <x v="144"/>
          </reference>
        </references>
      </pivotArea>
    </format>
    <format dxfId="1811">
      <pivotArea dataOnly="0" labelOnly="1" outline="0" fieldPosition="0">
        <references count="3">
          <reference field="0" count="0" selected="0"/>
          <reference field="2" count="1" selected="0">
            <x v="3"/>
          </reference>
          <reference field="4" count="1">
            <x v="145"/>
          </reference>
        </references>
      </pivotArea>
    </format>
    <format dxfId="1810">
      <pivotArea dataOnly="0" labelOnly="1" outline="0" fieldPosition="0">
        <references count="3">
          <reference field="0" count="0" selected="0"/>
          <reference field="2" count="1" selected="0">
            <x v="4"/>
          </reference>
          <reference field="4" count="1">
            <x v="146"/>
          </reference>
        </references>
      </pivotArea>
    </format>
    <format dxfId="1809">
      <pivotArea dataOnly="0" labelOnly="1" outline="0" fieldPosition="0">
        <references count="3">
          <reference field="0" count="0" selected="0"/>
          <reference field="2" count="1" selected="0">
            <x v="5"/>
          </reference>
          <reference field="4" count="1">
            <x v="147"/>
          </reference>
        </references>
      </pivotArea>
    </format>
    <format dxfId="1808">
      <pivotArea dataOnly="0" labelOnly="1" outline="0" fieldPosition="0">
        <references count="3">
          <reference field="0" count="0" selected="0"/>
          <reference field="2" count="1" selected="0">
            <x v="2"/>
          </reference>
          <reference field="4" count="1">
            <x v="148"/>
          </reference>
        </references>
      </pivotArea>
    </format>
    <format dxfId="1807">
      <pivotArea dataOnly="0" labelOnly="1" outline="0" fieldPosition="0">
        <references count="3">
          <reference field="0" count="0" selected="0"/>
          <reference field="2" count="1" selected="0">
            <x v="3"/>
          </reference>
          <reference field="4" count="1">
            <x v="149"/>
          </reference>
        </references>
      </pivotArea>
    </format>
    <format dxfId="1806">
      <pivotArea dataOnly="0" labelOnly="1" outline="0" fieldPosition="0">
        <references count="3">
          <reference field="0" count="0" selected="0"/>
          <reference field="2" count="1" selected="0">
            <x v="4"/>
          </reference>
          <reference field="4" count="1">
            <x v="150"/>
          </reference>
        </references>
      </pivotArea>
    </format>
    <format dxfId="1805">
      <pivotArea dataOnly="0" labelOnly="1" outline="0" fieldPosition="0">
        <references count="3">
          <reference field="0" count="0" selected="0"/>
          <reference field="2" count="1" selected="0">
            <x v="2"/>
          </reference>
          <reference field="4" count="1">
            <x v="151"/>
          </reference>
        </references>
      </pivotArea>
    </format>
    <format dxfId="1804">
      <pivotArea dataOnly="0" labelOnly="1" outline="0" fieldPosition="0">
        <references count="3">
          <reference field="0" count="0" selected="0"/>
          <reference field="2" count="1" selected="0">
            <x v="2"/>
          </reference>
          <reference field="4" count="1">
            <x v="152"/>
          </reference>
        </references>
      </pivotArea>
    </format>
    <format dxfId="1803">
      <pivotArea dataOnly="0" labelOnly="1" outline="0" fieldPosition="0">
        <references count="3">
          <reference field="0" count="0" selected="0"/>
          <reference field="2" count="1" selected="0">
            <x v="3"/>
          </reference>
          <reference field="4" count="1">
            <x v="154"/>
          </reference>
        </references>
      </pivotArea>
    </format>
    <format dxfId="1802">
      <pivotArea dataOnly="0" labelOnly="1" outline="0" fieldPosition="0">
        <references count="3">
          <reference field="0" count="0" selected="0"/>
          <reference field="2" count="1" selected="0">
            <x v="4"/>
          </reference>
          <reference field="4" count="1">
            <x v="155"/>
          </reference>
        </references>
      </pivotArea>
    </format>
    <format dxfId="1801">
      <pivotArea dataOnly="0" labelOnly="1" outline="0" fieldPosition="0">
        <references count="3">
          <reference field="0" count="0" selected="0"/>
          <reference field="2" count="1" selected="0">
            <x v="8"/>
          </reference>
          <reference field="4" count="1">
            <x v="153"/>
          </reference>
        </references>
      </pivotArea>
    </format>
    <format dxfId="1800">
      <pivotArea dataOnly="0" labelOnly="1" outline="0" fieldPosition="0">
        <references count="3">
          <reference field="0" count="0" selected="0"/>
          <reference field="2" count="1" selected="0">
            <x v="1"/>
          </reference>
          <reference field="4" count="1">
            <x v="156"/>
          </reference>
        </references>
      </pivotArea>
    </format>
    <format dxfId="1799">
      <pivotArea dataOnly="0" labelOnly="1" outline="0" fieldPosition="0">
        <references count="3">
          <reference field="0" count="0" selected="0"/>
          <reference field="2" count="1" selected="0">
            <x v="2"/>
          </reference>
          <reference field="4" count="1">
            <x v="157"/>
          </reference>
        </references>
      </pivotArea>
    </format>
    <format dxfId="1798">
      <pivotArea dataOnly="0" labelOnly="1" outline="0" fieldPosition="0">
        <references count="3">
          <reference field="0" count="0" selected="0"/>
          <reference field="2" count="1" selected="0">
            <x v="3"/>
          </reference>
          <reference field="4" count="1">
            <x v="158"/>
          </reference>
        </references>
      </pivotArea>
    </format>
    <format dxfId="1797">
      <pivotArea dataOnly="0" labelOnly="1" outline="0" fieldPosition="0">
        <references count="3">
          <reference field="0" count="0" selected="0"/>
          <reference field="2" count="1" selected="0">
            <x v="3"/>
          </reference>
          <reference field="4" count="4">
            <x v="159"/>
            <x v="160"/>
            <x v="161"/>
            <x v="162"/>
          </reference>
        </references>
      </pivotArea>
    </format>
    <format dxfId="1796">
      <pivotArea dataOnly="0" labelOnly="1" outline="0" fieldPosition="0">
        <references count="3">
          <reference field="0" count="0" selected="0"/>
          <reference field="2" count="1" selected="0">
            <x v="4"/>
          </reference>
          <reference field="4" count="3">
            <x v="97"/>
            <x v="163"/>
            <x v="164"/>
          </reference>
        </references>
      </pivotArea>
    </format>
    <format dxfId="1795">
      <pivotArea dataOnly="0" labelOnly="1" outline="0" fieldPosition="0">
        <references count="3">
          <reference field="0" count="0" selected="0"/>
          <reference field="2" count="1" selected="0">
            <x v="3"/>
          </reference>
          <reference field="4" count="4">
            <x v="165"/>
            <x v="166"/>
            <x v="167"/>
            <x v="168"/>
          </reference>
        </references>
      </pivotArea>
    </format>
    <format dxfId="1794">
      <pivotArea dataOnly="0" labelOnly="1" outline="0" fieldPosition="0">
        <references count="3">
          <reference field="0" count="0" selected="0"/>
          <reference field="2" count="1" selected="0">
            <x v="4"/>
          </reference>
          <reference field="4" count="2">
            <x v="66"/>
            <x v="68"/>
          </reference>
        </references>
      </pivotArea>
    </format>
    <format dxfId="1793">
      <pivotArea dataOnly="0" labelOnly="1" outline="0" fieldPosition="0">
        <references count="3">
          <reference field="0" count="0" selected="0"/>
          <reference field="2" count="1" selected="0">
            <x v="5"/>
          </reference>
          <reference field="4" count="1">
            <x v="43"/>
          </reference>
        </references>
      </pivotArea>
    </format>
    <format dxfId="1792">
      <pivotArea dataOnly="0" labelOnly="1" outline="0" fieldPosition="0">
        <references count="3">
          <reference field="0" count="0" selected="0"/>
          <reference field="2" count="1" selected="0">
            <x v="6"/>
          </reference>
          <reference field="4" count="2">
            <x v="112"/>
            <x v="169"/>
          </reference>
        </references>
      </pivotArea>
    </format>
    <format dxfId="1791">
      <pivotArea dataOnly="0" labelOnly="1" outline="0" fieldPosition="0">
        <references count="3">
          <reference field="0" count="0" selected="0"/>
          <reference field="2" count="1" selected="0">
            <x v="2"/>
          </reference>
          <reference field="4" count="1">
            <x v="171"/>
          </reference>
        </references>
      </pivotArea>
    </format>
    <format dxfId="1790">
      <pivotArea dataOnly="0" labelOnly="1" outline="0" fieldPosition="0">
        <references count="3">
          <reference field="0" count="0" selected="0"/>
          <reference field="2" count="1" selected="0">
            <x v="3"/>
          </reference>
          <reference field="4" count="7">
            <x v="33"/>
            <x v="54"/>
            <x v="65"/>
            <x v="122"/>
            <x v="127"/>
            <x v="172"/>
            <x v="173"/>
          </reference>
        </references>
      </pivotArea>
    </format>
    <format dxfId="1789">
      <pivotArea dataOnly="0" labelOnly="1" outline="0" fieldPosition="0">
        <references count="3">
          <reference field="0" count="0" selected="0"/>
          <reference field="2" count="1" selected="0">
            <x v="4"/>
          </reference>
          <reference field="4" count="4">
            <x v="4"/>
            <x v="174"/>
            <x v="175"/>
            <x v="177"/>
          </reference>
        </references>
      </pivotArea>
    </format>
    <format dxfId="1788">
      <pivotArea dataOnly="0" labelOnly="1" outline="0" fieldPosition="0">
        <references count="3">
          <reference field="0" count="0" selected="0"/>
          <reference field="2" count="1" selected="0">
            <x v="5"/>
          </reference>
          <reference field="4" count="2">
            <x v="99"/>
            <x v="176"/>
          </reference>
        </references>
      </pivotArea>
    </format>
    <format dxfId="1787">
      <pivotArea dataOnly="0" labelOnly="1" outline="0" fieldPosition="0">
        <references count="3">
          <reference field="0" count="0" selected="0"/>
          <reference field="2" count="1" selected="0">
            <x v="3"/>
          </reference>
          <reference field="4" count="1">
            <x v="170"/>
          </reference>
        </references>
      </pivotArea>
    </format>
    <format dxfId="1786">
      <pivotArea dataOnly="0" labelOnly="1" outline="0" fieldPosition="0">
        <references count="3">
          <reference field="0" count="0" selected="0"/>
          <reference field="2" count="1" selected="0">
            <x v="1"/>
          </reference>
          <reference field="4" count="1">
            <x v="10"/>
          </reference>
        </references>
      </pivotArea>
    </format>
    <format dxfId="1785">
      <pivotArea dataOnly="0" labelOnly="1" outline="0" fieldPosition="0">
        <references count="3">
          <reference field="0" count="0" selected="0"/>
          <reference field="2" count="1" selected="0">
            <x v="4"/>
          </reference>
          <reference field="4" count="1">
            <x v="146"/>
          </reference>
        </references>
      </pivotArea>
    </format>
    <format dxfId="1784">
      <pivotArea dataOnly="0" labelOnly="1" outline="0" fieldPosition="0">
        <references count="3">
          <reference field="0" count="0" selected="0"/>
          <reference field="2" count="1" selected="0">
            <x v="4"/>
          </reference>
          <reference field="4" count="1">
            <x v="142"/>
          </reference>
        </references>
      </pivotArea>
    </format>
    <format dxfId="1783">
      <pivotArea dataOnly="0" labelOnly="1" outline="0" fieldPosition="0">
        <references count="3">
          <reference field="0" count="0" selected="0"/>
          <reference field="2" count="1" selected="0">
            <x v="5"/>
          </reference>
          <reference field="4" count="1">
            <x v="41"/>
          </reference>
        </references>
      </pivotArea>
    </format>
    <format dxfId="1782">
      <pivotArea dataOnly="0" labelOnly="1" outline="0" fieldPosition="0">
        <references count="3">
          <reference field="0" count="0" selected="0"/>
          <reference field="2" count="1" selected="0">
            <x v="2"/>
          </reference>
          <reference field="4" count="1">
            <x v="178"/>
          </reference>
        </references>
      </pivotArea>
    </format>
    <format dxfId="1781">
      <pivotArea dataOnly="0" labelOnly="1" outline="0" fieldPosition="0">
        <references count="3">
          <reference field="0" count="0" selected="0"/>
          <reference field="2" count="1" selected="0">
            <x v="3"/>
          </reference>
          <reference field="4" count="1">
            <x v="179"/>
          </reference>
        </references>
      </pivotArea>
    </format>
    <format dxfId="1780">
      <pivotArea dataOnly="0" labelOnly="1" outline="0" fieldPosition="0">
        <references count="3">
          <reference field="0" count="0" selected="0"/>
          <reference field="2" count="1" selected="0">
            <x v="0"/>
          </reference>
          <reference field="4" count="1">
            <x v="182"/>
          </reference>
        </references>
      </pivotArea>
    </format>
    <format dxfId="1779">
      <pivotArea dataOnly="0" labelOnly="1" outline="0" fieldPosition="0">
        <references count="3">
          <reference field="0" count="0" selected="0"/>
          <reference field="2" count="1" selected="0">
            <x v="0"/>
          </reference>
          <reference field="4" count="1">
            <x v="181"/>
          </reference>
        </references>
      </pivotArea>
    </format>
    <format dxfId="1778">
      <pivotArea dataOnly="0" labelOnly="1" outline="0" fieldPosition="0">
        <references count="3">
          <reference field="0" count="0" selected="0"/>
          <reference field="2" count="1" selected="0">
            <x v="3"/>
          </reference>
          <reference field="4" count="1">
            <x v="185"/>
          </reference>
        </references>
      </pivotArea>
    </format>
    <format dxfId="1777">
      <pivotArea dataOnly="0" labelOnly="1" outline="0" fieldPosition="0">
        <references count="3">
          <reference field="0" count="0" selected="0"/>
          <reference field="2" count="1" selected="0">
            <x v="5"/>
          </reference>
          <reference field="4" count="1">
            <x v="186"/>
          </reference>
        </references>
      </pivotArea>
    </format>
    <format dxfId="1776">
      <pivotArea dataOnly="0" labelOnly="1" outline="0" fieldPosition="0">
        <references count="3">
          <reference field="0" count="0" selected="0"/>
          <reference field="2" count="1" selected="0">
            <x v="3"/>
          </reference>
          <reference field="4" count="1">
            <x v="180"/>
          </reference>
        </references>
      </pivotArea>
    </format>
    <format dxfId="1775">
      <pivotArea dataOnly="0" labelOnly="1" outline="0" fieldPosition="0">
        <references count="3">
          <reference field="0" count="0" selected="0"/>
          <reference field="2" count="1" selected="0">
            <x v="4"/>
          </reference>
          <reference field="4" count="1">
            <x v="187"/>
          </reference>
        </references>
      </pivotArea>
    </format>
    <format dxfId="1774">
      <pivotArea dataOnly="0" labelOnly="1" outline="0" fieldPosition="0">
        <references count="3">
          <reference field="0" count="0" selected="0"/>
          <reference field="2" count="1" selected="0">
            <x v="4"/>
          </reference>
          <reference field="4" count="1">
            <x v="188"/>
          </reference>
        </references>
      </pivotArea>
    </format>
    <format dxfId="1773">
      <pivotArea dataOnly="0" labelOnly="1" outline="0" fieldPosition="0">
        <references count="3">
          <reference field="0" count="0" selected="0"/>
          <reference field="2" count="1" selected="0">
            <x v="4"/>
          </reference>
          <reference field="4" count="1">
            <x v="189"/>
          </reference>
        </references>
      </pivotArea>
    </format>
    <format dxfId="1772">
      <pivotArea dataOnly="0" labelOnly="1" outline="0" fieldPosition="0">
        <references count="3">
          <reference field="0" count="0" selected="0"/>
          <reference field="2" count="1" selected="0">
            <x v="4"/>
          </reference>
          <reference field="4" count="1">
            <x v="167"/>
          </reference>
        </references>
      </pivotArea>
    </format>
    <format dxfId="1771">
      <pivotArea dataOnly="0" labelOnly="1" outline="0" fieldPosition="0">
        <references count="3">
          <reference field="0" count="0" selected="0"/>
          <reference field="2" count="1" selected="0">
            <x v="0"/>
          </reference>
          <reference field="4" count="1">
            <x v="190"/>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55B7D2A-3C85-4117-AC36-D65485CEE757}" name="Drop pivot" cacheId="0" applyNumberFormats="0" applyBorderFormats="0" applyFontFormats="0" applyPatternFormats="0" applyAlignmentFormats="0" applyWidthHeightFormats="1" dataCaption="Valores" updatedVersion="8" minRefreshableVersion="3" showDrill="0" rowGrandTotals="0" colGrandTotals="0" createdVersion="4" compact="0" compactData="0" multipleFieldFilters="0">
  <location ref="H15:M25" firstHeaderRow="1" firstDataRow="1" firstDataCol="5"/>
  <pivotFields count="8">
    <pivotField compact="0" outline="0" showAll="0" defaultSubtotal="0">
      <items count="8">
        <item x="0"/>
        <item h="1" x="1"/>
        <item h="1" x="2"/>
        <item h="1" x="3"/>
        <item h="1" m="1" x="5"/>
        <item h="1" m="1" x="6"/>
        <item h="1" m="1" x="7"/>
        <item h="1" m="1" x="4"/>
      </items>
    </pivotField>
    <pivotField dataField="1" compact="0" outline="0" showAll="0" defaultSubtotal="0">
      <items count="7">
        <item x="0"/>
        <item h="1" x="2"/>
        <item h="1" x="3"/>
        <item h="1" x="1"/>
        <item h="1" m="1" x="4"/>
        <item h="1" m="1" x="5"/>
        <item h="1" m="1" x="6"/>
      </items>
    </pivotField>
    <pivotField axis="axisRow" compact="0" outline="0" showAll="0" defaultSubtotal="0">
      <items count="9">
        <item x="6"/>
        <item x="1"/>
        <item x="0"/>
        <item x="2"/>
        <item x="3"/>
        <item x="5"/>
        <item m="1" x="8"/>
        <item m="1" x="7"/>
        <item x="4"/>
      </items>
    </pivotField>
    <pivotField axis="axisRow" compact="0" outline="0" showAll="0" sortType="ascending" defaultSubtotal="0">
      <items count="5">
        <item x="1"/>
        <item x="0"/>
        <item x="2"/>
        <item x="3"/>
        <item m="1" x="4"/>
      </items>
    </pivotField>
    <pivotField name="Sites" axis="axisRow" compact="0" outline="0" showAll="0" nonAutoSortDefault="1" defaultSubtotal="0">
      <items count="191">
        <item m="1" x="51"/>
        <item m="1" x="41"/>
        <item m="1" x="43"/>
        <item m="1" x="163"/>
        <item m="1" x="49"/>
        <item m="1" x="55"/>
        <item x="2"/>
        <item m="1" x="85"/>
        <item m="1" x="180"/>
        <item x="25"/>
        <item x="7"/>
        <item x="31"/>
        <item x="32"/>
        <item x="12"/>
        <item x="15"/>
        <item x="9"/>
        <item m="1" x="119"/>
        <item m="1" x="149"/>
        <item m="1" x="177"/>
        <item x="0"/>
        <item m="1" x="122"/>
        <item m="1" x="171"/>
        <item m="1" x="187"/>
        <item m="1" x="50"/>
        <item m="1" x="52"/>
        <item x="13"/>
        <item x="14"/>
        <item m="1" x="178"/>
        <item m="1" x="59"/>
        <item m="1" x="70"/>
        <item x="35"/>
        <item m="1" x="127"/>
        <item x="27"/>
        <item m="1" x="107"/>
        <item x="10"/>
        <item x="20"/>
        <item m="1" x="168"/>
        <item m="1" x="46"/>
        <item m="1" x="47"/>
        <item m="1" x="69"/>
        <item m="1" x="166"/>
        <item m="1" x="61"/>
        <item x="33"/>
        <item m="1" x="100"/>
        <item m="1" x="88"/>
        <item m="1" x="188"/>
        <item m="1" x="189"/>
        <item m="1" x="181"/>
        <item m="1" x="183"/>
        <item m="1" x="153"/>
        <item m="1" x="132"/>
        <item m="1" x="160"/>
        <item x="18"/>
        <item m="1" x="150"/>
        <item m="1" x="109"/>
        <item m="1" x="154"/>
        <item m="1" x="123"/>
        <item m="1" x="182"/>
        <item m="1" x="176"/>
        <item m="1" x="126"/>
        <item m="1" x="139"/>
        <item m="1" x="159"/>
        <item m="1" x="147"/>
        <item x="26"/>
        <item m="1" x="95"/>
        <item m="1" x="111"/>
        <item m="1" x="98"/>
        <item m="1" x="134"/>
        <item m="1" x="99"/>
        <item m="1" x="136"/>
        <item x="1"/>
        <item m="1" x="130"/>
        <item m="1" x="124"/>
        <item x="6"/>
        <item m="1" x="58"/>
        <item m="1" x="128"/>
        <item m="1" x="170"/>
        <item m="1" x="93"/>
        <item m="1" x="156"/>
        <item m="1" x="144"/>
        <item m="1" x="158"/>
        <item m="1" x="186"/>
        <item m="1" x="45"/>
        <item m="1" x="137"/>
        <item m="1" x="173"/>
        <item m="1" x="129"/>
        <item m="1" x="179"/>
        <item m="1" x="140"/>
        <item m="1" x="152"/>
        <item m="1" x="172"/>
        <item m="1" x="155"/>
        <item m="1" x="138"/>
        <item m="1" x="167"/>
        <item m="1" x="143"/>
        <item m="1" x="80"/>
        <item m="1" x="64"/>
        <item m="1" x="174"/>
        <item m="1" x="65"/>
        <item m="1" x="54"/>
        <item m="1" x="117"/>
        <item m="1" x="86"/>
        <item x="8"/>
        <item m="1" x="157"/>
        <item m="1" x="164"/>
        <item m="1" x="148"/>
        <item m="1" x="169"/>
        <item m="1" x="175"/>
        <item m="1" x="131"/>
        <item m="1" x="190"/>
        <item m="1" x="165"/>
        <item m="1" x="184"/>
        <item m="1" x="185"/>
        <item m="1" x="102"/>
        <item m="1" x="89"/>
        <item m="1" x="145"/>
        <item m="1" x="162"/>
        <item x="23"/>
        <item m="1" x="92"/>
        <item m="1" x="161"/>
        <item m="1" x="40"/>
        <item m="1" x="121"/>
        <item m="1" x="44"/>
        <item m="1" x="112"/>
        <item x="29"/>
        <item m="1" x="87"/>
        <item m="1" x="57"/>
        <item m="1" x="125"/>
        <item m="1" x="113"/>
        <item m="1" x="97"/>
        <item m="1" x="62"/>
        <item m="1" x="105"/>
        <item m="1" x="146"/>
        <item m="1" x="103"/>
        <item m="1" x="133"/>
        <item m="1" x="151"/>
        <item m="1" x="90"/>
        <item m="1" x="141"/>
        <item m="1" x="135"/>
        <item m="1" x="142"/>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s>
    </pivotField>
    <pivotField axis="axisRow" compact="0" outline="0" showAll="0" defaultSubtotal="0">
      <items count="9">
        <item m="1" x="5"/>
        <item x="0"/>
        <item x="1"/>
        <item x="2"/>
        <item x="4"/>
        <item m="1" x="6"/>
        <item m="1" x="8"/>
        <item m="1" x="7"/>
        <item x="3"/>
      </items>
    </pivotField>
    <pivotField axis="axisRow" compact="0" outline="0" showAll="0" defaultSubtotal="0">
      <items count="10">
        <item x="1"/>
        <item m="1" x="6"/>
        <item x="0"/>
        <item x="2"/>
        <item m="1" x="4"/>
        <item m="1" x="8"/>
        <item m="1" x="7"/>
        <item m="1" x="9"/>
        <item m="1" x="5"/>
        <item x="3"/>
      </items>
    </pivotField>
    <pivotField compact="0" outline="0" showAll="0"/>
  </pivotFields>
  <rowFields count="5">
    <field x="2"/>
    <field x="4"/>
    <field x="5"/>
    <field x="3"/>
    <field x="6"/>
  </rowFields>
  <rowItems count="10">
    <i>
      <x/>
      <x v="30"/>
      <x v="4"/>
      <x v="2"/>
      <x v="2"/>
    </i>
    <i r="1">
      <x v="181"/>
      <x v="4"/>
      <x v="1"/>
      <x v="2"/>
    </i>
    <i r="1">
      <x v="182"/>
      <x v="4"/>
      <x v="1"/>
      <x v="2"/>
    </i>
    <i r="1">
      <x v="190"/>
      <x v="4"/>
      <x v="1"/>
      <x v="2"/>
    </i>
    <i>
      <x v="2"/>
      <x v="19"/>
      <x v="1"/>
      <x v="1"/>
      <x v="2"/>
    </i>
    <i r="1">
      <x v="141"/>
      <x v="1"/>
      <x v="1"/>
      <x v="3"/>
    </i>
    <i>
      <x v="3"/>
      <x v="9"/>
      <x v="2"/>
      <x/>
      <x v="2"/>
    </i>
    <i>
      <x v="4"/>
      <x v="167"/>
      <x v="2"/>
      <x/>
      <x v="2"/>
    </i>
    <i r="1">
      <x v="189"/>
      <x v="2"/>
      <x/>
      <x v="2"/>
    </i>
    <i>
      <x v="5"/>
      <x v="11"/>
      <x v="3"/>
      <x v="2"/>
      <x v="2"/>
    </i>
  </rowItems>
  <colItems count="1">
    <i/>
  </colItems>
  <dataFields count="1">
    <dataField name="Sum of Station" fld="1" baseField="0" baseItem="0"/>
  </dataFields>
  <formats count="425">
    <format dxfId="2337">
      <pivotArea field="4" type="button" dataOnly="0" labelOnly="1" outline="0" axis="axisRow" fieldPosition="1"/>
    </format>
    <format dxfId="2336">
      <pivotArea field="4" type="button" dataOnly="0" labelOnly="1" outline="0" axis="axisRow" fieldPosition="1"/>
    </format>
    <format dxfId="2335">
      <pivotArea field="3" type="button" dataOnly="0" labelOnly="1" outline="0" axis="axisRow" fieldPosition="3"/>
    </format>
    <format dxfId="2334">
      <pivotArea field="2" type="button" dataOnly="0" labelOnly="1" outline="0" axis="axisRow" fieldPosition="0"/>
    </format>
    <format dxfId="2333">
      <pivotArea field="0" type="button" dataOnly="0" labelOnly="1" outline="0"/>
    </format>
    <format dxfId="2332">
      <pivotArea field="5" type="button" dataOnly="0" labelOnly="1" outline="0" axis="axisRow" fieldPosition="2"/>
    </format>
    <format dxfId="2331">
      <pivotArea field="6" type="button" dataOnly="0" labelOnly="1" outline="0" axis="axisRow" fieldPosition="4"/>
    </format>
    <format dxfId="2330">
      <pivotArea field="4" type="button" dataOnly="0" labelOnly="1" outline="0" axis="axisRow" fieldPosition="1"/>
    </format>
    <format dxfId="2329">
      <pivotArea dataOnly="0" labelOnly="1" outline="0" fieldPosition="0">
        <references count="1">
          <reference field="6" count="0"/>
        </references>
      </pivotArea>
    </format>
    <format dxfId="2328">
      <pivotArea field="5" type="button" dataOnly="0" labelOnly="1" outline="0" axis="axisRow" fieldPosition="2"/>
    </format>
    <format dxfId="2327">
      <pivotArea field="3" type="button" dataOnly="0" labelOnly="1" outline="0" axis="axisRow" fieldPosition="3"/>
    </format>
    <format dxfId="2326">
      <pivotArea dataOnly="0" labelOnly="1" outline="0" fieldPosition="0">
        <references count="1">
          <reference field="5" count="0"/>
        </references>
      </pivotArea>
    </format>
    <format dxfId="2325">
      <pivotArea dataOnly="0" labelOnly="1" outline="0" fieldPosition="0">
        <references count="1">
          <reference field="6" count="0"/>
        </references>
      </pivotArea>
    </format>
    <format dxfId="2324">
      <pivotArea dataOnly="0" labelOnly="1" outline="0" fieldPosition="0">
        <references count="5">
          <reference field="2" count="1" selected="0">
            <x v="1"/>
          </reference>
          <reference field="3" count="1" selected="0">
            <x v="1"/>
          </reference>
          <reference field="4" count="1" selected="0">
            <x v="6"/>
          </reference>
          <reference field="5" count="1" selected="0">
            <x v="0"/>
          </reference>
          <reference field="6" count="1">
            <x v="0"/>
          </reference>
        </references>
      </pivotArea>
    </format>
    <format dxfId="2323">
      <pivotArea dataOnly="0" labelOnly="1" outline="0" fieldPosition="0">
        <references count="5">
          <reference field="2" count="1" selected="0">
            <x v="4"/>
          </reference>
          <reference field="3" count="1" selected="0">
            <x v="2"/>
          </reference>
          <reference field="4" count="1" selected="0">
            <x v="12"/>
          </reference>
          <reference field="5" count="1" selected="0">
            <x v="2"/>
          </reference>
          <reference field="6" count="1">
            <x v="2"/>
          </reference>
        </references>
      </pivotArea>
    </format>
    <format dxfId="2322">
      <pivotArea field="2" type="button" dataOnly="0" labelOnly="1" outline="0" axis="axisRow" fieldPosition="0"/>
    </format>
    <format dxfId="2321">
      <pivotArea field="4" type="button" dataOnly="0" labelOnly="1" outline="0" axis="axisRow" fieldPosition="1"/>
    </format>
    <format dxfId="2320">
      <pivotArea field="5" type="button" dataOnly="0" labelOnly="1" outline="0" axis="axisRow" fieldPosition="2"/>
    </format>
    <format dxfId="2319">
      <pivotArea field="3" type="button" dataOnly="0" labelOnly="1" outline="0" axis="axisRow" fieldPosition="3"/>
    </format>
    <format dxfId="2318">
      <pivotArea field="6" type="button" dataOnly="0" labelOnly="1" outline="0" axis="axisRow" fieldPosition="4"/>
    </format>
    <format dxfId="2317">
      <pivotArea dataOnly="0" labelOnly="1" outline="0" fieldPosition="0">
        <references count="1">
          <reference field="3" count="0"/>
        </references>
      </pivotArea>
    </format>
    <format dxfId="2316">
      <pivotArea dataOnly="0" labelOnly="1" outline="0" fieldPosition="0">
        <references count="1">
          <reference field="5" count="0"/>
        </references>
      </pivotArea>
    </format>
    <format dxfId="2315">
      <pivotArea dataOnly="0" outline="0" fieldPosition="0">
        <references count="1">
          <reference field="3" count="1">
            <x v="1"/>
          </reference>
        </references>
      </pivotArea>
    </format>
    <format dxfId="2314">
      <pivotArea dataOnly="0" labelOnly="1" outline="0" fieldPosition="0">
        <references count="1">
          <reference field="5" count="0"/>
        </references>
      </pivotArea>
    </format>
    <format dxfId="2313">
      <pivotArea dataOnly="0" labelOnly="1" outline="0" fieldPosition="0">
        <references count="1">
          <reference field="3" count="0"/>
        </references>
      </pivotArea>
    </format>
    <format dxfId="2312">
      <pivotArea dataOnly="0" labelOnly="1" outline="0" fieldPosition="0">
        <references count="3">
          <reference field="2" count="1" selected="0">
            <x v="4"/>
          </reference>
          <reference field="4" count="1" selected="0">
            <x v="68"/>
          </reference>
          <reference field="5" count="1">
            <x v="2"/>
          </reference>
        </references>
      </pivotArea>
    </format>
    <format dxfId="2311">
      <pivotArea dataOnly="0" labelOnly="1" outline="0" fieldPosition="0">
        <references count="4">
          <reference field="2" count="1" selected="0">
            <x v="4"/>
          </reference>
          <reference field="3" count="1">
            <x v="2"/>
          </reference>
          <reference field="4" count="1" selected="0">
            <x v="68"/>
          </reference>
          <reference field="5" count="1" selected="0">
            <x v="2"/>
          </reference>
        </references>
      </pivotArea>
    </format>
    <format dxfId="2310">
      <pivotArea dataOnly="0" labelOnly="1" outline="0" fieldPosition="0">
        <references count="2">
          <reference field="2" count="1" selected="0">
            <x v="3"/>
          </reference>
          <reference field="4" count="5">
            <x v="1"/>
            <x v="9"/>
            <x v="13"/>
            <x v="14"/>
            <x v="119"/>
          </reference>
        </references>
      </pivotArea>
    </format>
    <format dxfId="2309">
      <pivotArea dataOnly="0" labelOnly="1" outline="0" fieldPosition="0">
        <references count="2">
          <reference field="2" count="1" selected="0">
            <x v="4"/>
          </reference>
          <reference field="4" count="5">
            <x v="0"/>
            <x v="2"/>
            <x v="4"/>
            <x v="7"/>
            <x v="8"/>
          </reference>
        </references>
      </pivotArea>
    </format>
    <format dxfId="2308">
      <pivotArea dataOnly="0" labelOnly="1" outline="0" fieldPosition="0">
        <references count="2">
          <reference field="2" count="1" selected="0">
            <x v="5"/>
          </reference>
          <reference field="4" count="2">
            <x v="11"/>
            <x v="12"/>
          </reference>
        </references>
      </pivotArea>
    </format>
    <format dxfId="2307">
      <pivotArea dataOnly="0" labelOnly="1" outline="0" fieldPosition="0">
        <references count="3">
          <reference field="2" count="1" selected="0">
            <x v="4"/>
          </reference>
          <reference field="4" count="1" selected="0">
            <x v="0"/>
          </reference>
          <reference field="5" count="1">
            <x v="1"/>
          </reference>
        </references>
      </pivotArea>
    </format>
    <format dxfId="2306">
      <pivotArea dataOnly="0" labelOnly="1" outline="0" fieldPosition="0">
        <references count="4">
          <reference field="2" count="1" selected="0">
            <x v="4"/>
          </reference>
          <reference field="3" count="1">
            <x v="0"/>
          </reference>
          <reference field="4" count="1" selected="0">
            <x v="0"/>
          </reference>
          <reference field="5" count="1" selected="0">
            <x v="1"/>
          </reference>
        </references>
      </pivotArea>
    </format>
    <format dxfId="2305">
      <pivotArea dataOnly="0" labelOnly="1" outline="0" fieldPosition="0">
        <references count="4">
          <reference field="2" count="1" selected="0">
            <x v="6"/>
          </reference>
          <reference field="3" count="1">
            <x v="3"/>
          </reference>
          <reference field="4" count="1" selected="0">
            <x v="5"/>
          </reference>
          <reference field="5" count="1" selected="0">
            <x v="3"/>
          </reference>
        </references>
      </pivotArea>
    </format>
    <format dxfId="2304">
      <pivotArea dataOnly="0" labelOnly="1" outline="0" fieldPosition="0">
        <references count="5">
          <reference field="2" count="1" selected="0">
            <x v="3"/>
          </reference>
          <reference field="3" count="1" selected="0">
            <x v="0"/>
          </reference>
          <reference field="4" count="1" selected="0">
            <x v="13"/>
          </reference>
          <reference field="5" count="1" selected="0">
            <x v="1"/>
          </reference>
          <reference field="6" count="1">
            <x v="2"/>
          </reference>
        </references>
      </pivotArea>
    </format>
    <format dxfId="2303">
      <pivotArea dataOnly="0" labelOnly="1" outline="0" fieldPosition="0">
        <references count="2">
          <reference field="2" count="1" selected="0">
            <x v="0"/>
          </reference>
          <reference field="4" count="1">
            <x v="16"/>
          </reference>
        </references>
      </pivotArea>
    </format>
    <format dxfId="2302">
      <pivotArea dataOnly="0" labelOnly="1" outline="0" fieldPosition="0">
        <references count="2">
          <reference field="2" count="1" selected="0">
            <x v="2"/>
          </reference>
          <reference field="4" count="3">
            <x v="17"/>
            <x v="19"/>
            <x v="120"/>
          </reference>
        </references>
      </pivotArea>
    </format>
    <format dxfId="2301">
      <pivotArea dataOnly="0" labelOnly="1" outline="0" fieldPosition="0">
        <references count="2">
          <reference field="2" count="1" selected="0">
            <x v="3"/>
          </reference>
          <reference field="4" count="9">
            <x v="20"/>
            <x v="21"/>
            <x v="23"/>
            <x v="24"/>
            <x v="25"/>
            <x v="26"/>
            <x v="28"/>
            <x v="121"/>
            <x v="122"/>
          </reference>
        </references>
      </pivotArea>
    </format>
    <format dxfId="2300">
      <pivotArea dataOnly="0" labelOnly="1" outline="0" fieldPosition="0">
        <references count="3">
          <reference field="2" count="1" selected="0">
            <x v="0"/>
          </reference>
          <reference field="4" count="1" selected="0">
            <x v="16"/>
          </reference>
          <reference field="5" count="1">
            <x v="4"/>
          </reference>
        </references>
      </pivotArea>
    </format>
    <format dxfId="2299">
      <pivotArea dataOnly="0" labelOnly="1" outline="0" fieldPosition="0">
        <references count="3">
          <reference field="2" count="1" selected="0">
            <x v="3"/>
          </reference>
          <reference field="4" count="1" selected="0">
            <x v="122"/>
          </reference>
          <reference field="5" count="1">
            <x v="1"/>
          </reference>
        </references>
      </pivotArea>
    </format>
    <format dxfId="2298">
      <pivotArea dataOnly="0" labelOnly="1" outline="0" fieldPosition="0">
        <references count="4">
          <reference field="2" count="1" selected="0">
            <x v="0"/>
          </reference>
          <reference field="3" count="1">
            <x v="1"/>
          </reference>
          <reference field="4" count="1" selected="0">
            <x v="16"/>
          </reference>
          <reference field="5" count="1" selected="0">
            <x v="4"/>
          </reference>
        </references>
      </pivotArea>
    </format>
    <format dxfId="2297">
      <pivotArea dataOnly="0" labelOnly="1" outline="0" fieldPosition="0">
        <references count="4">
          <reference field="2" count="1" selected="0">
            <x v="3"/>
          </reference>
          <reference field="3" count="1">
            <x v="0"/>
          </reference>
          <reference field="4" count="1" selected="0">
            <x v="122"/>
          </reference>
          <reference field="5" count="1" selected="0">
            <x v="1"/>
          </reference>
        </references>
      </pivotArea>
    </format>
    <format dxfId="2296">
      <pivotArea dataOnly="0" labelOnly="1" outline="0" fieldPosition="0">
        <references count="5">
          <reference field="2" count="1" selected="0">
            <x v="0"/>
          </reference>
          <reference field="3" count="1" selected="0">
            <x v="1"/>
          </reference>
          <reference field="4" count="1" selected="0">
            <x v="16"/>
          </reference>
          <reference field="5" count="1" selected="0">
            <x v="4"/>
          </reference>
          <reference field="6" count="1">
            <x v="2"/>
          </reference>
        </references>
      </pivotArea>
    </format>
    <format dxfId="2295">
      <pivotArea dataOnly="0" labelOnly="1" outline="0" fieldPosition="0">
        <references count="5">
          <reference field="2" count="1" selected="0">
            <x v="2"/>
          </reference>
          <reference field="3" count="1" selected="0">
            <x v="1"/>
          </reference>
          <reference field="4" count="1" selected="0">
            <x v="120"/>
          </reference>
          <reference field="5" count="1" selected="0">
            <x v="0"/>
          </reference>
          <reference field="6" count="1">
            <x v="2"/>
          </reference>
        </references>
      </pivotArea>
    </format>
    <format dxfId="2294">
      <pivotArea dataOnly="0" labelOnly="1" outline="0" fieldPosition="0">
        <references count="5">
          <reference field="2" count="1" selected="0">
            <x v="3"/>
          </reference>
          <reference field="3" count="1" selected="0">
            <x v="1"/>
          </reference>
          <reference field="4" count="1" selected="0">
            <x v="20"/>
          </reference>
          <reference field="5" count="1" selected="0">
            <x v="0"/>
          </reference>
          <reference field="6" count="1">
            <x v="3"/>
          </reference>
        </references>
      </pivotArea>
    </format>
    <format dxfId="2293">
      <pivotArea dataOnly="0" labelOnly="1" outline="0" fieldPosition="0">
        <references count="5">
          <reference field="2" count="1" selected="0">
            <x v="3"/>
          </reference>
          <reference field="3" count="1" selected="0">
            <x v="1"/>
          </reference>
          <reference field="4" count="1" selected="0">
            <x v="21"/>
          </reference>
          <reference field="5" count="1" selected="0">
            <x v="0"/>
          </reference>
          <reference field="6" count="1">
            <x v="3"/>
          </reference>
        </references>
      </pivotArea>
    </format>
    <format dxfId="2292">
      <pivotArea dataOnly="0" labelOnly="1" outline="0" fieldPosition="0">
        <references count="5">
          <reference field="2" count="1" selected="0">
            <x v="3"/>
          </reference>
          <reference field="3" count="1" selected="0">
            <x v="0"/>
          </reference>
          <reference field="4" count="1" selected="0">
            <x v="122"/>
          </reference>
          <reference field="5" count="1" selected="0">
            <x v="1"/>
          </reference>
          <reference field="6" count="1">
            <x v="2"/>
          </reference>
        </references>
      </pivotArea>
    </format>
    <format dxfId="2291">
      <pivotArea dataOnly="0" labelOnly="1" outline="0" fieldPosition="0">
        <references count="2">
          <reference field="2" count="1" selected="0">
            <x v="3"/>
          </reference>
          <reference field="4" count="4">
            <x v="33"/>
            <x v="34"/>
            <x v="35"/>
            <x v="36"/>
          </reference>
        </references>
      </pivotArea>
    </format>
    <format dxfId="2290">
      <pivotArea dataOnly="0" labelOnly="1" outline="0" fieldPosition="0">
        <references count="2">
          <reference field="2" count="1" selected="0">
            <x v="4"/>
          </reference>
          <reference field="4" count="4">
            <x v="37"/>
            <x v="38"/>
            <x v="39"/>
            <x v="123"/>
          </reference>
        </references>
      </pivotArea>
    </format>
    <format dxfId="2289">
      <pivotArea dataOnly="0" labelOnly="1" outline="0" fieldPosition="0">
        <references count="2">
          <reference field="2" count="1" selected="0">
            <x v="5"/>
          </reference>
          <reference field="4" count="3">
            <x v="41"/>
            <x v="42"/>
            <x v="43"/>
          </reference>
        </references>
      </pivotArea>
    </format>
    <format dxfId="2288">
      <pivotArea dataOnly="0" labelOnly="1" outline="0" fieldPosition="0">
        <references count="2">
          <reference field="2" count="1" selected="0">
            <x v="6"/>
          </reference>
          <reference field="4" count="2">
            <x v="44"/>
            <x v="124"/>
          </reference>
        </references>
      </pivotArea>
    </format>
    <format dxfId="2287">
      <pivotArea dataOnly="0" labelOnly="1" outline="0" fieldPosition="0">
        <references count="3">
          <reference field="2" count="1" selected="0">
            <x v="3"/>
          </reference>
          <reference field="4" count="1" selected="0">
            <x v="33"/>
          </reference>
          <reference field="5" count="1">
            <x v="0"/>
          </reference>
        </references>
      </pivotArea>
    </format>
    <format dxfId="2286">
      <pivotArea dataOnly="0" labelOnly="1" outline="0" fieldPosition="0">
        <references count="3">
          <reference field="2" count="1" selected="0">
            <x v="4"/>
          </reference>
          <reference field="4" count="1" selected="0">
            <x v="123"/>
          </reference>
          <reference field="5" count="1">
            <x v="2"/>
          </reference>
        </references>
      </pivotArea>
    </format>
    <format dxfId="2285">
      <pivotArea dataOnly="0" labelOnly="1" outline="0" fieldPosition="0">
        <references count="3">
          <reference field="2" count="1" selected="0">
            <x v="5"/>
          </reference>
          <reference field="4" count="1" selected="0">
            <x v="42"/>
          </reference>
          <reference field="5" count="1">
            <x v="3"/>
          </reference>
        </references>
      </pivotArea>
    </format>
    <format dxfId="2284">
      <pivotArea dataOnly="0" labelOnly="1" outline="0" fieldPosition="0">
        <references count="4">
          <reference field="2" count="1" selected="0">
            <x v="4"/>
          </reference>
          <reference field="3" count="1">
            <x v="2"/>
          </reference>
          <reference field="4" count="1" selected="0">
            <x v="123"/>
          </reference>
          <reference field="5" count="1" selected="0">
            <x v="2"/>
          </reference>
        </references>
      </pivotArea>
    </format>
    <format dxfId="2283">
      <pivotArea dataOnly="0" labelOnly="1" outline="0" fieldPosition="0">
        <references count="5">
          <reference field="2" count="1" selected="0">
            <x v="3"/>
          </reference>
          <reference field="3" count="1" selected="0">
            <x v="1"/>
          </reference>
          <reference field="4" count="1" selected="0">
            <x v="34"/>
          </reference>
          <reference field="5" count="1" selected="0">
            <x v="0"/>
          </reference>
          <reference field="6" count="1">
            <x v="3"/>
          </reference>
        </references>
      </pivotArea>
    </format>
    <format dxfId="2282">
      <pivotArea dataOnly="0" labelOnly="1" outline="0" fieldPosition="0">
        <references count="5">
          <reference field="2" count="1" selected="0">
            <x v="3"/>
          </reference>
          <reference field="3" count="1" selected="0">
            <x v="0"/>
          </reference>
          <reference field="4" count="1" selected="0">
            <x v="36"/>
          </reference>
          <reference field="5" count="1" selected="0">
            <x v="1"/>
          </reference>
          <reference field="6" count="1">
            <x v="2"/>
          </reference>
        </references>
      </pivotArea>
    </format>
    <format dxfId="2281">
      <pivotArea dataOnly="0" labelOnly="1" outline="0" fieldPosition="0">
        <references count="5">
          <reference field="2" count="1" selected="0">
            <x v="5"/>
          </reference>
          <reference field="3" count="1" selected="0">
            <x v="2"/>
          </reference>
          <reference field="4" count="1" selected="0">
            <x v="41"/>
          </reference>
          <reference field="5" count="1" selected="0">
            <x v="2"/>
          </reference>
          <reference field="6" count="1">
            <x v="2"/>
          </reference>
        </references>
      </pivotArea>
    </format>
    <format dxfId="2280">
      <pivotArea dataOnly="0" labelOnly="1" outline="0" fieldPosition="0">
        <references count="2">
          <reference field="2" count="1" selected="0">
            <x v="6"/>
          </reference>
          <reference field="4" count="5">
            <x v="80"/>
            <x v="81"/>
            <x v="82"/>
            <x v="83"/>
            <x v="84"/>
          </reference>
        </references>
      </pivotArea>
    </format>
    <format dxfId="2279">
      <pivotArea dataOnly="0" labelOnly="1" outline="0" fieldPosition="0">
        <references count="5">
          <reference field="2" count="1" selected="0">
            <x v="6"/>
          </reference>
          <reference field="3" count="1" selected="0">
            <x v="2"/>
          </reference>
          <reference field="4" count="1" selected="0">
            <x v="82"/>
          </reference>
          <reference field="5" count="1" selected="0">
            <x v="3"/>
          </reference>
          <reference field="6" count="1">
            <x v="3"/>
          </reference>
        </references>
      </pivotArea>
    </format>
    <format dxfId="2278">
      <pivotArea dataOnly="0" labelOnly="1" outline="0" fieldPosition="0">
        <references count="2">
          <reference field="2" count="1" selected="0">
            <x v="2"/>
          </reference>
          <reference field="4" count="2">
            <x v="19"/>
            <x v="138"/>
          </reference>
        </references>
      </pivotArea>
    </format>
    <format dxfId="2277">
      <pivotArea dataOnly="0" labelOnly="1" outline="0" fieldPosition="0">
        <references count="2">
          <reference field="2" count="1" selected="0">
            <x v="3"/>
          </reference>
          <reference field="4" count="6">
            <x v="1"/>
            <x v="24"/>
            <x v="33"/>
            <x v="54"/>
            <x v="119"/>
            <x v="127"/>
          </reference>
        </references>
      </pivotArea>
    </format>
    <format dxfId="2276">
      <pivotArea dataOnly="0" labelOnly="1" outline="0" fieldPosition="0">
        <references count="2">
          <reference field="2" count="1" selected="0">
            <x v="4"/>
          </reference>
          <reference field="4" count="4">
            <x v="8"/>
            <x v="56"/>
            <x v="123"/>
            <x v="129"/>
          </reference>
        </references>
      </pivotArea>
    </format>
    <format dxfId="2275">
      <pivotArea dataOnly="0" labelOnly="1" outline="0" fieldPosition="0">
        <references count="2">
          <reference field="2" count="1" selected="0">
            <x v="5"/>
          </reference>
          <reference field="4" count="1">
            <x v="11"/>
          </reference>
        </references>
      </pivotArea>
    </format>
    <format dxfId="2274">
      <pivotArea dataOnly="0" labelOnly="1" outline="0" fieldPosition="0">
        <references count="3">
          <reference field="2" count="1" selected="0">
            <x v="3"/>
          </reference>
          <reference field="4" count="1" selected="0">
            <x v="54"/>
          </reference>
          <reference field="5" count="1">
            <x v="1"/>
          </reference>
        </references>
      </pivotArea>
    </format>
    <format dxfId="2273">
      <pivotArea dataOnly="0" labelOnly="1" outline="0" fieldPosition="0">
        <references count="3">
          <reference field="2" count="1" selected="0">
            <x v="4"/>
          </reference>
          <reference field="4" count="1" selected="0">
            <x v="129"/>
          </reference>
          <reference field="5" count="1">
            <x v="1"/>
          </reference>
        </references>
      </pivotArea>
    </format>
    <format dxfId="2272">
      <pivotArea dataOnly="0" labelOnly="1" outline="0" fieldPosition="0">
        <references count="3">
          <reference field="2" count="1" selected="0">
            <x v="5"/>
          </reference>
          <reference field="4" count="1" selected="0">
            <x v="11"/>
          </reference>
          <reference field="5" count="1">
            <x v="3"/>
          </reference>
        </references>
      </pivotArea>
    </format>
    <format dxfId="2271">
      <pivotArea dataOnly="0" labelOnly="1" outline="0" fieldPosition="0">
        <references count="4">
          <reference field="2" count="1" selected="0">
            <x v="3"/>
          </reference>
          <reference field="3" count="1">
            <x v="0"/>
          </reference>
          <reference field="4" count="1" selected="0">
            <x v="54"/>
          </reference>
          <reference field="5" count="1" selected="0">
            <x v="1"/>
          </reference>
        </references>
      </pivotArea>
    </format>
    <format dxfId="2270">
      <pivotArea dataOnly="0" labelOnly="1" outline="0" fieldPosition="0">
        <references count="4">
          <reference field="2" count="1" selected="0">
            <x v="4"/>
          </reference>
          <reference field="3" count="1">
            <x v="0"/>
          </reference>
          <reference field="4" count="1" selected="0">
            <x v="129"/>
          </reference>
          <reference field="5" count="1" selected="0">
            <x v="1"/>
          </reference>
        </references>
      </pivotArea>
    </format>
    <format dxfId="2269">
      <pivotArea dataOnly="0" labelOnly="1" outline="0" fieldPosition="0">
        <references count="4">
          <reference field="2" count="1" selected="0">
            <x v="5"/>
          </reference>
          <reference field="3" count="1">
            <x v="2"/>
          </reference>
          <reference field="4" count="1" selected="0">
            <x v="11"/>
          </reference>
          <reference field="5" count="1" selected="0">
            <x v="3"/>
          </reference>
        </references>
      </pivotArea>
    </format>
    <format dxfId="2268">
      <pivotArea dataOnly="0" labelOnly="1" outline="0" fieldPosition="0">
        <references count="5">
          <reference field="2" count="1" selected="0">
            <x v="2"/>
          </reference>
          <reference field="3" count="1" selected="0">
            <x v="1"/>
          </reference>
          <reference field="4" count="1" selected="0">
            <x v="138"/>
          </reference>
          <reference field="5" count="1" selected="0">
            <x v="0"/>
          </reference>
          <reference field="6" count="1">
            <x v="2"/>
          </reference>
        </references>
      </pivotArea>
    </format>
    <format dxfId="2267">
      <pivotArea dataOnly="0" labelOnly="1" outline="0" fieldPosition="0">
        <references count="5">
          <reference field="2" count="1" selected="0">
            <x v="3"/>
          </reference>
          <reference field="3" count="1" selected="0">
            <x v="1"/>
          </reference>
          <reference field="4" count="1" selected="0">
            <x v="1"/>
          </reference>
          <reference field="5" count="1" selected="0">
            <x v="0"/>
          </reference>
          <reference field="6" count="1">
            <x v="2"/>
          </reference>
        </references>
      </pivotArea>
    </format>
    <format dxfId="2266">
      <pivotArea dataOnly="0" labelOnly="1" outline="0" fieldPosition="0">
        <references count="5">
          <reference field="2" count="1" selected="0">
            <x v="4"/>
          </reference>
          <reference field="3" count="1" selected="0">
            <x v="0"/>
          </reference>
          <reference field="4" count="1" selected="0">
            <x v="129"/>
          </reference>
          <reference field="5" count="1" selected="0">
            <x v="1"/>
          </reference>
          <reference field="6" count="1">
            <x v="2"/>
          </reference>
        </references>
      </pivotArea>
    </format>
    <format dxfId="2265">
      <pivotArea dataOnly="0" labelOnly="1" outline="0" fieldPosition="0">
        <references count="5">
          <reference field="2" count="1" selected="0">
            <x v="5"/>
          </reference>
          <reference field="3" count="1" selected="0">
            <x v="2"/>
          </reference>
          <reference field="4" count="1" selected="0">
            <x v="11"/>
          </reference>
          <reference field="5" count="1" selected="0">
            <x v="3"/>
          </reference>
          <reference field="6" count="1">
            <x v="2"/>
          </reference>
        </references>
      </pivotArea>
    </format>
    <format dxfId="2264">
      <pivotArea dataOnly="0" labelOnly="1" outline="0" fieldPosition="0">
        <references count="2">
          <reference field="2" count="1" selected="0">
            <x v="2"/>
          </reference>
          <reference field="4" count="3">
            <x v="17"/>
            <x v="49"/>
            <x v="72"/>
          </reference>
        </references>
      </pivotArea>
    </format>
    <format dxfId="2263">
      <pivotArea dataOnly="0" labelOnly="1" outline="0" fieldPosition="0">
        <references count="2">
          <reference field="2" count="1" selected="0">
            <x v="3"/>
          </reference>
          <reference field="4" count="7">
            <x v="9"/>
            <x v="14"/>
            <x v="23"/>
            <x v="35"/>
            <x v="52"/>
            <x v="86"/>
            <x v="128"/>
          </reference>
        </references>
      </pivotArea>
    </format>
    <format dxfId="2262">
      <pivotArea dataOnly="0" labelOnly="1" outline="0" fieldPosition="0">
        <references count="2">
          <reference field="2" count="1" selected="0">
            <x v="4"/>
          </reference>
          <reference field="4" count="4">
            <x v="4"/>
            <x v="28"/>
            <x v="29"/>
            <x v="98"/>
          </reference>
        </references>
      </pivotArea>
    </format>
    <format dxfId="2261">
      <pivotArea dataOnly="0" labelOnly="1" outline="0" fieldPosition="0">
        <references count="3">
          <reference field="2" count="1" selected="0">
            <x v="1"/>
          </reference>
          <reference field="4" count="1" selected="0">
            <x v="15"/>
          </reference>
          <reference field="5" count="1">
            <x v="0"/>
          </reference>
        </references>
      </pivotArea>
    </format>
    <format dxfId="2260">
      <pivotArea dataOnly="0" labelOnly="1" outline="0" fieldPosition="0">
        <references count="3">
          <reference field="2" count="1" selected="0">
            <x v="3"/>
          </reference>
          <reference field="4" count="1" selected="0">
            <x v="23"/>
          </reference>
          <reference field="5" count="1">
            <x v="0"/>
          </reference>
        </references>
      </pivotArea>
    </format>
    <format dxfId="2259">
      <pivotArea dataOnly="0" labelOnly="1" outline="0" fieldPosition="0">
        <references count="3">
          <reference field="2" count="1" selected="0">
            <x v="3"/>
          </reference>
          <reference field="4" count="1" selected="0">
            <x v="86"/>
          </reference>
          <reference field="5" count="1">
            <x v="2"/>
          </reference>
        </references>
      </pivotArea>
    </format>
    <format dxfId="2258">
      <pivotArea dataOnly="0" labelOnly="1" outline="0" fieldPosition="0">
        <references count="3">
          <reference field="2" count="1" selected="0">
            <x v="4"/>
          </reference>
          <reference field="4" count="1" selected="0">
            <x v="28"/>
          </reference>
          <reference field="5" count="1">
            <x v="3"/>
          </reference>
        </references>
      </pivotArea>
    </format>
    <format dxfId="2257">
      <pivotArea dataOnly="0" labelOnly="1" outline="0" fieldPosition="0">
        <references count="3">
          <reference field="2" count="1" selected="0">
            <x v="4"/>
          </reference>
          <reference field="4" count="1" selected="0">
            <x v="29"/>
          </reference>
          <reference field="5" count="1">
            <x v="1"/>
          </reference>
        </references>
      </pivotArea>
    </format>
    <format dxfId="2256">
      <pivotArea dataOnly="0" labelOnly="1" outline="0" fieldPosition="0">
        <references count="3">
          <reference field="2" count="1" selected="0">
            <x v="6"/>
          </reference>
          <reference field="4" count="1" selected="0">
            <x v="81"/>
          </reference>
          <reference field="5" count="1">
            <x v="3"/>
          </reference>
        </references>
      </pivotArea>
    </format>
    <format dxfId="2255">
      <pivotArea dataOnly="0" labelOnly="1" outline="0" fieldPosition="0">
        <references count="4">
          <reference field="2" count="1" selected="0">
            <x v="1"/>
          </reference>
          <reference field="3" count="1">
            <x v="1"/>
          </reference>
          <reference field="4" count="1" selected="0">
            <x v="15"/>
          </reference>
          <reference field="5" count="1" selected="0">
            <x v="0"/>
          </reference>
        </references>
      </pivotArea>
    </format>
    <format dxfId="2254">
      <pivotArea dataOnly="0" labelOnly="1" outline="0" fieldPosition="0">
        <references count="4">
          <reference field="2" count="1" selected="0">
            <x v="3"/>
          </reference>
          <reference field="3" count="1">
            <x v="1"/>
          </reference>
          <reference field="4" count="1" selected="0">
            <x v="23"/>
          </reference>
          <reference field="5" count="1" selected="0">
            <x v="0"/>
          </reference>
        </references>
      </pivotArea>
    </format>
    <format dxfId="2253">
      <pivotArea dataOnly="0" labelOnly="1" outline="0" fieldPosition="0">
        <references count="4">
          <reference field="2" count="1" selected="0">
            <x v="3"/>
          </reference>
          <reference field="3" count="1">
            <x v="1"/>
          </reference>
          <reference field="4" count="1" selected="0">
            <x v="86"/>
          </reference>
          <reference field="5" count="1" selected="0">
            <x v="2"/>
          </reference>
        </references>
      </pivotArea>
    </format>
    <format dxfId="2252">
      <pivotArea dataOnly="0" labelOnly="1" outline="0" fieldPosition="0">
        <references count="4">
          <reference field="2" count="1" selected="0">
            <x v="3"/>
          </reference>
          <reference field="3" count="1">
            <x v="0"/>
          </reference>
          <reference field="4" count="1" selected="0">
            <x v="128"/>
          </reference>
          <reference field="5" count="1" selected="0">
            <x v="1"/>
          </reference>
        </references>
      </pivotArea>
    </format>
    <format dxfId="2251">
      <pivotArea dataOnly="0" labelOnly="1" outline="0" fieldPosition="0">
        <references count="5">
          <reference field="2" count="1" selected="0">
            <x v="3"/>
          </reference>
          <reference field="3" count="1" selected="0">
            <x v="0"/>
          </reference>
          <reference field="4" count="1" selected="0">
            <x v="52"/>
          </reference>
          <reference field="5" count="1" selected="0">
            <x v="1"/>
          </reference>
          <reference field="6" count="1">
            <x v="2"/>
          </reference>
        </references>
      </pivotArea>
    </format>
    <format dxfId="2250">
      <pivotArea dataOnly="0" labelOnly="1" outline="0" fieldPosition="0">
        <references count="5">
          <reference field="2" count="1" selected="0">
            <x v="3"/>
          </reference>
          <reference field="3" count="1" selected="0">
            <x v="1"/>
          </reference>
          <reference field="4" count="1" selected="0">
            <x v="86"/>
          </reference>
          <reference field="5" count="1" selected="0">
            <x v="2"/>
          </reference>
          <reference field="6" count="1">
            <x v="2"/>
          </reference>
        </references>
      </pivotArea>
    </format>
    <format dxfId="2249">
      <pivotArea dataOnly="0" labelOnly="1" outline="0" fieldPosition="0">
        <references count="5">
          <reference field="2" count="1" selected="0">
            <x v="4"/>
          </reference>
          <reference field="3" count="1" selected="0">
            <x v="0"/>
          </reference>
          <reference field="4" count="1" selected="0">
            <x v="28"/>
          </reference>
          <reference field="5" count="1" selected="0">
            <x v="3"/>
          </reference>
          <reference field="6" count="1">
            <x v="2"/>
          </reference>
        </references>
      </pivotArea>
    </format>
    <format dxfId="2248">
      <pivotArea dataOnly="0" labelOnly="1" outline="0" fieldPosition="0">
        <references count="2">
          <reference field="2" count="1" selected="0">
            <x v="1"/>
          </reference>
          <reference field="4" count="1">
            <x v="113"/>
          </reference>
        </references>
      </pivotArea>
    </format>
    <format dxfId="2247">
      <pivotArea dataOnly="0" labelOnly="1" outline="0" fieldPosition="0">
        <references count="2">
          <reference field="2" count="1" selected="0">
            <x v="2"/>
          </reference>
          <reference field="4" count="4">
            <x v="19"/>
            <x v="49"/>
            <x v="114"/>
            <x v="137"/>
          </reference>
        </references>
      </pivotArea>
    </format>
    <format dxfId="2246">
      <pivotArea dataOnly="0" labelOnly="1" outline="0" fieldPosition="0">
        <references count="2">
          <reference field="2" count="1" selected="0">
            <x v="3"/>
          </reference>
          <reference field="4" count="5">
            <x v="14"/>
            <x v="77"/>
            <x v="106"/>
            <x v="116"/>
            <x v="117"/>
          </reference>
        </references>
      </pivotArea>
    </format>
    <format dxfId="2245">
      <pivotArea dataOnly="0" labelOnly="1" outline="0" fieldPosition="0">
        <references count="2">
          <reference field="2" count="1" selected="0">
            <x v="4"/>
          </reference>
          <reference field="4" count="3">
            <x v="7"/>
            <x v="66"/>
            <x v="118"/>
          </reference>
        </references>
      </pivotArea>
    </format>
    <format dxfId="2244">
      <pivotArea dataOnly="0" labelOnly="1" outline="0" fieldPosition="0">
        <references count="2">
          <reference field="2" count="1" selected="0">
            <x v="6"/>
          </reference>
          <reference field="4" count="2">
            <x v="83"/>
            <x v="84"/>
          </reference>
        </references>
      </pivotArea>
    </format>
    <format dxfId="2243">
      <pivotArea dataOnly="0" labelOnly="1" outline="0" fieldPosition="0">
        <references count="3">
          <reference field="2" count="1" selected="0">
            <x v="1"/>
          </reference>
          <reference field="4" count="1" selected="0">
            <x v="113"/>
          </reference>
          <reference field="5" count="1">
            <x v="0"/>
          </reference>
        </references>
      </pivotArea>
    </format>
    <format dxfId="2242">
      <pivotArea dataOnly="0" labelOnly="1" outline="0" fieldPosition="0">
        <references count="3">
          <reference field="2" count="1" selected="0">
            <x v="4"/>
          </reference>
          <reference field="4" count="1" selected="0">
            <x v="66"/>
          </reference>
          <reference field="5" count="1">
            <x v="1"/>
          </reference>
        </references>
      </pivotArea>
    </format>
    <format dxfId="2241">
      <pivotArea dataOnly="0" labelOnly="1" outline="0" fieldPosition="0">
        <references count="3">
          <reference field="2" count="1" selected="0">
            <x v="6"/>
          </reference>
          <reference field="4" count="1" selected="0">
            <x v="83"/>
          </reference>
          <reference field="5" count="1">
            <x v="3"/>
          </reference>
        </references>
      </pivotArea>
    </format>
    <format dxfId="2240">
      <pivotArea dataOnly="0" labelOnly="1" outline="0" fieldPosition="0">
        <references count="4">
          <reference field="2" count="1" selected="0">
            <x v="1"/>
          </reference>
          <reference field="3" count="1">
            <x v="1"/>
          </reference>
          <reference field="4" count="1" selected="0">
            <x v="113"/>
          </reference>
          <reference field="5" count="1" selected="0">
            <x v="0"/>
          </reference>
        </references>
      </pivotArea>
    </format>
    <format dxfId="2239">
      <pivotArea dataOnly="0" labelOnly="1" outline="0" fieldPosition="0">
        <references count="4">
          <reference field="2" count="1" selected="0">
            <x v="4"/>
          </reference>
          <reference field="3" count="1">
            <x v="0"/>
          </reference>
          <reference field="4" count="1" selected="0">
            <x v="66"/>
          </reference>
          <reference field="5" count="1" selected="0">
            <x v="1"/>
          </reference>
        </references>
      </pivotArea>
    </format>
    <format dxfId="2238">
      <pivotArea dataOnly="0" labelOnly="1" outline="0" fieldPosition="0">
        <references count="4">
          <reference field="2" count="1" selected="0">
            <x v="6"/>
          </reference>
          <reference field="3" count="1">
            <x v="3"/>
          </reference>
          <reference field="4" count="1" selected="0">
            <x v="83"/>
          </reference>
          <reference field="5" count="1" selected="0">
            <x v="3"/>
          </reference>
        </references>
      </pivotArea>
    </format>
    <format dxfId="2237">
      <pivotArea dataOnly="0" labelOnly="1" outline="0" fieldPosition="0">
        <references count="5">
          <reference field="2" count="1" selected="0">
            <x v="1"/>
          </reference>
          <reference field="3" count="1" selected="0">
            <x v="1"/>
          </reference>
          <reference field="4" count="1" selected="0">
            <x v="113"/>
          </reference>
          <reference field="5" count="1" selected="0">
            <x v="0"/>
          </reference>
          <reference field="6" count="1">
            <x v="2"/>
          </reference>
        </references>
      </pivotArea>
    </format>
    <format dxfId="2236">
      <pivotArea dataOnly="0" labelOnly="1" outline="0" fieldPosition="0">
        <references count="5">
          <reference field="2" count="1" selected="0">
            <x v="2"/>
          </reference>
          <reference field="3" count="1" selected="0">
            <x v="1"/>
          </reference>
          <reference field="4" count="1" selected="0">
            <x v="49"/>
          </reference>
          <reference field="5" count="1" selected="0">
            <x v="0"/>
          </reference>
          <reference field="6" count="1">
            <x v="0"/>
          </reference>
        </references>
      </pivotArea>
    </format>
    <format dxfId="2235">
      <pivotArea dataOnly="0" labelOnly="1" outline="0" fieldPosition="0">
        <references count="5">
          <reference field="2" count="1" selected="0">
            <x v="2"/>
          </reference>
          <reference field="3" count="1" selected="0">
            <x v="1"/>
          </reference>
          <reference field="4" count="1" selected="0">
            <x v="114"/>
          </reference>
          <reference field="5" count="1" selected="0">
            <x v="0"/>
          </reference>
          <reference field="6" count="1">
            <x v="2"/>
          </reference>
        </references>
      </pivotArea>
    </format>
    <format dxfId="2234">
      <pivotArea dataOnly="0" labelOnly="1" outline="0" fieldPosition="0">
        <references count="5">
          <reference field="2" count="1" selected="0">
            <x v="2"/>
          </reference>
          <reference field="3" count="1" selected="0">
            <x v="1"/>
          </reference>
          <reference field="4" count="1" selected="0">
            <x v="137"/>
          </reference>
          <reference field="5" count="1" selected="0">
            <x v="0"/>
          </reference>
          <reference field="6" count="1">
            <x v="2"/>
          </reference>
        </references>
      </pivotArea>
    </format>
    <format dxfId="2233">
      <pivotArea dataOnly="0" labelOnly="1" outline="0" fieldPosition="0">
        <references count="5">
          <reference field="2" count="1" selected="0">
            <x v="3"/>
          </reference>
          <reference field="3" count="1" selected="0">
            <x v="0"/>
          </reference>
          <reference field="4" count="1" selected="0">
            <x v="116"/>
          </reference>
          <reference field="5" count="1" selected="0">
            <x v="1"/>
          </reference>
          <reference field="6" count="1">
            <x v="2"/>
          </reference>
        </references>
      </pivotArea>
    </format>
    <format dxfId="2232">
      <pivotArea dataOnly="0" labelOnly="1" outline="0" fieldPosition="0">
        <references count="5">
          <reference field="2" count="1" selected="0">
            <x v="3"/>
          </reference>
          <reference field="3" count="1" selected="0">
            <x v="0"/>
          </reference>
          <reference field="4" count="1" selected="0">
            <x v="117"/>
          </reference>
          <reference field="5" count="1" selected="0">
            <x v="1"/>
          </reference>
          <reference field="6" count="1">
            <x v="2"/>
          </reference>
        </references>
      </pivotArea>
    </format>
    <format dxfId="2231">
      <pivotArea dataOnly="0" labelOnly="1" outline="0" fieldPosition="0">
        <references count="5">
          <reference field="2" count="1" selected="0">
            <x v="4"/>
          </reference>
          <reference field="3" count="1" selected="0">
            <x v="0"/>
          </reference>
          <reference field="4" count="1" selected="0">
            <x v="118"/>
          </reference>
          <reference field="5" count="1" selected="0">
            <x v="1"/>
          </reference>
          <reference field="6" count="1">
            <x v="2"/>
          </reference>
        </references>
      </pivotArea>
    </format>
    <format dxfId="2230">
      <pivotArea dataOnly="0" labelOnly="1" outline="0" fieldPosition="0">
        <references count="5">
          <reference field="2" count="1" selected="0">
            <x v="6"/>
          </reference>
          <reference field="3" count="1" selected="0">
            <x v="3"/>
          </reference>
          <reference field="4" count="1" selected="0">
            <x v="83"/>
          </reference>
          <reference field="5" count="1" selected="0">
            <x v="3"/>
          </reference>
          <reference field="6" count="1">
            <x v="6"/>
          </reference>
        </references>
      </pivotArea>
    </format>
    <format dxfId="2229">
      <pivotArea dataOnly="0" labelOnly="1" outline="0" fieldPosition="0">
        <references count="5">
          <reference field="2" count="1" selected="0">
            <x v="6"/>
          </reference>
          <reference field="3" count="1" selected="0">
            <x v="3"/>
          </reference>
          <reference field="4" count="1" selected="0">
            <x v="84"/>
          </reference>
          <reference field="5" count="1" selected="0">
            <x v="3"/>
          </reference>
          <reference field="6" count="1">
            <x v="6"/>
          </reference>
        </references>
      </pivotArea>
    </format>
    <format dxfId="2228">
      <pivotArea dataOnly="0" labelOnly="1" outline="0" fieldPosition="0">
        <references count="2">
          <reference field="2" count="1" selected="0">
            <x v="3"/>
          </reference>
          <reference field="4" count="5">
            <x v="9"/>
            <x v="105"/>
            <x v="106"/>
            <x v="107"/>
            <x v="121"/>
          </reference>
        </references>
      </pivotArea>
    </format>
    <format dxfId="2227">
      <pivotArea dataOnly="0" labelOnly="1" outline="0" fieldPosition="0">
        <references count="3">
          <reference field="2" count="1" selected="0">
            <x v="3"/>
          </reference>
          <reference field="4" count="1" selected="0">
            <x v="9"/>
          </reference>
          <reference field="5" count="1">
            <x v="1"/>
          </reference>
        </references>
      </pivotArea>
    </format>
    <format dxfId="2226">
      <pivotArea dataOnly="0" labelOnly="1" outline="0" fieldPosition="0">
        <references count="4">
          <reference field="2" count="1" selected="0">
            <x v="3"/>
          </reference>
          <reference field="3" count="1">
            <x v="0"/>
          </reference>
          <reference field="4" count="1" selected="0">
            <x v="9"/>
          </reference>
          <reference field="5" count="1" selected="0">
            <x v="1"/>
          </reference>
        </references>
      </pivotArea>
    </format>
    <format dxfId="2225">
      <pivotArea dataOnly="0" labelOnly="1" outline="0" fieldPosition="0">
        <references count="5">
          <reference field="2" count="1" selected="0">
            <x v="3"/>
          </reference>
          <reference field="3" count="1" selected="0">
            <x v="0"/>
          </reference>
          <reference field="4" count="1" selected="0">
            <x v="9"/>
          </reference>
          <reference field="5" count="1" selected="0">
            <x v="1"/>
          </reference>
          <reference field="6" count="1">
            <x v="2"/>
          </reference>
        </references>
      </pivotArea>
    </format>
    <format dxfId="2224">
      <pivotArea dataOnly="0" labelOnly="1" outline="0" fieldPosition="0">
        <references count="2">
          <reference field="2" count="1" selected="0">
            <x v="3"/>
          </reference>
          <reference field="4" count="8">
            <x v="28"/>
            <x v="89"/>
            <x v="90"/>
            <x v="91"/>
            <x v="92"/>
            <x v="94"/>
            <x v="132"/>
            <x v="133"/>
          </reference>
        </references>
      </pivotArea>
    </format>
    <format dxfId="2223">
      <pivotArea dataOnly="0" labelOnly="1" outline="0" fieldPosition="0">
        <references count="2">
          <reference field="2" count="1" selected="0">
            <x v="4"/>
          </reference>
          <reference field="4" count="6">
            <x v="2"/>
            <x v="7"/>
            <x v="95"/>
            <x v="97"/>
            <x v="98"/>
            <x v="134"/>
          </reference>
        </references>
      </pivotArea>
    </format>
    <format dxfId="2222">
      <pivotArea dataOnly="0" labelOnly="1" outline="0" fieldPosition="0">
        <references count="2">
          <reference field="2" count="1" selected="0">
            <x v="6"/>
          </reference>
          <reference field="4" count="1">
            <x v="124"/>
          </reference>
        </references>
      </pivotArea>
    </format>
    <format dxfId="2221">
      <pivotArea dataOnly="0" labelOnly="1" outline="0" fieldPosition="0">
        <references count="3">
          <reference field="2" count="1" selected="0">
            <x v="3"/>
          </reference>
          <reference field="4" count="1" selected="0">
            <x v="89"/>
          </reference>
          <reference field="5" count="1">
            <x v="0"/>
          </reference>
        </references>
      </pivotArea>
    </format>
    <format dxfId="2220">
      <pivotArea dataOnly="0" labelOnly="1" outline="0" fieldPosition="0">
        <references count="3">
          <reference field="2" count="1" selected="0">
            <x v="3"/>
          </reference>
          <reference field="4" count="1" selected="0">
            <x v="133"/>
          </reference>
          <reference field="5" count="1">
            <x v="3"/>
          </reference>
        </references>
      </pivotArea>
    </format>
    <format dxfId="2219">
      <pivotArea dataOnly="0" labelOnly="1" outline="0" fieldPosition="0">
        <references count="3">
          <reference field="2" count="1" selected="0">
            <x v="4"/>
          </reference>
          <reference field="4" count="1" selected="0">
            <x v="7"/>
          </reference>
          <reference field="5" count="1">
            <x v="2"/>
          </reference>
        </references>
      </pivotArea>
    </format>
    <format dxfId="2218">
      <pivotArea dataOnly="0" labelOnly="1" outline="0" fieldPosition="0">
        <references count="3">
          <reference field="2" count="1" selected="0">
            <x v="4"/>
          </reference>
          <reference field="4" count="1" selected="0">
            <x v="95"/>
          </reference>
          <reference field="5" count="1">
            <x v="1"/>
          </reference>
        </references>
      </pivotArea>
    </format>
    <format dxfId="2217">
      <pivotArea dataOnly="0" labelOnly="1" outline="0" fieldPosition="0">
        <references count="3">
          <reference field="2" count="1" selected="0">
            <x v="4"/>
          </reference>
          <reference field="4" count="1" selected="0">
            <x v="134"/>
          </reference>
          <reference field="5" count="1">
            <x v="1"/>
          </reference>
        </references>
      </pivotArea>
    </format>
    <format dxfId="2216">
      <pivotArea dataOnly="0" labelOnly="1" outline="0" fieldPosition="0">
        <references count="3">
          <reference field="2" count="1" selected="0">
            <x v="6"/>
          </reference>
          <reference field="4" count="1" selected="0">
            <x v="124"/>
          </reference>
          <reference field="5" count="1">
            <x v="3"/>
          </reference>
        </references>
      </pivotArea>
    </format>
    <format dxfId="2215">
      <pivotArea dataOnly="0" labelOnly="1" outline="0" fieldPosition="0">
        <references count="4">
          <reference field="2" count="1" selected="0">
            <x v="3"/>
          </reference>
          <reference field="3" count="1">
            <x v="1"/>
          </reference>
          <reference field="4" count="1" selected="0">
            <x v="89"/>
          </reference>
          <reference field="5" count="1" selected="0">
            <x v="0"/>
          </reference>
        </references>
      </pivotArea>
    </format>
    <format dxfId="2214">
      <pivotArea dataOnly="0" labelOnly="1" outline="0" fieldPosition="0">
        <references count="4">
          <reference field="2" count="1" selected="0">
            <x v="3"/>
          </reference>
          <reference field="3" count="1">
            <x v="0"/>
          </reference>
          <reference field="4" count="1" selected="0">
            <x v="133"/>
          </reference>
          <reference field="5" count="1" selected="0">
            <x v="3"/>
          </reference>
        </references>
      </pivotArea>
    </format>
    <format dxfId="2213">
      <pivotArea dataOnly="0" labelOnly="1" outline="0" fieldPosition="0">
        <references count="4">
          <reference field="2" count="1" selected="0">
            <x v="4"/>
          </reference>
          <reference field="3" count="1">
            <x v="2"/>
          </reference>
          <reference field="4" count="1" selected="0">
            <x v="7"/>
          </reference>
          <reference field="5" count="1" selected="0">
            <x v="2"/>
          </reference>
        </references>
      </pivotArea>
    </format>
    <format dxfId="2212">
      <pivotArea dataOnly="0" labelOnly="1" outline="0" fieldPosition="0">
        <references count="4">
          <reference field="2" count="1" selected="0">
            <x v="4"/>
          </reference>
          <reference field="3" count="1">
            <x v="0"/>
          </reference>
          <reference field="4" count="1" selected="0">
            <x v="95"/>
          </reference>
          <reference field="5" count="1" selected="0">
            <x v="1"/>
          </reference>
        </references>
      </pivotArea>
    </format>
    <format dxfId="2211">
      <pivotArea dataOnly="0" labelOnly="1" outline="0" fieldPosition="0">
        <references count="4">
          <reference field="2" count="1" selected="0">
            <x v="4"/>
          </reference>
          <reference field="3" count="1">
            <x v="0"/>
          </reference>
          <reference field="4" count="1" selected="0">
            <x v="134"/>
          </reference>
          <reference field="5" count="1" selected="0">
            <x v="1"/>
          </reference>
        </references>
      </pivotArea>
    </format>
    <format dxfId="2210">
      <pivotArea dataOnly="0" labelOnly="1" outline="0" fieldPosition="0">
        <references count="4">
          <reference field="2" count="1" selected="0">
            <x v="6"/>
          </reference>
          <reference field="3" count="1">
            <x v="3"/>
          </reference>
          <reference field="4" count="1" selected="0">
            <x v="124"/>
          </reference>
          <reference field="5" count="1" selected="0">
            <x v="3"/>
          </reference>
        </references>
      </pivotArea>
    </format>
    <format dxfId="2209">
      <pivotArea dataOnly="0" labelOnly="1" outline="0" fieldPosition="0">
        <references count="5">
          <reference field="2" count="1" selected="0">
            <x v="3"/>
          </reference>
          <reference field="3" count="1" selected="0">
            <x v="1"/>
          </reference>
          <reference field="4" count="1" selected="0">
            <x v="89"/>
          </reference>
          <reference field="5" count="1" selected="0">
            <x v="0"/>
          </reference>
          <reference field="6" count="1">
            <x v="0"/>
          </reference>
        </references>
      </pivotArea>
    </format>
    <format dxfId="2208">
      <pivotArea dataOnly="0" labelOnly="1" outline="0" fieldPosition="0">
        <references count="5">
          <reference field="2" count="1" selected="0">
            <x v="3"/>
          </reference>
          <reference field="3" count="1" selected="0">
            <x v="1"/>
          </reference>
          <reference field="4" count="1" selected="0">
            <x v="91"/>
          </reference>
          <reference field="5" count="1" selected="0">
            <x v="0"/>
          </reference>
          <reference field="6" count="1">
            <x v="0"/>
          </reference>
        </references>
      </pivotArea>
    </format>
    <format dxfId="2207">
      <pivotArea dataOnly="0" labelOnly="1" outline="0" fieldPosition="0">
        <references count="5">
          <reference field="2" count="1" selected="0">
            <x v="3"/>
          </reference>
          <reference field="3" count="1" selected="0">
            <x v="0"/>
          </reference>
          <reference field="4" count="1" selected="0">
            <x v="133"/>
          </reference>
          <reference field="5" count="1" selected="0">
            <x v="3"/>
          </reference>
          <reference field="6" count="1">
            <x v="2"/>
          </reference>
        </references>
      </pivotArea>
    </format>
    <format dxfId="2206">
      <pivotArea dataOnly="0" labelOnly="1" outline="0" fieldPosition="0">
        <references count="5">
          <reference field="2" count="1" selected="0">
            <x v="4"/>
          </reference>
          <reference field="3" count="1" selected="0">
            <x v="2"/>
          </reference>
          <reference field="4" count="1" selected="0">
            <x v="7"/>
          </reference>
          <reference field="5" count="1" selected="0">
            <x v="2"/>
          </reference>
          <reference field="6" count="1">
            <x v="2"/>
          </reference>
        </references>
      </pivotArea>
    </format>
    <format dxfId="2205">
      <pivotArea dataOnly="0" labelOnly="1" outline="0" fieldPosition="0">
        <references count="5">
          <reference field="2" count="1" selected="0">
            <x v="4"/>
          </reference>
          <reference field="3" count="1" selected="0">
            <x v="0"/>
          </reference>
          <reference field="4" count="1" selected="0">
            <x v="134"/>
          </reference>
          <reference field="5" count="1" selected="0">
            <x v="1"/>
          </reference>
          <reference field="6" count="1">
            <x v="2"/>
          </reference>
        </references>
      </pivotArea>
    </format>
    <format dxfId="2204">
      <pivotArea dataOnly="0" labelOnly="1" outline="0" fieldPosition="0">
        <references count="5">
          <reference field="2" count="1" selected="0">
            <x v="6"/>
          </reference>
          <reference field="3" count="1" selected="0">
            <x v="3"/>
          </reference>
          <reference field="4" count="1" selected="0">
            <x v="124"/>
          </reference>
          <reference field="5" count="1" selected="0">
            <x v="3"/>
          </reference>
          <reference field="6" count="1">
            <x v="6"/>
          </reference>
        </references>
      </pivotArea>
    </format>
    <format dxfId="2203">
      <pivotArea dataOnly="0" labelOnly="1" outline="0" fieldPosition="0">
        <references count="1">
          <reference field="2" count="0"/>
        </references>
      </pivotArea>
    </format>
    <format dxfId="2202">
      <pivotArea dataOnly="0" labelOnly="1" outline="0" fieldPosition="0">
        <references count="2">
          <reference field="2" count="1" selected="0">
            <x v="0"/>
          </reference>
          <reference field="4" count="1">
            <x v="30"/>
          </reference>
        </references>
      </pivotArea>
    </format>
    <format dxfId="2201">
      <pivotArea dataOnly="0" labelOnly="1" outline="0" fieldPosition="0">
        <references count="2">
          <reference field="2" count="1" selected="0">
            <x v="1"/>
          </reference>
          <reference field="4" count="1">
            <x v="130"/>
          </reference>
        </references>
      </pivotArea>
    </format>
    <format dxfId="2200">
      <pivotArea dataOnly="0" labelOnly="1" outline="0" fieldPosition="0">
        <references count="2">
          <reference field="2" count="1" selected="0">
            <x v="2"/>
          </reference>
          <reference field="4" count="5">
            <x v="17"/>
            <x v="70"/>
            <x v="71"/>
            <x v="72"/>
            <x v="73"/>
          </reference>
        </references>
      </pivotArea>
    </format>
    <format dxfId="2199">
      <pivotArea dataOnly="0" labelOnly="1" outline="0" fieldPosition="0">
        <references count="2">
          <reference field="2" count="1" selected="0">
            <x v="3"/>
          </reference>
          <reference field="4" count="6">
            <x v="14"/>
            <x v="74"/>
            <x v="75"/>
            <x v="76"/>
            <x v="77"/>
            <x v="131"/>
          </reference>
        </references>
      </pivotArea>
    </format>
    <format dxfId="2198">
      <pivotArea dataOnly="0" labelOnly="1" outline="0" fieldPosition="0">
        <references count="2">
          <reference field="2" count="1" selected="0">
            <x v="4"/>
          </reference>
          <reference field="4" count="6">
            <x v="0"/>
            <x v="29"/>
            <x v="37"/>
            <x v="38"/>
            <x v="39"/>
            <x v="79"/>
          </reference>
        </references>
      </pivotArea>
    </format>
    <format dxfId="2197">
      <pivotArea dataOnly="0" labelOnly="1" outline="0" fieldPosition="0">
        <references count="2">
          <reference field="2" count="1" selected="0">
            <x v="5"/>
          </reference>
          <reference field="4" count="1">
            <x v="43"/>
          </reference>
        </references>
      </pivotArea>
    </format>
    <format dxfId="2196">
      <pivotArea dataOnly="0" labelOnly="1" outline="0" fieldPosition="0">
        <references count="2">
          <reference field="2" count="1" selected="0">
            <x v="6"/>
          </reference>
          <reference field="4" count="3">
            <x v="80"/>
            <x v="81"/>
            <x v="100"/>
          </reference>
        </references>
      </pivotArea>
    </format>
    <format dxfId="2195">
      <pivotArea dataOnly="0" labelOnly="1" outline="0" fieldPosition="0">
        <references count="3">
          <reference field="2" count="1" selected="0">
            <x v="0"/>
          </reference>
          <reference field="4" count="1" selected="0">
            <x v="30"/>
          </reference>
          <reference field="5" count="1">
            <x v="4"/>
          </reference>
        </references>
      </pivotArea>
    </format>
    <format dxfId="2194">
      <pivotArea dataOnly="0" labelOnly="1" outline="0" fieldPosition="0">
        <references count="3">
          <reference field="2" count="1" selected="0">
            <x v="1"/>
          </reference>
          <reference field="4" count="1" selected="0">
            <x v="130"/>
          </reference>
          <reference field="5" count="1">
            <x v="0"/>
          </reference>
        </references>
      </pivotArea>
    </format>
    <format dxfId="2193">
      <pivotArea dataOnly="0" labelOnly="1" outline="0" fieldPosition="0">
        <references count="3">
          <reference field="2" count="1" selected="0">
            <x v="3"/>
          </reference>
          <reference field="4" count="1" selected="0">
            <x v="14"/>
          </reference>
          <reference field="5" count="1">
            <x v="1"/>
          </reference>
        </references>
      </pivotArea>
    </format>
    <format dxfId="2192">
      <pivotArea dataOnly="0" labelOnly="1" outline="0" fieldPosition="0">
        <references count="3">
          <reference field="2" count="1" selected="0">
            <x v="3"/>
          </reference>
          <reference field="4" count="1" selected="0">
            <x v="74"/>
          </reference>
          <reference field="5" count="1">
            <x v="0"/>
          </reference>
        </references>
      </pivotArea>
    </format>
    <format dxfId="2191">
      <pivotArea dataOnly="0" labelOnly="1" outline="0" fieldPosition="0">
        <references count="3">
          <reference field="2" count="1" selected="0">
            <x v="3"/>
          </reference>
          <reference field="4" count="1" selected="0">
            <x v="75"/>
          </reference>
          <reference field="5" count="1">
            <x v="1"/>
          </reference>
        </references>
      </pivotArea>
    </format>
    <format dxfId="2190">
      <pivotArea dataOnly="0" labelOnly="1" outline="0" fieldPosition="0">
        <references count="3">
          <reference field="2" count="1" selected="0">
            <x v="4"/>
          </reference>
          <reference field="4" count="1" selected="0">
            <x v="79"/>
          </reference>
          <reference field="5" count="1">
            <x v="2"/>
          </reference>
        </references>
      </pivotArea>
    </format>
    <format dxfId="2189">
      <pivotArea dataOnly="0" labelOnly="1" outline="0" fieldPosition="0">
        <references count="3">
          <reference field="2" count="1" selected="0">
            <x v="5"/>
          </reference>
          <reference field="4" count="1" selected="0">
            <x v="43"/>
          </reference>
          <reference field="5" count="1">
            <x v="6"/>
          </reference>
        </references>
      </pivotArea>
    </format>
    <format dxfId="2188">
      <pivotArea dataOnly="0" labelOnly="1" outline="0" fieldPosition="0">
        <references count="3">
          <reference field="2" count="1" selected="0">
            <x v="6"/>
          </reference>
          <reference field="4" count="1" selected="0">
            <x v="80"/>
          </reference>
          <reference field="5" count="1">
            <x v="3"/>
          </reference>
        </references>
      </pivotArea>
    </format>
    <format dxfId="2187">
      <pivotArea dataOnly="0" labelOnly="1" outline="0" fieldPosition="0">
        <references count="4">
          <reference field="2" count="1" selected="0">
            <x v="0"/>
          </reference>
          <reference field="3" count="1">
            <x v="2"/>
          </reference>
          <reference field="4" count="1" selected="0">
            <x v="30"/>
          </reference>
          <reference field="5" count="1" selected="0">
            <x v="4"/>
          </reference>
        </references>
      </pivotArea>
    </format>
    <format dxfId="2186">
      <pivotArea dataOnly="0" labelOnly="1" outline="0" fieldPosition="0">
        <references count="4">
          <reference field="2" count="1" selected="0">
            <x v="1"/>
          </reference>
          <reference field="3" count="1">
            <x v="1"/>
          </reference>
          <reference field="4" count="1" selected="0">
            <x v="130"/>
          </reference>
          <reference field="5" count="1" selected="0">
            <x v="0"/>
          </reference>
        </references>
      </pivotArea>
    </format>
    <format dxfId="2185">
      <pivotArea dataOnly="0" labelOnly="1" outline="0" fieldPosition="0">
        <references count="4">
          <reference field="2" count="1" selected="0">
            <x v="3"/>
          </reference>
          <reference field="3" count="1">
            <x v="0"/>
          </reference>
          <reference field="4" count="1" selected="0">
            <x v="14"/>
          </reference>
          <reference field="5" count="1" selected="0">
            <x v="1"/>
          </reference>
        </references>
      </pivotArea>
    </format>
    <format dxfId="2184">
      <pivotArea dataOnly="0" labelOnly="1" outline="0" fieldPosition="0">
        <references count="4">
          <reference field="2" count="1" selected="0">
            <x v="3"/>
          </reference>
          <reference field="3" count="1">
            <x v="1"/>
          </reference>
          <reference field="4" count="1" selected="0">
            <x v="74"/>
          </reference>
          <reference field="5" count="1" selected="0">
            <x v="0"/>
          </reference>
        </references>
      </pivotArea>
    </format>
    <format dxfId="2183">
      <pivotArea dataOnly="0" labelOnly="1" outline="0" fieldPosition="0">
        <references count="4">
          <reference field="2" count="1" selected="0">
            <x v="3"/>
          </reference>
          <reference field="3" count="1">
            <x v="0"/>
          </reference>
          <reference field="4" count="1" selected="0">
            <x v="75"/>
          </reference>
          <reference field="5" count="1" selected="0">
            <x v="1"/>
          </reference>
        </references>
      </pivotArea>
    </format>
    <format dxfId="2182">
      <pivotArea dataOnly="0" labelOnly="1" outline="0" fieldPosition="0">
        <references count="4">
          <reference field="2" count="1" selected="0">
            <x v="4"/>
          </reference>
          <reference field="3" count="1">
            <x v="2"/>
          </reference>
          <reference field="4" count="1" selected="0">
            <x v="79"/>
          </reference>
          <reference field="5" count="1" selected="0">
            <x v="2"/>
          </reference>
        </references>
      </pivotArea>
    </format>
    <format dxfId="2181">
      <pivotArea dataOnly="0" labelOnly="1" outline="0" fieldPosition="0">
        <references count="4">
          <reference field="2" count="1" selected="0">
            <x v="5"/>
          </reference>
          <reference field="3" count="1">
            <x v="3"/>
          </reference>
          <reference field="4" count="1" selected="0">
            <x v="43"/>
          </reference>
          <reference field="5" count="1" selected="0">
            <x v="6"/>
          </reference>
        </references>
      </pivotArea>
    </format>
    <format dxfId="2180">
      <pivotArea dataOnly="0" labelOnly="1" outline="0" fieldPosition="0">
        <references count="4">
          <reference field="2" count="1" selected="0">
            <x v="6"/>
          </reference>
          <reference field="3" count="1">
            <x v="2"/>
          </reference>
          <reference field="4" count="1" selected="0">
            <x v="80"/>
          </reference>
          <reference field="5" count="1" selected="0">
            <x v="3"/>
          </reference>
        </references>
      </pivotArea>
    </format>
    <format dxfId="2179">
      <pivotArea dataOnly="0" labelOnly="1" outline="0" fieldPosition="0">
        <references count="4">
          <reference field="2" count="1" selected="0">
            <x v="6"/>
          </reference>
          <reference field="3" count="1">
            <x v="3"/>
          </reference>
          <reference field="4" count="1" selected="0">
            <x v="100"/>
          </reference>
          <reference field="5" count="1" selected="0">
            <x v="3"/>
          </reference>
        </references>
      </pivotArea>
    </format>
    <format dxfId="2178">
      <pivotArea dataOnly="0" labelOnly="1" outline="0" fieldPosition="0">
        <references count="5">
          <reference field="2" count="1" selected="0">
            <x v="0"/>
          </reference>
          <reference field="3" count="1" selected="0">
            <x v="2"/>
          </reference>
          <reference field="4" count="1" selected="0">
            <x v="30"/>
          </reference>
          <reference field="5" count="1" selected="0">
            <x v="4"/>
          </reference>
          <reference field="6" count="1">
            <x v="2"/>
          </reference>
        </references>
      </pivotArea>
    </format>
    <format dxfId="2177">
      <pivotArea dataOnly="0" labelOnly="1" outline="0" fieldPosition="0">
        <references count="5">
          <reference field="2" count="1" selected="0">
            <x v="1"/>
          </reference>
          <reference field="3" count="1" selected="0">
            <x v="1"/>
          </reference>
          <reference field="4" count="1" selected="0">
            <x v="130"/>
          </reference>
          <reference field="5" count="1" selected="0">
            <x v="0"/>
          </reference>
          <reference field="6" count="1">
            <x v="2"/>
          </reference>
        </references>
      </pivotArea>
    </format>
    <format dxfId="2176">
      <pivotArea dataOnly="0" labelOnly="1" outline="0" fieldPosition="0">
        <references count="5">
          <reference field="2" count="1" selected="0">
            <x v="2"/>
          </reference>
          <reference field="3" count="1" selected="0">
            <x v="1"/>
          </reference>
          <reference field="4" count="1" selected="0">
            <x v="17"/>
          </reference>
          <reference field="5" count="1" selected="0">
            <x v="0"/>
          </reference>
          <reference field="6" count="1">
            <x v="3"/>
          </reference>
        </references>
      </pivotArea>
    </format>
    <format dxfId="2175">
      <pivotArea dataOnly="0" labelOnly="1" outline="0" fieldPosition="0">
        <references count="5">
          <reference field="2" count="1" selected="0">
            <x v="2"/>
          </reference>
          <reference field="3" count="1" selected="0">
            <x v="1"/>
          </reference>
          <reference field="4" count="1" selected="0">
            <x v="70"/>
          </reference>
          <reference field="5" count="1" selected="0">
            <x v="0"/>
          </reference>
          <reference field="6" count="1">
            <x v="0"/>
          </reference>
        </references>
      </pivotArea>
    </format>
    <format dxfId="2174">
      <pivotArea dataOnly="0" labelOnly="1" outline="0" fieldPosition="0">
        <references count="5">
          <reference field="2" count="1" selected="0">
            <x v="2"/>
          </reference>
          <reference field="3" count="1" selected="0">
            <x v="1"/>
          </reference>
          <reference field="4" count="1" selected="0">
            <x v="71"/>
          </reference>
          <reference field="5" count="1" selected="0">
            <x v="0"/>
          </reference>
          <reference field="6" count="1">
            <x v="2"/>
          </reference>
        </references>
      </pivotArea>
    </format>
    <format dxfId="2173">
      <pivotArea dataOnly="0" labelOnly="1" outline="0" fieldPosition="0">
        <references count="5">
          <reference field="2" count="1" selected="0">
            <x v="2"/>
          </reference>
          <reference field="3" count="1" selected="0">
            <x v="1"/>
          </reference>
          <reference field="4" count="1" selected="0">
            <x v="72"/>
          </reference>
          <reference field="5" count="1" selected="0">
            <x v="0"/>
          </reference>
          <reference field="6" count="1">
            <x v="2"/>
          </reference>
        </references>
      </pivotArea>
    </format>
    <format dxfId="2172">
      <pivotArea dataOnly="0" labelOnly="1" outline="0" fieldPosition="0">
        <references count="5">
          <reference field="2" count="1" selected="0">
            <x v="3"/>
          </reference>
          <reference field="3" count="1" selected="0">
            <x v="0"/>
          </reference>
          <reference field="4" count="1" selected="0">
            <x v="14"/>
          </reference>
          <reference field="5" count="1" selected="0">
            <x v="1"/>
          </reference>
          <reference field="6" count="1">
            <x v="2"/>
          </reference>
        </references>
      </pivotArea>
    </format>
    <format dxfId="2171">
      <pivotArea dataOnly="0" labelOnly="1" outline="0" fieldPosition="0">
        <references count="5">
          <reference field="2" count="1" selected="0">
            <x v="3"/>
          </reference>
          <reference field="3" count="1" selected="0">
            <x v="1"/>
          </reference>
          <reference field="4" count="1" selected="0">
            <x v="74"/>
          </reference>
          <reference field="5" count="1" selected="0">
            <x v="0"/>
          </reference>
          <reference field="6" count="1">
            <x v="0"/>
          </reference>
        </references>
      </pivotArea>
    </format>
    <format dxfId="2170">
      <pivotArea dataOnly="0" labelOnly="1" outline="0" fieldPosition="0">
        <references count="5">
          <reference field="2" count="1" selected="0">
            <x v="3"/>
          </reference>
          <reference field="3" count="1" selected="0">
            <x v="0"/>
          </reference>
          <reference field="4" count="1" selected="0">
            <x v="75"/>
          </reference>
          <reference field="5" count="1" selected="0">
            <x v="1"/>
          </reference>
          <reference field="6" count="1">
            <x v="2"/>
          </reference>
        </references>
      </pivotArea>
    </format>
    <format dxfId="2169">
      <pivotArea dataOnly="0" labelOnly="1" outline="0" fieldPosition="0">
        <references count="5">
          <reference field="2" count="1" selected="0">
            <x v="3"/>
          </reference>
          <reference field="3" count="1" selected="0">
            <x v="0"/>
          </reference>
          <reference field="4" count="1" selected="0">
            <x v="76"/>
          </reference>
          <reference field="5" count="1" selected="0">
            <x v="1"/>
          </reference>
          <reference field="6" count="1">
            <x v="2"/>
          </reference>
        </references>
      </pivotArea>
    </format>
    <format dxfId="2168">
      <pivotArea dataOnly="0" labelOnly="1" outline="0" fieldPosition="0">
        <references count="5">
          <reference field="2" count="1" selected="0">
            <x v="3"/>
          </reference>
          <reference field="3" count="1" selected="0">
            <x v="0"/>
          </reference>
          <reference field="4" count="1" selected="0">
            <x v="77"/>
          </reference>
          <reference field="5" count="1" selected="0">
            <x v="1"/>
          </reference>
          <reference field="6" count="1">
            <x v="2"/>
          </reference>
        </references>
      </pivotArea>
    </format>
    <format dxfId="2167">
      <pivotArea dataOnly="0" labelOnly="1" outline="0" fieldPosition="0">
        <references count="5">
          <reference field="2" count="1" selected="0">
            <x v="3"/>
          </reference>
          <reference field="3" count="1" selected="0">
            <x v="0"/>
          </reference>
          <reference field="4" count="1" selected="0">
            <x v="131"/>
          </reference>
          <reference field="5" count="1" selected="0">
            <x v="1"/>
          </reference>
          <reference field="6" count="1">
            <x v="2"/>
          </reference>
        </references>
      </pivotArea>
    </format>
    <format dxfId="2166">
      <pivotArea dataOnly="0" labelOnly="1" outline="0" fieldPosition="0">
        <references count="5">
          <reference field="2" count="1" selected="0">
            <x v="4"/>
          </reference>
          <reference field="3" count="1" selected="0">
            <x v="0"/>
          </reference>
          <reference field="4" count="1" selected="0">
            <x v="0"/>
          </reference>
          <reference field="5" count="1" selected="0">
            <x v="1"/>
          </reference>
          <reference field="6" count="1">
            <x v="2"/>
          </reference>
        </references>
      </pivotArea>
    </format>
    <format dxfId="2165">
      <pivotArea dataOnly="0" labelOnly="1" outline="0" fieldPosition="0">
        <references count="5">
          <reference field="2" count="1" selected="0">
            <x v="4"/>
          </reference>
          <reference field="3" count="1" selected="0">
            <x v="0"/>
          </reference>
          <reference field="4" count="1" selected="0">
            <x v="29"/>
          </reference>
          <reference field="5" count="1" selected="0">
            <x v="1"/>
          </reference>
          <reference field="6" count="1">
            <x v="2"/>
          </reference>
        </references>
      </pivotArea>
    </format>
    <format dxfId="2164">
      <pivotArea dataOnly="0" labelOnly="1" outline="0" fieldPosition="0">
        <references count="5">
          <reference field="2" count="1" selected="0">
            <x v="4"/>
          </reference>
          <reference field="3" count="1" selected="0">
            <x v="0"/>
          </reference>
          <reference field="4" count="1" selected="0">
            <x v="37"/>
          </reference>
          <reference field="5" count="1" selected="0">
            <x v="1"/>
          </reference>
          <reference field="6" count="1">
            <x v="2"/>
          </reference>
        </references>
      </pivotArea>
    </format>
    <format dxfId="2163">
      <pivotArea dataOnly="0" labelOnly="1" outline="0" fieldPosition="0">
        <references count="5">
          <reference field="2" count="1" selected="0">
            <x v="4"/>
          </reference>
          <reference field="3" count="1" selected="0">
            <x v="0"/>
          </reference>
          <reference field="4" count="1" selected="0">
            <x v="38"/>
          </reference>
          <reference field="5" count="1" selected="0">
            <x v="1"/>
          </reference>
          <reference field="6" count="1">
            <x v="2"/>
          </reference>
        </references>
      </pivotArea>
    </format>
    <format dxfId="2162">
      <pivotArea dataOnly="0" labelOnly="1" outline="0" fieldPosition="0">
        <references count="5">
          <reference field="2" count="1" selected="0">
            <x v="4"/>
          </reference>
          <reference field="3" count="1" selected="0">
            <x v="0"/>
          </reference>
          <reference field="4" count="1" selected="0">
            <x v="39"/>
          </reference>
          <reference field="5" count="1" selected="0">
            <x v="1"/>
          </reference>
          <reference field="6" count="1">
            <x v="2"/>
          </reference>
        </references>
      </pivotArea>
    </format>
    <format dxfId="2161">
      <pivotArea dataOnly="0" labelOnly="1" outline="0" fieldPosition="0">
        <references count="5">
          <reference field="2" count="1" selected="0">
            <x v="4"/>
          </reference>
          <reference field="3" count="1" selected="0">
            <x v="2"/>
          </reference>
          <reference field="4" count="1" selected="0">
            <x v="79"/>
          </reference>
          <reference field="5" count="1" selected="0">
            <x v="2"/>
          </reference>
          <reference field="6" count="1">
            <x v="2"/>
          </reference>
        </references>
      </pivotArea>
    </format>
    <format dxfId="2160">
      <pivotArea dataOnly="0" labelOnly="1" outline="0" fieldPosition="0">
        <references count="5">
          <reference field="2" count="1" selected="0">
            <x v="5"/>
          </reference>
          <reference field="3" count="1" selected="0">
            <x v="3"/>
          </reference>
          <reference field="4" count="1" selected="0">
            <x v="43"/>
          </reference>
          <reference field="5" count="1" selected="0">
            <x v="6"/>
          </reference>
          <reference field="6" count="1">
            <x v="5"/>
          </reference>
        </references>
      </pivotArea>
    </format>
    <format dxfId="2159">
      <pivotArea dataOnly="0" labelOnly="1" outline="0" fieldPosition="0">
        <references count="5">
          <reference field="2" count="1" selected="0">
            <x v="6"/>
          </reference>
          <reference field="3" count="1" selected="0">
            <x v="2"/>
          </reference>
          <reference field="4" count="1" selected="0">
            <x v="80"/>
          </reference>
          <reference field="5" count="1" selected="0">
            <x v="3"/>
          </reference>
          <reference field="6" count="1">
            <x v="3"/>
          </reference>
        </references>
      </pivotArea>
    </format>
    <format dxfId="2158">
      <pivotArea dataOnly="0" labelOnly="1" outline="0" fieldPosition="0">
        <references count="5">
          <reference field="2" count="1" selected="0">
            <x v="6"/>
          </reference>
          <reference field="3" count="1" selected="0">
            <x v="2"/>
          </reference>
          <reference field="4" count="1" selected="0">
            <x v="81"/>
          </reference>
          <reference field="5" count="1" selected="0">
            <x v="3"/>
          </reference>
          <reference field="6" count="1">
            <x v="6"/>
          </reference>
        </references>
      </pivotArea>
    </format>
    <format dxfId="2157">
      <pivotArea dataOnly="0" labelOnly="1" outline="0" fieldPosition="0">
        <references count="5">
          <reference field="2" count="1" selected="0">
            <x v="6"/>
          </reference>
          <reference field="3" count="1" selected="0">
            <x v="3"/>
          </reference>
          <reference field="4" count="1" selected="0">
            <x v="100"/>
          </reference>
          <reference field="5" count="1" selected="0">
            <x v="3"/>
          </reference>
          <reference field="6" count="1">
            <x v="6"/>
          </reference>
        </references>
      </pivotArea>
    </format>
    <format dxfId="2156">
      <pivotArea dataOnly="0" labelOnly="1" outline="0" fieldPosition="0">
        <references count="1">
          <reference field="2" count="6">
            <x v="1"/>
            <x v="2"/>
            <x v="3"/>
            <x v="4"/>
            <x v="5"/>
            <x v="6"/>
          </reference>
        </references>
      </pivotArea>
    </format>
    <format dxfId="2155">
      <pivotArea dataOnly="0" labelOnly="1" outline="0" fieldPosition="0">
        <references count="2">
          <reference field="2" count="1" selected="0">
            <x v="1"/>
          </reference>
          <reference field="4" count="1">
            <x v="31"/>
          </reference>
        </references>
      </pivotArea>
    </format>
    <format dxfId="2154">
      <pivotArea dataOnly="0" labelOnly="1" outline="0" fieldPosition="0">
        <references count="2">
          <reference field="2" count="1" selected="0">
            <x v="2"/>
          </reference>
          <reference field="4" count="7">
            <x v="6"/>
            <x v="32"/>
            <x v="34"/>
            <x v="58"/>
            <x v="59"/>
            <x v="60"/>
            <x v="61"/>
          </reference>
        </references>
      </pivotArea>
    </format>
    <format dxfId="2153">
      <pivotArea dataOnly="0" labelOnly="1" outline="0" fieldPosition="0">
        <references count="2">
          <reference field="2" count="1" selected="0">
            <x v="3"/>
          </reference>
          <reference field="4" count="7">
            <x v="23"/>
            <x v="25"/>
            <x v="26"/>
            <x v="62"/>
            <x v="63"/>
            <x v="64"/>
            <x v="65"/>
          </reference>
        </references>
      </pivotArea>
    </format>
    <format dxfId="2152">
      <pivotArea dataOnly="0" labelOnly="1" outline="0" fieldPosition="0">
        <references count="2">
          <reference field="2" count="1" selected="0">
            <x v="4"/>
          </reference>
          <reference field="4" count="3">
            <x v="66"/>
            <x v="67"/>
            <x v="68"/>
          </reference>
        </references>
      </pivotArea>
    </format>
    <format dxfId="2151">
      <pivotArea dataOnly="0" labelOnly="1" outline="0" fieldPosition="0">
        <references count="2">
          <reference field="2" count="1" selected="0">
            <x v="5"/>
          </reference>
          <reference field="4" count="2">
            <x v="12"/>
            <x v="42"/>
          </reference>
        </references>
      </pivotArea>
    </format>
    <format dxfId="2150">
      <pivotArea dataOnly="0" labelOnly="1" outline="0" fieldPosition="0">
        <references count="2">
          <reference field="2" count="1" selected="0">
            <x v="6"/>
          </reference>
          <reference field="4" count="1">
            <x v="5"/>
          </reference>
        </references>
      </pivotArea>
    </format>
    <format dxfId="2149">
      <pivotArea dataOnly="0" labelOnly="1" outline="0" fieldPosition="0">
        <references count="3">
          <reference field="2" count="1" selected="0">
            <x v="1"/>
          </reference>
          <reference field="4" count="1" selected="0">
            <x v="31"/>
          </reference>
          <reference field="5" count="1">
            <x v="0"/>
          </reference>
        </references>
      </pivotArea>
    </format>
    <format dxfId="2148">
      <pivotArea dataOnly="0" labelOnly="1" outline="0" fieldPosition="0">
        <references count="3">
          <reference field="2" count="1" selected="0">
            <x v="2"/>
          </reference>
          <reference field="4" count="1" selected="0">
            <x v="32"/>
          </reference>
          <reference field="5" count="1">
            <x v="1"/>
          </reference>
        </references>
      </pivotArea>
    </format>
    <format dxfId="2147">
      <pivotArea dataOnly="0" labelOnly="1" outline="0" fieldPosition="0">
        <references count="3">
          <reference field="2" count="1" selected="0">
            <x v="2"/>
          </reference>
          <reference field="4" count="1" selected="0">
            <x v="34"/>
          </reference>
          <reference field="5" count="1">
            <x v="0"/>
          </reference>
        </references>
      </pivotArea>
    </format>
    <format dxfId="2146">
      <pivotArea dataOnly="0" labelOnly="1" outline="0" fieldPosition="0">
        <references count="3">
          <reference field="2" count="1" selected="0">
            <x v="3"/>
          </reference>
          <reference field="4" count="1" selected="0">
            <x v="25"/>
          </reference>
          <reference field="5" count="1">
            <x v="1"/>
          </reference>
        </references>
      </pivotArea>
    </format>
    <format dxfId="2145">
      <pivotArea dataOnly="0" labelOnly="1" outline="0" fieldPosition="0">
        <references count="3">
          <reference field="2" count="1" selected="0">
            <x v="3"/>
          </reference>
          <reference field="4" count="1" selected="0">
            <x v="62"/>
          </reference>
          <reference field="5" count="1">
            <x v="0"/>
          </reference>
        </references>
      </pivotArea>
    </format>
    <format dxfId="2144">
      <pivotArea dataOnly="0" labelOnly="1" outline="0" fieldPosition="0">
        <references count="3">
          <reference field="2" count="1" selected="0">
            <x v="3"/>
          </reference>
          <reference field="4" count="1" selected="0">
            <x v="63"/>
          </reference>
          <reference field="5" count="1">
            <x v="1"/>
          </reference>
        </references>
      </pivotArea>
    </format>
    <format dxfId="2143">
      <pivotArea dataOnly="0" labelOnly="1" outline="0" fieldPosition="0">
        <references count="3">
          <reference field="2" count="1" selected="0">
            <x v="4"/>
          </reference>
          <reference field="4" count="1" selected="0">
            <x v="67"/>
          </reference>
          <reference field="5" count="1">
            <x v="2"/>
          </reference>
        </references>
      </pivotArea>
    </format>
    <format dxfId="2142">
      <pivotArea dataOnly="0" labelOnly="1" outline="0" fieldPosition="0">
        <references count="3">
          <reference field="2" count="1" selected="0">
            <x v="5"/>
          </reference>
          <reference field="4" count="1" selected="0">
            <x v="12"/>
          </reference>
          <reference field="5" count="1">
            <x v="3"/>
          </reference>
        </references>
      </pivotArea>
    </format>
    <format dxfId="2141">
      <pivotArea dataOnly="0" labelOnly="1" outline="0" fieldPosition="0">
        <references count="4">
          <reference field="2" count="1" selected="0">
            <x v="1"/>
          </reference>
          <reference field="3" count="1">
            <x v="1"/>
          </reference>
          <reference field="4" count="1" selected="0">
            <x v="31"/>
          </reference>
          <reference field="5" count="1" selected="0">
            <x v="0"/>
          </reference>
        </references>
      </pivotArea>
    </format>
    <format dxfId="2140">
      <pivotArea dataOnly="0" labelOnly="1" outline="0" fieldPosition="0">
        <references count="4">
          <reference field="2" count="1" selected="0">
            <x v="3"/>
          </reference>
          <reference field="3" count="1">
            <x v="0"/>
          </reference>
          <reference field="4" count="1" selected="0">
            <x v="25"/>
          </reference>
          <reference field="5" count="1" selected="0">
            <x v="1"/>
          </reference>
        </references>
      </pivotArea>
    </format>
    <format dxfId="2139">
      <pivotArea dataOnly="0" labelOnly="1" outline="0" fieldPosition="0">
        <references count="4">
          <reference field="2" count="1" selected="0">
            <x v="3"/>
          </reference>
          <reference field="3" count="1">
            <x v="1"/>
          </reference>
          <reference field="4" count="1" selected="0">
            <x v="62"/>
          </reference>
          <reference field="5" count="1" selected="0">
            <x v="0"/>
          </reference>
        </references>
      </pivotArea>
    </format>
    <format dxfId="2138">
      <pivotArea dataOnly="0" labelOnly="1" outline="0" fieldPosition="0">
        <references count="4">
          <reference field="2" count="1" selected="0">
            <x v="3"/>
          </reference>
          <reference field="3" count="1">
            <x v="0"/>
          </reference>
          <reference field="4" count="1" selected="0">
            <x v="63"/>
          </reference>
          <reference field="5" count="1" selected="0">
            <x v="1"/>
          </reference>
        </references>
      </pivotArea>
    </format>
    <format dxfId="2137">
      <pivotArea dataOnly="0" labelOnly="1" outline="0" fieldPosition="0">
        <references count="4">
          <reference field="2" count="1" selected="0">
            <x v="4"/>
          </reference>
          <reference field="3" count="1">
            <x v="2"/>
          </reference>
          <reference field="4" count="1" selected="0">
            <x v="67"/>
          </reference>
          <reference field="5" count="1" selected="0">
            <x v="2"/>
          </reference>
        </references>
      </pivotArea>
    </format>
    <format dxfId="2136">
      <pivotArea dataOnly="0" labelOnly="1" outline="0" fieldPosition="0">
        <references count="4">
          <reference field="2" count="1" selected="0">
            <x v="5"/>
          </reference>
          <reference field="3" count="1">
            <x v="3"/>
          </reference>
          <reference field="4" count="1" selected="0">
            <x v="42"/>
          </reference>
          <reference field="5" count="1" selected="0">
            <x v="3"/>
          </reference>
        </references>
      </pivotArea>
    </format>
    <format dxfId="2135">
      <pivotArea dataOnly="0" labelOnly="1" outline="0" fieldPosition="0">
        <references count="5">
          <reference field="2" count="1" selected="0">
            <x v="1"/>
          </reference>
          <reference field="3" count="1" selected="0">
            <x v="1"/>
          </reference>
          <reference field="4" count="1" selected="0">
            <x v="31"/>
          </reference>
          <reference field="5" count="1" selected="0">
            <x v="0"/>
          </reference>
          <reference field="6" count="1">
            <x v="2"/>
          </reference>
        </references>
      </pivotArea>
    </format>
    <format dxfId="2134">
      <pivotArea dataOnly="0" labelOnly="1" outline="0" fieldPosition="0">
        <references count="5">
          <reference field="2" count="1" selected="0">
            <x v="2"/>
          </reference>
          <reference field="3" count="1" selected="0">
            <x v="1"/>
          </reference>
          <reference field="4" count="1" selected="0">
            <x v="6"/>
          </reference>
          <reference field="5" count="1" selected="0">
            <x v="0"/>
          </reference>
          <reference field="6" count="1">
            <x v="0"/>
          </reference>
        </references>
      </pivotArea>
    </format>
    <format dxfId="2133">
      <pivotArea dataOnly="0" labelOnly="1" outline="0" fieldPosition="0">
        <references count="5">
          <reference field="2" count="1" selected="0">
            <x v="2"/>
          </reference>
          <reference field="3" count="1" selected="0">
            <x v="1"/>
          </reference>
          <reference field="4" count="1" selected="0">
            <x v="32"/>
          </reference>
          <reference field="5" count="1" selected="0">
            <x v="1"/>
          </reference>
          <reference field="6" count="1">
            <x v="4"/>
          </reference>
        </references>
      </pivotArea>
    </format>
    <format dxfId="2132">
      <pivotArea dataOnly="0" labelOnly="1" outline="0" fieldPosition="0">
        <references count="5">
          <reference field="2" count="1" selected="0">
            <x v="2"/>
          </reference>
          <reference field="3" count="1" selected="0">
            <x v="1"/>
          </reference>
          <reference field="4" count="1" selected="0">
            <x v="34"/>
          </reference>
          <reference field="5" count="1" selected="0">
            <x v="0"/>
          </reference>
          <reference field="6" count="1">
            <x v="3"/>
          </reference>
        </references>
      </pivotArea>
    </format>
    <format dxfId="2131">
      <pivotArea dataOnly="0" labelOnly="1" outline="0" fieldPosition="0">
        <references count="5">
          <reference field="2" count="1" selected="0">
            <x v="2"/>
          </reference>
          <reference field="3" count="1" selected="0">
            <x v="1"/>
          </reference>
          <reference field="4" count="1" selected="0">
            <x v="58"/>
          </reference>
          <reference field="5" count="1" selected="0">
            <x v="0"/>
          </reference>
          <reference field="6" count="1">
            <x v="3"/>
          </reference>
        </references>
      </pivotArea>
    </format>
    <format dxfId="2130">
      <pivotArea dataOnly="0" labelOnly="1" outline="0" fieldPosition="0">
        <references count="5">
          <reference field="2" count="1" selected="0">
            <x v="2"/>
          </reference>
          <reference field="3" count="1" selected="0">
            <x v="1"/>
          </reference>
          <reference field="4" count="1" selected="0">
            <x v="59"/>
          </reference>
          <reference field="5" count="1" selected="0">
            <x v="0"/>
          </reference>
          <reference field="6" count="1">
            <x v="3"/>
          </reference>
        </references>
      </pivotArea>
    </format>
    <format dxfId="2129">
      <pivotArea dataOnly="0" labelOnly="1" outline="0" fieldPosition="0">
        <references count="5">
          <reference field="2" count="1" selected="0">
            <x v="2"/>
          </reference>
          <reference field="3" count="1" selected="0">
            <x v="1"/>
          </reference>
          <reference field="4" count="1" selected="0">
            <x v="60"/>
          </reference>
          <reference field="5" count="1" selected="0">
            <x v="0"/>
          </reference>
          <reference field="6" count="1">
            <x v="2"/>
          </reference>
        </references>
      </pivotArea>
    </format>
    <format dxfId="2128">
      <pivotArea dataOnly="0" labelOnly="1" outline="0" fieldPosition="0">
        <references count="5">
          <reference field="2" count="1" selected="0">
            <x v="2"/>
          </reference>
          <reference field="3" count="1" selected="0">
            <x v="1"/>
          </reference>
          <reference field="4" count="1" selected="0">
            <x v="61"/>
          </reference>
          <reference field="5" count="1" selected="0">
            <x v="0"/>
          </reference>
          <reference field="6" count="1">
            <x v="3"/>
          </reference>
        </references>
      </pivotArea>
    </format>
    <format dxfId="2127">
      <pivotArea dataOnly="0" labelOnly="1" outline="0" fieldPosition="0">
        <references count="5">
          <reference field="2" count="1" selected="0">
            <x v="3"/>
          </reference>
          <reference field="3" count="1" selected="0">
            <x v="1"/>
          </reference>
          <reference field="4" count="1" selected="0">
            <x v="23"/>
          </reference>
          <reference field="5" count="1" selected="0">
            <x v="0"/>
          </reference>
          <reference field="6" count="1">
            <x v="3"/>
          </reference>
        </references>
      </pivotArea>
    </format>
    <format dxfId="2126">
      <pivotArea dataOnly="0" labelOnly="1" outline="0" fieldPosition="0">
        <references count="5">
          <reference field="2" count="1" selected="0">
            <x v="3"/>
          </reference>
          <reference field="3" count="1" selected="0">
            <x v="0"/>
          </reference>
          <reference field="4" count="1" selected="0">
            <x v="25"/>
          </reference>
          <reference field="5" count="1" selected="0">
            <x v="1"/>
          </reference>
          <reference field="6" count="1">
            <x v="2"/>
          </reference>
        </references>
      </pivotArea>
    </format>
    <format dxfId="2125">
      <pivotArea dataOnly="0" labelOnly="1" outline="0" fieldPosition="0">
        <references count="5">
          <reference field="2" count="1" selected="0">
            <x v="3"/>
          </reference>
          <reference field="3" count="1" selected="0">
            <x v="0"/>
          </reference>
          <reference field="4" count="1" selected="0">
            <x v="26"/>
          </reference>
          <reference field="5" count="1" selected="0">
            <x v="1"/>
          </reference>
          <reference field="6" count="1">
            <x v="2"/>
          </reference>
        </references>
      </pivotArea>
    </format>
    <format dxfId="2124">
      <pivotArea dataOnly="0" labelOnly="1" outline="0" fieldPosition="0">
        <references count="5">
          <reference field="2" count="1" selected="0">
            <x v="3"/>
          </reference>
          <reference field="3" count="1" selected="0">
            <x v="1"/>
          </reference>
          <reference field="4" count="1" selected="0">
            <x v="62"/>
          </reference>
          <reference field="5" count="1" selected="0">
            <x v="0"/>
          </reference>
          <reference field="6" count="1">
            <x v="0"/>
          </reference>
        </references>
      </pivotArea>
    </format>
    <format dxfId="2123">
      <pivotArea dataOnly="0" labelOnly="1" outline="0" fieldPosition="0">
        <references count="5">
          <reference field="2" count="1" selected="0">
            <x v="3"/>
          </reference>
          <reference field="3" count="1" selected="0">
            <x v="0"/>
          </reference>
          <reference field="4" count="1" selected="0">
            <x v="63"/>
          </reference>
          <reference field="5" count="1" selected="0">
            <x v="1"/>
          </reference>
          <reference field="6" count="1">
            <x v="2"/>
          </reference>
        </references>
      </pivotArea>
    </format>
    <format dxfId="2122">
      <pivotArea dataOnly="0" labelOnly="1" outline="0" fieldPosition="0">
        <references count="5">
          <reference field="2" count="1" selected="0">
            <x v="3"/>
          </reference>
          <reference field="3" count="1" selected="0">
            <x v="0"/>
          </reference>
          <reference field="4" count="1" selected="0">
            <x v="64"/>
          </reference>
          <reference field="5" count="1" selected="0">
            <x v="1"/>
          </reference>
          <reference field="6" count="1">
            <x v="2"/>
          </reference>
        </references>
      </pivotArea>
    </format>
    <format dxfId="2121">
      <pivotArea dataOnly="0" labelOnly="1" outline="0" fieldPosition="0">
        <references count="5">
          <reference field="2" count="1" selected="0">
            <x v="3"/>
          </reference>
          <reference field="3" count="1" selected="0">
            <x v="0"/>
          </reference>
          <reference field="4" count="1" selected="0">
            <x v="65"/>
          </reference>
          <reference field="5" count="1" selected="0">
            <x v="1"/>
          </reference>
          <reference field="6" count="1">
            <x v="2"/>
          </reference>
        </references>
      </pivotArea>
    </format>
    <format dxfId="2120">
      <pivotArea dataOnly="0" labelOnly="1" outline="0" fieldPosition="0">
        <references count="5">
          <reference field="2" count="1" selected="0">
            <x v="4"/>
          </reference>
          <reference field="3" count="1" selected="0">
            <x v="0"/>
          </reference>
          <reference field="4" count="1" selected="0">
            <x v="66"/>
          </reference>
          <reference field="5" count="1" selected="0">
            <x v="1"/>
          </reference>
          <reference field="6" count="1">
            <x v="2"/>
          </reference>
        </references>
      </pivotArea>
    </format>
    <format dxfId="2119">
      <pivotArea dataOnly="0" labelOnly="1" outline="0" fieldPosition="0">
        <references count="5">
          <reference field="2" count="1" selected="0">
            <x v="4"/>
          </reference>
          <reference field="3" count="1" selected="0">
            <x v="2"/>
          </reference>
          <reference field="4" count="1" selected="0">
            <x v="67"/>
          </reference>
          <reference field="5" count="1" selected="0">
            <x v="2"/>
          </reference>
          <reference field="6" count="1">
            <x v="2"/>
          </reference>
        </references>
      </pivotArea>
    </format>
    <format dxfId="2118">
      <pivotArea dataOnly="0" labelOnly="1" outline="0" fieldPosition="0">
        <references count="5">
          <reference field="2" count="1" selected="0">
            <x v="4"/>
          </reference>
          <reference field="3" count="1" selected="0">
            <x v="2"/>
          </reference>
          <reference field="4" count="1" selected="0">
            <x v="68"/>
          </reference>
          <reference field="5" count="1" selected="0">
            <x v="2"/>
          </reference>
          <reference field="6" count="1">
            <x v="2"/>
          </reference>
        </references>
      </pivotArea>
    </format>
    <format dxfId="2117">
      <pivotArea dataOnly="0" labelOnly="1" outline="0" fieldPosition="0">
        <references count="5">
          <reference field="2" count="1" selected="0">
            <x v="5"/>
          </reference>
          <reference field="3" count="1" selected="0">
            <x v="2"/>
          </reference>
          <reference field="4" count="1" selected="0">
            <x v="12"/>
          </reference>
          <reference field="5" count="1" selected="0">
            <x v="3"/>
          </reference>
          <reference field="6" count="1">
            <x v="2"/>
          </reference>
        </references>
      </pivotArea>
    </format>
    <format dxfId="2116">
      <pivotArea dataOnly="0" labelOnly="1" outline="0" fieldPosition="0">
        <references count="5">
          <reference field="2" count="1" selected="0">
            <x v="5"/>
          </reference>
          <reference field="3" count="1" selected="0">
            <x v="3"/>
          </reference>
          <reference field="4" count="1" selected="0">
            <x v="42"/>
          </reference>
          <reference field="5" count="1" selected="0">
            <x v="3"/>
          </reference>
          <reference field="6" count="1">
            <x v="2"/>
          </reference>
        </references>
      </pivotArea>
    </format>
    <format dxfId="2115">
      <pivotArea dataOnly="0" labelOnly="1" outline="0" fieldPosition="0">
        <references count="5">
          <reference field="2" count="1" selected="0">
            <x v="6"/>
          </reference>
          <reference field="3" count="1" selected="0">
            <x v="3"/>
          </reference>
          <reference field="4" count="1" selected="0">
            <x v="5"/>
          </reference>
          <reference field="5" count="1" selected="0">
            <x v="3"/>
          </reference>
          <reference field="6" count="1">
            <x v="1"/>
          </reference>
        </references>
      </pivotArea>
    </format>
    <format dxfId="2114">
      <pivotArea dataOnly="0" labelOnly="1" outline="0" fieldPosition="0">
        <references count="2">
          <reference field="2" count="1" selected="0">
            <x v="1"/>
          </reference>
          <reference field="4" count="2">
            <x v="101"/>
            <x v="102"/>
          </reference>
        </references>
      </pivotArea>
    </format>
    <format dxfId="2113">
      <pivotArea dataOnly="0" labelOnly="1" outline="0" fieldPosition="0">
        <references count="2">
          <reference field="2" count="1" selected="0">
            <x v="2"/>
          </reference>
          <reference field="4" count="3">
            <x v="73"/>
            <x v="135"/>
            <x v="136"/>
          </reference>
        </references>
      </pivotArea>
    </format>
    <format dxfId="2112">
      <pivotArea dataOnly="0" labelOnly="1" outline="0" fieldPosition="0">
        <references count="2">
          <reference field="2" count="1" selected="0">
            <x v="3"/>
          </reference>
          <reference field="4" count="4">
            <x v="105"/>
            <x v="106"/>
            <x v="107"/>
            <x v="121"/>
          </reference>
        </references>
      </pivotArea>
    </format>
    <format dxfId="2111">
      <pivotArea dataOnly="0" labelOnly="1" outline="0" fieldPosition="0">
        <references count="2">
          <reference field="2" count="1" selected="0">
            <x v="4"/>
          </reference>
          <reference field="4" count="4">
            <x v="97"/>
            <x v="108"/>
            <x v="109"/>
            <x v="110"/>
          </reference>
        </references>
      </pivotArea>
    </format>
    <format dxfId="2110">
      <pivotArea dataOnly="0" labelOnly="1" outline="0" fieldPosition="0">
        <references count="2">
          <reference field="2" count="1" selected="0">
            <x v="6"/>
          </reference>
          <reference field="4" count="2">
            <x v="111"/>
            <x v="112"/>
          </reference>
        </references>
      </pivotArea>
    </format>
    <format dxfId="2109">
      <pivotArea dataOnly="0" labelOnly="1" outline="0" fieldPosition="0">
        <references count="3">
          <reference field="2" count="1" selected="0">
            <x v="1"/>
          </reference>
          <reference field="4" count="1" selected="0">
            <x v="101"/>
          </reference>
          <reference field="5" count="1">
            <x v="0"/>
          </reference>
        </references>
      </pivotArea>
    </format>
    <format dxfId="2108">
      <pivotArea dataOnly="0" labelOnly="1" outline="0" fieldPosition="0">
        <references count="3">
          <reference field="2" count="1" selected="0">
            <x v="3"/>
          </reference>
          <reference field="4" count="1" selected="0">
            <x v="105"/>
          </reference>
          <reference field="5" count="1">
            <x v="1"/>
          </reference>
        </references>
      </pivotArea>
    </format>
    <format dxfId="2107">
      <pivotArea dataOnly="0" labelOnly="1" outline="0" fieldPosition="0">
        <references count="3">
          <reference field="2" count="1" selected="0">
            <x v="3"/>
          </reference>
          <reference field="4" count="1" selected="0">
            <x v="121"/>
          </reference>
          <reference field="5" count="1">
            <x v="0"/>
          </reference>
        </references>
      </pivotArea>
    </format>
    <format dxfId="2106">
      <pivotArea dataOnly="0" labelOnly="1" outline="0" fieldPosition="0">
        <references count="3">
          <reference field="2" count="1" selected="0">
            <x v="4"/>
          </reference>
          <reference field="4" count="1" selected="0">
            <x v="97"/>
          </reference>
          <reference field="5" count="1">
            <x v="1"/>
          </reference>
        </references>
      </pivotArea>
    </format>
    <format dxfId="2105">
      <pivotArea dataOnly="0" labelOnly="1" outline="0" fieldPosition="0">
        <references count="3">
          <reference field="2" count="1" selected="0">
            <x v="6"/>
          </reference>
          <reference field="4" count="1" selected="0">
            <x v="111"/>
          </reference>
          <reference field="5" count="1">
            <x v="3"/>
          </reference>
        </references>
      </pivotArea>
    </format>
    <format dxfId="2104">
      <pivotArea dataOnly="0" labelOnly="1" outline="0" fieldPosition="0">
        <references count="4">
          <reference field="2" count="1" selected="0">
            <x v="1"/>
          </reference>
          <reference field="3" count="1">
            <x v="1"/>
          </reference>
          <reference field="4" count="1" selected="0">
            <x v="101"/>
          </reference>
          <reference field="5" count="1" selected="0">
            <x v="0"/>
          </reference>
        </references>
      </pivotArea>
    </format>
    <format dxfId="2103">
      <pivotArea dataOnly="0" labelOnly="1" outline="0" fieldPosition="0">
        <references count="4">
          <reference field="2" count="1" selected="0">
            <x v="3"/>
          </reference>
          <reference field="3" count="1">
            <x v="0"/>
          </reference>
          <reference field="4" count="1" selected="0">
            <x v="105"/>
          </reference>
          <reference field="5" count="1" selected="0">
            <x v="1"/>
          </reference>
        </references>
      </pivotArea>
    </format>
    <format dxfId="2102">
      <pivotArea dataOnly="0" labelOnly="1" outline="0" fieldPosition="0">
        <references count="4">
          <reference field="2" count="1" selected="0">
            <x v="3"/>
          </reference>
          <reference field="3" count="1">
            <x v="1"/>
          </reference>
          <reference field="4" count="1" selected="0">
            <x v="121"/>
          </reference>
          <reference field="5" count="1" selected="0">
            <x v="0"/>
          </reference>
        </references>
      </pivotArea>
    </format>
    <format dxfId="2101">
      <pivotArea dataOnly="0" labelOnly="1" outline="0" fieldPosition="0">
        <references count="4">
          <reference field="2" count="1" selected="0">
            <x v="4"/>
          </reference>
          <reference field="3" count="1">
            <x v="0"/>
          </reference>
          <reference field="4" count="1" selected="0">
            <x v="97"/>
          </reference>
          <reference field="5" count="1" selected="0">
            <x v="1"/>
          </reference>
        </references>
      </pivotArea>
    </format>
    <format dxfId="2100">
      <pivotArea dataOnly="0" labelOnly="1" outline="0" fieldPosition="0">
        <references count="4">
          <reference field="2" count="1" selected="0">
            <x v="6"/>
          </reference>
          <reference field="3" count="1">
            <x v="2"/>
          </reference>
          <reference field="4" count="1" selected="0">
            <x v="111"/>
          </reference>
          <reference field="5" count="1" selected="0">
            <x v="3"/>
          </reference>
        </references>
      </pivotArea>
    </format>
    <format dxfId="2099">
      <pivotArea dataOnly="0" labelOnly="1" outline="0" fieldPosition="0">
        <references count="4">
          <reference field="2" count="1" selected="0">
            <x v="6"/>
          </reference>
          <reference field="3" count="1">
            <x v="3"/>
          </reference>
          <reference field="4" count="1" selected="0">
            <x v="112"/>
          </reference>
          <reference field="5" count="1" selected="0">
            <x v="3"/>
          </reference>
        </references>
      </pivotArea>
    </format>
    <format dxfId="2098">
      <pivotArea dataOnly="0" labelOnly="1" outline="0" fieldPosition="0">
        <references count="5">
          <reference field="2" count="1" selected="0">
            <x v="1"/>
          </reference>
          <reference field="3" count="1" selected="0">
            <x v="1"/>
          </reference>
          <reference field="4" count="1" selected="0">
            <x v="101"/>
          </reference>
          <reference field="5" count="1" selected="0">
            <x v="0"/>
          </reference>
          <reference field="6" count="1">
            <x v="2"/>
          </reference>
        </references>
      </pivotArea>
    </format>
    <format dxfId="2097">
      <pivotArea dataOnly="0" labelOnly="1" outline="0" fieldPosition="0">
        <references count="5">
          <reference field="2" count="1" selected="0">
            <x v="1"/>
          </reference>
          <reference field="3" count="1" selected="0">
            <x v="1"/>
          </reference>
          <reference field="4" count="1" selected="0">
            <x v="102"/>
          </reference>
          <reference field="5" count="1" selected="0">
            <x v="0"/>
          </reference>
          <reference field="6" count="1">
            <x v="2"/>
          </reference>
        </references>
      </pivotArea>
    </format>
    <format dxfId="2096">
      <pivotArea dataOnly="0" labelOnly="1" outline="0" fieldPosition="0">
        <references count="5">
          <reference field="2" count="1" selected="0">
            <x v="2"/>
          </reference>
          <reference field="3" count="1" selected="0">
            <x v="1"/>
          </reference>
          <reference field="4" count="1" selected="0">
            <x v="73"/>
          </reference>
          <reference field="5" count="1" selected="0">
            <x v="0"/>
          </reference>
          <reference field="6" count="1">
            <x v="2"/>
          </reference>
        </references>
      </pivotArea>
    </format>
    <format dxfId="2095">
      <pivotArea dataOnly="0" labelOnly="1" outline="0" fieldPosition="0">
        <references count="5">
          <reference field="2" count="1" selected="0">
            <x v="2"/>
          </reference>
          <reference field="3" count="1" selected="0">
            <x v="1"/>
          </reference>
          <reference field="4" count="1" selected="0">
            <x v="135"/>
          </reference>
          <reference field="5" count="1" selected="0">
            <x v="0"/>
          </reference>
          <reference field="6" count="1">
            <x v="0"/>
          </reference>
        </references>
      </pivotArea>
    </format>
    <format dxfId="2094">
      <pivotArea dataOnly="0" labelOnly="1" outline="0" fieldPosition="0">
        <references count="5">
          <reference field="2" count="1" selected="0">
            <x v="2"/>
          </reference>
          <reference field="3" count="1" selected="0">
            <x v="1"/>
          </reference>
          <reference field="4" count="1" selected="0">
            <x v="136"/>
          </reference>
          <reference field="5" count="1" selected="0">
            <x v="0"/>
          </reference>
          <reference field="6" count="1">
            <x v="2"/>
          </reference>
        </references>
      </pivotArea>
    </format>
    <format dxfId="2093">
      <pivotArea dataOnly="0" labelOnly="1" outline="0" fieldPosition="0">
        <references count="5">
          <reference field="2" count="1" selected="0">
            <x v="3"/>
          </reference>
          <reference field="3" count="1" selected="0">
            <x v="0"/>
          </reference>
          <reference field="4" count="1" selected="0">
            <x v="105"/>
          </reference>
          <reference field="5" count="1" selected="0">
            <x v="1"/>
          </reference>
          <reference field="6" count="1">
            <x v="2"/>
          </reference>
        </references>
      </pivotArea>
    </format>
    <format dxfId="2092">
      <pivotArea dataOnly="0" labelOnly="1" outline="0" fieldPosition="0">
        <references count="5">
          <reference field="2" count="1" selected="0">
            <x v="3"/>
          </reference>
          <reference field="3" count="1" selected="0">
            <x v="0"/>
          </reference>
          <reference field="4" count="1" selected="0">
            <x v="106"/>
          </reference>
          <reference field="5" count="1" selected="0">
            <x v="1"/>
          </reference>
          <reference field="6" count="1">
            <x v="2"/>
          </reference>
        </references>
      </pivotArea>
    </format>
    <format dxfId="2091">
      <pivotArea dataOnly="0" labelOnly="1" outline="0" fieldPosition="0">
        <references count="5">
          <reference field="2" count="1" selected="0">
            <x v="3"/>
          </reference>
          <reference field="3" count="1" selected="0">
            <x v="0"/>
          </reference>
          <reference field="4" count="1" selected="0">
            <x v="107"/>
          </reference>
          <reference field="5" count="1" selected="0">
            <x v="1"/>
          </reference>
          <reference field="6" count="1">
            <x v="2"/>
          </reference>
        </references>
      </pivotArea>
    </format>
    <format dxfId="2090">
      <pivotArea dataOnly="0" labelOnly="1" outline="0" fieldPosition="0">
        <references count="5">
          <reference field="2" count="1" selected="0">
            <x v="3"/>
          </reference>
          <reference field="3" count="1" selected="0">
            <x v="1"/>
          </reference>
          <reference field="4" count="1" selected="0">
            <x v="121"/>
          </reference>
          <reference field="5" count="1" selected="0">
            <x v="0"/>
          </reference>
          <reference field="6" count="1">
            <x v="3"/>
          </reference>
        </references>
      </pivotArea>
    </format>
    <format dxfId="2089">
      <pivotArea dataOnly="0" labelOnly="1" outline="0" fieldPosition="0">
        <references count="5">
          <reference field="2" count="1" selected="0">
            <x v="4"/>
          </reference>
          <reference field="3" count="1" selected="0">
            <x v="0"/>
          </reference>
          <reference field="4" count="1" selected="0">
            <x v="108"/>
          </reference>
          <reference field="5" count="1" selected="0">
            <x v="1"/>
          </reference>
          <reference field="6" count="1">
            <x v="5"/>
          </reference>
        </references>
      </pivotArea>
    </format>
    <format dxfId="2088">
      <pivotArea dataOnly="0" labelOnly="1" outline="0" fieldPosition="0">
        <references count="5">
          <reference field="2" count="1" selected="0">
            <x v="4"/>
          </reference>
          <reference field="3" count="1" selected="0">
            <x v="0"/>
          </reference>
          <reference field="4" count="1" selected="0">
            <x v="109"/>
          </reference>
          <reference field="5" count="1" selected="0">
            <x v="1"/>
          </reference>
          <reference field="6" count="1">
            <x v="2"/>
          </reference>
        </references>
      </pivotArea>
    </format>
    <format dxfId="2087">
      <pivotArea dataOnly="0" labelOnly="1" outline="0" fieldPosition="0">
        <references count="5">
          <reference field="2" count="1" selected="0">
            <x v="4"/>
          </reference>
          <reference field="3" count="1" selected="0">
            <x v="0"/>
          </reference>
          <reference field="4" count="1" selected="0">
            <x v="110"/>
          </reference>
          <reference field="5" count="1" selected="0">
            <x v="1"/>
          </reference>
          <reference field="6" count="1">
            <x v="2"/>
          </reference>
        </references>
      </pivotArea>
    </format>
    <format dxfId="2086">
      <pivotArea dataOnly="0" labelOnly="1" outline="0" fieldPosition="0">
        <references count="5">
          <reference field="2" count="1" selected="0">
            <x v="6"/>
          </reference>
          <reference field="3" count="1" selected="0">
            <x v="2"/>
          </reference>
          <reference field="4" count="1" selected="0">
            <x v="111"/>
          </reference>
          <reference field="5" count="1" selected="0">
            <x v="3"/>
          </reference>
          <reference field="6" count="1">
            <x v="3"/>
          </reference>
        </references>
      </pivotArea>
    </format>
    <format dxfId="2085">
      <pivotArea dataOnly="0" labelOnly="1" outline="0" fieldPosition="0">
        <references count="5">
          <reference field="2" count="1" selected="0">
            <x v="6"/>
          </reference>
          <reference field="3" count="1" selected="0">
            <x v="3"/>
          </reference>
          <reference field="4" count="1" selected="0">
            <x v="112"/>
          </reference>
          <reference field="5" count="1" selected="0">
            <x v="3"/>
          </reference>
          <reference field="6" count="1">
            <x v="3"/>
          </reference>
        </references>
      </pivotArea>
    </format>
    <format dxfId="2084">
      <pivotArea dataOnly="0" labelOnly="1" outline="0" fieldPosition="0">
        <references count="1">
          <reference field="2" count="5">
            <x v="1"/>
            <x v="2"/>
            <x v="3"/>
            <x v="4"/>
            <x v="5"/>
          </reference>
        </references>
      </pivotArea>
    </format>
    <format dxfId="2083">
      <pivotArea dataOnly="0" labelOnly="1" outline="0" fieldPosition="0">
        <references count="2">
          <reference field="2" count="1" selected="0">
            <x v="1"/>
          </reference>
          <reference field="4" count="2">
            <x v="10"/>
            <x v="15"/>
          </reference>
        </references>
      </pivotArea>
    </format>
    <format dxfId="2082">
      <pivotArea dataOnly="0" labelOnly="1" outline="0" fieldPosition="0">
        <references count="2">
          <reference field="2" count="1" selected="0">
            <x v="2"/>
          </reference>
          <reference field="4" count="2">
            <x v="86"/>
            <x v="87"/>
          </reference>
        </references>
      </pivotArea>
    </format>
    <format dxfId="2081">
      <pivotArea dataOnly="0" labelOnly="1" outline="0" fieldPosition="0">
        <references count="2">
          <reference field="2" count="1" selected="0">
            <x v="3"/>
          </reference>
          <reference field="4" count="5">
            <x v="28"/>
            <x v="90"/>
            <x v="92"/>
            <x v="94"/>
            <x v="132"/>
          </reference>
        </references>
      </pivotArea>
    </format>
    <format dxfId="2080">
      <pivotArea dataOnly="0" labelOnly="1" outline="0" fieldPosition="0">
        <references count="2">
          <reference field="2" count="1" selected="0">
            <x v="4"/>
          </reference>
          <reference field="4" count="4">
            <x v="2"/>
            <x v="95"/>
            <x v="97"/>
            <x v="98"/>
          </reference>
        </references>
      </pivotArea>
    </format>
    <format dxfId="2079">
      <pivotArea dataOnly="0" labelOnly="1" outline="0" fieldPosition="0">
        <references count="2">
          <reference field="2" count="1" selected="0">
            <x v="5"/>
          </reference>
          <reference field="4" count="1">
            <x v="99"/>
          </reference>
        </references>
      </pivotArea>
    </format>
    <format dxfId="2078">
      <pivotArea dataOnly="0" labelOnly="1" outline="0" fieldPosition="0">
        <references count="3">
          <reference field="2" count="1" selected="0">
            <x v="1"/>
          </reference>
          <reference field="4" count="1" selected="0">
            <x v="10"/>
          </reference>
          <reference field="5" count="1">
            <x v="0"/>
          </reference>
        </references>
      </pivotArea>
    </format>
    <format dxfId="2077">
      <pivotArea dataOnly="0" labelOnly="1" outline="0" fieldPosition="0">
        <references count="3">
          <reference field="2" count="1" selected="0">
            <x v="2"/>
          </reference>
          <reference field="4" count="1" selected="0">
            <x v="86"/>
          </reference>
          <reference field="5" count="1">
            <x v="2"/>
          </reference>
        </references>
      </pivotArea>
    </format>
    <format dxfId="2076">
      <pivotArea dataOnly="0" labelOnly="1" outline="0" fieldPosition="0">
        <references count="3">
          <reference field="2" count="1" selected="0">
            <x v="2"/>
          </reference>
          <reference field="4" count="1" selected="0">
            <x v="87"/>
          </reference>
          <reference field="5" count="1">
            <x v="0"/>
          </reference>
        </references>
      </pivotArea>
    </format>
    <format dxfId="2075">
      <pivotArea dataOnly="0" labelOnly="1" outline="0" fieldPosition="0">
        <references count="3">
          <reference field="2" count="1" selected="0">
            <x v="3"/>
          </reference>
          <reference field="4" count="1" selected="0">
            <x v="28"/>
          </reference>
          <reference field="5" count="1">
            <x v="3"/>
          </reference>
        </references>
      </pivotArea>
    </format>
    <format dxfId="2074">
      <pivotArea dataOnly="0" labelOnly="1" outline="0" fieldPosition="0">
        <references count="3">
          <reference field="2" count="1" selected="0">
            <x v="3"/>
          </reference>
          <reference field="4" count="1" selected="0">
            <x v="90"/>
          </reference>
          <reference field="5" count="1">
            <x v="0"/>
          </reference>
        </references>
      </pivotArea>
    </format>
    <format dxfId="2073">
      <pivotArea dataOnly="0" labelOnly="1" outline="0" fieldPosition="0">
        <references count="3">
          <reference field="2" count="1" selected="0">
            <x v="3"/>
          </reference>
          <reference field="4" count="1" selected="0">
            <x v="94"/>
          </reference>
          <reference field="5" count="1">
            <x v="1"/>
          </reference>
        </references>
      </pivotArea>
    </format>
    <format dxfId="2072">
      <pivotArea dataOnly="0" labelOnly="1" outline="0" fieldPosition="0">
        <references count="3">
          <reference field="2" count="1" selected="0">
            <x v="3"/>
          </reference>
          <reference field="4" count="1" selected="0">
            <x v="132"/>
          </reference>
          <reference field="5" count="1">
            <x v="0"/>
          </reference>
        </references>
      </pivotArea>
    </format>
    <format dxfId="2071">
      <pivotArea dataOnly="0" labelOnly="1" outline="0" fieldPosition="0">
        <references count="3">
          <reference field="2" count="1" selected="0">
            <x v="4"/>
          </reference>
          <reference field="4" count="1" selected="0">
            <x v="2"/>
          </reference>
          <reference field="5" count="1">
            <x v="1"/>
          </reference>
        </references>
      </pivotArea>
    </format>
    <format dxfId="2070">
      <pivotArea dataOnly="0" labelOnly="1" outline="0" fieldPosition="0">
        <references count="3">
          <reference field="2" count="1" selected="0">
            <x v="4"/>
          </reference>
          <reference field="4" count="1" selected="0">
            <x v="98"/>
          </reference>
          <reference field="5" count="1">
            <x v="3"/>
          </reference>
        </references>
      </pivotArea>
    </format>
    <format dxfId="2069">
      <pivotArea dataOnly="0" labelOnly="1" outline="0" fieldPosition="0">
        <references count="3">
          <reference field="2" count="1" selected="0">
            <x v="5"/>
          </reference>
          <reference field="4" count="1" selected="0">
            <x v="99"/>
          </reference>
          <reference field="5" count="1">
            <x v="7"/>
          </reference>
        </references>
      </pivotArea>
    </format>
    <format dxfId="2068">
      <pivotArea dataOnly="0" labelOnly="1" outline="0" fieldPosition="0">
        <references count="4">
          <reference field="2" count="1" selected="0">
            <x v="1"/>
          </reference>
          <reference field="3" count="1">
            <x v="1"/>
          </reference>
          <reference field="4" count="1" selected="0">
            <x v="10"/>
          </reference>
          <reference field="5" count="1" selected="0">
            <x v="0"/>
          </reference>
        </references>
      </pivotArea>
    </format>
    <format dxfId="2067">
      <pivotArea dataOnly="0" labelOnly="1" outline="0" fieldPosition="0">
        <references count="4">
          <reference field="2" count="1" selected="0">
            <x v="3"/>
          </reference>
          <reference field="3" count="1">
            <x v="0"/>
          </reference>
          <reference field="4" count="1" selected="0">
            <x v="28"/>
          </reference>
          <reference field="5" count="1" selected="0">
            <x v="3"/>
          </reference>
        </references>
      </pivotArea>
    </format>
    <format dxfId="2066">
      <pivotArea dataOnly="0" labelOnly="1" outline="0" fieldPosition="0">
        <references count="4">
          <reference field="2" count="1" selected="0">
            <x v="3"/>
          </reference>
          <reference field="3" count="1">
            <x v="1"/>
          </reference>
          <reference field="4" count="1" selected="0">
            <x v="90"/>
          </reference>
          <reference field="5" count="1" selected="0">
            <x v="0"/>
          </reference>
        </references>
      </pivotArea>
    </format>
    <format dxfId="2065">
      <pivotArea dataOnly="0" labelOnly="1" outline="0" fieldPosition="0">
        <references count="4">
          <reference field="2" count="1" selected="0">
            <x v="3"/>
          </reference>
          <reference field="3" count="1">
            <x v="0"/>
          </reference>
          <reference field="4" count="1" selected="0">
            <x v="94"/>
          </reference>
          <reference field="5" count="1" selected="0">
            <x v="1"/>
          </reference>
        </references>
      </pivotArea>
    </format>
    <format dxfId="2064">
      <pivotArea dataOnly="0" labelOnly="1" outline="0" fieldPosition="0">
        <references count="4">
          <reference field="2" count="1" selected="0">
            <x v="3"/>
          </reference>
          <reference field="3" count="1">
            <x v="1"/>
          </reference>
          <reference field="4" count="1" selected="0">
            <x v="132"/>
          </reference>
          <reference field="5" count="1" selected="0">
            <x v="0"/>
          </reference>
        </references>
      </pivotArea>
    </format>
    <format dxfId="2063">
      <pivotArea dataOnly="0" labelOnly="1" outline="0" fieldPosition="0">
        <references count="4">
          <reference field="2" count="1" selected="0">
            <x v="4"/>
          </reference>
          <reference field="3" count="1">
            <x v="0"/>
          </reference>
          <reference field="4" count="1" selected="0">
            <x v="2"/>
          </reference>
          <reference field="5" count="1" selected="0">
            <x v="1"/>
          </reference>
        </references>
      </pivotArea>
    </format>
    <format dxfId="2062">
      <pivotArea dataOnly="0" labelOnly="1" outline="0" fieldPosition="0">
        <references count="4">
          <reference field="2" count="1" selected="0">
            <x v="4"/>
          </reference>
          <reference field="3" count="1">
            <x v="3"/>
          </reference>
          <reference field="4" count="1" selected="0">
            <x v="98"/>
          </reference>
          <reference field="5" count="1" selected="0">
            <x v="3"/>
          </reference>
        </references>
      </pivotArea>
    </format>
    <format dxfId="2061">
      <pivotArea dataOnly="0" labelOnly="1" outline="0" fieldPosition="0">
        <references count="4">
          <reference field="2" count="1" selected="0">
            <x v="5"/>
          </reference>
          <reference field="3" count="1">
            <x v="2"/>
          </reference>
          <reference field="4" count="1" selected="0">
            <x v="99"/>
          </reference>
          <reference field="5" count="1" selected="0">
            <x v="7"/>
          </reference>
        </references>
      </pivotArea>
    </format>
    <format dxfId="2060">
      <pivotArea dataOnly="0" labelOnly="1" outline="0" fieldPosition="0">
        <references count="5">
          <reference field="2" count="1" selected="0">
            <x v="1"/>
          </reference>
          <reference field="3" count="1" selected="0">
            <x v="1"/>
          </reference>
          <reference field="4" count="1" selected="0">
            <x v="10"/>
          </reference>
          <reference field="5" count="1" selected="0">
            <x v="0"/>
          </reference>
          <reference field="6" count="1">
            <x v="2"/>
          </reference>
        </references>
      </pivotArea>
    </format>
    <format dxfId="2059">
      <pivotArea dataOnly="0" labelOnly="1" outline="0" fieldPosition="0">
        <references count="5">
          <reference field="2" count="1" selected="0">
            <x v="1"/>
          </reference>
          <reference field="3" count="1" selected="0">
            <x v="1"/>
          </reference>
          <reference field="4" count="1" selected="0">
            <x v="15"/>
          </reference>
          <reference field="5" count="1" selected="0">
            <x v="0"/>
          </reference>
          <reference field="6" count="1">
            <x v="2"/>
          </reference>
        </references>
      </pivotArea>
    </format>
    <format dxfId="2058">
      <pivotArea dataOnly="0" labelOnly="1" outline="0" fieldPosition="0">
        <references count="5">
          <reference field="2" count="1" selected="0">
            <x v="2"/>
          </reference>
          <reference field="3" count="1" selected="0">
            <x v="1"/>
          </reference>
          <reference field="4" count="1" selected="0">
            <x v="86"/>
          </reference>
          <reference field="5" count="1" selected="0">
            <x v="2"/>
          </reference>
          <reference field="6" count="1">
            <x v="2"/>
          </reference>
        </references>
      </pivotArea>
    </format>
    <format dxfId="2057">
      <pivotArea dataOnly="0" labelOnly="1" outline="0" fieldPosition="0">
        <references count="5">
          <reference field="2" count="1" selected="0">
            <x v="2"/>
          </reference>
          <reference field="3" count="1" selected="0">
            <x v="1"/>
          </reference>
          <reference field="4" count="1" selected="0">
            <x v="87"/>
          </reference>
          <reference field="5" count="1" selected="0">
            <x v="0"/>
          </reference>
          <reference field="6" count="1">
            <x v="2"/>
          </reference>
        </references>
      </pivotArea>
    </format>
    <format dxfId="2056">
      <pivotArea dataOnly="0" labelOnly="1" outline="0" fieldPosition="0">
        <references count="5">
          <reference field="2" count="1" selected="0">
            <x v="3"/>
          </reference>
          <reference field="3" count="1" selected="0">
            <x v="0"/>
          </reference>
          <reference field="4" count="1" selected="0">
            <x v="28"/>
          </reference>
          <reference field="5" count="1" selected="0">
            <x v="3"/>
          </reference>
          <reference field="6" count="1">
            <x v="2"/>
          </reference>
        </references>
      </pivotArea>
    </format>
    <format dxfId="2055">
      <pivotArea dataOnly="0" labelOnly="1" outline="0" fieldPosition="0">
        <references count="5">
          <reference field="2" count="1" selected="0">
            <x v="3"/>
          </reference>
          <reference field="3" count="1" selected="0">
            <x v="1"/>
          </reference>
          <reference field="4" count="1" selected="0">
            <x v="90"/>
          </reference>
          <reference field="5" count="1" selected="0">
            <x v="0"/>
          </reference>
          <reference field="6" count="1">
            <x v="7"/>
          </reference>
        </references>
      </pivotArea>
    </format>
    <format dxfId="2054">
      <pivotArea dataOnly="0" labelOnly="1" outline="0" fieldPosition="0">
        <references count="5">
          <reference field="2" count="1" selected="0">
            <x v="3"/>
          </reference>
          <reference field="3" count="1" selected="0">
            <x v="1"/>
          </reference>
          <reference field="4" count="1" selected="0">
            <x v="92"/>
          </reference>
          <reference field="5" count="1" selected="0">
            <x v="0"/>
          </reference>
          <reference field="6" count="1">
            <x v="3"/>
          </reference>
        </references>
      </pivotArea>
    </format>
    <format dxfId="2053">
      <pivotArea dataOnly="0" labelOnly="1" outline="0" fieldPosition="0">
        <references count="5">
          <reference field="2" count="1" selected="0">
            <x v="3"/>
          </reference>
          <reference field="3" count="1" selected="0">
            <x v="0"/>
          </reference>
          <reference field="4" count="1" selected="0">
            <x v="94"/>
          </reference>
          <reference field="5" count="1" selected="0">
            <x v="1"/>
          </reference>
          <reference field="6" count="1">
            <x v="2"/>
          </reference>
        </references>
      </pivotArea>
    </format>
    <format dxfId="2052">
      <pivotArea dataOnly="0" labelOnly="1" outline="0" fieldPosition="0">
        <references count="5">
          <reference field="2" count="1" selected="0">
            <x v="3"/>
          </reference>
          <reference field="3" count="1" selected="0">
            <x v="1"/>
          </reference>
          <reference field="4" count="1" selected="0">
            <x v="132"/>
          </reference>
          <reference field="5" count="1" selected="0">
            <x v="0"/>
          </reference>
          <reference field="6" count="1">
            <x v="2"/>
          </reference>
        </references>
      </pivotArea>
    </format>
    <format dxfId="2051">
      <pivotArea dataOnly="0" labelOnly="1" outline="0" fieldPosition="0">
        <references count="5">
          <reference field="2" count="1" selected="0">
            <x v="4"/>
          </reference>
          <reference field="3" count="1" selected="0">
            <x v="0"/>
          </reference>
          <reference field="4" count="1" selected="0">
            <x v="2"/>
          </reference>
          <reference field="5" count="1" selected="0">
            <x v="1"/>
          </reference>
          <reference field="6" count="1">
            <x v="2"/>
          </reference>
        </references>
      </pivotArea>
    </format>
    <format dxfId="2050">
      <pivotArea dataOnly="0" labelOnly="1" outline="0" fieldPosition="0">
        <references count="5">
          <reference field="2" count="1" selected="0">
            <x v="4"/>
          </reference>
          <reference field="3" count="1" selected="0">
            <x v="0"/>
          </reference>
          <reference field="4" count="1" selected="0">
            <x v="95"/>
          </reference>
          <reference field="5" count="1" selected="0">
            <x v="1"/>
          </reference>
          <reference field="6" count="1">
            <x v="2"/>
          </reference>
        </references>
      </pivotArea>
    </format>
    <format dxfId="2049">
      <pivotArea dataOnly="0" labelOnly="1" outline="0" fieldPosition="0">
        <references count="5">
          <reference field="2" count="1" selected="0">
            <x v="4"/>
          </reference>
          <reference field="3" count="1" selected="0">
            <x v="0"/>
          </reference>
          <reference field="4" count="1" selected="0">
            <x v="97"/>
          </reference>
          <reference field="5" count="1" selected="0">
            <x v="1"/>
          </reference>
          <reference field="6" count="1">
            <x v="2"/>
          </reference>
        </references>
      </pivotArea>
    </format>
    <format dxfId="2048">
      <pivotArea dataOnly="0" labelOnly="1" outline="0" fieldPosition="0">
        <references count="5">
          <reference field="2" count="1" selected="0">
            <x v="4"/>
          </reference>
          <reference field="3" count="1" selected="0">
            <x v="3"/>
          </reference>
          <reference field="4" count="1" selected="0">
            <x v="98"/>
          </reference>
          <reference field="5" count="1" selected="0">
            <x v="3"/>
          </reference>
          <reference field="6" count="1">
            <x v="2"/>
          </reference>
        </references>
      </pivotArea>
    </format>
    <format dxfId="2047">
      <pivotArea dataOnly="0" labelOnly="1" outline="0" fieldPosition="0">
        <references count="5">
          <reference field="2" count="1" selected="0">
            <x v="5"/>
          </reference>
          <reference field="3" count="1" selected="0">
            <x v="2"/>
          </reference>
          <reference field="4" count="1" selected="0">
            <x v="99"/>
          </reference>
          <reference field="5" count="1" selected="0">
            <x v="7"/>
          </reference>
          <reference field="6" count="1">
            <x v="6"/>
          </reference>
        </references>
      </pivotArea>
    </format>
    <format dxfId="2046">
      <pivotArea dataOnly="0" labelOnly="1" outline="0" fieldPosition="0">
        <references count="1">
          <reference field="2" count="6">
            <x v="0"/>
            <x v="1"/>
            <x v="2"/>
            <x v="3"/>
            <x v="4"/>
            <x v="6"/>
          </reference>
        </references>
      </pivotArea>
    </format>
    <format dxfId="2045">
      <pivotArea dataOnly="0" labelOnly="1" outline="0" fieldPosition="0">
        <references count="2">
          <reference field="2" count="1" selected="0">
            <x v="0"/>
          </reference>
          <reference field="4" count="1">
            <x v="125"/>
          </reference>
        </references>
      </pivotArea>
    </format>
    <format dxfId="2044">
      <pivotArea dataOnly="0" labelOnly="1" outline="0" fieldPosition="0">
        <references count="2">
          <reference field="2" count="1" selected="0">
            <x v="1"/>
          </reference>
          <reference field="4" count="1">
            <x v="47"/>
          </reference>
        </references>
      </pivotArea>
    </format>
    <format dxfId="2043">
      <pivotArea dataOnly="0" labelOnly="1" outline="0" fieldPosition="0">
        <references count="2">
          <reference field="2" count="1" selected="0">
            <x v="2"/>
          </reference>
          <reference field="4" count="1">
            <x v="19"/>
          </reference>
        </references>
      </pivotArea>
    </format>
    <format dxfId="2042">
      <pivotArea dataOnly="0" labelOnly="1" outline="0" fieldPosition="0">
        <references count="2">
          <reference field="2" count="1" selected="0">
            <x v="3"/>
          </reference>
          <reference field="4" count="7">
            <x v="24"/>
            <x v="33"/>
            <x v="35"/>
            <x v="54"/>
            <x v="119"/>
            <x v="127"/>
            <x v="128"/>
          </reference>
        </references>
      </pivotArea>
    </format>
    <format dxfId="2041">
      <pivotArea dataOnly="0" labelOnly="1" outline="0" fieldPosition="0">
        <references count="2">
          <reference field="2" count="1" selected="0">
            <x v="4"/>
          </reference>
          <reference field="4" count="4">
            <x v="4"/>
            <x v="8"/>
            <x v="56"/>
            <x v="123"/>
          </reference>
        </references>
      </pivotArea>
    </format>
    <format dxfId="2040">
      <pivotArea dataOnly="0" labelOnly="1" outline="0" fieldPosition="0">
        <references count="2">
          <reference field="2" count="1" selected="0">
            <x v="6"/>
          </reference>
          <reference field="4" count="2">
            <x v="44"/>
            <x v="57"/>
          </reference>
        </references>
      </pivotArea>
    </format>
    <format dxfId="2039">
      <pivotArea dataOnly="0" labelOnly="1" outline="0" fieldPosition="0">
        <references count="3">
          <reference field="2" count="1" selected="0">
            <x v="0"/>
          </reference>
          <reference field="4" count="1" selected="0">
            <x v="125"/>
          </reference>
          <reference field="5" count="1">
            <x v="4"/>
          </reference>
        </references>
      </pivotArea>
    </format>
    <format dxfId="2038">
      <pivotArea dataOnly="0" labelOnly="1" outline="0" fieldPosition="0">
        <references count="3">
          <reference field="2" count="1" selected="0">
            <x v="1"/>
          </reference>
          <reference field="4" count="1" selected="0">
            <x v="47"/>
          </reference>
          <reference field="5" count="1">
            <x v="0"/>
          </reference>
        </references>
      </pivotArea>
    </format>
    <format dxfId="2037">
      <pivotArea dataOnly="0" labelOnly="1" outline="0" fieldPosition="0">
        <references count="3">
          <reference field="2" count="1" selected="0">
            <x v="3"/>
          </reference>
          <reference field="4" count="1" selected="0">
            <x v="35"/>
          </reference>
          <reference field="5" count="1">
            <x v="1"/>
          </reference>
        </references>
      </pivotArea>
    </format>
    <format dxfId="2036">
      <pivotArea dataOnly="0" labelOnly="1" outline="0" fieldPosition="0">
        <references count="3">
          <reference field="2" count="1" selected="0">
            <x v="3"/>
          </reference>
          <reference field="4" count="1" selected="0">
            <x v="119"/>
          </reference>
          <reference field="5" count="1">
            <x v="0"/>
          </reference>
        </references>
      </pivotArea>
    </format>
    <format dxfId="2035">
      <pivotArea dataOnly="0" labelOnly="1" outline="0" fieldPosition="0">
        <references count="3">
          <reference field="2" count="1" selected="0">
            <x v="3"/>
          </reference>
          <reference field="4" count="1" selected="0">
            <x v="127"/>
          </reference>
          <reference field="5" count="1">
            <x v="3"/>
          </reference>
        </references>
      </pivotArea>
    </format>
    <format dxfId="2034">
      <pivotArea dataOnly="0" labelOnly="1" outline="0" fieldPosition="0">
        <references count="3">
          <reference field="2" count="1" selected="0">
            <x v="3"/>
          </reference>
          <reference field="4" count="1" selected="0">
            <x v="128"/>
          </reference>
          <reference field="5" count="1">
            <x v="1"/>
          </reference>
        </references>
      </pivotArea>
    </format>
    <format dxfId="2033">
      <pivotArea dataOnly="0" labelOnly="1" outline="0" fieldPosition="0">
        <references count="3">
          <reference field="2" count="1" selected="0">
            <x v="4"/>
          </reference>
          <reference field="4" count="1" selected="0">
            <x v="8"/>
          </reference>
          <reference field="5" count="1">
            <x v="2"/>
          </reference>
        </references>
      </pivotArea>
    </format>
    <format dxfId="2032">
      <pivotArea dataOnly="0" labelOnly="1" outline="0" fieldPosition="0">
        <references count="3">
          <reference field="2" count="1" selected="0">
            <x v="6"/>
          </reference>
          <reference field="4" count="1" selected="0">
            <x v="44"/>
          </reference>
          <reference field="5" count="1">
            <x v="3"/>
          </reference>
        </references>
      </pivotArea>
    </format>
    <format dxfId="2031">
      <pivotArea dataOnly="0" labelOnly="1" outline="0" fieldPosition="0">
        <references count="4">
          <reference field="2" count="1" selected="0">
            <x v="0"/>
          </reference>
          <reference field="3" count="1">
            <x v="1"/>
          </reference>
          <reference field="4" count="1" selected="0">
            <x v="125"/>
          </reference>
          <reference field="5" count="1" selected="0">
            <x v="4"/>
          </reference>
        </references>
      </pivotArea>
    </format>
    <format dxfId="2030">
      <pivotArea dataOnly="0" labelOnly="1" outline="0" fieldPosition="0">
        <references count="4">
          <reference field="2" count="1" selected="0">
            <x v="3"/>
          </reference>
          <reference field="3" count="1">
            <x v="0"/>
          </reference>
          <reference field="4" count="1" selected="0">
            <x v="35"/>
          </reference>
          <reference field="5" count="1" selected="0">
            <x v="1"/>
          </reference>
        </references>
      </pivotArea>
    </format>
    <format dxfId="2029">
      <pivotArea dataOnly="0" labelOnly="1" outline="0" fieldPosition="0">
        <references count="4">
          <reference field="2" count="1" selected="0">
            <x v="3"/>
          </reference>
          <reference field="3" count="1">
            <x v="1"/>
          </reference>
          <reference field="4" count="1" selected="0">
            <x v="119"/>
          </reference>
          <reference field="5" count="1" selected="0">
            <x v="0"/>
          </reference>
        </references>
      </pivotArea>
    </format>
    <format dxfId="2028">
      <pivotArea dataOnly="0" labelOnly="1" outline="0" fieldPosition="0">
        <references count="4">
          <reference field="2" count="1" selected="0">
            <x v="3"/>
          </reference>
          <reference field="3" count="1">
            <x v="0"/>
          </reference>
          <reference field="4" count="1" selected="0">
            <x v="127"/>
          </reference>
          <reference field="5" count="1" selected="0">
            <x v="3"/>
          </reference>
        </references>
      </pivotArea>
    </format>
    <format dxfId="2027">
      <pivotArea dataOnly="0" labelOnly="1" outline="0" fieldPosition="0">
        <references count="4">
          <reference field="2" count="1" selected="0">
            <x v="4"/>
          </reference>
          <reference field="3" count="1">
            <x v="2"/>
          </reference>
          <reference field="4" count="1" selected="0">
            <x v="8"/>
          </reference>
          <reference field="5" count="1" selected="0">
            <x v="2"/>
          </reference>
        </references>
      </pivotArea>
    </format>
    <format dxfId="2026">
      <pivotArea dataOnly="0" labelOnly="1" outline="0" fieldPosition="0">
        <references count="4">
          <reference field="2" count="1" selected="0">
            <x v="6"/>
          </reference>
          <reference field="3" count="1">
            <x v="3"/>
          </reference>
          <reference field="4" count="1" selected="0">
            <x v="44"/>
          </reference>
          <reference field="5" count="1" selected="0">
            <x v="3"/>
          </reference>
        </references>
      </pivotArea>
    </format>
    <format dxfId="2025">
      <pivotArea dataOnly="0" labelOnly="1" outline="0" fieldPosition="0">
        <references count="5">
          <reference field="2" count="1" selected="0">
            <x v="0"/>
          </reference>
          <reference field="3" count="1" selected="0">
            <x v="1"/>
          </reference>
          <reference field="4" count="1" selected="0">
            <x v="125"/>
          </reference>
          <reference field="5" count="1" selected="0">
            <x v="4"/>
          </reference>
          <reference field="6" count="1">
            <x v="2"/>
          </reference>
        </references>
      </pivotArea>
    </format>
    <format dxfId="2024">
      <pivotArea dataOnly="0" labelOnly="1" outline="0" fieldPosition="0">
        <references count="5">
          <reference field="2" count="1" selected="0">
            <x v="1"/>
          </reference>
          <reference field="3" count="1" selected="0">
            <x v="1"/>
          </reference>
          <reference field="4" count="1" selected="0">
            <x v="47"/>
          </reference>
          <reference field="5" count="1" selected="0">
            <x v="0"/>
          </reference>
          <reference field="6" count="1">
            <x v="2"/>
          </reference>
        </references>
      </pivotArea>
    </format>
    <format dxfId="2023">
      <pivotArea dataOnly="0" labelOnly="1" outline="0" fieldPosition="0">
        <references count="5">
          <reference field="2" count="1" selected="0">
            <x v="2"/>
          </reference>
          <reference field="3" count="1" selected="0">
            <x v="1"/>
          </reference>
          <reference field="4" count="1" selected="0">
            <x v="19"/>
          </reference>
          <reference field="5" count="1" selected="0">
            <x v="0"/>
          </reference>
          <reference field="6" count="1">
            <x v="2"/>
          </reference>
        </references>
      </pivotArea>
    </format>
    <format dxfId="2022">
      <pivotArea dataOnly="0" labelOnly="1" outline="0" fieldPosition="0">
        <references count="5">
          <reference field="2" count="1" selected="0">
            <x v="3"/>
          </reference>
          <reference field="3" count="1" selected="0">
            <x v="1"/>
          </reference>
          <reference field="4" count="1" selected="0">
            <x v="24"/>
          </reference>
          <reference field="5" count="1" selected="0">
            <x v="0"/>
          </reference>
          <reference field="6" count="1">
            <x v="0"/>
          </reference>
        </references>
      </pivotArea>
    </format>
    <format dxfId="2021">
      <pivotArea dataOnly="0" labelOnly="1" outline="0" fieldPosition="0">
        <references count="5">
          <reference field="2" count="1" selected="0">
            <x v="3"/>
          </reference>
          <reference field="3" count="1" selected="0">
            <x v="1"/>
          </reference>
          <reference field="4" count="1" selected="0">
            <x v="33"/>
          </reference>
          <reference field="5" count="1" selected="0">
            <x v="0"/>
          </reference>
          <reference field="6" count="1">
            <x v="3"/>
          </reference>
        </references>
      </pivotArea>
    </format>
    <format dxfId="2020">
      <pivotArea dataOnly="0" labelOnly="1" outline="0" fieldPosition="0">
        <references count="5">
          <reference field="2" count="1" selected="0">
            <x v="3"/>
          </reference>
          <reference field="3" count="1" selected="0">
            <x v="0"/>
          </reference>
          <reference field="4" count="1" selected="0">
            <x v="35"/>
          </reference>
          <reference field="5" count="1" selected="0">
            <x v="1"/>
          </reference>
          <reference field="6" count="1">
            <x v="2"/>
          </reference>
        </references>
      </pivotArea>
    </format>
    <format dxfId="2019">
      <pivotArea dataOnly="0" labelOnly="1" outline="0" fieldPosition="0">
        <references count="5">
          <reference field="2" count="1" selected="0">
            <x v="3"/>
          </reference>
          <reference field="3" count="1" selected="0">
            <x v="0"/>
          </reference>
          <reference field="4" count="1" selected="0">
            <x v="54"/>
          </reference>
          <reference field="5" count="1" selected="0">
            <x v="1"/>
          </reference>
          <reference field="6" count="1">
            <x v="2"/>
          </reference>
        </references>
      </pivotArea>
    </format>
    <format dxfId="2018">
      <pivotArea dataOnly="0" labelOnly="1" outline="0" fieldPosition="0">
        <references count="5">
          <reference field="2" count="1" selected="0">
            <x v="3"/>
          </reference>
          <reference field="3" count="1" selected="0">
            <x v="1"/>
          </reference>
          <reference field="4" count="1" selected="0">
            <x v="119"/>
          </reference>
          <reference field="5" count="1" selected="0">
            <x v="0"/>
          </reference>
          <reference field="6" count="1">
            <x v="2"/>
          </reference>
        </references>
      </pivotArea>
    </format>
    <format dxfId="2017">
      <pivotArea dataOnly="0" labelOnly="1" outline="0" fieldPosition="0">
        <references count="5">
          <reference field="2" count="1" selected="0">
            <x v="3"/>
          </reference>
          <reference field="3" count="1" selected="0">
            <x v="0"/>
          </reference>
          <reference field="4" count="1" selected="0">
            <x v="127"/>
          </reference>
          <reference field="5" count="1" selected="0">
            <x v="3"/>
          </reference>
          <reference field="6" count="1">
            <x v="2"/>
          </reference>
        </references>
      </pivotArea>
    </format>
    <format dxfId="2016">
      <pivotArea dataOnly="0" labelOnly="1" outline="0" fieldPosition="0">
        <references count="5">
          <reference field="2" count="1" selected="0">
            <x v="3"/>
          </reference>
          <reference field="3" count="1" selected="0">
            <x v="0"/>
          </reference>
          <reference field="4" count="1" selected="0">
            <x v="128"/>
          </reference>
          <reference field="5" count="1" selected="0">
            <x v="1"/>
          </reference>
          <reference field="6" count="1">
            <x v="2"/>
          </reference>
        </references>
      </pivotArea>
    </format>
    <format dxfId="2015">
      <pivotArea dataOnly="0" labelOnly="1" outline="0" fieldPosition="0">
        <references count="5">
          <reference field="2" count="1" selected="0">
            <x v="4"/>
          </reference>
          <reference field="3" count="1" selected="0">
            <x v="0"/>
          </reference>
          <reference field="4" count="1" selected="0">
            <x v="4"/>
          </reference>
          <reference field="5" count="1" selected="0">
            <x v="1"/>
          </reference>
          <reference field="6" count="1">
            <x v="2"/>
          </reference>
        </references>
      </pivotArea>
    </format>
    <format dxfId="2014">
      <pivotArea dataOnly="0" labelOnly="1" outline="0" fieldPosition="0">
        <references count="5">
          <reference field="2" count="1" selected="0">
            <x v="4"/>
          </reference>
          <reference field="3" count="1" selected="0">
            <x v="2"/>
          </reference>
          <reference field="4" count="1" selected="0">
            <x v="8"/>
          </reference>
          <reference field="5" count="1" selected="0">
            <x v="2"/>
          </reference>
          <reference field="6" count="1">
            <x v="2"/>
          </reference>
        </references>
      </pivotArea>
    </format>
    <format dxfId="2013">
      <pivotArea dataOnly="0" labelOnly="1" outline="0" fieldPosition="0">
        <references count="5">
          <reference field="2" count="1" selected="0">
            <x v="4"/>
          </reference>
          <reference field="3" count="1" selected="0">
            <x v="2"/>
          </reference>
          <reference field="4" count="1" selected="0">
            <x v="56"/>
          </reference>
          <reference field="5" count="1" selected="0">
            <x v="2"/>
          </reference>
          <reference field="6" count="1">
            <x v="2"/>
          </reference>
        </references>
      </pivotArea>
    </format>
    <format dxfId="2012">
      <pivotArea dataOnly="0" labelOnly="1" outline="0" fieldPosition="0">
        <references count="5">
          <reference field="2" count="1" selected="0">
            <x v="4"/>
          </reference>
          <reference field="3" count="1" selected="0">
            <x v="2"/>
          </reference>
          <reference field="4" count="1" selected="0">
            <x v="123"/>
          </reference>
          <reference field="5" count="1" selected="0">
            <x v="2"/>
          </reference>
          <reference field="6" count="1">
            <x v="2"/>
          </reference>
        </references>
      </pivotArea>
    </format>
    <format dxfId="2011">
      <pivotArea dataOnly="0" labelOnly="1" outline="0" fieldPosition="0">
        <references count="5">
          <reference field="2" count="1" selected="0">
            <x v="6"/>
          </reference>
          <reference field="3" count="1" selected="0">
            <x v="3"/>
          </reference>
          <reference field="4" count="1" selected="0">
            <x v="44"/>
          </reference>
          <reference field="5" count="1" selected="0">
            <x v="3"/>
          </reference>
          <reference field="6" count="1">
            <x v="6"/>
          </reference>
        </references>
      </pivotArea>
    </format>
    <format dxfId="2010">
      <pivotArea dataOnly="0" labelOnly="1" outline="0" fieldPosition="0">
        <references count="5">
          <reference field="2" count="1" selected="0">
            <x v="6"/>
          </reference>
          <reference field="3" count="1" selected="0">
            <x v="3"/>
          </reference>
          <reference field="4" count="1" selected="0">
            <x v="57"/>
          </reference>
          <reference field="5" count="1" selected="0">
            <x v="3"/>
          </reference>
          <reference field="6" count="1">
            <x v="6"/>
          </reference>
        </references>
      </pivotArea>
    </format>
    <format dxfId="2009">
      <pivotArea dataOnly="0" labelOnly="1" outline="0" fieldPosition="0">
        <references count="5">
          <reference field="2" count="1" selected="0">
            <x v="0"/>
          </reference>
          <reference field="3" count="1" selected="0">
            <x v="1"/>
          </reference>
          <reference field="4" count="1" selected="0">
            <x v="139"/>
          </reference>
          <reference field="5" count="1" selected="0">
            <x v="4"/>
          </reference>
          <reference field="6" count="1">
            <x v="2"/>
          </reference>
        </references>
      </pivotArea>
    </format>
    <format dxfId="2008">
      <pivotArea dataOnly="0" labelOnly="1" outline="0" fieldPosition="0">
        <references count="5">
          <reference field="2" count="1" selected="0">
            <x v="4"/>
          </reference>
          <reference field="3" count="1" selected="0">
            <x v="4"/>
          </reference>
          <reference field="4" count="1" selected="0">
            <x v="142"/>
          </reference>
          <reference field="5" count="1" selected="0">
            <x v="2"/>
          </reference>
          <reference field="6" count="1">
            <x v="2"/>
          </reference>
        </references>
      </pivotArea>
    </format>
    <format dxfId="2007">
      <pivotArea dataOnly="0" labelOnly="1" outline="0" fieldPosition="0">
        <references count="5">
          <reference field="2" count="1" selected="0">
            <x v="2"/>
          </reference>
          <reference field="3" count="1" selected="0">
            <x v="1"/>
          </reference>
          <reference field="4" count="1" selected="0">
            <x v="141"/>
          </reference>
          <reference field="5" count="1" selected="0">
            <x v="0"/>
          </reference>
          <reference field="6" count="1">
            <x v="3"/>
          </reference>
        </references>
      </pivotArea>
    </format>
    <format dxfId="2006">
      <pivotArea dataOnly="0" labelOnly="1" outline="0" fieldPosition="0">
        <references count="5">
          <reference field="2" count="1" selected="0">
            <x v="3"/>
          </reference>
          <reference field="3" count="1" selected="0">
            <x v="0"/>
          </reference>
          <reference field="4" count="1" selected="0">
            <x v="39"/>
          </reference>
          <reference field="5" count="1" selected="0">
            <x v="1"/>
          </reference>
          <reference field="6" count="1">
            <x v="2"/>
          </reference>
        </references>
      </pivotArea>
    </format>
    <format dxfId="2005">
      <pivotArea dataOnly="0" labelOnly="1" outline="0" fieldPosition="0">
        <references count="5">
          <reference field="2" count="1" selected="0">
            <x v="4"/>
          </reference>
          <reference field="3" count="1" selected="0">
            <x v="2"/>
          </reference>
          <reference field="4" count="1" selected="0">
            <x v="142"/>
          </reference>
          <reference field="5" count="1" selected="0">
            <x v="2"/>
          </reference>
          <reference field="6" count="1">
            <x v="2"/>
          </reference>
        </references>
      </pivotArea>
    </format>
    <format dxfId="2004">
      <pivotArea dataOnly="0" labelOnly="1" outline="0" fieldPosition="0">
        <references count="5">
          <reference field="2" count="1" selected="0">
            <x v="5"/>
          </reference>
          <reference field="3" count="1" selected="0">
            <x v="3"/>
          </reference>
          <reference field="4" count="1" selected="0">
            <x v="143"/>
          </reference>
          <reference field="5" count="1" selected="0">
            <x v="3"/>
          </reference>
          <reference field="6" count="1">
            <x v="2"/>
          </reference>
        </references>
      </pivotArea>
    </format>
    <format dxfId="2003">
      <pivotArea dataOnly="0" labelOnly="1" outline="0" fieldPosition="0">
        <references count="5">
          <reference field="2" count="1" selected="0">
            <x v="4"/>
          </reference>
          <reference field="3" count="1" selected="0">
            <x v="0"/>
          </reference>
          <reference field="4" count="1" selected="0">
            <x v="146"/>
          </reference>
          <reference field="5" count="1" selected="0">
            <x v="1"/>
          </reference>
          <reference field="6" count="1">
            <x v="2"/>
          </reference>
        </references>
      </pivotArea>
    </format>
    <format dxfId="2002">
      <pivotArea dataOnly="0" labelOnly="1" outline="0" fieldPosition="0">
        <references count="5">
          <reference field="2" count="1" selected="0">
            <x v="5"/>
          </reference>
          <reference field="3" count="1" selected="0">
            <x v="3"/>
          </reference>
          <reference field="4" count="1" selected="0">
            <x v="147"/>
          </reference>
          <reference field="5" count="1" selected="0">
            <x v="3"/>
          </reference>
          <reference field="6" count="1">
            <x v="2"/>
          </reference>
        </references>
      </pivotArea>
    </format>
    <format dxfId="2001">
      <pivotArea dataOnly="0" labelOnly="1" outline="0" fieldPosition="0">
        <references count="5">
          <reference field="2" count="1" selected="0">
            <x v="3"/>
          </reference>
          <reference field="3" count="1" selected="0">
            <x v="0"/>
          </reference>
          <reference field="4" count="1" selected="0">
            <x v="145"/>
          </reference>
          <reference field="5" count="1" selected="0">
            <x v="1"/>
          </reference>
          <reference field="6" count="1">
            <x v="2"/>
          </reference>
        </references>
      </pivotArea>
    </format>
    <format dxfId="2000">
      <pivotArea dataOnly="0" labelOnly="1" outline="0" fieldPosition="0">
        <references count="5">
          <reference field="2" count="1" selected="0">
            <x v="0"/>
          </reference>
          <reference field="3" count="1" selected="0">
            <x v="3"/>
          </reference>
          <reference field="4" count="1" selected="0">
            <x v="30"/>
          </reference>
          <reference field="5" count="1" selected="0">
            <x v="4"/>
          </reference>
          <reference field="6" count="1">
            <x v="2"/>
          </reference>
        </references>
      </pivotArea>
    </format>
    <format dxfId="1999">
      <pivotArea dataOnly="0" labelOnly="1" outline="0" fieldPosition="0">
        <references count="5">
          <reference field="2" count="1" selected="0">
            <x v="2"/>
          </reference>
          <reference field="3" count="1" selected="0">
            <x v="1"/>
          </reference>
          <reference field="4" count="1" selected="0">
            <x v="144"/>
          </reference>
          <reference field="5" count="1" selected="0">
            <x v="0"/>
          </reference>
          <reference field="6" count="1">
            <x v="2"/>
          </reference>
        </references>
      </pivotArea>
    </format>
    <format dxfId="1998">
      <pivotArea dataOnly="0" labelOnly="1" outline="0" fieldPosition="0">
        <references count="5">
          <reference field="2" count="1" selected="0">
            <x v="2"/>
          </reference>
          <reference field="3" count="1" selected="0">
            <x v="1"/>
          </reference>
          <reference field="4" count="1" selected="0">
            <x v="148"/>
          </reference>
          <reference field="5" count="1" selected="0">
            <x v="0"/>
          </reference>
          <reference field="6" count="1">
            <x v="3"/>
          </reference>
        </references>
      </pivotArea>
    </format>
    <format dxfId="1997">
      <pivotArea dataOnly="0" labelOnly="1" outline="0" fieldPosition="0">
        <references count="5">
          <reference field="2" count="1" selected="0">
            <x v="3"/>
          </reference>
          <reference field="3" count="1" selected="0">
            <x v="0"/>
          </reference>
          <reference field="4" count="1" selected="0">
            <x v="149"/>
          </reference>
          <reference field="5" count="1" selected="0">
            <x v="1"/>
          </reference>
          <reference field="6" count="1">
            <x v="2"/>
          </reference>
        </references>
      </pivotArea>
    </format>
    <format dxfId="1996">
      <pivotArea dataOnly="0" labelOnly="1" outline="0" fieldPosition="0">
        <references count="5">
          <reference field="2" count="1" selected="0">
            <x v="4"/>
          </reference>
          <reference field="3" count="1" selected="0">
            <x v="3"/>
          </reference>
          <reference field="4" count="1" selected="0">
            <x v="150"/>
          </reference>
          <reference field="5" count="1" selected="0">
            <x v="3"/>
          </reference>
          <reference field="6" count="1">
            <x v="2"/>
          </reference>
        </references>
      </pivotArea>
    </format>
    <format dxfId="1995">
      <pivotArea dataOnly="0" labelOnly="1" outline="0" fieldPosition="0">
        <references count="5">
          <reference field="2" count="1" selected="0">
            <x v="2"/>
          </reference>
          <reference field="3" count="1" selected="0">
            <x v="1"/>
          </reference>
          <reference field="4" count="1" selected="0">
            <x v="151"/>
          </reference>
          <reference field="5" count="1" selected="0">
            <x v="0"/>
          </reference>
          <reference field="6" count="1">
            <x v="2"/>
          </reference>
        </references>
      </pivotArea>
    </format>
    <format dxfId="1994">
      <pivotArea dataOnly="0" labelOnly="1" outline="0" fieldPosition="0">
        <references count="5">
          <reference field="2" count="1" selected="0">
            <x v="2"/>
          </reference>
          <reference field="3" count="1" selected="0">
            <x v="1"/>
          </reference>
          <reference field="4" count="1" selected="0">
            <x v="152"/>
          </reference>
          <reference field="5" count="1" selected="0">
            <x v="0"/>
          </reference>
          <reference field="6" count="1">
            <x v="2"/>
          </reference>
        </references>
      </pivotArea>
    </format>
    <format dxfId="1993">
      <pivotArea dataOnly="0" labelOnly="1" outline="0" fieldPosition="0">
        <references count="5">
          <reference field="2" count="1" selected="0">
            <x v="3"/>
          </reference>
          <reference field="3" count="1" selected="0">
            <x v="0"/>
          </reference>
          <reference field="4" count="1" selected="0">
            <x v="154"/>
          </reference>
          <reference field="5" count="1" selected="0">
            <x v="1"/>
          </reference>
          <reference field="6" count="1">
            <x v="2"/>
          </reference>
        </references>
      </pivotArea>
    </format>
    <format dxfId="1992">
      <pivotArea dataOnly="0" labelOnly="1" outline="0" fieldPosition="0">
        <references count="5">
          <reference field="2" count="1" selected="0">
            <x v="4"/>
          </reference>
          <reference field="3" count="1" selected="0">
            <x v="0"/>
          </reference>
          <reference field="4" count="1" selected="0">
            <x v="155"/>
          </reference>
          <reference field="5" count="1" selected="0">
            <x v="1"/>
          </reference>
          <reference field="6" count="1">
            <x v="2"/>
          </reference>
        </references>
      </pivotArea>
    </format>
    <format dxfId="1991">
      <pivotArea dataOnly="0" labelOnly="1" outline="0" fieldPosition="0">
        <references count="5">
          <reference field="2" count="1" selected="0">
            <x v="8"/>
          </reference>
          <reference field="3" count="1" selected="0">
            <x v="2"/>
          </reference>
          <reference field="4" count="1" selected="0">
            <x v="153"/>
          </reference>
          <reference field="5" count="1" selected="0">
            <x v="2"/>
          </reference>
          <reference field="6" count="1">
            <x v="2"/>
          </reference>
        </references>
      </pivotArea>
    </format>
    <format dxfId="1990">
      <pivotArea dataOnly="0" labelOnly="1" outline="0" fieldPosition="0">
        <references count="5">
          <reference field="2" count="1" selected="0">
            <x v="1"/>
          </reference>
          <reference field="3" count="1" selected="0">
            <x v="1"/>
          </reference>
          <reference field="4" count="1" selected="0">
            <x v="156"/>
          </reference>
          <reference field="5" count="1" selected="0">
            <x v="0"/>
          </reference>
          <reference field="6" count="1">
            <x v="2"/>
          </reference>
        </references>
      </pivotArea>
    </format>
    <format dxfId="1989">
      <pivotArea dataOnly="0" labelOnly="1" outline="0" fieldPosition="0">
        <references count="5">
          <reference field="2" count="1" selected="0">
            <x v="2"/>
          </reference>
          <reference field="3" count="1" selected="0">
            <x v="1"/>
          </reference>
          <reference field="4" count="1" selected="0">
            <x v="157"/>
          </reference>
          <reference field="5" count="1" selected="0">
            <x v="0"/>
          </reference>
          <reference field="6" count="1">
            <x v="2"/>
          </reference>
        </references>
      </pivotArea>
    </format>
    <format dxfId="1988">
      <pivotArea dataOnly="0" labelOnly="1" outline="0" fieldPosition="0">
        <references count="5">
          <reference field="2" count="1" selected="0">
            <x v="3"/>
          </reference>
          <reference field="3" count="1" selected="0">
            <x v="1"/>
          </reference>
          <reference field="4" count="1" selected="0">
            <x v="158"/>
          </reference>
          <reference field="5" count="1" selected="0">
            <x v="0"/>
          </reference>
          <reference field="6" count="1">
            <x v="0"/>
          </reference>
        </references>
      </pivotArea>
    </format>
    <format dxfId="1987">
      <pivotArea dataOnly="0" labelOnly="1" outline="0" fieldPosition="0">
        <references count="5">
          <reference field="2" count="1" selected="0">
            <x v="3"/>
          </reference>
          <reference field="3" count="1" selected="0">
            <x v="1"/>
          </reference>
          <reference field="4" count="1" selected="0">
            <x v="159"/>
          </reference>
          <reference field="5" count="1" selected="0">
            <x v="0"/>
          </reference>
          <reference field="6" count="1">
            <x v="0"/>
          </reference>
        </references>
      </pivotArea>
    </format>
    <format dxfId="1986">
      <pivotArea dataOnly="0" labelOnly="1" outline="0" fieldPosition="0">
        <references count="5">
          <reference field="2" count="1" selected="0">
            <x v="3"/>
          </reference>
          <reference field="3" count="1" selected="0">
            <x v="0"/>
          </reference>
          <reference field="4" count="1" selected="0">
            <x v="160"/>
          </reference>
          <reference field="5" count="1" selected="0">
            <x v="1"/>
          </reference>
          <reference field="6" count="1">
            <x v="2"/>
          </reference>
        </references>
      </pivotArea>
    </format>
    <format dxfId="1985">
      <pivotArea dataOnly="0" labelOnly="1" outline="0" fieldPosition="0">
        <references count="5">
          <reference field="2" count="1" selected="0">
            <x v="3"/>
          </reference>
          <reference field="3" count="1" selected="0">
            <x v="0"/>
          </reference>
          <reference field="4" count="1" selected="0">
            <x v="161"/>
          </reference>
          <reference field="5" count="1" selected="0">
            <x v="1"/>
          </reference>
          <reference field="6" count="1">
            <x v="2"/>
          </reference>
        </references>
      </pivotArea>
    </format>
    <format dxfId="1984">
      <pivotArea dataOnly="0" labelOnly="1" outline="0" fieldPosition="0">
        <references count="5">
          <reference field="2" count="1" selected="0">
            <x v="3"/>
          </reference>
          <reference field="3" count="1" selected="0">
            <x v="0"/>
          </reference>
          <reference field="4" count="1" selected="0">
            <x v="162"/>
          </reference>
          <reference field="5" count="1" selected="0">
            <x v="1"/>
          </reference>
          <reference field="6" count="1">
            <x v="2"/>
          </reference>
        </references>
      </pivotArea>
    </format>
    <format dxfId="1983">
      <pivotArea dataOnly="0" labelOnly="1" outline="0" fieldPosition="0">
        <references count="5">
          <reference field="2" count="1" selected="0">
            <x v="4"/>
          </reference>
          <reference field="3" count="1" selected="0">
            <x v="0"/>
          </reference>
          <reference field="4" count="1" selected="0">
            <x v="97"/>
          </reference>
          <reference field="5" count="1" selected="0">
            <x v="1"/>
          </reference>
          <reference field="6" count="1">
            <x v="2"/>
          </reference>
        </references>
      </pivotArea>
    </format>
    <format dxfId="1982">
      <pivotArea dataOnly="0" labelOnly="1" outline="0" fieldPosition="0">
        <references count="5">
          <reference field="2" count="1" selected="0">
            <x v="4"/>
          </reference>
          <reference field="3" count="1" selected="0">
            <x v="0"/>
          </reference>
          <reference field="4" count="1" selected="0">
            <x v="163"/>
          </reference>
          <reference field="5" count="1" selected="0">
            <x v="1"/>
          </reference>
          <reference field="6" count="1">
            <x v="2"/>
          </reference>
        </references>
      </pivotArea>
    </format>
    <format dxfId="1981">
      <pivotArea dataOnly="0" labelOnly="1" outline="0" fieldPosition="0">
        <references count="5">
          <reference field="2" count="1" selected="0">
            <x v="4"/>
          </reference>
          <reference field="3" count="1" selected="0">
            <x v="0"/>
          </reference>
          <reference field="4" count="1" selected="0">
            <x v="164"/>
          </reference>
          <reference field="5" count="1" selected="0">
            <x v="1"/>
          </reference>
          <reference field="6" count="1">
            <x v="2"/>
          </reference>
        </references>
      </pivotArea>
    </format>
    <format dxfId="1980">
      <pivotArea dataOnly="0" labelOnly="1" outline="0" fieldPosition="0">
        <references count="5">
          <reference field="2" count="1" selected="0">
            <x v="3"/>
          </reference>
          <reference field="3" count="1" selected="0">
            <x v="0"/>
          </reference>
          <reference field="4" count="1" selected="0">
            <x v="165"/>
          </reference>
          <reference field="5" count="1" selected="0">
            <x v="1"/>
          </reference>
          <reference field="6" count="1">
            <x v="2"/>
          </reference>
        </references>
      </pivotArea>
    </format>
    <format dxfId="1979">
      <pivotArea dataOnly="0" labelOnly="1" outline="0" fieldPosition="0">
        <references count="5">
          <reference field="2" count="1" selected="0">
            <x v="3"/>
          </reference>
          <reference field="3" count="1" selected="0">
            <x v="0"/>
          </reference>
          <reference field="4" count="1" selected="0">
            <x v="166"/>
          </reference>
          <reference field="5" count="1" selected="0">
            <x v="1"/>
          </reference>
          <reference field="6" count="1">
            <x v="2"/>
          </reference>
        </references>
      </pivotArea>
    </format>
    <format dxfId="1978">
      <pivotArea dataOnly="0" labelOnly="1" outline="0" fieldPosition="0">
        <references count="5">
          <reference field="2" count="1" selected="0">
            <x v="3"/>
          </reference>
          <reference field="3" count="1" selected="0">
            <x v="0"/>
          </reference>
          <reference field="4" count="1" selected="0">
            <x v="167"/>
          </reference>
          <reference field="5" count="1" selected="0">
            <x v="1"/>
          </reference>
          <reference field="6" count="1">
            <x v="2"/>
          </reference>
        </references>
      </pivotArea>
    </format>
    <format dxfId="1977">
      <pivotArea dataOnly="0" labelOnly="1" outline="0" fieldPosition="0">
        <references count="5">
          <reference field="2" count="1" selected="0">
            <x v="3"/>
          </reference>
          <reference field="3" count="1" selected="0">
            <x v="0"/>
          </reference>
          <reference field="4" count="1" selected="0">
            <x v="168"/>
          </reference>
          <reference field="5" count="1" selected="0">
            <x v="1"/>
          </reference>
          <reference field="6" count="1">
            <x v="2"/>
          </reference>
        </references>
      </pivotArea>
    </format>
    <format dxfId="1976">
      <pivotArea dataOnly="0" labelOnly="1" outline="0" fieldPosition="0">
        <references count="5">
          <reference field="2" count="1" selected="0">
            <x v="4"/>
          </reference>
          <reference field="3" count="1" selected="0">
            <x v="0"/>
          </reference>
          <reference field="4" count="1" selected="0">
            <x v="66"/>
          </reference>
          <reference field="5" count="1" selected="0">
            <x v="1"/>
          </reference>
          <reference field="6" count="1">
            <x v="2"/>
          </reference>
        </references>
      </pivotArea>
    </format>
    <format dxfId="1975">
      <pivotArea dataOnly="0" labelOnly="1" outline="0" fieldPosition="0">
        <references count="5">
          <reference field="2" count="1" selected="0">
            <x v="4"/>
          </reference>
          <reference field="3" count="1" selected="0">
            <x v="2"/>
          </reference>
          <reference field="4" count="1" selected="0">
            <x v="68"/>
          </reference>
          <reference field="5" count="1" selected="0">
            <x v="2"/>
          </reference>
          <reference field="6" count="1">
            <x v="2"/>
          </reference>
        </references>
      </pivotArea>
    </format>
    <format dxfId="1974">
      <pivotArea dataOnly="0" labelOnly="1" outline="0" fieldPosition="0">
        <references count="5">
          <reference field="2" count="1" selected="0">
            <x v="5"/>
          </reference>
          <reference field="3" count="1" selected="0">
            <x v="0"/>
          </reference>
          <reference field="4" count="1" selected="0">
            <x v="43"/>
          </reference>
          <reference field="5" count="1" selected="0">
            <x v="7"/>
          </reference>
          <reference field="6" count="1">
            <x v="5"/>
          </reference>
        </references>
      </pivotArea>
    </format>
    <format dxfId="1973">
      <pivotArea dataOnly="0" labelOnly="1" outline="0" fieldPosition="0">
        <references count="5">
          <reference field="2" count="1" selected="0">
            <x v="6"/>
          </reference>
          <reference field="3" count="1" selected="0">
            <x v="3"/>
          </reference>
          <reference field="4" count="1" selected="0">
            <x v="112"/>
          </reference>
          <reference field="5" count="1" selected="0">
            <x v="3"/>
          </reference>
          <reference field="6" count="1">
            <x v="3"/>
          </reference>
        </references>
      </pivotArea>
    </format>
    <format dxfId="1972">
      <pivotArea dataOnly="0" labelOnly="1" outline="0" fieldPosition="0">
        <references count="5">
          <reference field="2" count="1" selected="0">
            <x v="6"/>
          </reference>
          <reference field="3" count="1" selected="0">
            <x v="3"/>
          </reference>
          <reference field="4" count="1" selected="0">
            <x v="169"/>
          </reference>
          <reference field="5" count="1" selected="0">
            <x v="3"/>
          </reference>
          <reference field="6" count="1">
            <x v="2"/>
          </reference>
        </references>
      </pivotArea>
    </format>
    <format dxfId="1971">
      <pivotArea dataOnly="0" labelOnly="1" outline="0" fieldPosition="0">
        <references count="5">
          <reference field="2" count="1" selected="0">
            <x v="2"/>
          </reference>
          <reference field="3" count="1" selected="0">
            <x v="1"/>
          </reference>
          <reference field="4" count="1" selected="0">
            <x v="171"/>
          </reference>
          <reference field="5" count="1" selected="0">
            <x v="0"/>
          </reference>
          <reference field="6" count="1">
            <x v="2"/>
          </reference>
        </references>
      </pivotArea>
    </format>
    <format dxfId="1970">
      <pivotArea dataOnly="0" labelOnly="1" outline="0" fieldPosition="0">
        <references count="5">
          <reference field="2" count="1" selected="0">
            <x v="3"/>
          </reference>
          <reference field="3" count="1" selected="0">
            <x v="1"/>
          </reference>
          <reference field="4" count="1" selected="0">
            <x v="33"/>
          </reference>
          <reference field="5" count="1" selected="0">
            <x v="0"/>
          </reference>
          <reference field="6" count="1">
            <x v="3"/>
          </reference>
        </references>
      </pivotArea>
    </format>
    <format dxfId="1969">
      <pivotArea dataOnly="0" labelOnly="1" outline="0" fieldPosition="0">
        <references count="5">
          <reference field="2" count="1" selected="0">
            <x v="3"/>
          </reference>
          <reference field="3" count="1" selected="0">
            <x v="0"/>
          </reference>
          <reference field="4" count="1" selected="0">
            <x v="54"/>
          </reference>
          <reference field="5" count="1" selected="0">
            <x v="1"/>
          </reference>
          <reference field="6" count="1">
            <x v="2"/>
          </reference>
        </references>
      </pivotArea>
    </format>
    <format dxfId="1968">
      <pivotArea dataOnly="0" labelOnly="1" outline="0" fieldPosition="0">
        <references count="5">
          <reference field="2" count="1" selected="0">
            <x v="3"/>
          </reference>
          <reference field="3" count="1" selected="0">
            <x v="0"/>
          </reference>
          <reference field="4" count="1" selected="0">
            <x v="65"/>
          </reference>
          <reference field="5" count="1" selected="0">
            <x v="1"/>
          </reference>
          <reference field="6" count="1">
            <x v="2"/>
          </reference>
        </references>
      </pivotArea>
    </format>
    <format dxfId="1967">
      <pivotArea dataOnly="0" labelOnly="1" outline="0" fieldPosition="0">
        <references count="5">
          <reference field="2" count="1" selected="0">
            <x v="3"/>
          </reference>
          <reference field="3" count="1" selected="0">
            <x v="0"/>
          </reference>
          <reference field="4" count="1" selected="0">
            <x v="122"/>
          </reference>
          <reference field="5" count="1" selected="0">
            <x v="1"/>
          </reference>
          <reference field="6" count="1">
            <x v="2"/>
          </reference>
        </references>
      </pivotArea>
    </format>
    <format dxfId="1966">
      <pivotArea dataOnly="0" labelOnly="1" outline="0" fieldPosition="0">
        <references count="5">
          <reference field="2" count="1" selected="0">
            <x v="3"/>
          </reference>
          <reference field="3" count="1" selected="0">
            <x v="0"/>
          </reference>
          <reference field="4" count="1" selected="0">
            <x v="127"/>
          </reference>
          <reference field="5" count="1" selected="0">
            <x v="3"/>
          </reference>
          <reference field="6" count="1">
            <x v="2"/>
          </reference>
        </references>
      </pivotArea>
    </format>
    <format dxfId="1965">
      <pivotArea dataOnly="0" labelOnly="1" outline="0" fieldPosition="0">
        <references count="5">
          <reference field="2" count="1" selected="0">
            <x v="3"/>
          </reference>
          <reference field="3" count="1" selected="0">
            <x v="0"/>
          </reference>
          <reference field="4" count="1" selected="0">
            <x v="172"/>
          </reference>
          <reference field="5" count="1" selected="0">
            <x v="1"/>
          </reference>
          <reference field="6" count="1">
            <x v="2"/>
          </reference>
        </references>
      </pivotArea>
    </format>
    <format dxfId="1964">
      <pivotArea dataOnly="0" labelOnly="1" outline="0" fieldPosition="0">
        <references count="5">
          <reference field="2" count="1" selected="0">
            <x v="3"/>
          </reference>
          <reference field="3" count="1" selected="0">
            <x v="0"/>
          </reference>
          <reference field="4" count="1" selected="0">
            <x v="173"/>
          </reference>
          <reference field="5" count="1" selected="0">
            <x v="1"/>
          </reference>
          <reference field="6" count="1">
            <x v="2"/>
          </reference>
        </references>
      </pivotArea>
    </format>
    <format dxfId="1963">
      <pivotArea dataOnly="0" labelOnly="1" outline="0" fieldPosition="0">
        <references count="5">
          <reference field="2" count="1" selected="0">
            <x v="4"/>
          </reference>
          <reference field="3" count="1" selected="0">
            <x v="0"/>
          </reference>
          <reference field="4" count="1" selected="0">
            <x v="4"/>
          </reference>
          <reference field="5" count="1" selected="0">
            <x v="1"/>
          </reference>
          <reference field="6" count="1">
            <x v="2"/>
          </reference>
        </references>
      </pivotArea>
    </format>
    <format dxfId="1962">
      <pivotArea dataOnly="0" labelOnly="1" outline="0" fieldPosition="0">
        <references count="5">
          <reference field="2" count="1" selected="0">
            <x v="4"/>
          </reference>
          <reference field="3" count="1" selected="0">
            <x v="0"/>
          </reference>
          <reference field="4" count="1" selected="0">
            <x v="174"/>
          </reference>
          <reference field="5" count="1" selected="0">
            <x v="1"/>
          </reference>
          <reference field="6" count="1">
            <x v="2"/>
          </reference>
        </references>
      </pivotArea>
    </format>
    <format dxfId="1961">
      <pivotArea dataOnly="0" labelOnly="1" outline="0" fieldPosition="0">
        <references count="5">
          <reference field="2" count="1" selected="0">
            <x v="4"/>
          </reference>
          <reference field="3" count="1" selected="0">
            <x v="0"/>
          </reference>
          <reference field="4" count="1" selected="0">
            <x v="175"/>
          </reference>
          <reference field="5" count="1" selected="0">
            <x v="1"/>
          </reference>
          <reference field="6" count="1">
            <x v="2"/>
          </reference>
        </references>
      </pivotArea>
    </format>
    <format dxfId="1960">
      <pivotArea dataOnly="0" labelOnly="1" outline="0" fieldPosition="0">
        <references count="5">
          <reference field="2" count="1" selected="0">
            <x v="4"/>
          </reference>
          <reference field="3" count="1" selected="0">
            <x v="2"/>
          </reference>
          <reference field="4" count="1" selected="0">
            <x v="177"/>
          </reference>
          <reference field="5" count="1" selected="0">
            <x v="2"/>
          </reference>
          <reference field="6" count="1">
            <x v="2"/>
          </reference>
        </references>
      </pivotArea>
    </format>
    <format dxfId="1959">
      <pivotArea dataOnly="0" labelOnly="1" outline="0" fieldPosition="0">
        <references count="5">
          <reference field="2" count="1" selected="0">
            <x v="5"/>
          </reference>
          <reference field="3" count="1" selected="0">
            <x v="2"/>
          </reference>
          <reference field="4" count="1" selected="0">
            <x v="99"/>
          </reference>
          <reference field="5" count="1" selected="0">
            <x v="3"/>
          </reference>
          <reference field="6" count="1">
            <x v="6"/>
          </reference>
        </references>
      </pivotArea>
    </format>
    <format dxfId="1958">
      <pivotArea dataOnly="0" labelOnly="1" outline="0" fieldPosition="0">
        <references count="5">
          <reference field="2" count="1" selected="0">
            <x v="5"/>
          </reference>
          <reference field="3" count="1" selected="0">
            <x v="2"/>
          </reference>
          <reference field="4" count="1" selected="0">
            <x v="176"/>
          </reference>
          <reference field="5" count="1" selected="0">
            <x v="3"/>
          </reference>
          <reference field="6" count="1">
            <x v="2"/>
          </reference>
        </references>
      </pivotArea>
    </format>
    <format dxfId="1957">
      <pivotArea dataOnly="0" labelOnly="1" outline="0" fieldPosition="0">
        <references count="3">
          <reference field="2" count="1" selected="0">
            <x v="5"/>
          </reference>
          <reference field="4" count="1" selected="0">
            <x v="11"/>
          </reference>
          <reference field="5" count="1">
            <x v="3"/>
          </reference>
        </references>
      </pivotArea>
    </format>
    <format dxfId="1956">
      <pivotArea dataOnly="0" labelOnly="1" outline="0" fieldPosition="0">
        <references count="3">
          <reference field="2" count="1" selected="0">
            <x v="0"/>
          </reference>
          <reference field="4" count="1" selected="0">
            <x v="16"/>
          </reference>
          <reference field="5" count="1">
            <x v="4"/>
          </reference>
        </references>
      </pivotArea>
    </format>
    <format dxfId="1955">
      <pivotArea dataOnly="0" labelOnly="1" outline="0" offset="IV1" fieldPosition="0">
        <references count="3">
          <reference field="2" count="1" selected="0">
            <x v="0"/>
          </reference>
          <reference field="4" count="1" selected="0">
            <x v="16"/>
          </reference>
          <reference field="5" count="1">
            <x v="4"/>
          </reference>
        </references>
      </pivotArea>
    </format>
    <format dxfId="1954">
      <pivotArea dataOnly="0" labelOnly="1" outline="0" fieldPosition="0">
        <references count="5">
          <reference field="2" count="1" selected="0">
            <x v="0"/>
          </reference>
          <reference field="3" count="1" selected="0">
            <x v="1"/>
          </reference>
          <reference field="4" count="1" selected="0">
            <x v="181"/>
          </reference>
          <reference field="5" count="1" selected="0">
            <x v="4"/>
          </reference>
          <reference field="6" count="1">
            <x v="2"/>
          </reference>
        </references>
      </pivotArea>
    </format>
    <format dxfId="1953">
      <pivotArea dataOnly="0" labelOnly="1" outline="0" fieldPosition="0">
        <references count="5">
          <reference field="2" count="1" selected="0">
            <x v="0"/>
          </reference>
          <reference field="3" count="1" selected="0">
            <x v="1"/>
          </reference>
          <reference field="4" count="1" selected="0">
            <x v="182"/>
          </reference>
          <reference field="5" count="1" selected="0">
            <x v="4"/>
          </reference>
          <reference field="6" count="1">
            <x v="2"/>
          </reference>
        </references>
      </pivotArea>
    </format>
    <format dxfId="1952">
      <pivotArea dataOnly="0" labelOnly="1" outline="0" offset="IV1" fieldPosition="0">
        <references count="3">
          <reference field="2" count="1" selected="0">
            <x v="5"/>
          </reference>
          <reference field="4" count="1" selected="0">
            <x v="11"/>
          </reference>
          <reference field="5" count="1">
            <x v="3"/>
          </reference>
        </references>
      </pivotArea>
    </format>
    <format dxfId="1951">
      <pivotArea dataOnly="0" labelOnly="1" outline="0" fieldPosition="0">
        <references count="5">
          <reference field="2" count="1" selected="0">
            <x v="3"/>
          </reference>
          <reference field="3" count="1" selected="0">
            <x v="1"/>
          </reference>
          <reference field="4" count="1" selected="0">
            <x v="23"/>
          </reference>
          <reference field="5" count="1" selected="0">
            <x v="0"/>
          </reference>
          <reference field="6" count="1">
            <x v="2"/>
          </reference>
        </references>
      </pivotArea>
    </format>
    <format dxfId="1950">
      <pivotArea dataOnly="0" labelOnly="1" outline="0" fieldPosition="0">
        <references count="5">
          <reference field="2" count="1" selected="0">
            <x v="3"/>
          </reference>
          <reference field="3" count="1" selected="0">
            <x v="1"/>
          </reference>
          <reference field="4" count="1" selected="0">
            <x v="185"/>
          </reference>
          <reference field="5" count="1" selected="0">
            <x v="0"/>
          </reference>
          <reference field="6" count="1">
            <x v="3"/>
          </reference>
        </references>
      </pivotArea>
    </format>
    <format dxfId="1949">
      <pivotArea dataOnly="0" labelOnly="1" outline="0" fieldPosition="0">
        <references count="5">
          <reference field="2" count="1" selected="0">
            <x v="5"/>
          </reference>
          <reference field="3" count="1" selected="0">
            <x v="2"/>
          </reference>
          <reference field="4" count="1" selected="0">
            <x v="186"/>
          </reference>
          <reference field="5" count="1" selected="0">
            <x v="2"/>
          </reference>
          <reference field="6" count="1">
            <x v="2"/>
          </reference>
        </references>
      </pivotArea>
    </format>
    <format dxfId="1948">
      <pivotArea dataOnly="0" labelOnly="1" outline="0" fieldPosition="0">
        <references count="5">
          <reference field="2" count="1" selected="0">
            <x v="3"/>
          </reference>
          <reference field="3" count="1" selected="0">
            <x v="0"/>
          </reference>
          <reference field="4" count="1" selected="0">
            <x v="180"/>
          </reference>
          <reference field="5" count="1" selected="0">
            <x v="1"/>
          </reference>
          <reference field="6" count="1">
            <x v="2"/>
          </reference>
        </references>
      </pivotArea>
    </format>
    <format dxfId="1947">
      <pivotArea dataOnly="0" labelOnly="1" outline="0" fieldPosition="0">
        <references count="5">
          <reference field="2" count="1" selected="0">
            <x v="4"/>
          </reference>
          <reference field="3" count="1" selected="0">
            <x v="0"/>
          </reference>
          <reference field="4" count="1" selected="0">
            <x v="167"/>
          </reference>
          <reference field="5" count="1" selected="0">
            <x v="2"/>
          </reference>
          <reference field="6" count="1">
            <x v="2"/>
          </reference>
        </references>
      </pivotArea>
    </format>
    <format dxfId="1946">
      <pivotArea dataOnly="0" labelOnly="1" outline="0" fieldPosition="0">
        <references count="5">
          <reference field="2" count="1" selected="0">
            <x v="4"/>
          </reference>
          <reference field="3" count="1" selected="0">
            <x v="0"/>
          </reference>
          <reference field="4" count="1" selected="0">
            <x v="189"/>
          </reference>
          <reference field="5" count="1" selected="0">
            <x v="2"/>
          </reference>
          <reference field="6" count="1">
            <x v="2"/>
          </reference>
        </references>
      </pivotArea>
    </format>
    <format dxfId="1945">
      <pivotArea dataOnly="0" labelOnly="1" outline="0" fieldPosition="0">
        <references count="5">
          <reference field="2" count="1" selected="0">
            <x v="0"/>
          </reference>
          <reference field="3" count="1" selected="0">
            <x v="1"/>
          </reference>
          <reference field="4" count="1" selected="0">
            <x v="190"/>
          </reference>
          <reference field="5" count="1" selected="0">
            <x v="4"/>
          </reference>
          <reference field="6" count="1">
            <x v="2"/>
          </reference>
        </references>
      </pivotArea>
    </format>
    <format dxfId="1944">
      <pivotArea dataOnly="0" labelOnly="1" outline="0" fieldPosition="0">
        <references count="5">
          <reference field="2" count="1" selected="0">
            <x v="5"/>
          </reference>
          <reference field="3" count="1" selected="0">
            <x v="3"/>
          </reference>
          <reference field="4" count="1" selected="0">
            <x v="143"/>
          </reference>
          <reference field="5" count="1" selected="0">
            <x v="8"/>
          </reference>
          <reference field="6" count="1">
            <x v="2"/>
          </reference>
        </references>
      </pivotArea>
    </format>
    <format dxfId="1943">
      <pivotArea dataOnly="0" labelOnly="1" outline="0" fieldPosition="0">
        <references count="5">
          <reference field="2" count="1" selected="0">
            <x v="3"/>
          </reference>
          <reference field="3" count="1" selected="0">
            <x v="0"/>
          </reference>
          <reference field="4" count="1" selected="0">
            <x v="179"/>
          </reference>
          <reference field="5" count="1" selected="0">
            <x v="1"/>
          </reference>
          <reference field="6" count="1">
            <x v="2"/>
          </reference>
        </references>
      </pivotArea>
    </format>
    <format dxfId="1942">
      <pivotArea dataOnly="0" labelOnly="1" outline="0" fieldPosition="0">
        <references count="5">
          <reference field="2" count="1" selected="0">
            <x v="2"/>
          </reference>
          <reference field="3" count="1" selected="0">
            <x v="1"/>
          </reference>
          <reference field="4" count="1" selected="0">
            <x v="19"/>
          </reference>
          <reference field="5" count="1" selected="0">
            <x v="1"/>
          </reference>
          <reference field="6" count="1">
            <x v="2"/>
          </reference>
        </references>
      </pivotArea>
    </format>
    <format dxfId="1941">
      <pivotArea dataOnly="0" labelOnly="1" outline="0" fieldPosition="0">
        <references count="5">
          <reference field="2" count="1" selected="0">
            <x v="2"/>
          </reference>
          <reference field="3" count="1" selected="0">
            <x v="1"/>
          </reference>
          <reference field="4" count="1" selected="0">
            <x v="141"/>
          </reference>
          <reference field="5" count="1" selected="0">
            <x v="1"/>
          </reference>
          <reference field="6" count="1">
            <x v="3"/>
          </reference>
        </references>
      </pivotArea>
    </format>
    <format dxfId="1940">
      <pivotArea dataOnly="0" labelOnly="1" outline="0" fieldPosition="0">
        <references count="5">
          <reference field="2" count="1" selected="0">
            <x v="2"/>
          </reference>
          <reference field="3" count="1" selected="0">
            <x v="1"/>
          </reference>
          <reference field="4" count="1" selected="0">
            <x v="6"/>
          </reference>
          <reference field="5" count="1" selected="0">
            <x v="1"/>
          </reference>
          <reference field="6" count="1">
            <x v="0"/>
          </reference>
        </references>
      </pivotArea>
    </format>
    <format dxfId="1939">
      <pivotArea dataOnly="0" labelOnly="1" outline="0" fieldPosition="0">
        <references count="5">
          <reference field="2" count="1" selected="0">
            <x v="3"/>
          </reference>
          <reference field="3" count="1" selected="0">
            <x v="0"/>
          </reference>
          <reference field="4" count="1" selected="0">
            <x v="14"/>
          </reference>
          <reference field="5" count="1" selected="0">
            <x v="2"/>
          </reference>
          <reference field="6" count="1">
            <x v="2"/>
          </reference>
        </references>
      </pivotArea>
    </format>
    <format dxfId="1938">
      <pivotArea dataOnly="0" labelOnly="1" outline="0" fieldPosition="0">
        <references count="5">
          <reference field="2" count="1" selected="0">
            <x v="3"/>
          </reference>
          <reference field="3" count="1" selected="0">
            <x v="0"/>
          </reference>
          <reference field="4" count="1" selected="0">
            <x v="179"/>
          </reference>
          <reference field="5" count="1" selected="0">
            <x v="2"/>
          </reference>
          <reference field="6" count="1">
            <x v="2"/>
          </reference>
        </references>
      </pivotArea>
    </format>
    <format dxfId="1937">
      <pivotArea dataOnly="0" labelOnly="1" outline="0" fieldPosition="0">
        <references count="5">
          <reference field="2" count="1" selected="0">
            <x v="4"/>
          </reference>
          <reference field="3" count="1" selected="0">
            <x v="2"/>
          </reference>
          <reference field="4" count="1" selected="0">
            <x v="123"/>
          </reference>
          <reference field="5" count="1" selected="0">
            <x v="3"/>
          </reference>
          <reference field="6" count="1">
            <x v="2"/>
          </reference>
        </references>
      </pivotArea>
    </format>
    <format dxfId="1936">
      <pivotArea dataOnly="0" labelOnly="1" outline="0" fieldPosition="0">
        <references count="5">
          <reference field="2" count="1" selected="0">
            <x v="1"/>
          </reference>
          <reference field="3" count="1" selected="0">
            <x v="1"/>
          </reference>
          <reference field="4" count="1" selected="0">
            <x v="10"/>
          </reference>
          <reference field="5" count="1" selected="0">
            <x v="1"/>
          </reference>
          <reference field="6" count="1">
            <x v="2"/>
          </reference>
        </references>
      </pivotArea>
    </format>
    <format dxfId="1935">
      <pivotArea dataOnly="0" labelOnly="1" outline="0" fieldPosition="0">
        <references count="5">
          <reference field="2" count="1" selected="0">
            <x v="1"/>
          </reference>
          <reference field="3" count="1" selected="0">
            <x v="1"/>
          </reference>
          <reference field="4" count="1" selected="0">
            <x v="15"/>
          </reference>
          <reference field="5" count="1" selected="0">
            <x v="1"/>
          </reference>
          <reference field="6" count="1">
            <x v="2"/>
          </reference>
        </references>
      </pivotArea>
    </format>
    <format dxfId="1934">
      <pivotArea dataOnly="0" labelOnly="1" outline="0" fieldPosition="0">
        <references count="5">
          <reference field="2" count="1" selected="0">
            <x v="2"/>
          </reference>
          <reference field="3" count="1" selected="0">
            <x v="1"/>
          </reference>
          <reference field="4" count="1" selected="0">
            <x v="144"/>
          </reference>
          <reference field="5" count="1" selected="0">
            <x v="1"/>
          </reference>
          <reference field="6" count="1">
            <x v="2"/>
          </reference>
        </references>
      </pivotArea>
    </format>
    <format dxfId="1933">
      <pivotArea dataOnly="0" labelOnly="1" outline="0" fieldPosition="0">
        <references count="5">
          <reference field="2" count="1" selected="0">
            <x v="3"/>
          </reference>
          <reference field="3" count="1" selected="0">
            <x v="0"/>
          </reference>
          <reference field="4" count="1" selected="0">
            <x v="9"/>
          </reference>
          <reference field="5" count="1" selected="0">
            <x v="2"/>
          </reference>
          <reference field="6" count="1">
            <x v="2"/>
          </reference>
        </references>
      </pivotArea>
    </format>
    <format dxfId="1932">
      <pivotArea dataOnly="0" labelOnly="1" outline="0" fieldPosition="0">
        <references count="5">
          <reference field="2" count="1" selected="0">
            <x v="3"/>
          </reference>
          <reference field="3" count="1" selected="0">
            <x v="0"/>
          </reference>
          <reference field="4" count="1" selected="0">
            <x v="13"/>
          </reference>
          <reference field="5" count="1" selected="0">
            <x v="2"/>
          </reference>
          <reference field="6" count="1">
            <x v="2"/>
          </reference>
        </references>
      </pivotArea>
    </format>
    <format dxfId="1931">
      <pivotArea dataOnly="0" labelOnly="1" outline="0" fieldPosition="0">
        <references count="5">
          <reference field="2" count="1" selected="0">
            <x v="3"/>
          </reference>
          <reference field="3" count="1" selected="0">
            <x v="0"/>
          </reference>
          <reference field="4" count="1" selected="0">
            <x v="25"/>
          </reference>
          <reference field="5" count="1" selected="0">
            <x v="2"/>
          </reference>
          <reference field="6" count="1">
            <x v="2"/>
          </reference>
        </references>
      </pivotArea>
    </format>
    <format dxfId="1930">
      <pivotArea dataOnly="0" labelOnly="1" outline="0" fieldPosition="0">
        <references count="5">
          <reference field="2" count="1" selected="0">
            <x v="3"/>
          </reference>
          <reference field="3" count="1" selected="0">
            <x v="0"/>
          </reference>
          <reference field="4" count="1" selected="0">
            <x v="26"/>
          </reference>
          <reference field="5" count="1" selected="0">
            <x v="2"/>
          </reference>
          <reference field="6" count="1">
            <x v="2"/>
          </reference>
        </references>
      </pivotArea>
    </format>
    <format dxfId="1929">
      <pivotArea dataOnly="0" labelOnly="1" outline="0" fieldPosition="0">
        <references count="5">
          <reference field="2" count="1" selected="0">
            <x v="3"/>
          </reference>
          <reference field="3" count="1" selected="0">
            <x v="0"/>
          </reference>
          <reference field="4" count="1" selected="0">
            <x v="35"/>
          </reference>
          <reference field="5" count="1" selected="0">
            <x v="2"/>
          </reference>
          <reference field="6" count="1">
            <x v="2"/>
          </reference>
        </references>
      </pivotArea>
    </format>
    <format dxfId="1928">
      <pivotArea dataOnly="0" labelOnly="1" outline="0" fieldPosition="0">
        <references count="5">
          <reference field="2" count="1" selected="0">
            <x v="3"/>
          </reference>
          <reference field="3" count="1" selected="0">
            <x v="0"/>
          </reference>
          <reference field="4" count="1" selected="0">
            <x v="180"/>
          </reference>
          <reference field="5" count="1" selected="0">
            <x v="2"/>
          </reference>
          <reference field="6" count="1">
            <x v="2"/>
          </reference>
        </references>
      </pivotArea>
    </format>
    <format dxfId="1927">
      <pivotArea dataOnly="0" labelOnly="1" outline="0" fieldPosition="0">
        <references count="5">
          <reference field="2" count="1" selected="0">
            <x v="4"/>
          </reference>
          <reference field="3" count="1" selected="0">
            <x v="2"/>
          </reference>
          <reference field="4" count="1" selected="0">
            <x v="142"/>
          </reference>
          <reference field="5" count="1" selected="0">
            <x v="3"/>
          </reference>
          <reference field="6" count="1">
            <x v="2"/>
          </reference>
        </references>
      </pivotArea>
    </format>
    <format dxfId="1926">
      <pivotArea dataOnly="0" labelOnly="1" outline="0" fieldPosition="0">
        <references count="5">
          <reference field="2" count="1" selected="0">
            <x v="2"/>
          </reference>
          <reference field="3" count="1" selected="0">
            <x v="1"/>
          </reference>
          <reference field="4" count="1" selected="0">
            <x v="34"/>
          </reference>
          <reference field="5" count="1" selected="0">
            <x v="1"/>
          </reference>
          <reference field="6" count="1">
            <x v="3"/>
          </reference>
        </references>
      </pivotArea>
    </format>
    <format dxfId="1925">
      <pivotArea dataOnly="0" labelOnly="1" outline="0" fieldPosition="0">
        <references count="5">
          <reference field="2" count="1" selected="0">
            <x v="2"/>
          </reference>
          <reference field="3" count="1" selected="0">
            <x v="1"/>
          </reference>
          <reference field="4" count="1" selected="0">
            <x v="73"/>
          </reference>
          <reference field="5" count="1" selected="0">
            <x v="1"/>
          </reference>
          <reference field="6" count="1">
            <x v="2"/>
          </reference>
        </references>
      </pivotArea>
    </format>
    <format dxfId="1924">
      <pivotArea dataOnly="0" labelOnly="1" outline="0" fieldPosition="0">
        <references count="5">
          <reference field="2" count="1" selected="0">
            <x v="3"/>
          </reference>
          <reference field="3" count="1" selected="0">
            <x v="0"/>
          </reference>
          <reference field="4" count="1" selected="0">
            <x v="149"/>
          </reference>
          <reference field="5" count="1" selected="0">
            <x v="2"/>
          </reference>
          <reference field="6" count="1">
            <x v="2"/>
          </reference>
        </references>
      </pivotArea>
    </format>
    <format dxfId="1923">
      <pivotArea dataOnly="0" labelOnly="1" outline="0" fieldPosition="0">
        <references count="5">
          <reference field="2" count="1" selected="0">
            <x v="5"/>
          </reference>
          <reference field="3" count="1" selected="0">
            <x v="3"/>
          </reference>
          <reference field="4" count="1" selected="0">
            <x v="42"/>
          </reference>
          <reference field="5" count="1" selected="0">
            <x v="8"/>
          </reference>
          <reference field="6" count="1">
            <x v="2"/>
          </reference>
        </references>
      </pivotArea>
    </format>
    <format dxfId="1922">
      <pivotArea dataOnly="0" labelOnly="1" outline="0" fieldPosition="0">
        <references count="5">
          <reference field="2" count="1" selected="0">
            <x v="1"/>
          </reference>
          <reference field="3" count="1" selected="0">
            <x v="1"/>
          </reference>
          <reference field="4" count="1" selected="0">
            <x v="101"/>
          </reference>
          <reference field="5" count="1" selected="0">
            <x v="1"/>
          </reference>
          <reference field="6" count="1">
            <x v="2"/>
          </reference>
        </references>
      </pivotArea>
    </format>
    <format dxfId="1921">
      <pivotArea dataOnly="0" labelOnly="1" outline="0" fieldPosition="0">
        <references count="5">
          <reference field="2" count="1" selected="0">
            <x v="2"/>
          </reference>
          <reference field="3" count="1" selected="0">
            <x v="1"/>
          </reference>
          <reference field="4" count="1" selected="0">
            <x v="32"/>
          </reference>
          <reference field="5" count="1" selected="0">
            <x v="2"/>
          </reference>
          <reference field="6" count="1">
            <x v="9"/>
          </reference>
        </references>
      </pivotArea>
    </format>
    <format dxfId="1920">
      <pivotArea dataOnly="0" labelOnly="1" outline="0" fieldPosition="0">
        <references count="5">
          <reference field="2" count="1" selected="0">
            <x v="2"/>
          </reference>
          <reference field="3" count="1" selected="0">
            <x v="1"/>
          </reference>
          <reference field="4" count="1" selected="0">
            <x v="70"/>
          </reference>
          <reference field="5" count="1" selected="0">
            <x v="1"/>
          </reference>
          <reference field="6" count="1">
            <x v="0"/>
          </reference>
        </references>
      </pivotArea>
    </format>
    <format dxfId="1919">
      <pivotArea dataOnly="0" labelOnly="1" outline="0" fieldPosition="0">
        <references count="5">
          <reference field="2" count="1" selected="0">
            <x v="2"/>
          </reference>
          <reference field="3" count="1" selected="0">
            <x v="1"/>
          </reference>
          <reference field="4" count="1" selected="0">
            <x v="151"/>
          </reference>
          <reference field="5" count="1" selected="0">
            <x v="1"/>
          </reference>
          <reference field="6" count="1">
            <x v="2"/>
          </reference>
        </references>
      </pivotArea>
    </format>
    <format dxfId="1918">
      <pivotArea dataOnly="0" labelOnly="1" outline="0" fieldPosition="0">
        <references count="5">
          <reference field="2" count="1" selected="0">
            <x v="2"/>
          </reference>
          <reference field="3" count="1" selected="0">
            <x v="1"/>
          </reference>
          <reference field="4" count="1" selected="0">
            <x v="152"/>
          </reference>
          <reference field="5" count="1" selected="0">
            <x v="1"/>
          </reference>
          <reference field="6" count="1">
            <x v="2"/>
          </reference>
        </references>
      </pivotArea>
    </format>
    <format dxfId="1917">
      <pivotArea dataOnly="0" labelOnly="1" outline="0" fieldPosition="0">
        <references count="5">
          <reference field="2" count="1" selected="0">
            <x v="3"/>
          </reference>
          <reference field="3" count="1" selected="0">
            <x v="0"/>
          </reference>
          <reference field="4" count="1" selected="0">
            <x v="52"/>
          </reference>
          <reference field="5" count="1" selected="0">
            <x v="2"/>
          </reference>
          <reference field="6" count="1">
            <x v="2"/>
          </reference>
        </references>
      </pivotArea>
    </format>
    <format dxfId="1916">
      <pivotArea dataOnly="0" labelOnly="1" outline="0" fieldPosition="0">
        <references count="5">
          <reference field="2" count="1" selected="0">
            <x v="3"/>
          </reference>
          <reference field="3" count="1" selected="0">
            <x v="0"/>
          </reference>
          <reference field="4" count="1" selected="0">
            <x v="63"/>
          </reference>
          <reference field="5" count="1" selected="0">
            <x v="2"/>
          </reference>
          <reference field="6" count="1">
            <x v="2"/>
          </reference>
        </references>
      </pivotArea>
    </format>
    <format dxfId="1915">
      <pivotArea dataOnly="0" labelOnly="1" outline="0" fieldPosition="0">
        <references count="5">
          <reference field="2" count="1" selected="0">
            <x v="3"/>
          </reference>
          <reference field="3" count="1" selected="0">
            <x v="0"/>
          </reference>
          <reference field="4" count="1" selected="0">
            <x v="116"/>
          </reference>
          <reference field="5" count="1" selected="0">
            <x v="2"/>
          </reference>
          <reference field="6" count="1">
            <x v="2"/>
          </reference>
        </references>
      </pivotArea>
    </format>
    <format dxfId="1914">
      <pivotArea dataOnly="0" labelOnly="1" outline="0" fieldPosition="0">
        <references count="5">
          <reference field="2" count="1" selected="0">
            <x v="3"/>
          </reference>
          <reference field="3" count="1" selected="0">
            <x v="0"/>
          </reference>
          <reference field="4" count="1" selected="0">
            <x v="154"/>
          </reference>
          <reference field="5" count="1" selected="0">
            <x v="2"/>
          </reference>
          <reference field="6" count="1">
            <x v="2"/>
          </reference>
        </references>
      </pivotArea>
    </format>
    <format dxfId="1913">
      <pivotArea dataOnly="0" labelOnly="1" outline="0" fieldPosition="0">
        <references count="5">
          <reference field="2" count="1" selected="0">
            <x v="8"/>
          </reference>
          <reference field="3" count="1" selected="0">
            <x v="2"/>
          </reference>
          <reference field="4" count="1" selected="0">
            <x v="153"/>
          </reference>
          <reference field="5" count="1" selected="0">
            <x v="3"/>
          </reference>
          <reference field="6" count="1">
            <x v="2"/>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8DDACD8-0973-485D-AD98-59D51CAE48DF}" name="H.A. Split" cacheId="0"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colHeaderCaption="H.A. Split">
  <location ref="A12:A13" firstHeaderRow="1" firstDataRow="2" firstDataCol="0"/>
  <pivotFields count="8">
    <pivotField axis="axisCol" showAll="0">
      <items count="9">
        <item x="0"/>
        <item h="1" x="1"/>
        <item h="1" x="2"/>
        <item h="1" x="3"/>
        <item h="1" m="1" x="5"/>
        <item h="1" m="1" x="6"/>
        <item h="1" m="1" x="7"/>
        <item h="1" m="1" x="4"/>
        <item t="default"/>
      </items>
    </pivotField>
    <pivotField showAll="0">
      <items count="8">
        <item x="0"/>
        <item h="1" x="2"/>
        <item h="1" x="3"/>
        <item h="1" x="1"/>
        <item h="1" m="1" x="4"/>
        <item h="1" m="1" x="5"/>
        <item h="1" m="1" x="6"/>
        <item t="default"/>
      </items>
    </pivotField>
    <pivotField showAll="0"/>
    <pivotField showAll="0"/>
    <pivotField showAll="0">
      <items count="192">
        <item m="1" x="189"/>
        <item m="1" x="51"/>
        <item m="1" x="41"/>
        <item m="1" x="107"/>
        <item m="1" x="86"/>
        <item m="1" x="70"/>
        <item m="1" x="43"/>
        <item m="1" x="158"/>
        <item m="1" x="52"/>
        <item m="1" x="151"/>
        <item m="1" x="64"/>
        <item m="1" x="163"/>
        <item m="1" x="69"/>
        <item m="1" x="121"/>
        <item m="1" x="123"/>
        <item m="1" x="147"/>
        <item m="1" x="165"/>
        <item m="1" x="184"/>
        <item m="1" x="49"/>
        <item m="1" x="182"/>
        <item m="1" x="55"/>
        <item m="1" x="190"/>
        <item m="1" x="171"/>
        <item m="1" x="65"/>
        <item m="1" x="186"/>
        <item m="1" x="58"/>
        <item m="1" x="87"/>
        <item m="1" x="154"/>
        <item m="1" x="152"/>
        <item m="1" x="88"/>
        <item m="1" x="172"/>
        <item m="1" x="98"/>
        <item m="1" x="155"/>
        <item m="1" x="161"/>
        <item m="1" x="138"/>
        <item m="1" x="45"/>
        <item m="1" x="54"/>
        <item m="1" x="173"/>
        <item m="1" x="185"/>
        <item m="1" x="61"/>
        <item m="1" x="167"/>
        <item m="1" x="46"/>
        <item m="1" x="47"/>
        <item m="1" x="143"/>
        <item m="1" x="100"/>
        <item m="1" x="160"/>
        <item m="1" x="122"/>
        <item m="1" x="175"/>
        <item x="0"/>
        <item m="1" x="145"/>
        <item m="1" x="135"/>
        <item x="1"/>
        <item m="1" x="159"/>
        <item x="2"/>
        <item m="1" x="90"/>
        <item m="1" x="128"/>
        <item m="1" x="170"/>
        <item m="1" x="131"/>
        <item m="1" x="85"/>
        <item m="1" x="169"/>
        <item x="13"/>
        <item x="14"/>
        <item m="1" x="134"/>
        <item m="1" x="99"/>
        <item x="29"/>
        <item x="20"/>
        <item m="1" x="180"/>
        <item x="33"/>
        <item m="1" x="93"/>
        <item m="1" x="109"/>
        <item m="1" x="124"/>
        <item m="1" x="139"/>
        <item m="1" x="130"/>
        <item m="1" x="153"/>
        <item m="1" x="141"/>
        <item m="1" x="111"/>
        <item m="1" x="144"/>
        <item m="1" x="178"/>
        <item x="35"/>
        <item x="6"/>
        <item m="1" x="168"/>
        <item x="23"/>
        <item x="25"/>
        <item m="1" x="80"/>
        <item x="26"/>
        <item m="1" x="92"/>
        <item x="7"/>
        <item x="8"/>
        <item m="1" x="89"/>
        <item m="1" x="105"/>
        <item m="1" x="157"/>
        <item m="1" x="181"/>
        <item m="1" x="127"/>
        <item x="31"/>
        <item x="32"/>
        <item x="10"/>
        <item m="1" x="176"/>
        <item x="27"/>
        <item m="1" x="166"/>
        <item m="1" x="177"/>
        <item m="1" x="50"/>
        <item m="1" x="95"/>
        <item m="1" x="164"/>
        <item m="1" x="62"/>
        <item x="12"/>
        <item m="1" x="183"/>
        <item m="1" x="132"/>
        <item m="1" x="150"/>
        <item m="1" x="126"/>
        <item m="1" x="148"/>
        <item m="1" x="187"/>
        <item m="1" x="137"/>
        <item m="1" x="102"/>
        <item m="1" x="136"/>
        <item m="1" x="162"/>
        <item m="1" x="149"/>
        <item x="15"/>
        <item x="18"/>
        <item m="1" x="156"/>
        <item x="9"/>
        <item m="1" x="140"/>
        <item m="1" x="179"/>
        <item m="1" x="59"/>
        <item m="1" x="174"/>
        <item m="1" x="117"/>
        <item m="1" x="188"/>
        <item m="1" x="113"/>
        <item m="1" x="146"/>
        <item m="1" x="57"/>
        <item m="1" x="40"/>
        <item m="1" x="112"/>
        <item m="1" x="44"/>
        <item m="1" x="103"/>
        <item m="1" x="133"/>
        <item m="1" x="125"/>
        <item m="1" x="97"/>
        <item m="1" x="142"/>
        <item m="1" x="119"/>
        <item m="1" x="129"/>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 t="default"/>
      </items>
    </pivotField>
    <pivotField showAll="0"/>
    <pivotField showAll="0"/>
    <pivotField showAll="0"/>
  </pivotFields>
  <rowItems count="1">
    <i/>
  </rowItems>
  <colFields count="1">
    <field x="0"/>
  </colFields>
  <colItems count="1">
    <i>
      <x/>
    </i>
  </colItems>
  <formats count="13">
    <format dxfId="2350">
      <pivotArea field="4" type="button" dataOnly="0" labelOnly="1" outline="0"/>
    </format>
    <format dxfId="2349">
      <pivotArea dataOnly="0" labelOnly="1" outline="0" axis="axisValues" fieldPosition="0"/>
    </format>
    <format dxfId="2348">
      <pivotArea outline="0" collapsedLevelsAreSubtotals="1" fieldPosition="0"/>
    </format>
    <format dxfId="2347">
      <pivotArea outline="0" collapsedLevelsAreSubtotals="1" fieldPosition="0"/>
    </format>
    <format dxfId="2346">
      <pivotArea field="1" type="button" dataOnly="0" labelOnly="1" outline="0"/>
    </format>
    <format dxfId="2345">
      <pivotArea field="0" type="button" dataOnly="0" labelOnly="1" outline="0" axis="axisCol" fieldPosition="0"/>
    </format>
    <format dxfId="2344">
      <pivotArea dataOnly="0" labelOnly="1" fieldPosition="0">
        <references count="1">
          <reference field="0" count="0"/>
        </references>
      </pivotArea>
    </format>
    <format dxfId="2343">
      <pivotArea dataOnly="0" outline="0" fieldPosition="0">
        <references count="1">
          <reference field="0" count="0"/>
        </references>
      </pivotArea>
    </format>
    <format dxfId="2342">
      <pivotArea dataOnly="0" outline="0" fieldPosition="0">
        <references count="1">
          <reference field="0" count="0"/>
        </references>
      </pivotArea>
    </format>
    <format dxfId="2341">
      <pivotArea dataOnly="0" labelOnly="1" fieldPosition="0">
        <references count="1">
          <reference field="0" count="0"/>
        </references>
      </pivotArea>
    </format>
    <format dxfId="2340">
      <pivotArea dataOnly="0" labelOnly="1" fieldPosition="0">
        <references count="1">
          <reference field="0" count="0"/>
        </references>
      </pivotArea>
    </format>
    <format dxfId="2339">
      <pivotArea dataOnly="0" labelOnly="1" fieldPosition="0">
        <references count="1">
          <reference field="0" count="0"/>
        </references>
      </pivotArea>
    </format>
    <format dxfId="2338">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C76648E-602D-4A7C-BCAE-7E9EBF98360D}" name="alphabetical" cacheId="1" applyNumberFormats="0" applyBorderFormats="0" applyFontFormats="0" applyPatternFormats="0" applyAlignmentFormats="0" applyWidthHeightFormats="1" dataCaption="Valores" updatedVersion="8" minRefreshableVersion="3" showDrill="0" rowGrandTotals="0" colGrandTotals="0" itemPrintTitles="1" createdVersion="4" indent="0" compact="0" compactData="0" multipleFieldFilters="0" rowHeaderCaption="New Sites">
  <location ref="V2:V15" firstHeaderRow="1" firstDataRow="1" firstDataCol="1"/>
  <pivotFields count="17">
    <pivotField compact="0" outline="0" subtotalTop="0" showAll="0" defaultSubtotal="0"/>
    <pivotField compact="0" outline="0" showAll="0" defaultSubtotal="0">
      <items count="41">
        <item h="1" x="0"/>
        <item h="1" x="1"/>
        <item h="1" x="2"/>
        <item x="3"/>
        <item h="1" x="4"/>
        <item h="1" x="5"/>
        <item h="1" x="6"/>
        <item h="1" x="7"/>
        <item h="1" x="8"/>
        <item h="1" m="1" x="10"/>
        <item h="1" m="1" x="11"/>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5"/>
        <item h="1" m="1" x="36"/>
        <item h="1" m="1" x="37"/>
        <item h="1" m="1" x="38"/>
        <item h="1" m="1" x="39"/>
        <item h="1" m="1" x="40"/>
        <item h="1" x="9"/>
      </items>
    </pivotField>
    <pivotField compact="0" outline="0" showAll="0" defaultSubtotal="0">
      <items count="42">
        <item h="1" m="1" x="41"/>
        <item h="1" x="0"/>
        <item h="1" x="1"/>
        <item h="1" x="2"/>
        <item x="3"/>
        <item h="1" x="4"/>
        <item h="1" x="5"/>
        <item h="1" x="6"/>
        <item h="1" x="7"/>
        <item h="1" x="8"/>
        <item h="1" m="1" x="16"/>
        <item h="1" m="1" x="15"/>
        <item h="1" m="1" x="10"/>
        <item h="1" m="1" x="14"/>
        <item h="1" m="1" x="17"/>
        <item h="1" m="1" x="13"/>
        <item h="1" m="1" x="11"/>
        <item h="1" m="1" x="12"/>
        <item h="1" m="1" x="18"/>
        <item h="1" m="1" x="25"/>
        <item h="1" m="1" x="19"/>
        <item h="1" m="1" x="24"/>
        <item h="1" m="1" x="20"/>
        <item h="1" m="1" x="26"/>
        <item h="1" m="1" x="21"/>
        <item h="1" m="1" x="27"/>
        <item h="1" m="1" x="22"/>
        <item h="1" m="1" x="28"/>
        <item h="1" m="1" x="23"/>
        <item h="1" m="1" x="29"/>
        <item h="1" m="1" x="30"/>
        <item h="1" m="1" x="31"/>
        <item h="1" m="1" x="32"/>
        <item h="1" m="1" x="35"/>
        <item h="1" m="1" x="36"/>
        <item h="1" m="1" x="34"/>
        <item h="1" m="1" x="33"/>
        <item h="1" m="1" x="37"/>
        <item h="1" m="1" x="38"/>
        <item h="1" m="1" x="39"/>
        <item h="1" m="1" x="40"/>
        <item h="1" x="9"/>
      </items>
    </pivotField>
    <pivotField axis="axisRow" compact="0" outline="0" showAll="0" sortType="ascending" defaultSubtotal="0">
      <items count="455">
        <item m="1" x="376"/>
        <item m="1" x="269"/>
        <item m="1" x="432"/>
        <item m="1" x="270"/>
        <item m="1" x="304"/>
        <item m="1" x="351"/>
        <item m="1" x="309"/>
        <item m="1" x="449"/>
        <item m="1" x="298"/>
        <item m="1" x="371"/>
        <item m="1" x="305"/>
        <item m="1" x="435"/>
        <item m="1" x="360"/>
        <item m="1" x="254"/>
        <item m="1" x="258"/>
        <item m="1" x="299"/>
        <item m="1" x="236"/>
        <item m="1" x="433"/>
        <item m="1" x="331"/>
        <item m="1" x="237"/>
        <item m="1" x="287"/>
        <item m="1" x="344"/>
        <item m="1" x="279"/>
        <item m="1" x="345"/>
        <item m="1" x="238"/>
        <item m="1" x="255"/>
        <item m="1" x="239"/>
        <item m="1" x="280"/>
        <item m="1" x="281"/>
        <item m="1" x="257"/>
        <item m="1" x="256"/>
        <item m="1" x="442"/>
        <item m="1" x="362"/>
        <item m="1" x="379"/>
        <item m="1" x="240"/>
        <item m="1" x="241"/>
        <item m="1" x="293"/>
        <item m="1" x="400"/>
        <item m="1" x="294"/>
        <item m="1" x="265"/>
        <item m="1" x="242"/>
        <item m="1" x="271"/>
        <item m="1" x="397"/>
        <item m="1" x="321"/>
        <item m="1" x="401"/>
        <item m="1" x="243"/>
        <item m="1" x="244"/>
        <item m="1" x="291"/>
        <item m="1" x="268"/>
        <item m="1" x="259"/>
        <item m="1" x="245"/>
        <item m="1" x="310"/>
        <item m="1" x="342"/>
        <item m="1" x="277"/>
        <item m="1" x="343"/>
        <item m="1" x="261"/>
        <item m="1" x="262"/>
        <item m="1" x="311"/>
        <item m="1" x="355"/>
        <item m="1" x="348"/>
        <item m="1" x="260"/>
        <item m="1" x="443"/>
        <item m="1" x="322"/>
        <item m="1" x="308"/>
        <item m="1" x="453"/>
        <item m="1" x="246"/>
        <item m="1" x="251"/>
        <item m="1" x="247"/>
        <item m="1" x="248"/>
        <item m="1" x="282"/>
        <item m="1" x="249"/>
        <item m="1" x="253"/>
        <item m="1" x="295"/>
        <item m="1" x="286"/>
        <item m="1" x="292"/>
        <item m="1" x="300"/>
        <item m="1" x="252"/>
        <item m="1" x="445"/>
        <item m="1" x="272"/>
        <item m="1" x="323"/>
        <item m="1" x="264"/>
        <item m="1" x="373"/>
        <item m="1" x="273"/>
        <item m="1" x="408"/>
        <item m="1" x="250"/>
        <item m="1" x="307"/>
        <item m="1" x="296"/>
        <item m="1" x="407"/>
        <item m="1" x="405"/>
        <item m="1" x="297"/>
        <item m="1" x="363"/>
        <item m="1" x="278"/>
        <item m="1" x="306"/>
        <item m="1" x="439"/>
        <item m="1" x="324"/>
        <item m="1" x="428"/>
        <item m="1" x="312"/>
        <item m="1" x="326"/>
        <item m="1" x="313"/>
        <item m="1" x="314"/>
        <item m="1" x="315"/>
        <item m="1" x="283"/>
        <item m="1" x="274"/>
        <item m="1" x="391"/>
        <item m="1" x="275"/>
        <item m="1" x="372"/>
        <item m="1" x="276"/>
        <item m="1" x="263"/>
        <item m="1" x="266"/>
        <item m="1" x="347"/>
        <item m="1" x="267"/>
        <item m="1" x="430"/>
        <item m="1" x="316"/>
        <item m="1" x="425"/>
        <item m="1" x="325"/>
        <item m="1" x="368"/>
        <item m="1" x="284"/>
        <item m="1" x="288"/>
        <item m="1" x="318"/>
        <item m="1" x="317"/>
        <item m="1" x="289"/>
        <item m="1" x="328"/>
        <item m="1" x="327"/>
        <item m="1" x="285"/>
        <item m="1" x="361"/>
        <item m="1" x="301"/>
        <item m="1" x="452"/>
        <item m="1" x="290"/>
        <item m="1" x="434"/>
        <item m="1" x="385"/>
        <item m="1" x="319"/>
        <item m="1" x="302"/>
        <item m="1" x="378"/>
        <item m="1" x="329"/>
        <item m="1" x="369"/>
        <item m="1" x="303"/>
        <item m="1" x="383"/>
        <item m="1" x="320"/>
        <item m="1" x="92"/>
        <item x="0"/>
        <item m="1" x="79"/>
        <item m="1" x="112"/>
        <item m="1" x="113"/>
        <item m="1" x="424"/>
        <item m="1" x="114"/>
        <item m="1" x="115"/>
        <item m="1" x="235"/>
        <item x="1"/>
        <item m="1" x="103"/>
        <item x="2"/>
        <item m="1" x="116"/>
        <item m="1" x="93"/>
        <item x="3"/>
        <item m="1" x="80"/>
        <item m="1" x="117"/>
        <item m="1" x="454"/>
        <item m="1" x="118"/>
        <item m="1" x="119"/>
        <item m="1" x="120"/>
        <item m="1" x="121"/>
        <item m="1" x="422"/>
        <item m="1" x="122"/>
        <item m="1" x="436"/>
        <item m="1" x="123"/>
        <item m="1" x="377"/>
        <item m="1" x="94"/>
        <item x="4"/>
        <item m="1" x="81"/>
        <item m="1" x="95"/>
        <item x="5"/>
        <item m="1" x="82"/>
        <item m="1" x="96"/>
        <item x="6"/>
        <item m="1" x="83"/>
        <item x="7"/>
        <item m="1" x="89"/>
        <item x="8"/>
        <item m="1" x="76"/>
        <item m="1" x="100"/>
        <item x="9"/>
        <item m="1" x="74"/>
        <item m="1" x="97"/>
        <item x="10"/>
        <item x="11"/>
        <item m="1" x="84"/>
        <item m="1" x="91"/>
        <item x="12"/>
        <item m="1" x="88"/>
        <item x="13"/>
        <item m="1" x="75"/>
        <item m="1" x="78"/>
        <item m="1" x="98"/>
        <item m="1" x="64"/>
        <item m="1" x="85"/>
        <item x="14"/>
        <item x="15"/>
        <item m="1" x="108"/>
        <item x="16"/>
        <item x="17"/>
        <item x="18"/>
        <item x="19"/>
        <item x="59"/>
        <item m="1" x="90"/>
        <item x="20"/>
        <item m="1" x="77"/>
        <item x="21"/>
        <item x="22"/>
        <item m="1" x="87"/>
        <item x="23"/>
        <item m="1" x="73"/>
        <item m="1" x="86"/>
        <item x="24"/>
        <item m="1" x="72"/>
        <item m="1" x="65"/>
        <item x="25"/>
        <item x="26"/>
        <item m="1" x="111"/>
        <item x="27"/>
        <item m="1" x="105"/>
        <item m="1" x="335"/>
        <item m="1" x="124"/>
        <item m="1" x="336"/>
        <item m="1" x="333"/>
        <item m="1" x="125"/>
        <item m="1" x="334"/>
        <item m="1" x="441"/>
        <item m="1" x="126"/>
        <item m="1" x="127"/>
        <item m="1" x="128"/>
        <item m="1" x="230"/>
        <item m="1" x="129"/>
        <item m="1" x="427"/>
        <item m="1" x="130"/>
        <item m="1" x="131"/>
        <item m="1" x="234"/>
        <item m="1" x="132"/>
        <item m="1" x="133"/>
        <item m="1" x="134"/>
        <item m="1" x="135"/>
        <item m="1" x="136"/>
        <item m="1" x="137"/>
        <item m="1" x="138"/>
        <item m="1" x="139"/>
        <item m="1" x="140"/>
        <item m="1" x="141"/>
        <item m="1" x="142"/>
        <item m="1" x="143"/>
        <item m="1" x="231"/>
        <item m="1" x="144"/>
        <item x="28"/>
        <item m="1" x="232"/>
        <item m="1" x="145"/>
        <item m="1" x="70"/>
        <item x="29"/>
        <item m="1" x="398"/>
        <item m="1" x="146"/>
        <item m="1" x="147"/>
        <item m="1" x="148"/>
        <item m="1" x="149"/>
        <item m="1" x="150"/>
        <item m="1" x="62"/>
        <item x="30"/>
        <item m="1" x="151"/>
        <item m="1" x="381"/>
        <item x="31"/>
        <item x="32"/>
        <item m="1" x="152"/>
        <item m="1" x="153"/>
        <item m="1" x="154"/>
        <item m="1" x="359"/>
        <item m="1" x="155"/>
        <item m="1" x="156"/>
        <item m="1" x="366"/>
        <item m="1" x="438"/>
        <item x="33"/>
        <item m="1" x="157"/>
        <item m="1" x="409"/>
        <item m="1" x="158"/>
        <item m="1" x="159"/>
        <item m="1" x="160"/>
        <item m="1" x="161"/>
        <item m="1" x="162"/>
        <item m="1" x="387"/>
        <item m="1" x="356"/>
        <item m="1" x="357"/>
        <item m="1" x="431"/>
        <item m="1" x="450"/>
        <item m="1" x="440"/>
        <item m="1" x="358"/>
        <item m="1" x="354"/>
        <item m="1" x="388"/>
        <item m="1" x="414"/>
        <item m="1" x="393"/>
        <item m="1" x="163"/>
        <item m="1" x="164"/>
        <item m="1" x="165"/>
        <item m="1" x="330"/>
        <item m="1" x="166"/>
        <item m="1" x="167"/>
        <item m="1" x="168"/>
        <item m="1" x="386"/>
        <item x="34"/>
        <item m="1" x="169"/>
        <item m="1" x="170"/>
        <item m="1" x="451"/>
        <item m="1" x="171"/>
        <item m="1" x="444"/>
        <item x="35"/>
        <item m="1" x="419"/>
        <item m="1" x="172"/>
        <item m="1" x="426"/>
        <item m="1" x="173"/>
        <item m="1" x="174"/>
        <item m="1" x="69"/>
        <item x="36"/>
        <item m="1" x="101"/>
        <item x="37"/>
        <item m="1" x="68"/>
        <item m="1" x="175"/>
        <item m="1" x="233"/>
        <item m="1" x="176"/>
        <item m="1" x="177"/>
        <item m="1" x="413"/>
        <item m="1" x="178"/>
        <item m="1" x="352"/>
        <item m="1" x="179"/>
        <item m="1" x="67"/>
        <item m="1" x="180"/>
        <item m="1" x="418"/>
        <item m="1" x="437"/>
        <item x="38"/>
        <item m="1" x="61"/>
        <item x="39"/>
        <item x="40"/>
        <item m="1" x="104"/>
        <item x="41"/>
        <item x="42"/>
        <item x="43"/>
        <item x="44"/>
        <item m="1" x="106"/>
        <item x="45"/>
        <item m="1" x="102"/>
        <item x="46"/>
        <item x="47"/>
        <item x="48"/>
        <item m="1" x="181"/>
        <item m="1" x="182"/>
        <item m="1" x="399"/>
        <item m="1" x="183"/>
        <item m="1" x="389"/>
        <item m="1" x="184"/>
        <item m="1" x="185"/>
        <item m="1" x="186"/>
        <item m="1" x="382"/>
        <item m="1" x="447"/>
        <item m="1" x="421"/>
        <item m="1" x="420"/>
        <item m="1" x="380"/>
        <item m="1" x="187"/>
        <item m="1" x="188"/>
        <item m="1" x="189"/>
        <item m="1" x="190"/>
        <item x="49"/>
        <item m="1" x="191"/>
        <item m="1" x="192"/>
        <item m="1" x="193"/>
        <item m="1" x="194"/>
        <item m="1" x="195"/>
        <item m="1" x="196"/>
        <item m="1" x="197"/>
        <item m="1" x="198"/>
        <item m="1" x="199"/>
        <item m="1" x="396"/>
        <item m="1" x="200"/>
        <item m="1" x="406"/>
        <item m="1" x="201"/>
        <item m="1" x="402"/>
        <item m="1" x="202"/>
        <item m="1" x="403"/>
        <item m="1" x="203"/>
        <item m="1" x="204"/>
        <item m="1" x="415"/>
        <item m="1" x="394"/>
        <item m="1" x="375"/>
        <item m="1" x="364"/>
        <item m="1" x="429"/>
        <item m="1" x="205"/>
        <item m="1" x="206"/>
        <item x="50"/>
        <item m="1" x="207"/>
        <item m="1" x="395"/>
        <item m="1" x="208"/>
        <item m="1" x="209"/>
        <item m="1" x="210"/>
        <item m="1" x="211"/>
        <item x="51"/>
        <item m="1" x="212"/>
        <item x="52"/>
        <item x="53"/>
        <item m="1" x="213"/>
        <item x="54"/>
        <item m="1" x="214"/>
        <item m="1" x="229"/>
        <item m="1" x="353"/>
        <item x="55"/>
        <item m="1" x="63"/>
        <item m="1" x="215"/>
        <item m="1" x="216"/>
        <item m="1" x="346"/>
        <item m="1" x="448"/>
        <item m="1" x="367"/>
        <item m="1" x="217"/>
        <item m="1" x="374"/>
        <item m="1" x="218"/>
        <item m="1" x="219"/>
        <item m="1" x="370"/>
        <item m="1" x="220"/>
        <item m="1" x="416"/>
        <item m="1" x="423"/>
        <item m="1" x="411"/>
        <item m="1" x="365"/>
        <item m="1" x="410"/>
        <item m="1" x="221"/>
        <item m="1" x="390"/>
        <item m="1" x="412"/>
        <item m="1" x="349"/>
        <item m="1" x="222"/>
        <item m="1" x="341"/>
        <item m="1" x="350"/>
        <item m="1" x="223"/>
        <item m="1" x="340"/>
        <item m="1" x="224"/>
        <item m="1" x="71"/>
        <item x="56"/>
        <item m="1" x="338"/>
        <item m="1" x="225"/>
        <item m="1" x="339"/>
        <item m="1" x="337"/>
        <item x="57"/>
        <item m="1" x="226"/>
        <item m="1" x="109"/>
        <item m="1" x="110"/>
        <item m="1" x="99"/>
        <item x="58"/>
        <item m="1" x="404"/>
        <item m="1" x="107"/>
        <item m="1" x="446"/>
        <item m="1" x="66"/>
        <item m="1" x="392"/>
        <item m="1" x="384"/>
        <item m="1" x="417"/>
        <item m="1" x="227"/>
        <item m="1" x="332"/>
        <item m="1" x="228"/>
        <item x="60"/>
      </items>
    </pivotField>
    <pivotField compact="0" outline="0" showAll="0" defaultSubtotal="0"/>
    <pivotField compact="0" outline="0" showAll="0" defaultSubtotal="0"/>
    <pivotField compact="0" outline="0" showAll="0" defaultSubtotal="0">
      <items count="16">
        <item x="1"/>
        <item m="1" x="15"/>
        <item x="0"/>
        <item x="2"/>
        <item m="1" x="14"/>
        <item x="4"/>
        <item m="1" x="12"/>
        <item m="1" x="11"/>
        <item m="1" x="8"/>
        <item m="1" x="9"/>
        <item m="1" x="13"/>
        <item x="3"/>
        <item x="5"/>
        <item x="6"/>
        <item m="1" x="10"/>
        <item x="7"/>
      </items>
    </pivotField>
    <pivotField compact="0" outline="0" showAll="0" defaultSubtotal="0"/>
    <pivotField compact="0" outline="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3"/>
  </rowFields>
  <rowItems count="13">
    <i>
      <x v="152"/>
    </i>
    <i>
      <x v="172"/>
    </i>
    <i>
      <x v="176"/>
    </i>
    <i>
      <x v="179"/>
    </i>
    <i>
      <x v="188"/>
    </i>
    <i>
      <x v="194"/>
    </i>
    <i>
      <x v="203"/>
    </i>
    <i>
      <x v="274"/>
    </i>
    <i>
      <x v="330"/>
    </i>
    <i>
      <x v="333"/>
    </i>
    <i>
      <x v="340"/>
    </i>
    <i>
      <x v="343"/>
    </i>
    <i>
      <x v="433"/>
    </i>
  </rowItems>
  <colItems count="1">
    <i/>
  </colItems>
  <formats count="17">
    <format dxfId="2367">
      <pivotArea field="3" type="button" dataOnly="0" labelOnly="1" outline="0" axis="axisRow" fieldPosition="0"/>
    </format>
    <format dxfId="2366">
      <pivotArea type="all" dataOnly="0" outline="0" fieldPosition="0"/>
    </format>
    <format dxfId="2365">
      <pivotArea field="3" type="button" dataOnly="0" labelOnly="1" outline="0" axis="axisRow" fieldPosition="0"/>
    </format>
    <format dxfId="2364">
      <pivotArea type="all" dataOnly="0" outline="0" fieldPosition="0"/>
    </format>
    <format dxfId="2363">
      <pivotArea field="3" type="button" dataOnly="0" labelOnly="1" outline="0" axis="axisRow" fieldPosition="0"/>
    </format>
    <format dxfId="2362">
      <pivotArea dataOnly="0" labelOnly="1" fieldPosition="0">
        <references count="1">
          <reference field="3"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2361">
      <pivotArea dataOnly="0" labelOnly="1" fieldPosition="0">
        <references count="1">
          <reference field="3"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41"/>
            <x v="142"/>
            <x v="144"/>
            <x v="145"/>
            <x v="146"/>
          </reference>
        </references>
      </pivotArea>
    </format>
    <format dxfId="2360">
      <pivotArea dataOnly="0" labelOnly="1" fieldPosition="0">
        <references count="1">
          <reference field="3" count="50">
            <x v="150"/>
            <x v="154"/>
            <x v="156"/>
            <x v="157"/>
            <x v="158"/>
            <x v="159"/>
            <x v="161"/>
            <x v="163"/>
            <x v="219"/>
            <x v="221"/>
            <x v="222"/>
            <x v="224"/>
            <x v="226"/>
            <x v="227"/>
            <x v="228"/>
            <x v="229"/>
            <x v="232"/>
            <x v="234"/>
            <x v="235"/>
            <x v="236"/>
            <x v="237"/>
            <x v="238"/>
            <x v="239"/>
            <x v="240"/>
            <x v="241"/>
            <x v="242"/>
            <x v="243"/>
            <x v="244"/>
            <x v="245"/>
            <x v="246"/>
            <x v="247"/>
            <x v="250"/>
            <x v="255"/>
            <x v="256"/>
            <x v="257"/>
            <x v="258"/>
            <x v="259"/>
            <x v="262"/>
            <x v="264"/>
            <x v="266"/>
            <x v="267"/>
            <x v="268"/>
            <x v="270"/>
            <x v="271"/>
            <x v="274"/>
            <x v="275"/>
            <x v="277"/>
            <x v="278"/>
            <x v="282"/>
            <x v="283"/>
          </reference>
        </references>
      </pivotArea>
    </format>
    <format dxfId="2359">
      <pivotArea dataOnly="0" labelOnly="1" fieldPosition="0">
        <references count="1">
          <reference field="3" count="50">
            <x v="285"/>
            <x v="286"/>
            <x v="287"/>
            <x v="288"/>
            <x v="290"/>
            <x v="298"/>
            <x v="299"/>
            <x v="302"/>
            <x v="303"/>
            <x v="305"/>
            <x v="309"/>
            <x v="311"/>
            <x v="312"/>
            <x v="318"/>
            <x v="319"/>
            <x v="321"/>
            <x v="323"/>
            <x v="325"/>
            <x v="327"/>
            <x v="345"/>
            <x v="346"/>
            <x v="348"/>
            <x v="350"/>
            <x v="351"/>
            <x v="352"/>
            <x v="358"/>
            <x v="359"/>
            <x v="360"/>
            <x v="361"/>
            <x v="362"/>
            <x v="363"/>
            <x v="366"/>
            <x v="367"/>
            <x v="368"/>
            <x v="369"/>
            <x v="370"/>
            <x v="371"/>
            <x v="373"/>
            <x v="375"/>
            <x v="377"/>
            <x v="379"/>
            <x v="380"/>
            <x v="386"/>
            <x v="387"/>
            <x v="388"/>
            <x v="389"/>
            <x v="391"/>
            <x v="392"/>
            <x v="393"/>
            <x v="394"/>
          </reference>
        </references>
      </pivotArea>
    </format>
    <format dxfId="2358">
      <pivotArea dataOnly="0" labelOnly="1" fieldPosition="0">
        <references count="1">
          <reference field="3" count="27">
            <x v="395"/>
            <x v="396"/>
            <x v="397"/>
            <x v="398"/>
            <x v="399"/>
            <x v="401"/>
            <x v="402"/>
            <x v="404"/>
            <x v="406"/>
            <x v="407"/>
            <x v="409"/>
            <x v="413"/>
            <x v="414"/>
            <x v="416"/>
            <x v="417"/>
            <x v="419"/>
            <x v="421"/>
            <x v="422"/>
            <x v="426"/>
            <x v="427"/>
            <x v="430"/>
            <x v="431"/>
            <x v="434"/>
            <x v="436"/>
            <x v="437"/>
            <x v="439"/>
            <x v="452"/>
          </reference>
        </references>
      </pivotArea>
    </format>
    <format dxfId="2357">
      <pivotArea dataOnly="0" labelOnly="1" fieldPosition="0">
        <references count="1">
          <reference field="3" count="50">
            <x v="1"/>
            <x v="3"/>
            <x v="4"/>
            <x v="6"/>
            <x v="8"/>
            <x v="10"/>
            <x v="13"/>
            <x v="14"/>
            <x v="15"/>
            <x v="17"/>
            <x v="18"/>
            <x v="19"/>
            <x v="20"/>
            <x v="21"/>
            <x v="23"/>
            <x v="24"/>
            <x v="25"/>
            <x v="26"/>
            <x v="27"/>
            <x v="28"/>
            <x v="29"/>
            <x v="30"/>
            <x v="34"/>
            <x v="35"/>
            <x v="36"/>
            <x v="38"/>
            <x v="39"/>
            <x v="40"/>
            <x v="41"/>
            <x v="43"/>
            <x v="45"/>
            <x v="46"/>
            <x v="47"/>
            <x v="48"/>
            <x v="49"/>
            <x v="50"/>
            <x v="51"/>
            <x v="52"/>
            <x v="54"/>
            <x v="55"/>
            <x v="56"/>
            <x v="57"/>
            <x v="60"/>
            <x v="62"/>
            <x v="63"/>
            <x v="65"/>
            <x v="66"/>
            <x v="67"/>
            <x v="69"/>
            <x v="70"/>
          </reference>
        </references>
      </pivotArea>
    </format>
    <format dxfId="2356">
      <pivotArea dataOnly="0" labelOnly="1" fieldPosition="0">
        <references count="1">
          <reference field="3" count="50">
            <x v="71"/>
            <x v="72"/>
            <x v="73"/>
            <x v="74"/>
            <x v="75"/>
            <x v="76"/>
            <x v="78"/>
            <x v="79"/>
            <x v="80"/>
            <x v="82"/>
            <x v="84"/>
            <x v="86"/>
            <x v="89"/>
            <x v="91"/>
            <x v="92"/>
            <x v="94"/>
            <x v="96"/>
            <x v="97"/>
            <x v="98"/>
            <x v="99"/>
            <x v="100"/>
            <x v="102"/>
            <x v="104"/>
            <x v="106"/>
            <x v="107"/>
            <x v="108"/>
            <x v="110"/>
            <x v="111"/>
            <x v="112"/>
            <x v="114"/>
            <x v="116"/>
            <x v="117"/>
            <x v="118"/>
            <x v="119"/>
            <x v="120"/>
            <x v="121"/>
            <x v="122"/>
            <x v="123"/>
            <x v="125"/>
            <x v="127"/>
            <x v="130"/>
            <x v="131"/>
            <x v="133"/>
            <x v="135"/>
            <x v="137"/>
            <x v="141"/>
            <x v="142"/>
            <x v="144"/>
            <x v="145"/>
            <x v="146"/>
          </reference>
        </references>
      </pivotArea>
    </format>
    <format dxfId="2355">
      <pivotArea dataOnly="0" labelOnly="1" fieldPosition="0">
        <references count="1">
          <reference field="3" count="50">
            <x v="150"/>
            <x v="154"/>
            <x v="156"/>
            <x v="157"/>
            <x v="158"/>
            <x v="159"/>
            <x v="161"/>
            <x v="163"/>
            <x v="219"/>
            <x v="221"/>
            <x v="222"/>
            <x v="224"/>
            <x v="226"/>
            <x v="227"/>
            <x v="228"/>
            <x v="229"/>
            <x v="232"/>
            <x v="234"/>
            <x v="235"/>
            <x v="236"/>
            <x v="237"/>
            <x v="238"/>
            <x v="239"/>
            <x v="240"/>
            <x v="241"/>
            <x v="242"/>
            <x v="243"/>
            <x v="244"/>
            <x v="245"/>
            <x v="246"/>
            <x v="247"/>
            <x v="250"/>
            <x v="255"/>
            <x v="256"/>
            <x v="257"/>
            <x v="258"/>
            <x v="259"/>
            <x v="262"/>
            <x v="264"/>
            <x v="266"/>
            <x v="267"/>
            <x v="268"/>
            <x v="270"/>
            <x v="271"/>
            <x v="274"/>
            <x v="275"/>
            <x v="277"/>
            <x v="278"/>
            <x v="282"/>
            <x v="283"/>
          </reference>
        </references>
      </pivotArea>
    </format>
    <format dxfId="2354">
      <pivotArea dataOnly="0" labelOnly="1" fieldPosition="0">
        <references count="1">
          <reference field="3" count="50">
            <x v="285"/>
            <x v="286"/>
            <x v="287"/>
            <x v="288"/>
            <x v="290"/>
            <x v="298"/>
            <x v="299"/>
            <x v="302"/>
            <x v="303"/>
            <x v="305"/>
            <x v="309"/>
            <x v="311"/>
            <x v="312"/>
            <x v="318"/>
            <x v="319"/>
            <x v="321"/>
            <x v="323"/>
            <x v="325"/>
            <x v="327"/>
            <x v="345"/>
            <x v="346"/>
            <x v="348"/>
            <x v="350"/>
            <x v="351"/>
            <x v="352"/>
            <x v="358"/>
            <x v="359"/>
            <x v="360"/>
            <x v="361"/>
            <x v="362"/>
            <x v="363"/>
            <x v="366"/>
            <x v="367"/>
            <x v="368"/>
            <x v="369"/>
            <x v="370"/>
            <x v="371"/>
            <x v="373"/>
            <x v="375"/>
            <x v="377"/>
            <x v="379"/>
            <x v="380"/>
            <x v="386"/>
            <x v="387"/>
            <x v="388"/>
            <x v="389"/>
            <x v="391"/>
            <x v="392"/>
            <x v="393"/>
            <x v="394"/>
          </reference>
        </references>
      </pivotArea>
    </format>
    <format dxfId="2353">
      <pivotArea dataOnly="0" labelOnly="1" fieldPosition="0">
        <references count="1">
          <reference field="3" count="27">
            <x v="395"/>
            <x v="396"/>
            <x v="397"/>
            <x v="398"/>
            <x v="399"/>
            <x v="401"/>
            <x v="402"/>
            <x v="404"/>
            <x v="406"/>
            <x v="407"/>
            <x v="409"/>
            <x v="413"/>
            <x v="414"/>
            <x v="416"/>
            <x v="417"/>
            <x v="419"/>
            <x v="421"/>
            <x v="422"/>
            <x v="426"/>
            <x v="427"/>
            <x v="430"/>
            <x v="431"/>
            <x v="434"/>
            <x v="436"/>
            <x v="437"/>
            <x v="439"/>
            <x v="452"/>
          </reference>
        </references>
      </pivotArea>
    </format>
    <format dxfId="2352">
      <pivotArea field="3" type="button" dataOnly="0" labelOnly="1" outline="0" axis="axisRow" fieldPosition="0"/>
    </format>
    <format dxfId="2351">
      <pivotArea field="6" type="button" dataOnly="0" labelOnly="1" outline="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5044085-6814-4D06-BAE4-95E1F3C4BC1D}" name="H.A. Station" cacheId="0" applyNumberFormats="0" applyBorderFormats="0" applyFontFormats="0" applyPatternFormats="0" applyAlignmentFormats="0" applyWidthHeightFormats="1" dataCaption="Valores" updatedVersion="8" minRefreshableVersion="3" rowGrandTotals="0" colGrandTotals="0" itemPrintTitles="1" createdVersion="4" indent="0" outline="1" outlineData="1" multipleFieldFilters="0" rowHeaderCaption="H.A. Station" colHeaderCaption="H.A. Station">
  <location ref="B12:B13" firstHeaderRow="1" firstDataRow="1" firstDataCol="1"/>
  <pivotFields count="8">
    <pivotField showAll="0">
      <items count="9">
        <item x="0"/>
        <item h="1" x="1"/>
        <item h="1" x="2"/>
        <item h="1" x="3"/>
        <item h="1" m="1" x="5"/>
        <item h="1" m="1" x="6"/>
        <item h="1" m="1" x="7"/>
        <item h="1" m="1" x="4"/>
        <item t="default"/>
      </items>
    </pivotField>
    <pivotField axis="axisRow" showAll="0">
      <items count="8">
        <item x="0"/>
        <item h="1" x="2"/>
        <item h="1" x="3"/>
        <item h="1" x="1"/>
        <item h="1" m="1" x="4"/>
        <item h="1" m="1" x="5"/>
        <item h="1" m="1" x="6"/>
        <item t="default"/>
      </items>
    </pivotField>
    <pivotField showAll="0"/>
    <pivotField showAll="0"/>
    <pivotField showAll="0">
      <items count="192">
        <item m="1" x="189"/>
        <item m="1" x="51"/>
        <item m="1" x="41"/>
        <item m="1" x="107"/>
        <item m="1" x="86"/>
        <item m="1" x="70"/>
        <item m="1" x="43"/>
        <item m="1" x="158"/>
        <item m="1" x="52"/>
        <item m="1" x="151"/>
        <item m="1" x="64"/>
        <item m="1" x="163"/>
        <item m="1" x="69"/>
        <item m="1" x="121"/>
        <item m="1" x="123"/>
        <item m="1" x="147"/>
        <item m="1" x="165"/>
        <item m="1" x="184"/>
        <item m="1" x="49"/>
        <item m="1" x="182"/>
        <item m="1" x="55"/>
        <item m="1" x="190"/>
        <item m="1" x="171"/>
        <item m="1" x="65"/>
        <item m="1" x="186"/>
        <item m="1" x="58"/>
        <item m="1" x="87"/>
        <item m="1" x="154"/>
        <item m="1" x="152"/>
        <item m="1" x="88"/>
        <item m="1" x="172"/>
        <item m="1" x="98"/>
        <item m="1" x="155"/>
        <item m="1" x="161"/>
        <item m="1" x="138"/>
        <item m="1" x="45"/>
        <item m="1" x="54"/>
        <item m="1" x="173"/>
        <item m="1" x="185"/>
        <item m="1" x="61"/>
        <item m="1" x="167"/>
        <item m="1" x="46"/>
        <item m="1" x="47"/>
        <item m="1" x="143"/>
        <item m="1" x="100"/>
        <item m="1" x="160"/>
        <item m="1" x="122"/>
        <item m="1" x="175"/>
        <item x="0"/>
        <item m="1" x="145"/>
        <item m="1" x="135"/>
        <item x="1"/>
        <item m="1" x="159"/>
        <item x="2"/>
        <item m="1" x="90"/>
        <item m="1" x="128"/>
        <item m="1" x="170"/>
        <item m="1" x="131"/>
        <item m="1" x="85"/>
        <item m="1" x="169"/>
        <item x="13"/>
        <item x="14"/>
        <item m="1" x="134"/>
        <item m="1" x="99"/>
        <item x="29"/>
        <item x="20"/>
        <item m="1" x="180"/>
        <item x="33"/>
        <item m="1" x="93"/>
        <item m="1" x="109"/>
        <item m="1" x="124"/>
        <item m="1" x="139"/>
        <item m="1" x="130"/>
        <item m="1" x="153"/>
        <item m="1" x="141"/>
        <item m="1" x="111"/>
        <item m="1" x="144"/>
        <item m="1" x="178"/>
        <item x="35"/>
        <item x="6"/>
        <item m="1" x="168"/>
        <item x="23"/>
        <item x="25"/>
        <item m="1" x="80"/>
        <item x="26"/>
        <item m="1" x="92"/>
        <item x="7"/>
        <item x="8"/>
        <item m="1" x="89"/>
        <item m="1" x="105"/>
        <item m="1" x="157"/>
        <item m="1" x="181"/>
        <item m="1" x="127"/>
        <item x="31"/>
        <item x="32"/>
        <item x="10"/>
        <item m="1" x="176"/>
        <item x="27"/>
        <item m="1" x="166"/>
        <item m="1" x="177"/>
        <item m="1" x="50"/>
        <item m="1" x="95"/>
        <item m="1" x="164"/>
        <item m="1" x="62"/>
        <item x="12"/>
        <item m="1" x="183"/>
        <item m="1" x="132"/>
        <item m="1" x="150"/>
        <item m="1" x="126"/>
        <item m="1" x="148"/>
        <item m="1" x="187"/>
        <item m="1" x="137"/>
        <item m="1" x="102"/>
        <item m="1" x="136"/>
        <item m="1" x="162"/>
        <item m="1" x="149"/>
        <item x="15"/>
        <item x="18"/>
        <item m="1" x="156"/>
        <item x="9"/>
        <item m="1" x="140"/>
        <item m="1" x="179"/>
        <item m="1" x="59"/>
        <item m="1" x="174"/>
        <item m="1" x="117"/>
        <item m="1" x="188"/>
        <item m="1" x="113"/>
        <item m="1" x="146"/>
        <item m="1" x="57"/>
        <item m="1" x="40"/>
        <item m="1" x="112"/>
        <item m="1" x="44"/>
        <item m="1" x="103"/>
        <item m="1" x="133"/>
        <item m="1" x="125"/>
        <item m="1" x="97"/>
        <item m="1" x="142"/>
        <item m="1" x="119"/>
        <item m="1" x="129"/>
        <item m="1" x="118"/>
        <item m="1" x="39"/>
        <item x="5"/>
        <item x="30"/>
        <item x="34"/>
        <item x="4"/>
        <item m="1" x="120"/>
        <item m="1" x="53"/>
        <item m="1" x="68"/>
        <item m="1" x="66"/>
        <item x="24"/>
        <item m="1" x="71"/>
        <item x="3"/>
        <item x="11"/>
        <item x="28"/>
        <item x="19"/>
        <item m="1" x="63"/>
        <item m="1" x="74"/>
        <item m="1" x="75"/>
        <item m="1" x="77"/>
        <item m="1" x="78"/>
        <item m="1" x="79"/>
        <item m="1" x="81"/>
        <item m="1" x="82"/>
        <item m="1" x="83"/>
        <item m="1" x="84"/>
        <item m="1" x="91"/>
        <item m="1" x="94"/>
        <item x="21"/>
        <item m="1" x="96"/>
        <item m="1" x="101"/>
        <item m="1" x="104"/>
        <item m="1" x="106"/>
        <item m="1" x="108"/>
        <item m="1" x="110"/>
        <item m="1" x="114"/>
        <item m="1" x="56"/>
        <item m="1" x="116"/>
        <item m="1" x="115"/>
        <item m="1" x="76"/>
        <item x="16"/>
        <item x="17"/>
        <item x="36"/>
        <item x="37"/>
        <item m="1" x="72"/>
        <item m="1" x="73"/>
        <item m="1" x="42"/>
        <item m="1" x="48"/>
        <item m="1" x="60"/>
        <item m="1" x="67"/>
        <item x="22"/>
        <item x="38"/>
        <item t="default"/>
      </items>
    </pivotField>
    <pivotField showAll="0"/>
    <pivotField showAll="0"/>
    <pivotField showAll="0"/>
  </pivotFields>
  <rowFields count="1">
    <field x="1"/>
  </rowFields>
  <rowItems count="1">
    <i>
      <x/>
    </i>
  </rowItems>
  <colItems count="1">
    <i/>
  </colItems>
  <formats count="11">
    <format dxfId="2378">
      <pivotArea field="4" type="button" dataOnly="0" labelOnly="1" outline="0"/>
    </format>
    <format dxfId="2377">
      <pivotArea dataOnly="0" labelOnly="1" outline="0" axis="axisValues" fieldPosition="0"/>
    </format>
    <format dxfId="2376">
      <pivotArea outline="0" collapsedLevelsAreSubtotals="1" fieldPosition="0"/>
    </format>
    <format dxfId="2375">
      <pivotArea outline="0" collapsedLevelsAreSubtotals="1" fieldPosition="0"/>
    </format>
    <format dxfId="2374">
      <pivotArea field="1" type="button" dataOnly="0" labelOnly="1" outline="0" axis="axisRow" fieldPosition="0"/>
    </format>
    <format dxfId="2373">
      <pivotArea field="0" type="button" dataOnly="0" labelOnly="1" outline="0"/>
    </format>
    <format dxfId="2372">
      <pivotArea dataOnly="0" labelOnly="1" fieldPosition="0">
        <references count="1">
          <reference field="1" count="0"/>
        </references>
      </pivotArea>
    </format>
    <format dxfId="2371">
      <pivotArea dataOnly="0" labelOnly="1" fieldPosition="0">
        <references count="1">
          <reference field="1" count="0"/>
        </references>
      </pivotArea>
    </format>
    <format dxfId="2370">
      <pivotArea dataOnly="0" labelOnly="1" fieldPosition="0">
        <references count="1">
          <reference field="1" count="0"/>
        </references>
      </pivotArea>
    </format>
    <format dxfId="2369">
      <pivotArea dataOnly="0" labelOnly="1" fieldPosition="0">
        <references count="1">
          <reference field="1" count="0"/>
        </references>
      </pivotArea>
    </format>
    <format dxfId="2368">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A0F1B3D-040C-4774-A0A9-ADD2777155EE}" name="Searcher" cacheId="1" applyNumberFormats="0" applyBorderFormats="0" applyFontFormats="0" applyPatternFormats="0" applyAlignmentFormats="0" applyWidthHeightFormats="1" dataCaption="Valores" updatedVersion="8" minRefreshableVersion="3" rowGrandTotals="0" itemPrintTitles="1" createdVersion="4" indent="0" outline="1" outlineData="1" multipleFieldFilters="0">
  <location ref="I5:I6" firstHeaderRow="1" firstDataRow="1" firstDataCol="0" rowPageCount="1" colPageCount="1"/>
  <pivotFields count="17">
    <pivotField showAll="0"/>
    <pivotField multipleItemSelectionAllowed="1" showAll="0">
      <items count="42">
        <item x="0"/>
        <item x="1"/>
        <item x="2"/>
        <item x="3"/>
        <item x="4"/>
        <item x="5"/>
        <item x="6"/>
        <item x="7"/>
        <item x="8"/>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x="9"/>
        <item t="default"/>
      </items>
    </pivotField>
    <pivotField dataField="1" multipleItemSelectionAllowed="1" showAll="0"/>
    <pivotField axis="axisPage" showAll="0">
      <items count="456">
        <item m="1" x="376"/>
        <item m="1" x="269"/>
        <item m="1" x="432"/>
        <item m="1" x="304"/>
        <item m="1" x="351"/>
        <item m="1" x="449"/>
        <item m="1" x="298"/>
        <item m="1" x="435"/>
        <item m="1" x="254"/>
        <item m="1" x="258"/>
        <item m="1" x="299"/>
        <item m="1" x="433"/>
        <item m="1" x="331"/>
        <item m="1" x="237"/>
        <item m="1" x="287"/>
        <item m="1" x="344"/>
        <item m="1" x="345"/>
        <item m="1" x="238"/>
        <item m="1" x="255"/>
        <item m="1" x="239"/>
        <item m="1" x="280"/>
        <item m="1" x="281"/>
        <item m="1" x="257"/>
        <item m="1" x="442"/>
        <item m="1" x="379"/>
        <item m="1" x="240"/>
        <item m="1" x="241"/>
        <item m="1" x="293"/>
        <item m="1" x="294"/>
        <item m="1" x="265"/>
        <item m="1" x="242"/>
        <item m="1" x="271"/>
        <item m="1" x="401"/>
        <item m="1" x="243"/>
        <item m="1" x="244"/>
        <item m="1" x="291"/>
        <item m="1" x="259"/>
        <item m="1" x="245"/>
        <item m="1" x="310"/>
        <item m="1" x="342"/>
        <item m="1" x="343"/>
        <item m="1" x="261"/>
        <item m="1" x="262"/>
        <item m="1" x="355"/>
        <item m="1" x="260"/>
        <item m="1" x="443"/>
        <item m="1" x="322"/>
        <item m="1" x="453"/>
        <item m="1" x="246"/>
        <item m="1" x="251"/>
        <item m="1" x="247"/>
        <item m="1" x="282"/>
        <item m="1" x="249"/>
        <item m="1" x="253"/>
        <item m="1" x="295"/>
        <item m="1" x="286"/>
        <item m="1" x="292"/>
        <item m="1" x="300"/>
        <item m="1" x="252"/>
        <item m="1" x="272"/>
        <item m="1" x="323"/>
        <item m="1" x="373"/>
        <item m="1" x="408"/>
        <item m="1" x="250"/>
        <item m="1" x="296"/>
        <item m="1" x="363"/>
        <item m="1" x="278"/>
        <item m="1" x="439"/>
        <item m="1" x="324"/>
        <item m="1" x="312"/>
        <item m="1" x="326"/>
        <item m="1" x="313"/>
        <item m="1" x="314"/>
        <item m="1" x="315"/>
        <item m="1" x="274"/>
        <item m="1" x="372"/>
        <item m="1" x="276"/>
        <item m="1" x="263"/>
        <item m="1" x="347"/>
        <item m="1" x="267"/>
        <item m="1" x="430"/>
        <item m="1" x="425"/>
        <item m="1" x="325"/>
        <item m="1" x="284"/>
        <item m="1" x="288"/>
        <item m="1" x="318"/>
        <item m="1" x="317"/>
        <item m="1" x="289"/>
        <item m="1" x="328"/>
        <item m="1" x="327"/>
        <item m="1" x="361"/>
        <item m="1" x="452"/>
        <item m="1" x="434"/>
        <item m="1" x="385"/>
        <item m="1" x="319"/>
        <item m="1" x="378"/>
        <item m="1" x="369"/>
        <item m="1" x="383"/>
        <item m="1" x="320"/>
        <item m="1" x="112"/>
        <item m="1" x="113"/>
        <item m="1" x="114"/>
        <item m="1" x="115"/>
        <item m="1" x="235"/>
        <item m="1" x="116"/>
        <item m="1" x="117"/>
        <item m="1" x="118"/>
        <item m="1" x="119"/>
        <item m="1" x="120"/>
        <item m="1" x="121"/>
        <item m="1" x="436"/>
        <item m="1" x="377"/>
        <item m="1" x="335"/>
        <item m="1" x="336"/>
        <item m="1" x="333"/>
        <item m="1" x="334"/>
        <item m="1" x="126"/>
        <item m="1" x="127"/>
        <item m="1" x="128"/>
        <item m="1" x="230"/>
        <item m="1" x="427"/>
        <item m="1" x="234"/>
        <item m="1" x="132"/>
        <item m="1" x="133"/>
        <item m="1" x="134"/>
        <item m="1" x="135"/>
        <item m="1" x="136"/>
        <item m="1" x="137"/>
        <item m="1" x="138"/>
        <item m="1" x="139"/>
        <item m="1" x="140"/>
        <item m="1" x="141"/>
        <item m="1" x="142"/>
        <item m="1" x="143"/>
        <item m="1" x="231"/>
        <item m="1" x="232"/>
        <item m="1" x="146"/>
        <item m="1" x="147"/>
        <item m="1" x="148"/>
        <item m="1" x="149"/>
        <item m="1" x="150"/>
        <item m="1" x="151"/>
        <item x="31"/>
        <item m="1" x="152"/>
        <item m="1" x="153"/>
        <item m="1" x="154"/>
        <item m="1" x="155"/>
        <item m="1" x="156"/>
        <item x="33"/>
        <item m="1" x="157"/>
        <item m="1" x="409"/>
        <item m="1" x="158"/>
        <item m="1" x="159"/>
        <item m="1" x="387"/>
        <item m="1" x="356"/>
        <item m="1" x="450"/>
        <item m="1" x="440"/>
        <item m="1" x="354"/>
        <item m="1" x="388"/>
        <item m="1" x="167"/>
        <item m="1" x="168"/>
        <item m="1" x="386"/>
        <item m="1" x="169"/>
        <item m="1" x="451"/>
        <item m="1" x="444"/>
        <item m="1" x="426"/>
        <item m="1" x="173"/>
        <item m="1" x="174"/>
        <item m="1" x="175"/>
        <item m="1" x="233"/>
        <item m="1" x="413"/>
        <item m="1" x="352"/>
        <item m="1" x="179"/>
        <item m="1" x="418"/>
        <item m="1" x="181"/>
        <item m="1" x="399"/>
        <item m="1" x="183"/>
        <item m="1" x="389"/>
        <item m="1" x="185"/>
        <item m="1" x="382"/>
        <item m="1" x="447"/>
        <item m="1" x="420"/>
        <item m="1" x="188"/>
        <item m="1" x="190"/>
        <item m="1" x="194"/>
        <item m="1" x="196"/>
        <item m="1" x="197"/>
        <item m="1" x="198"/>
        <item m="1" x="199"/>
        <item m="1" x="406"/>
        <item m="1" x="402"/>
        <item m="1" x="403"/>
        <item m="1" x="203"/>
        <item m="1" x="204"/>
        <item m="1" x="375"/>
        <item m="1" x="205"/>
        <item m="1" x="206"/>
        <item x="50"/>
        <item m="1" x="207"/>
        <item m="1" x="208"/>
        <item m="1" x="209"/>
        <item m="1" x="210"/>
        <item m="1" x="212"/>
        <item x="52"/>
        <item x="53"/>
        <item m="1" x="213"/>
        <item m="1" x="214"/>
        <item m="1" x="229"/>
        <item m="1" x="353"/>
        <item x="55"/>
        <item m="1" x="215"/>
        <item m="1" x="346"/>
        <item m="1" x="218"/>
        <item m="1" x="219"/>
        <item m="1" x="370"/>
        <item m="1" x="220"/>
        <item m="1" x="411"/>
        <item m="1" x="390"/>
        <item m="1" x="222"/>
        <item m="1" x="341"/>
        <item m="1" x="350"/>
        <item m="1" x="224"/>
        <item m="1" x="338"/>
        <item m="1" x="339"/>
        <item m="1" x="337"/>
        <item m="1" x="226"/>
        <item m="1" x="417"/>
        <item m="1" x="332"/>
        <item m="1" x="381"/>
        <item m="1" x="359"/>
        <item m="1" x="400"/>
        <item m="1" x="308"/>
        <item m="1" x="172"/>
        <item m="1" x="405"/>
        <item m="1" x="309"/>
        <item m="1" x="200"/>
        <item m="1" x="368"/>
        <item m="1" x="365"/>
        <item m="1" x="187"/>
        <item m="1" x="393"/>
        <item m="1" x="184"/>
        <item m="1" x="195"/>
        <item m="1" x="422"/>
        <item m="1" x="189"/>
        <item m="1" x="270"/>
        <item m="1" x="186"/>
        <item x="49"/>
        <item m="1" x="191"/>
        <item m="1" x="264"/>
        <item m="1" x="421"/>
        <item x="60"/>
        <item m="1" x="415"/>
        <item m="1" x="202"/>
        <item m="1" x="123"/>
        <item m="1" x="396"/>
        <item m="1" x="371"/>
        <item m="1" x="397"/>
        <item m="1" x="428"/>
        <item m="1" x="384"/>
        <item x="51"/>
        <item m="1" x="423"/>
        <item m="1" x="349"/>
        <item m="1" x="398"/>
        <item m="1" x="360"/>
        <item m="1" x="437"/>
        <item m="1" x="348"/>
        <item m="1" x="340"/>
        <item m="1" x="438"/>
        <item m="1" x="414"/>
        <item m="1" x="407"/>
        <item m="1" x="321"/>
        <item m="1" x="201"/>
        <item m="1" x="170"/>
        <item m="1" x="285"/>
        <item m="1" x="306"/>
        <item m="1" x="275"/>
        <item m="1" x="316"/>
        <item m="1" x="395"/>
        <item m="1" x="424"/>
        <item m="1" x="454"/>
        <item m="1" x="431"/>
        <item m="1" x="178"/>
        <item m="1" x="182"/>
        <item m="1" x="122"/>
        <item m="1" x="171"/>
        <item m="1" x="392"/>
        <item m="1" x="211"/>
        <item m="1" x="394"/>
        <item m="1" x="441"/>
        <item m="1" x="358"/>
        <item m="1" x="301"/>
        <item m="1" x="419"/>
        <item m="1" x="302"/>
        <item m="1" x="362"/>
        <item m="1" x="329"/>
        <item m="1" x="445"/>
        <item m="1" x="305"/>
        <item m="1" x="380"/>
        <item m="1" x="364"/>
        <item m="1" x="303"/>
        <item m="1" x="367"/>
        <item m="1" x="130"/>
        <item m="1" x="429"/>
        <item m="1" x="391"/>
        <item m="1" x="216"/>
        <item m="1" x="357"/>
        <item m="1" x="446"/>
        <item m="1" x="366"/>
        <item m="1" x="266"/>
        <item m="1" x="268"/>
        <item m="1" x="416"/>
        <item m="1" x="412"/>
        <item m="1" x="256"/>
        <item m="1" x="177"/>
        <item m="1" x="297"/>
        <item m="1" x="311"/>
        <item m="1" x="273"/>
        <item m="1" x="290"/>
        <item m="1" x="448"/>
        <item m="1" x="221"/>
        <item m="1" x="180"/>
        <item m="1" x="410"/>
        <item m="1" x="374"/>
        <item m="1" x="217"/>
        <item m="1" x="404"/>
        <item m="1" x="192"/>
        <item m="1" x="164"/>
        <item m="1" x="161"/>
        <item m="1" x="330"/>
        <item m="1" x="162"/>
        <item m="1" x="163"/>
        <item m="1" x="160"/>
        <item m="1" x="165"/>
        <item m="1" x="283"/>
        <item m="1" x="248"/>
        <item m="1" x="236"/>
        <item m="1" x="193"/>
        <item x="58"/>
        <item m="1" x="279"/>
        <item m="1" x="277"/>
        <item m="1" x="223"/>
        <item m="1" x="225"/>
        <item m="1" x="124"/>
        <item m="1" x="125"/>
        <item m="1" x="227"/>
        <item m="1" x="307"/>
        <item m="1" x="166"/>
        <item m="1" x="131"/>
        <item m="1" x="228"/>
        <item m="1" x="176"/>
        <item x="34"/>
        <item m="1" x="144"/>
        <item m="1" x="145"/>
        <item m="1" x="129"/>
        <item m="1" x="107"/>
        <item x="30"/>
        <item x="54"/>
        <item m="1" x="71"/>
        <item x="1"/>
        <item m="1" x="96"/>
        <item x="40"/>
        <item m="1" x="104"/>
        <item x="42"/>
        <item m="1" x="102"/>
        <item x="47"/>
        <item x="48"/>
        <item x="35"/>
        <item m="1" x="111"/>
        <item x="37"/>
        <item m="1" x="101"/>
        <item m="1" x="95"/>
        <item m="1" x="92"/>
        <item m="1" x="94"/>
        <item m="1" x="108"/>
        <item x="32"/>
        <item x="27"/>
        <item m="1" x="109"/>
        <item m="1" x="110"/>
        <item m="1" x="97"/>
        <item m="1" x="98"/>
        <item x="16"/>
        <item x="57"/>
        <item m="1" x="61"/>
        <item x="38"/>
        <item x="46"/>
        <item m="1" x="106"/>
        <item x="44"/>
        <item m="1" x="105"/>
        <item m="1" x="93"/>
        <item x="41"/>
        <item m="1" x="103"/>
        <item x="43"/>
        <item x="2"/>
        <item x="36"/>
        <item x="45"/>
        <item m="1" x="86"/>
        <item m="1" x="87"/>
        <item m="1" x="100"/>
        <item m="1" x="88"/>
        <item m="1" x="62"/>
        <item x="9"/>
        <item m="1" x="89"/>
        <item m="1" x="99"/>
        <item m="1" x="90"/>
        <item m="1" x="91"/>
        <item m="1" x="79"/>
        <item m="1" x="80"/>
        <item m="1" x="81"/>
        <item m="1" x="82"/>
        <item m="1" x="83"/>
        <item m="1" x="84"/>
        <item m="1" x="85"/>
        <item m="1" x="72"/>
        <item m="1" x="73"/>
        <item m="1" x="74"/>
        <item m="1" x="75"/>
        <item m="1" x="76"/>
        <item m="1" x="77"/>
        <item m="1" x="78"/>
        <item x="24"/>
        <item x="23"/>
        <item x="13"/>
        <item x="8"/>
        <item x="20"/>
        <item x="12"/>
        <item x="0"/>
        <item x="3"/>
        <item x="4"/>
        <item x="5"/>
        <item x="6"/>
        <item x="10"/>
        <item m="1" x="64"/>
        <item x="56"/>
        <item x="15"/>
        <item x="22"/>
        <item m="1" x="70"/>
        <item x="29"/>
        <item m="1" x="67"/>
        <item m="1" x="68"/>
        <item m="1" x="69"/>
        <item m="1" x="66"/>
        <item m="1" x="63"/>
        <item m="1" x="65"/>
        <item x="25"/>
        <item x="26"/>
        <item x="18"/>
        <item x="11"/>
        <item x="17"/>
        <item x="21"/>
        <item x="14"/>
        <item x="19"/>
        <item x="28"/>
        <item x="7"/>
        <item x="59"/>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3" item="337" hier="-1"/>
  </pageFields>
  <dataFields count="1">
    <dataField name=" Station" fld="2" baseField="0" baseItem="0"/>
  </dataFields>
  <formats count="7">
    <format dxfId="2385">
      <pivotArea field="3" type="button" dataOnly="0" labelOnly="1" outline="0" axis="axisPage" fieldPosition="0"/>
    </format>
    <format dxfId="2384">
      <pivotArea dataOnly="0" labelOnly="1" outline="0" axis="axisValues" fieldPosition="0"/>
    </format>
    <format dxfId="2383">
      <pivotArea outline="0" collapsedLevelsAreSubtotals="1" fieldPosition="0"/>
    </format>
    <format dxfId="2382">
      <pivotArea outline="0" collapsedLevelsAreSubtotals="1" fieldPosition="0"/>
    </format>
    <format dxfId="2381">
      <pivotArea type="all" dataOnly="0" outline="0" fieldPosition="0"/>
    </format>
    <format dxfId="2380">
      <pivotArea outline="0" collapsedLevelsAreSubtotals="1" fieldPosition="0"/>
    </format>
    <format dxfId="23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 xr10:uid="{D651267F-B96D-407B-B8C4-F4502E74191C}" sourceName="Split">
  <pivotTables>
    <pivotTable tabId="4" name="Split Principal"/>
    <pivotTable tabId="4" name="Drop pivot"/>
    <pivotTable tabId="4" name="H.A. Split"/>
    <pivotTable tabId="4" name="H.A. Station"/>
  </pivotTables>
  <data>
    <tabular pivotCacheId="101812412">
      <items count="8">
        <i x="0" s="1"/>
        <i x="1"/>
        <i x="2"/>
        <i x="3"/>
        <i x="5" nd="1"/>
        <i x="6" nd="1"/>
        <i x="7" nd="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 xr10:uid="{FE112965-2A55-49C1-A929-3B83C398B72F}" sourceName="Station">
  <pivotTables>
    <pivotTable tabId="4" name="Split Principal"/>
    <pivotTable tabId="4" name="Drop pivot"/>
    <pivotTable tabId="4" name="H.A. Station"/>
  </pivotTables>
  <data>
    <tabular pivotCacheId="101812412">
      <items count="7">
        <i x="0" s="1"/>
        <i x="2" nd="1"/>
        <i x="3" nd="1"/>
        <i x="1" nd="1"/>
        <i x="4" nd="1"/>
        <i x="5" nd="1"/>
        <i x="6"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1" xr10:uid="{6328D42E-99B3-436F-B25C-785313E4C183}" sourceName="Split">
  <pivotTables>
    <pivotTable tabId="4" name="Searcher"/>
    <pivotTable tabId="4" name="Operation Split"/>
  </pivotTables>
  <data>
    <tabular pivotCacheId="1384272727">
      <items count="41">
        <i x="0" s="1"/>
        <i x="1" s="1"/>
        <i x="2" s="1"/>
        <i x="3" s="1"/>
        <i x="4" s="1"/>
        <i x="5" s="1"/>
        <i x="6" s="1"/>
        <i x="7" s="1"/>
        <i x="8" s="1"/>
        <i x="9" s="1"/>
        <i x="10" s="1" nd="1"/>
        <i x="11" s="1" nd="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5" s="1" nd="1"/>
        <i x="36" s="1" nd="1"/>
        <i x="37" s="1" nd="1"/>
        <i x="38" s="1" nd="1"/>
        <i x="39" s="1" nd="1"/>
        <i x="40"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2" xr10:uid="{3C173188-D87F-4E48-B4F1-4DF85534F94C}" sourceName="Split">
  <pivotTables>
    <pivotTable tabId="15" name="Split Principal PT2"/>
    <pivotTable tabId="15" name="Split Principal"/>
    <pivotTable tabId="4" name="alphabetical"/>
    <pivotTable tabId="15" name="TablaDinámica5"/>
    <pivotTable tabId="15" name="Station t1"/>
    <pivotTable tabId="15" name="Total sites 1"/>
    <pivotTable tabId="15" name="Buscador"/>
    <pivotTable tabId="15" name="alphabetical"/>
  </pivotTables>
  <data>
    <tabular pivotCacheId="1384272727">
      <items count="41">
        <i x="0"/>
        <i x="1"/>
        <i x="2"/>
        <i x="3" s="1"/>
        <i x="4"/>
        <i x="5"/>
        <i x="6"/>
        <i x="7"/>
        <i x="8"/>
        <i x="10" nd="1"/>
        <i x="11" nd="1"/>
        <i x="12" nd="1"/>
        <i x="13" nd="1"/>
        <i x="14" nd="1"/>
        <i x="15" nd="1"/>
        <i x="16" nd="1"/>
        <i x="17" nd="1"/>
        <i x="18" nd="1"/>
        <i x="19" nd="1"/>
        <i x="20" nd="1"/>
        <i x="21" nd="1"/>
        <i x="22" nd="1"/>
        <i x="23" nd="1"/>
        <i x="24" nd="1"/>
        <i x="25" nd="1"/>
        <i x="26" nd="1"/>
        <i x="27" nd="1"/>
        <i x="28" nd="1"/>
        <i x="29" nd="1"/>
        <i x="30" nd="1"/>
        <i x="31" nd="1"/>
        <i x="32" nd="1"/>
        <i x="33" nd="1"/>
        <i x="34" nd="1"/>
        <i x="35" nd="1"/>
        <i x="36" nd="1"/>
        <i x="37" nd="1"/>
        <i x="38" nd="1"/>
        <i x="39" nd="1"/>
        <i x="40" nd="1"/>
        <i x="9"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1" xr10:uid="{9D6188E9-B4D7-4381-B906-3F87B2B03010}" sourceName="Station">
  <pivotTables>
    <pivotTable tabId="15" name="Split Principal PT2"/>
    <pivotTable tabId="15" name="Split Principal"/>
    <pivotTable tabId="4" name="alphabetical"/>
    <pivotTable tabId="15" name="TablaDinámica5"/>
    <pivotTable tabId="15" name="Station t1"/>
    <pivotTable tabId="15" name="Total sites 1"/>
    <pivotTable tabId="15" name="alphabetical"/>
  </pivotTables>
  <data>
    <tabular pivotCacheId="1384272727">
      <items count="42">
        <i x="0"/>
        <i x="1"/>
        <i x="2"/>
        <i x="3" s="1"/>
        <i x="41" nd="1"/>
        <i x="4" nd="1"/>
        <i x="5" nd="1"/>
        <i x="6" nd="1"/>
        <i x="7" nd="1"/>
        <i x="8" nd="1"/>
        <i x="16" nd="1"/>
        <i x="15" nd="1"/>
        <i x="10" nd="1"/>
        <i x="14" nd="1"/>
        <i x="17" nd="1"/>
        <i x="13" nd="1"/>
        <i x="11" nd="1"/>
        <i x="12" nd="1"/>
        <i x="18" nd="1"/>
        <i x="25" nd="1"/>
        <i x="19" nd="1"/>
        <i x="24" nd="1"/>
        <i x="20" nd="1"/>
        <i x="26" nd="1"/>
        <i x="21" nd="1"/>
        <i x="27" nd="1"/>
        <i x="22" nd="1"/>
        <i x="28" nd="1"/>
        <i x="23" nd="1"/>
        <i x="29" nd="1"/>
        <i x="30" nd="1"/>
        <i x="31" nd="1"/>
        <i x="32" nd="1"/>
        <i x="35" nd="1"/>
        <i x="36" nd="1"/>
        <i x="34" nd="1"/>
        <i x="33" nd="1"/>
        <i x="37" nd="1"/>
        <i x="38" nd="1"/>
        <i x="39" nd="1"/>
        <i x="40" nd="1"/>
        <i x="9"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plit11" xr10:uid="{55B34D0F-0CAC-4D5C-AED3-752E6C646D84}" sourceName="Split">
  <pivotTables>
    <pivotTable tabId="20" name="Cuenta 2"/>
    <pivotTable tabId="20" name="Cambio de Split"/>
    <pivotTable tabId="20" name="Cambio de Split PT2"/>
  </pivotTables>
  <data>
    <tabular pivotCacheId="1384272727">
      <items count="41">
        <i x="0" s="1"/>
        <i x="1"/>
        <i x="2"/>
        <i x="3"/>
        <i x="4"/>
        <i x="5"/>
        <i x="6"/>
        <i x="7"/>
        <i x="8"/>
        <i x="10" nd="1"/>
        <i x="11" nd="1"/>
        <i x="12" nd="1"/>
        <i x="13" nd="1"/>
        <i x="14" nd="1"/>
        <i x="15" nd="1"/>
        <i x="16" nd="1"/>
        <i x="17" nd="1"/>
        <i x="18" nd="1"/>
        <i x="19" nd="1"/>
        <i x="20" nd="1"/>
        <i x="21" nd="1"/>
        <i x="22" nd="1"/>
        <i x="23" nd="1"/>
        <i x="24" nd="1"/>
        <i x="25" nd="1"/>
        <i x="26" nd="1"/>
        <i x="27" nd="1"/>
        <i x="28" nd="1"/>
        <i x="29" nd="1"/>
        <i x="30" nd="1"/>
        <i x="31" nd="1"/>
        <i x="32" nd="1"/>
        <i x="33" nd="1"/>
        <i x="34" nd="1"/>
        <i x="35" nd="1"/>
        <i x="36" nd="1"/>
        <i x="37" nd="1"/>
        <i x="38" nd="1"/>
        <i x="39" nd="1"/>
        <i x="40" nd="1"/>
        <i x="9"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tation11" xr10:uid="{A29B1FF5-94A2-4C87-8594-7D84CD311D1C}" sourceName="Station">
  <pivotTables>
    <pivotTable tabId="20" name="Cuenta 2"/>
    <pivotTable tabId="20" name="Cambio de Split"/>
    <pivotTable tabId="20" name="Cambio de Split PT2"/>
  </pivotTables>
  <data>
    <tabular pivotCacheId="1384272727">
      <items count="42">
        <i x="0" s="1"/>
        <i x="41" nd="1"/>
        <i x="1" nd="1"/>
        <i x="2" nd="1"/>
        <i x="3" nd="1"/>
        <i x="4" nd="1"/>
        <i x="5" nd="1"/>
        <i x="6" nd="1"/>
        <i x="7" nd="1"/>
        <i x="8" nd="1"/>
        <i x="16" nd="1"/>
        <i x="15" nd="1"/>
        <i x="10" nd="1"/>
        <i x="14" nd="1"/>
        <i x="17" nd="1"/>
        <i x="13" nd="1"/>
        <i x="11" nd="1"/>
        <i x="12" nd="1"/>
        <i x="18" nd="1"/>
        <i x="25" nd="1"/>
        <i x="19" nd="1"/>
        <i x="24" nd="1"/>
        <i x="20" nd="1"/>
        <i x="26" nd="1"/>
        <i x="21" nd="1"/>
        <i x="27" nd="1"/>
        <i x="22" nd="1"/>
        <i x="28" nd="1"/>
        <i x="23" nd="1"/>
        <i x="29" nd="1"/>
        <i x="30" nd="1"/>
        <i x="31" nd="1"/>
        <i x="32" nd="1"/>
        <i x="35" nd="1"/>
        <i x="36" nd="1"/>
        <i x="34" nd="1"/>
        <i x="33" nd="1"/>
        <i x="37" nd="1"/>
        <i x="38" nd="1"/>
        <i x="39" nd="1"/>
        <i x="40" nd="1"/>
        <i x="9"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1" xr10:uid="{EFB26B2C-9FDC-489E-9907-D37AA94C15B0}" cache="SegmentaciónDeDatos_Split2" caption="Split" columnCount="7" rowHeight="241300"/>
  <slicer name="Station 1" xr10:uid="{6EBA14D9-CA4C-4122-B31B-F210B87B150A}" cache="SegmentaciónDeDatos_Station1" caption="Station" columnCount="8"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2" xr10:uid="{4BBBD5C4-4A28-42F3-A6BD-0B7D1AF5A53E}" cache="SegmentaciónDeDatos_Split11" caption="Split" columnCount="8" rowHeight="241300"/>
  <slicer name="Station 2" xr10:uid="{97C90419-015E-40DF-82B7-7D56ABF6C576}" cache="SegmentaciónDeDatos_Station11" caption="Station" columnCount="8"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lit" xr10:uid="{3336BC6F-14FB-41B7-AC61-97475B7655EA}" cache="SegmentaciónDeDatos_Split" caption="H.A. Split" columnCount="2" rowHeight="241300"/>
  <slicer name="Station" xr10:uid="{FE4DD895-A5E2-43DA-8FCE-4E3274DD30FE}" cache="SegmentaciónDeDatos_Station" caption="H.A.Station" columnCount="2" rowHeight="241300"/>
  <slicer name="Operation Split" xr10:uid="{CE441AAD-6419-4030-882D-9520ECB3E1A5}" cache="SegmentaciónDeDatos_Split1" caption="Operation Split" columnCount="8" rowHeight="237744"/>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7BC913-29A6-4C7E-99F3-0CDE931E4FB2}" name="Tabla3" displayName="Tabla3" ref="A1:Q575" totalsRowShown="0" headerRowDxfId="2410">
  <autoFilter ref="A1:Q575" xr:uid="{A37BC913-29A6-4C7E-99F3-0CDE931E4FB2}">
    <filterColumn colId="3">
      <filters>
        <filter val="(LT) Luther Bloomington Hyundai"/>
      </filters>
    </filterColumn>
  </autoFilter>
  <sortState xmlns:xlrd2="http://schemas.microsoft.com/office/spreadsheetml/2017/richdata2" ref="A2:Q575">
    <sortCondition ref="B2:B575"/>
    <sortCondition ref="C2:C575"/>
    <sortCondition ref="D2:D575"/>
  </sortState>
  <tableColumns count="17">
    <tableColumn id="11" xr3:uid="{FF5F5664-984C-460E-B843-4DD05CABC98A}" name="Key">
      <calculatedColumnFormula>+Tabla3[[#This Row],[Site]]&amp;Tabla3[[#This Row],[Split]]</calculatedColumnFormula>
    </tableColumn>
    <tableColumn id="1" xr3:uid="{E1A2C834-F87A-482B-8736-8F10E5521E1C}" name="Split"/>
    <tableColumn id="2" xr3:uid="{717AD207-DA87-439E-90E3-ECE03D2FB9AA}" name="Station"/>
    <tableColumn id="5" xr3:uid="{1DB08AA5-F8A7-4299-AFB0-313AEB9D3107}" name="Site"/>
    <tableColumn id="3" xr3:uid="{D4A35BD4-EA5E-4D08-AB15-96DCC6A705A5}" name="Hour"/>
    <tableColumn id="4" xr3:uid="{7563744E-8890-4E03-926C-C305F3464DA2}" name="Time"/>
    <tableColumn id="6" xr3:uid="{827E4F95-9112-414A-B55D-AE16DF7181EF}" name="Drop time"/>
    <tableColumn id="8" xr3:uid="{DFFA9CE2-CD31-415C-B651-961A8BCC0F4B}" name="SUNDAY (D.T.)" dataDxfId="2409"/>
    <tableColumn id="7" xr3:uid="{2DA7BFC4-1389-4921-9A19-FD19287D8F35}" name="SIG Tools" dataDxfId="2408">
      <calculatedColumnFormula>HYPERLINK(VLOOKUP(Tabla3[[#This Row],[Site]],Table35[#All],9,FALSE))</calculatedColumnFormula>
    </tableColumn>
    <tableColumn id="9" xr3:uid="{C7A21E92-C6C6-42E1-BC8B-759CEDC81A7A}" name="Map">
      <calculatedColumnFormula>VLOOKUP(Tabla3[[#This Row],[Site]],Table35[],14,FALSE)</calculatedColumnFormula>
    </tableColumn>
    <tableColumn id="10" xr3:uid="{362BBA9F-EDB0-4350-BE62-63D1DC755B0C}" name="Notes*"/>
    <tableColumn id="12" xr3:uid="{18A4B9F2-03B0-4262-9181-5C03AB6BFCBF}" name="Gates" dataDxfId="2407">
      <calculatedColumnFormula>VLOOKUP(Tabla3[[#This Row],[Site]],Table35[#All],2,FALSE)</calculatedColumnFormula>
    </tableColumn>
    <tableColumn id="13" xr3:uid="{21CD94D7-181A-4E32-ACA6-10CE4CB857FB}" name="Entrances" dataDxfId="2406">
      <calculatedColumnFormula>VLOOKUP(Tabla3[[#This Row],[Site]],Table35[#All],3,FALSE)</calculatedColumnFormula>
    </tableColumn>
    <tableColumn id="14" xr3:uid="{291657B3-D991-41CE-AC02-1818E23C2841}" name="LPR" dataDxfId="2405">
      <calculatedColumnFormula>VLOOKUP(Tabla3[[#This Row],[Site]],Table35[#All],4,FALSE)</calculatedColumnFormula>
    </tableColumn>
    <tableColumn id="15" xr3:uid="{E3CA2A8B-712B-418C-BCF9-57571B784248}" name="PTZ" dataDxfId="2404">
      <calculatedColumnFormula>VLOOKUP(Tabla3[[#This Row],[Site]],Table35[#All],5,FALSE)</calculatedColumnFormula>
    </tableColumn>
    <tableColumn id="16" xr3:uid="{3A71D871-05D6-4D5C-A9F0-048148E8A54B}" name="Important Cameras" dataDxfId="2403">
      <calculatedColumnFormula>VLOOKUP(Tabla3[[#This Row],[Site]],Table35[#All],6,FALSE)</calculatedColumnFormula>
    </tableColumn>
    <tableColumn id="17" xr3:uid="{9E65839E-9852-41CE-AD0F-3B318E507CD1}" name="ID" dataDxfId="2402">
      <calculatedColumnFormula>VLOOKUP(Tabla3[[#This Row],[Site]],Table35[#All],8,FALSE)</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7DFB2F-D31A-4739-A1A8-EB0E90FE00E1}" name="Table35" displayName="Table35" ref="A1:N64" totalsRowShown="0" headerRowDxfId="2401" dataDxfId="2400">
  <autoFilter ref="A1:N64" xr:uid="{B77DFB2F-D31A-4739-A1A8-EB0E90FE00E1}"/>
  <sortState xmlns:xlrd2="http://schemas.microsoft.com/office/spreadsheetml/2017/richdata2" ref="A2:N63">
    <sortCondition ref="A1:A63"/>
  </sortState>
  <tableColumns count="14">
    <tableColumn id="1" xr3:uid="{B61D6390-1BEA-4A2A-9C7B-451B9810E4EB}" name="SITES" dataDxfId="2399"/>
    <tableColumn id="2" xr3:uid="{437F2023-43D7-4C1A-8BE3-6E1635BC99BA}" name="GATES" dataDxfId="2398"/>
    <tableColumn id="3" xr3:uid="{0883C56A-8960-45DE-8B75-C7ACD3FA406B}" name="ENTRANCES" dataDxfId="2397"/>
    <tableColumn id="4" xr3:uid="{D768AF69-6CA2-4022-99BB-3010F6B2F577}" name="LPR GATES" dataDxfId="2396"/>
    <tableColumn id="5" xr3:uid="{78DD4162-458C-442B-A78E-35AC7BC4DD33}" name="PTZ" dataDxfId="2395"/>
    <tableColumn id="6" xr3:uid="{18F32479-3E0C-4F0A-9CA9-329E76C81D1F}" name="IMPORTANT CAMERAS" dataDxfId="2394"/>
    <tableColumn id="7" xr3:uid="{FD3C0AE1-CCA5-4276-B5A9-3E43336C68C6}" name="BLIND SPOTS" dataDxfId="2393"/>
    <tableColumn id="8" xr3:uid="{DAE84F94-F99E-4CA2-B883-60B180AFB60B}" name="ID" dataDxfId="2392"/>
    <tableColumn id="9" xr3:uid="{9DD1D764-E705-42F1-B5CC-4F5AAD652562}" name="SIG TOOLS" dataDxfId="2391"/>
    <tableColumn id="10" xr3:uid="{30A235E9-2657-427D-8B78-195FBB1B11F4}" name="HOUR" dataDxfId="2390"/>
    <tableColumn id="11" xr3:uid="{6621DE4D-70F7-45F1-BD95-F30922EE7D9E}" name="TIME" dataDxfId="2389"/>
    <tableColumn id="12" xr3:uid="{8989756C-CFD3-4876-991C-AFA50E053C46}" name="DROP TIME" dataDxfId="2388"/>
    <tableColumn id="13" xr3:uid="{54FCABE9-9C55-4930-85A1-EDDE0E398BE5}" name="SUNDAY (D.T.)" dataDxfId="2387"/>
    <tableColumn id="14" xr3:uid="{CCB10918-1D7B-43F0-91DF-C71D729DFC67}" name="MAP" dataDxfId="2386"/>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A16AEC-0C5A-46C6-917A-5AB21C993C77}" name="Tabla33" displayName="Tabla33" ref="A2:H87" totalsRowShown="0">
  <autoFilter ref="A2:H87" xr:uid="{73F8F041-3DE8-48A1-8449-D7F73E219F0E}"/>
  <tableColumns count="8">
    <tableColumn id="1" xr3:uid="{79CC7470-1C6C-4A88-A3AA-0365F685080C}" name="Split"/>
    <tableColumn id="2" xr3:uid="{0E1D628A-3E7D-44CB-9F50-278DA4745A65}" name="Station"/>
    <tableColumn id="3" xr3:uid="{8DFD52A1-781F-4B68-99DC-A8FB4FE29B73}" name="Hour"/>
    <tableColumn id="4" xr3:uid="{A6443A63-CA85-4C14-A09D-5C1C18C851AB}" name="Time"/>
    <tableColumn id="5" xr3:uid="{3DDCEC79-CEEC-4520-9403-0C2B3ACC4ABE}" name="Site"/>
    <tableColumn id="6" xr3:uid="{931B9C10-AB5A-44EB-8502-0ED7B1CE5DE9}" name="Drop time"/>
    <tableColumn id="8" xr3:uid="{CF2A01AC-7273-4346-BD94-303E9AAB9CE5}" name="SUNDAY (D.T.)"/>
    <tableColumn id="10" xr3:uid="{656BAD71-8335-4786-ABBE-8F522CF62FC3}" name="Notes*"/>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475AE28-A728-4C3D-A051-3A7FD5B493F9}">
  <we:reference id="wa104006972" version="1.0.0.0" store="es-MX" storeType="OMEX"/>
  <we:alternateReferences>
    <we:reference id="WA104006972" version="1.0.0.0" store="WA104006972"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3" Type="http://schemas.openxmlformats.org/officeDocument/2006/relationships/hyperlink" Target="https://tools.sig.systems/site/details/300" TargetMode="External"/><Relationship Id="rId18" Type="http://schemas.openxmlformats.org/officeDocument/2006/relationships/hyperlink" Target="https://tools.sig.systems/site/details/308" TargetMode="External"/><Relationship Id="rId26" Type="http://schemas.openxmlformats.org/officeDocument/2006/relationships/hyperlink" Target="https://tools.sig.systems/site/details/316" TargetMode="External"/><Relationship Id="rId39" Type="http://schemas.openxmlformats.org/officeDocument/2006/relationships/hyperlink" Target="https://tools.sig.systems/site/details/295" TargetMode="External"/><Relationship Id="rId21" Type="http://schemas.openxmlformats.org/officeDocument/2006/relationships/hyperlink" Target="https://tools.sig.systems/site/details/339" TargetMode="External"/><Relationship Id="rId34" Type="http://schemas.openxmlformats.org/officeDocument/2006/relationships/hyperlink" Target="https://tools.sig.systems/site/details/307" TargetMode="External"/><Relationship Id="rId42" Type="http://schemas.openxmlformats.org/officeDocument/2006/relationships/hyperlink" Target="https://tools.sig.systems/site/details/189" TargetMode="External"/><Relationship Id="rId47" Type="http://schemas.openxmlformats.org/officeDocument/2006/relationships/hyperlink" Target="https://tools.sig.systems/site/details/313" TargetMode="External"/><Relationship Id="rId50" Type="http://schemas.openxmlformats.org/officeDocument/2006/relationships/hyperlink" Target="https://tools.sig.systems/site/details/336" TargetMode="External"/><Relationship Id="rId55" Type="http://schemas.openxmlformats.org/officeDocument/2006/relationships/table" Target="../tables/table2.xml"/><Relationship Id="rId7" Type="http://schemas.openxmlformats.org/officeDocument/2006/relationships/hyperlink" Target="https://tools.sig.systems/site/details/349" TargetMode="External"/><Relationship Id="rId12" Type="http://schemas.openxmlformats.org/officeDocument/2006/relationships/hyperlink" Target="https://tools.sig.systems/site/details/301" TargetMode="External"/><Relationship Id="rId17" Type="http://schemas.openxmlformats.org/officeDocument/2006/relationships/hyperlink" Target="https://tools.sig.systems/site/details/333" TargetMode="External"/><Relationship Id="rId25" Type="http://schemas.openxmlformats.org/officeDocument/2006/relationships/hyperlink" Target="https://tools.sig.systems/site/details/267" TargetMode="External"/><Relationship Id="rId33" Type="http://schemas.openxmlformats.org/officeDocument/2006/relationships/hyperlink" Target="https://tools.sig.systems/site/details/281" TargetMode="External"/><Relationship Id="rId38" Type="http://schemas.openxmlformats.org/officeDocument/2006/relationships/hyperlink" Target="https://tools.sig.systems/site/details/292" TargetMode="External"/><Relationship Id="rId46" Type="http://schemas.openxmlformats.org/officeDocument/2006/relationships/hyperlink" Target="https://tools.sig.systems/site/details/159" TargetMode="External"/><Relationship Id="rId2" Type="http://schemas.openxmlformats.org/officeDocument/2006/relationships/hyperlink" Target="https://tools.sig.systems/site/details/343" TargetMode="External"/><Relationship Id="rId16" Type="http://schemas.openxmlformats.org/officeDocument/2006/relationships/hyperlink" Target="https://tools.sig.systems/site/details/306" TargetMode="External"/><Relationship Id="rId20" Type="http://schemas.openxmlformats.org/officeDocument/2006/relationships/hyperlink" Target="https://tools.sig.systems/site/details/303" TargetMode="External"/><Relationship Id="rId29" Type="http://schemas.openxmlformats.org/officeDocument/2006/relationships/hyperlink" Target="https://tools.sig.systems/site/details/322" TargetMode="External"/><Relationship Id="rId41" Type="http://schemas.openxmlformats.org/officeDocument/2006/relationships/hyperlink" Target="https://tools.sig.systems/site/details/184" TargetMode="External"/><Relationship Id="rId54" Type="http://schemas.openxmlformats.org/officeDocument/2006/relationships/printerSettings" Target="../printerSettings/printerSettings3.bin"/><Relationship Id="rId1" Type="http://schemas.openxmlformats.org/officeDocument/2006/relationships/hyperlink" Target="https://tools.sig.systems/site/details/305" TargetMode="External"/><Relationship Id="rId6" Type="http://schemas.openxmlformats.org/officeDocument/2006/relationships/hyperlink" Target="https://tools.sig.systems/site/details/334" TargetMode="External"/><Relationship Id="rId11" Type="http://schemas.openxmlformats.org/officeDocument/2006/relationships/hyperlink" Target="https://tools.sig.systems/site/details/324" TargetMode="External"/><Relationship Id="rId24" Type="http://schemas.openxmlformats.org/officeDocument/2006/relationships/hyperlink" Target="https://tools.sig.systems/site/details/299" TargetMode="External"/><Relationship Id="rId32" Type="http://schemas.openxmlformats.org/officeDocument/2006/relationships/hyperlink" Target="https://tools.sig.systems/site/details/280" TargetMode="External"/><Relationship Id="rId37" Type="http://schemas.openxmlformats.org/officeDocument/2006/relationships/hyperlink" Target="https://tools.sig.systems/site/details/323" TargetMode="External"/><Relationship Id="rId40" Type="http://schemas.openxmlformats.org/officeDocument/2006/relationships/hyperlink" Target="https://tools.sig.systems/site/details/286" TargetMode="External"/><Relationship Id="rId45" Type="http://schemas.openxmlformats.org/officeDocument/2006/relationships/hyperlink" Target="https://tools.sig.systems/site/details/188" TargetMode="External"/><Relationship Id="rId53" Type="http://schemas.openxmlformats.org/officeDocument/2006/relationships/hyperlink" Target="https://tools.sig.systems/site/details/355" TargetMode="External"/><Relationship Id="rId5" Type="http://schemas.openxmlformats.org/officeDocument/2006/relationships/hyperlink" Target="https://tools.sig.systems/site/details/338" TargetMode="External"/><Relationship Id="rId15" Type="http://schemas.openxmlformats.org/officeDocument/2006/relationships/hyperlink" Target="https://tools.sig.systems/site/details/335" TargetMode="External"/><Relationship Id="rId23" Type="http://schemas.openxmlformats.org/officeDocument/2006/relationships/hyperlink" Target="https://tools.sig.systems/site/details/302" TargetMode="External"/><Relationship Id="rId28" Type="http://schemas.openxmlformats.org/officeDocument/2006/relationships/hyperlink" Target="https://tools.sig.systems/site/details/284" TargetMode="External"/><Relationship Id="rId36" Type="http://schemas.openxmlformats.org/officeDocument/2006/relationships/hyperlink" Target="https://tools.sig.systems/site/details/288" TargetMode="External"/><Relationship Id="rId49" Type="http://schemas.openxmlformats.org/officeDocument/2006/relationships/hyperlink" Target="https://tools.sig.systems/site/details/352" TargetMode="External"/><Relationship Id="rId10" Type="http://schemas.openxmlformats.org/officeDocument/2006/relationships/hyperlink" Target="https://tools.sig.systems/site/details/331" TargetMode="External"/><Relationship Id="rId19" Type="http://schemas.openxmlformats.org/officeDocument/2006/relationships/hyperlink" Target="https://tools.sig.systems/site/details/345" TargetMode="External"/><Relationship Id="rId31" Type="http://schemas.openxmlformats.org/officeDocument/2006/relationships/hyperlink" Target="https://tools.sig.systems/site/details/289" TargetMode="External"/><Relationship Id="rId44" Type="http://schemas.openxmlformats.org/officeDocument/2006/relationships/hyperlink" Target="https://tools.sig.systems/site/details/177" TargetMode="External"/><Relationship Id="rId52" Type="http://schemas.openxmlformats.org/officeDocument/2006/relationships/hyperlink" Target="https://tools.sig.systems/site/details/337" TargetMode="External"/><Relationship Id="rId4" Type="http://schemas.openxmlformats.org/officeDocument/2006/relationships/hyperlink" Target="https://tools.sig.systems/site/details/199" TargetMode="External"/><Relationship Id="rId9" Type="http://schemas.openxmlformats.org/officeDocument/2006/relationships/hyperlink" Target="https://tools.sig.systems/site/details/119" TargetMode="External"/><Relationship Id="rId14" Type="http://schemas.openxmlformats.org/officeDocument/2006/relationships/hyperlink" Target="https://tools.sig.systems/site/details/282" TargetMode="External"/><Relationship Id="rId22" Type="http://schemas.openxmlformats.org/officeDocument/2006/relationships/hyperlink" Target="https://tools.sig.systems/site/details/298" TargetMode="External"/><Relationship Id="rId27" Type="http://schemas.openxmlformats.org/officeDocument/2006/relationships/hyperlink" Target="https://tools.sig.systems/site/details/283" TargetMode="External"/><Relationship Id="rId30" Type="http://schemas.openxmlformats.org/officeDocument/2006/relationships/hyperlink" Target="https://tools.sig.systems/site/details/318" TargetMode="External"/><Relationship Id="rId35" Type="http://schemas.openxmlformats.org/officeDocument/2006/relationships/hyperlink" Target="https://tools.sig.systems/site/details/315" TargetMode="External"/><Relationship Id="rId43" Type="http://schemas.openxmlformats.org/officeDocument/2006/relationships/hyperlink" Target="https://tools.sig.systems/site/details/178" TargetMode="External"/><Relationship Id="rId48" Type="http://schemas.openxmlformats.org/officeDocument/2006/relationships/hyperlink" Target="https://tools.sig.systems/site/details/148" TargetMode="External"/><Relationship Id="rId8" Type="http://schemas.openxmlformats.org/officeDocument/2006/relationships/hyperlink" Target="https://tools.sig.systems/site/details/287" TargetMode="External"/><Relationship Id="rId51" Type="http://schemas.openxmlformats.org/officeDocument/2006/relationships/hyperlink" Target="https://tools.sig.systems/site/details/350" TargetMode="External"/><Relationship Id="rId3" Type="http://schemas.openxmlformats.org/officeDocument/2006/relationships/hyperlink" Target="https://tools.sig.systems/site/details/342" TargetMode="Externa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10" Type="http://schemas.microsoft.com/office/2007/relationships/slicer" Target="../slicers/slicer3.xml"/><Relationship Id="rId4" Type="http://schemas.openxmlformats.org/officeDocument/2006/relationships/pivotTable" Target="../pivotTables/pivotTable14.xml"/><Relationship Id="rId9"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774F7-0139-4286-943F-A43533F1B9D6}">
  <sheetPr codeName="Sheet1"/>
  <dimension ref="A1:AF80"/>
  <sheetViews>
    <sheetView showGridLines="0" tabSelected="1" topLeftCell="A7" zoomScale="85" zoomScaleNormal="85" zoomScaleSheetLayoutView="100" zoomScalePageLayoutView="55" workbookViewId="0">
      <selection activeCell="H31" sqref="H31"/>
    </sheetView>
  </sheetViews>
  <sheetFormatPr defaultColWidth="11.5703125" defaultRowHeight="15" customHeight="1" outlineLevelCol="1" x14ac:dyDescent="0.25"/>
  <cols>
    <col min="1" max="1" width="7.42578125" customWidth="1"/>
    <col min="2" max="2" width="14.42578125" style="3" customWidth="1"/>
    <col min="3" max="3" width="67.5703125" style="1" customWidth="1"/>
    <col min="4" max="4" width="7.28515625" style="34" hidden="1" customWidth="1"/>
    <col min="5" max="5" width="12.28515625" style="34" customWidth="1"/>
    <col min="6" max="6" width="26.28515625" style="3" hidden="1" customWidth="1"/>
    <col min="7" max="7" width="15.140625" style="3" hidden="1" customWidth="1"/>
    <col min="8" max="9" width="17.7109375" style="3" customWidth="1"/>
    <col min="10" max="10" width="12.85546875" hidden="1" customWidth="1"/>
    <col min="11" max="11" width="19.28515625" hidden="1" customWidth="1"/>
    <col min="12" max="12" width="34.85546875" hidden="1" customWidth="1"/>
    <col min="13" max="13" width="19.42578125" customWidth="1"/>
    <col min="14" max="14" width="16.140625" customWidth="1"/>
    <col min="15" max="15" width="20.28515625" customWidth="1"/>
    <col min="16" max="16" width="22" style="3" customWidth="1"/>
    <col min="17" max="17" width="22.28515625" style="50" customWidth="1"/>
    <col min="18" max="18" width="12.140625" style="3" bestFit="1" customWidth="1"/>
    <col min="19" max="19" width="21.7109375" style="3" customWidth="1"/>
    <col min="20" max="20" width="32.5703125" style="3" customWidth="1"/>
    <col min="21" max="22" width="14.5703125" style="3" hidden="1" customWidth="1"/>
    <col min="23" max="24" width="14.5703125" style="3" customWidth="1"/>
    <col min="25" max="25" width="6.7109375" style="3" customWidth="1"/>
    <col min="26" max="26" width="7.85546875" style="3" customWidth="1"/>
    <col min="27" max="27" width="16.7109375" style="3" bestFit="1" customWidth="1"/>
    <col min="28" max="28" width="8.140625" style="3" customWidth="1"/>
    <col min="29" max="29" width="2" style="3" customWidth="1"/>
    <col min="30" max="30" width="55.7109375" style="3" hidden="1" customWidth="1" outlineLevel="1"/>
    <col min="31" max="31" width="7.85546875" style="3" customWidth="1" collapsed="1"/>
    <col min="32" max="32" width="14.5703125" style="3" customWidth="1"/>
    <col min="33" max="33" width="8.85546875" customWidth="1"/>
    <col min="34" max="53" width="11.5703125" customWidth="1"/>
  </cols>
  <sheetData>
    <row r="1" spans="1:32" s="26" customFormat="1" ht="14.25" customHeight="1" x14ac:dyDescent="0.25">
      <c r="C1" s="74"/>
      <c r="D1" s="34"/>
      <c r="E1" s="34"/>
      <c r="F1" s="34"/>
      <c r="H1" s="35"/>
      <c r="I1" s="34"/>
      <c r="P1" s="34"/>
      <c r="Q1" s="49"/>
      <c r="R1" s="34"/>
      <c r="S1" s="34"/>
      <c r="T1" s="34"/>
      <c r="U1" s="34"/>
      <c r="V1" s="34"/>
      <c r="W1" s="34"/>
      <c r="X1" s="34"/>
      <c r="Y1" s="34"/>
      <c r="Z1" s="34"/>
      <c r="AA1" s="34"/>
      <c r="AB1" s="34"/>
      <c r="AC1" s="34"/>
      <c r="AD1" s="36" t="s">
        <v>61</v>
      </c>
      <c r="AF1" s="34"/>
    </row>
    <row r="2" spans="1:32" ht="19.5" x14ac:dyDescent="0.3">
      <c r="A2" s="97" t="s">
        <v>45</v>
      </c>
      <c r="B2" s="98"/>
      <c r="C2" s="98"/>
      <c r="H2" s="21"/>
      <c r="AD2" s="118" t="s">
        <v>27</v>
      </c>
      <c r="AE2"/>
    </row>
    <row r="3" spans="1:32" ht="18.75" x14ac:dyDescent="0.3">
      <c r="B3"/>
      <c r="I3" s="7" t="s">
        <v>93</v>
      </c>
      <c r="J3" s="33"/>
      <c r="K3" s="33"/>
      <c r="L3" s="4" t="s">
        <v>83</v>
      </c>
      <c r="M3" s="3" t="s">
        <v>452</v>
      </c>
      <c r="O3" s="91" t="s">
        <v>153</v>
      </c>
      <c r="P3" s="91"/>
      <c r="Q3" s="91"/>
      <c r="R3" s="91"/>
      <c r="U3"/>
      <c r="V3"/>
      <c r="W3"/>
      <c r="X3"/>
      <c r="Y3"/>
      <c r="Z3"/>
      <c r="AA3"/>
      <c r="AB3"/>
      <c r="AD3" s="117" t="s">
        <v>384</v>
      </c>
      <c r="AE3"/>
      <c r="AF3"/>
    </row>
    <row r="4" spans="1:32" x14ac:dyDescent="0.25">
      <c r="B4"/>
      <c r="O4" s="91"/>
      <c r="P4" s="91"/>
      <c r="Q4" s="91"/>
      <c r="R4" s="91"/>
      <c r="U4"/>
      <c r="V4"/>
      <c r="W4"/>
      <c r="X4"/>
      <c r="Y4"/>
      <c r="Z4"/>
      <c r="AA4"/>
      <c r="AB4"/>
      <c r="AD4" s="117" t="s">
        <v>381</v>
      </c>
      <c r="AE4"/>
      <c r="AF4"/>
    </row>
    <row r="5" spans="1:32" ht="18.75" x14ac:dyDescent="0.3">
      <c r="B5"/>
      <c r="I5" s="94" t="s">
        <v>57</v>
      </c>
      <c r="L5" s="4" t="s">
        <v>84</v>
      </c>
      <c r="M5" s="7" t="str">
        <f>+L5</f>
        <v xml:space="preserve">Station </v>
      </c>
      <c r="O5" s="91"/>
      <c r="P5" s="91"/>
      <c r="Q5" s="91"/>
      <c r="R5" s="91"/>
      <c r="U5"/>
      <c r="V5"/>
      <c r="W5"/>
      <c r="X5"/>
      <c r="Y5"/>
      <c r="Z5"/>
      <c r="AA5"/>
      <c r="AB5"/>
      <c r="AD5" s="117" t="s">
        <v>375</v>
      </c>
      <c r="AE5"/>
      <c r="AF5"/>
    </row>
    <row r="6" spans="1:32" ht="18.75" x14ac:dyDescent="0.3">
      <c r="B6"/>
      <c r="I6" s="99"/>
      <c r="L6" s="105">
        <v>1</v>
      </c>
      <c r="M6" s="18">
        <f>+L6</f>
        <v>1</v>
      </c>
      <c r="AD6" s="117" t="s">
        <v>357</v>
      </c>
      <c r="AE6"/>
    </row>
    <row r="7" spans="1:32" ht="42" x14ac:dyDescent="0.25">
      <c r="B7"/>
      <c r="G7"/>
      <c r="H7"/>
      <c r="O7" s="61"/>
      <c r="P7" s="61"/>
      <c r="Q7" s="61"/>
      <c r="AD7" s="117" t="s">
        <v>374</v>
      </c>
      <c r="AE7"/>
    </row>
    <row r="8" spans="1:32" ht="42" x14ac:dyDescent="0.25">
      <c r="B8"/>
      <c r="G8"/>
      <c r="H8"/>
      <c r="O8" s="61"/>
      <c r="P8" s="61"/>
      <c r="Q8" s="61"/>
      <c r="AD8" s="117" t="s">
        <v>426</v>
      </c>
      <c r="AE8"/>
    </row>
    <row r="9" spans="1:32" ht="42" x14ac:dyDescent="0.25">
      <c r="B9"/>
      <c r="G9"/>
      <c r="H9"/>
      <c r="O9" s="61"/>
      <c r="P9" s="61"/>
      <c r="Q9" s="61"/>
      <c r="AD9" s="117" t="s">
        <v>376</v>
      </c>
      <c r="AE9"/>
    </row>
    <row r="10" spans="1:32" ht="42" hidden="1" x14ac:dyDescent="0.3">
      <c r="G10"/>
      <c r="H10"/>
      <c r="O10" s="61"/>
      <c r="P10" s="61"/>
      <c r="Q10" s="61"/>
      <c r="AD10" s="108" t="s">
        <v>14</v>
      </c>
      <c r="AE10"/>
    </row>
    <row r="11" spans="1:32" ht="42" hidden="1" x14ac:dyDescent="0.25">
      <c r="G11"/>
      <c r="H11"/>
      <c r="O11" s="61"/>
      <c r="P11" s="61"/>
      <c r="Q11" s="61"/>
      <c r="AD11" s="117" t="s">
        <v>249</v>
      </c>
      <c r="AE11"/>
    </row>
    <row r="12" spans="1:32" ht="42" hidden="1" x14ac:dyDescent="0.25">
      <c r="G12"/>
      <c r="H12"/>
      <c r="O12" s="61"/>
      <c r="P12" s="61"/>
      <c r="Q12" s="61"/>
      <c r="AD12" s="117" t="s">
        <v>124</v>
      </c>
      <c r="AE12"/>
    </row>
    <row r="13" spans="1:32" ht="42" hidden="1" x14ac:dyDescent="0.25">
      <c r="G13"/>
      <c r="H13"/>
      <c r="O13" s="61"/>
      <c r="P13" s="61"/>
      <c r="Q13" s="61"/>
      <c r="AD13" s="117" t="s">
        <v>306</v>
      </c>
      <c r="AE13"/>
    </row>
    <row r="14" spans="1:32" ht="42" x14ac:dyDescent="0.25">
      <c r="H14"/>
      <c r="O14" s="61"/>
      <c r="P14" s="61"/>
      <c r="Q14" s="61"/>
      <c r="AD14" s="117" t="s">
        <v>127</v>
      </c>
      <c r="AE14"/>
    </row>
    <row r="15" spans="1:32" s="34" customFormat="1" ht="18.75" x14ac:dyDescent="0.25">
      <c r="A15" s="44" t="s">
        <v>25</v>
      </c>
      <c r="B15" s="44" t="s">
        <v>29</v>
      </c>
      <c r="C15" s="72" t="s">
        <v>85</v>
      </c>
      <c r="D15" s="20"/>
      <c r="E15" s="20"/>
      <c r="F15" s="20"/>
      <c r="G15" s="45" t="s">
        <v>86</v>
      </c>
      <c r="H15" s="94" t="s">
        <v>87</v>
      </c>
      <c r="I15" s="94"/>
      <c r="Q15" s="49"/>
      <c r="U15" s="45"/>
      <c r="V15" s="45"/>
      <c r="AC15" s="20"/>
      <c r="AD15" s="117" t="s">
        <v>385</v>
      </c>
    </row>
    <row r="16" spans="1:32" ht="18.75" x14ac:dyDescent="0.3">
      <c r="A16" s="17">
        <v>4</v>
      </c>
      <c r="B16" s="17">
        <v>4</v>
      </c>
      <c r="C16" s="106">
        <v>13</v>
      </c>
      <c r="D16" s="20"/>
      <c r="E16" s="20"/>
      <c r="F16" s="10"/>
      <c r="G16" s="18">
        <f>+COUNTIF('Dynamic Split'!G19:G75,"Log Out")</f>
        <v>13</v>
      </c>
      <c r="H16" s="95">
        <f>+GETPIVOTDATA("Site",$C$15)-G16</f>
        <v>0</v>
      </c>
      <c r="I16" s="96"/>
      <c r="K16" s="5" t="s">
        <v>109</v>
      </c>
      <c r="L16" s="5"/>
      <c r="M16" s="5"/>
      <c r="N16" s="5"/>
      <c r="U16" s="18"/>
      <c r="V16" s="18"/>
      <c r="X16" s="10"/>
      <c r="Y16" s="10"/>
      <c r="Z16" s="10"/>
      <c r="AA16" s="10"/>
      <c r="AB16" s="10"/>
      <c r="AD16"/>
      <c r="AE16"/>
      <c r="AF16" s="10"/>
    </row>
    <row r="17" spans="1:32" x14ac:dyDescent="0.25">
      <c r="B17"/>
      <c r="G17"/>
      <c r="H17"/>
      <c r="R17" s="21"/>
      <c r="U17"/>
      <c r="V17"/>
      <c r="W17"/>
      <c r="X17"/>
      <c r="Y17"/>
      <c r="Z17"/>
      <c r="AA17"/>
      <c r="AB17"/>
      <c r="AC17"/>
      <c r="AD17"/>
    </row>
    <row r="18" spans="1:32" s="34" customFormat="1" ht="18.75" x14ac:dyDescent="0.25">
      <c r="A18" s="44" t="s">
        <v>25</v>
      </c>
      <c r="B18" s="44" t="s">
        <v>90</v>
      </c>
      <c r="C18" s="72" t="s">
        <v>51</v>
      </c>
      <c r="D18" s="44" t="s">
        <v>30</v>
      </c>
      <c r="E18" s="44" t="s">
        <v>289</v>
      </c>
      <c r="F18" s="20" t="s">
        <v>55</v>
      </c>
      <c r="G18" s="51" t="s">
        <v>32</v>
      </c>
      <c r="H18" s="92" t="s">
        <v>1</v>
      </c>
      <c r="I18" s="93"/>
      <c r="J18" s="60" t="s">
        <v>25</v>
      </c>
      <c r="K18" s="60" t="s">
        <v>91</v>
      </c>
      <c r="L18" s="60" t="s">
        <v>51</v>
      </c>
      <c r="M18" s="44" t="s">
        <v>30</v>
      </c>
      <c r="N18" s="44" t="s">
        <v>118</v>
      </c>
      <c r="O18" s="44" t="s">
        <v>28</v>
      </c>
      <c r="P18" s="44" t="s">
        <v>114</v>
      </c>
      <c r="Q18" s="44" t="s">
        <v>115</v>
      </c>
      <c r="R18" s="44" t="s">
        <v>116</v>
      </c>
      <c r="S18" s="44" t="s">
        <v>102</v>
      </c>
      <c r="T18" s="44" t="s">
        <v>117</v>
      </c>
      <c r="U18" s="20" t="s">
        <v>59</v>
      </c>
      <c r="AC18" s="48"/>
      <c r="AD18"/>
    </row>
    <row r="19" spans="1:32" ht="18.75" x14ac:dyDescent="0.3">
      <c r="A19" s="57">
        <v>4</v>
      </c>
      <c r="B19" s="115" t="s">
        <v>62</v>
      </c>
      <c r="C19" s="73" t="s">
        <v>124</v>
      </c>
      <c r="D19" s="52" t="s">
        <v>283</v>
      </c>
      <c r="E19" s="20" t="s">
        <v>303</v>
      </c>
      <c r="F19" s="109">
        <v>4</v>
      </c>
      <c r="G19" s="20" t="str">
        <f>+IF(C19="","",IFERROR(IF(Maestra!A16="#N/D","Log Out",""),"Log Out"))</f>
        <v>Log Out</v>
      </c>
      <c r="H19" s="56" t="str">
        <f>IFERROR(HYPERLINK(VLOOKUP(C19,'Flat Base'!D:J,6,0),"SIG TOOLS"),"")</f>
        <v>SIG TOOLS</v>
      </c>
      <c r="I19" s="56" t="str">
        <f>IFERROR(HYPERLINK(VLOOKUP(C19,'Flat Base'!D:J,4,0),"SITE MAP"),"")</f>
        <v>SITE MAP</v>
      </c>
      <c r="J19" s="20">
        <v>4</v>
      </c>
      <c r="K19" s="20" t="s">
        <v>62</v>
      </c>
      <c r="L19" s="20" t="s">
        <v>124</v>
      </c>
      <c r="M19" s="20" t="s">
        <v>283</v>
      </c>
      <c r="N19" s="20" t="s">
        <v>4</v>
      </c>
      <c r="O19" s="20" t="s">
        <v>96</v>
      </c>
      <c r="P19" s="20">
        <v>29</v>
      </c>
      <c r="Q19" s="20" t="s">
        <v>178</v>
      </c>
      <c r="R19" s="20" t="s">
        <v>179</v>
      </c>
      <c r="S19" s="20" t="s">
        <v>96</v>
      </c>
      <c r="T19" s="20" t="s">
        <v>180</v>
      </c>
      <c r="U19" s="107">
        <v>4</v>
      </c>
      <c r="AC19" s="24"/>
      <c r="AD19"/>
      <c r="AE19"/>
      <c r="AF19"/>
    </row>
    <row r="20" spans="1:32" ht="18.75" x14ac:dyDescent="0.3">
      <c r="A20" s="58"/>
      <c r="B20" s="110"/>
      <c r="C20" s="73" t="s">
        <v>306</v>
      </c>
      <c r="D20" s="52" t="s">
        <v>72</v>
      </c>
      <c r="E20" s="20" t="s">
        <v>307</v>
      </c>
      <c r="F20" s="111">
        <v>4</v>
      </c>
      <c r="G20" s="20" t="str">
        <f>+IF(C20="","",IFERROR(IF(Maestra!A17="#N/D","Log Out",""),"Log Out"))</f>
        <v>Log Out</v>
      </c>
      <c r="H20" s="56" t="str">
        <f>IFERROR(HYPERLINK(VLOOKUP(C20,'Flat Base'!D:J,6,0),"SIG TOOLS"),"")</f>
        <v>SIG TOOLS</v>
      </c>
      <c r="I20" s="56" t="str">
        <f>IFERROR(HYPERLINK(VLOOKUP(C20,'Flat Base'!D:J,4,0),"SITE MAP"),"")</f>
        <v>SITE MAP</v>
      </c>
      <c r="J20" s="20"/>
      <c r="K20" s="20"/>
      <c r="L20" s="20" t="s">
        <v>306</v>
      </c>
      <c r="M20" s="20" t="s">
        <v>72</v>
      </c>
      <c r="N20" s="20" t="s">
        <v>4</v>
      </c>
      <c r="O20" s="20" t="s">
        <v>96</v>
      </c>
      <c r="P20" s="20" t="s">
        <v>96</v>
      </c>
      <c r="Q20" s="20" t="s">
        <v>189</v>
      </c>
      <c r="R20" s="20" t="s">
        <v>190</v>
      </c>
      <c r="S20" s="20" t="s">
        <v>191</v>
      </c>
      <c r="T20" s="20" t="s">
        <v>192</v>
      </c>
      <c r="U20" s="107">
        <v>4</v>
      </c>
      <c r="AC20" s="24"/>
      <c r="AD20"/>
      <c r="AE20"/>
      <c r="AF20"/>
    </row>
    <row r="21" spans="1:32" ht="18.75" x14ac:dyDescent="0.3">
      <c r="A21" s="58"/>
      <c r="B21" s="82" t="s">
        <v>63</v>
      </c>
      <c r="C21" s="73" t="s">
        <v>357</v>
      </c>
      <c r="D21" s="52" t="s">
        <v>258</v>
      </c>
      <c r="E21" s="20" t="s">
        <v>346</v>
      </c>
      <c r="F21" s="112">
        <v>4</v>
      </c>
      <c r="G21" s="20" t="str">
        <f>+IF(C21="","",IFERROR(IF(Maestra!A18="#N/D","Log Out",""),"Log Out"))</f>
        <v>Log Out</v>
      </c>
      <c r="H21" s="56" t="str">
        <f>IFERROR(HYPERLINK(VLOOKUP(C21,'Flat Base'!D:J,6,0),"SIG TOOLS"),"")</f>
        <v>SIG TOOLS</v>
      </c>
      <c r="I21" s="56" t="str">
        <f>IFERROR(HYPERLINK(VLOOKUP(C21,'Flat Base'!D:J,4,0),"SITE MAP"),"")</f>
        <v>SITE MAP</v>
      </c>
      <c r="J21" s="20"/>
      <c r="K21" s="20" t="s">
        <v>63</v>
      </c>
      <c r="L21" s="20" t="s">
        <v>357</v>
      </c>
      <c r="M21" s="20" t="s">
        <v>258</v>
      </c>
      <c r="N21" s="20" t="s">
        <v>2</v>
      </c>
      <c r="O21" s="20" t="s">
        <v>96</v>
      </c>
      <c r="P21" s="20" t="s">
        <v>343</v>
      </c>
      <c r="Q21" s="20">
        <v>1</v>
      </c>
      <c r="R21" s="20" t="s">
        <v>96</v>
      </c>
      <c r="S21" s="20" t="s">
        <v>344</v>
      </c>
      <c r="T21" s="20" t="s">
        <v>345</v>
      </c>
      <c r="U21" s="107">
        <v>4</v>
      </c>
      <c r="AC21" s="24"/>
      <c r="AD21"/>
      <c r="AE21"/>
      <c r="AF21"/>
    </row>
    <row r="22" spans="1:32" ht="18.75" x14ac:dyDescent="0.3">
      <c r="A22" s="58"/>
      <c r="B22" s="80"/>
      <c r="C22" s="73" t="s">
        <v>374</v>
      </c>
      <c r="D22" s="52" t="s">
        <v>258</v>
      </c>
      <c r="E22" s="20" t="s">
        <v>351</v>
      </c>
      <c r="F22" s="112">
        <v>4</v>
      </c>
      <c r="G22" s="20" t="str">
        <f>+IF(C22="","",IFERROR(IF(Maestra!A19="#N/D","Log Out",""),"Log Out"))</f>
        <v>Log Out</v>
      </c>
      <c r="H22" s="56" t="str">
        <f>IFERROR(HYPERLINK(VLOOKUP(C22,'Flat Base'!D:J,6,0),"SIG TOOLS"),"")</f>
        <v>SIG TOOLS</v>
      </c>
      <c r="I22" s="56" t="str">
        <f>IFERROR(HYPERLINK(VLOOKUP(C22,'Flat Base'!D:J,4,0),"SITE MAP"),"")</f>
        <v>SITE MAP</v>
      </c>
      <c r="J22" s="20"/>
      <c r="K22" s="20"/>
      <c r="L22" s="20" t="s">
        <v>374</v>
      </c>
      <c r="M22" s="20" t="s">
        <v>258</v>
      </c>
      <c r="N22" s="20" t="s">
        <v>2</v>
      </c>
      <c r="O22" s="20" t="s">
        <v>96</v>
      </c>
      <c r="P22" s="20" t="s">
        <v>96</v>
      </c>
      <c r="Q22" s="20">
        <v>6</v>
      </c>
      <c r="R22" s="20" t="s">
        <v>348</v>
      </c>
      <c r="S22" s="20" t="s">
        <v>349</v>
      </c>
      <c r="T22" s="20" t="s">
        <v>350</v>
      </c>
      <c r="U22" s="107">
        <v>4</v>
      </c>
      <c r="AC22" s="24"/>
      <c r="AD22"/>
      <c r="AE22"/>
      <c r="AF22"/>
    </row>
    <row r="23" spans="1:32" ht="18.75" x14ac:dyDescent="0.3">
      <c r="A23" s="58"/>
      <c r="B23" s="80"/>
      <c r="C23" s="73" t="s">
        <v>375</v>
      </c>
      <c r="D23" s="52" t="s">
        <v>258</v>
      </c>
      <c r="E23" s="20" t="s">
        <v>362</v>
      </c>
      <c r="F23" s="112">
        <v>4</v>
      </c>
      <c r="G23" s="20" t="str">
        <f>+IF(C23="","",IFERROR(IF(Maestra!A20="#N/D","Log Out",""),"Log Out"))</f>
        <v>Log Out</v>
      </c>
      <c r="H23" s="56" t="str">
        <f>IFERROR(HYPERLINK(VLOOKUP(C23,'Flat Base'!D:J,6,0),"SIG TOOLS"),"")</f>
        <v>SIG TOOLS</v>
      </c>
      <c r="I23" s="56" t="str">
        <f>IFERROR(HYPERLINK(VLOOKUP(C23,'Flat Base'!D:J,4,0),"SITE MAP"),"")</f>
        <v>SITE MAP</v>
      </c>
      <c r="J23" s="20"/>
      <c r="K23" s="20"/>
      <c r="L23" s="20" t="s">
        <v>375</v>
      </c>
      <c r="M23" s="20" t="s">
        <v>258</v>
      </c>
      <c r="N23" s="20" t="s">
        <v>2</v>
      </c>
      <c r="O23" s="20" t="s">
        <v>68</v>
      </c>
      <c r="P23" s="20" t="s">
        <v>96</v>
      </c>
      <c r="Q23" s="20" t="s">
        <v>360</v>
      </c>
      <c r="R23" s="20" t="s">
        <v>96</v>
      </c>
      <c r="S23" s="20" t="s">
        <v>96</v>
      </c>
      <c r="T23" s="20" t="s">
        <v>361</v>
      </c>
      <c r="U23" s="107">
        <v>4</v>
      </c>
      <c r="AC23" s="24"/>
      <c r="AD23"/>
      <c r="AE23"/>
      <c r="AF23"/>
    </row>
    <row r="24" spans="1:32" ht="18.75" x14ac:dyDescent="0.3">
      <c r="A24" s="58"/>
      <c r="B24" s="80"/>
      <c r="C24" s="73" t="s">
        <v>376</v>
      </c>
      <c r="D24" s="52" t="s">
        <v>258</v>
      </c>
      <c r="E24" s="20" t="s">
        <v>365</v>
      </c>
      <c r="F24" s="112">
        <v>4</v>
      </c>
      <c r="G24" s="20" t="str">
        <f>+IF(C24="","",IFERROR(IF(Maestra!A21="#N/D","Log Out",""),"Log Out"))</f>
        <v>Log Out</v>
      </c>
      <c r="H24" s="56" t="str">
        <f>IFERROR(HYPERLINK(VLOOKUP(C24,'Flat Base'!D:J,6,0),"SIG TOOLS"),"")</f>
        <v>SIG TOOLS</v>
      </c>
      <c r="I24" s="56" t="str">
        <f>IFERROR(HYPERLINK(VLOOKUP(C24,'Flat Base'!D:J,4,0),"SITE MAP"),"")</f>
        <v>SITE MAP</v>
      </c>
      <c r="J24" s="20"/>
      <c r="K24" s="20"/>
      <c r="L24" s="20" t="s">
        <v>376</v>
      </c>
      <c r="M24" s="20" t="s">
        <v>258</v>
      </c>
      <c r="N24" s="20" t="s">
        <v>2</v>
      </c>
      <c r="O24" s="20" t="s">
        <v>96</v>
      </c>
      <c r="P24" s="20" t="s">
        <v>96</v>
      </c>
      <c r="Q24" s="20" t="s">
        <v>363</v>
      </c>
      <c r="R24" s="20" t="s">
        <v>96</v>
      </c>
      <c r="S24" s="20" t="s">
        <v>96</v>
      </c>
      <c r="T24" s="20" t="s">
        <v>364</v>
      </c>
      <c r="U24" s="107">
        <v>4</v>
      </c>
      <c r="V24"/>
      <c r="X24"/>
      <c r="Y24"/>
      <c r="Z24"/>
      <c r="AA24"/>
      <c r="AB24"/>
      <c r="AC24" s="24"/>
      <c r="AD24"/>
      <c r="AE24"/>
      <c r="AF24"/>
    </row>
    <row r="25" spans="1:32" ht="18.75" x14ac:dyDescent="0.3">
      <c r="A25" s="58"/>
      <c r="B25" s="80"/>
      <c r="C25" s="73" t="s">
        <v>384</v>
      </c>
      <c r="D25" s="52" t="s">
        <v>258</v>
      </c>
      <c r="E25" s="20" t="s">
        <v>328</v>
      </c>
      <c r="F25" s="112">
        <v>4</v>
      </c>
      <c r="G25" s="20" t="str">
        <f>+IF(C25="","",IFERROR(IF(Maestra!A22="#N/D","Log Out",""),"Log Out"))</f>
        <v>Log Out</v>
      </c>
      <c r="H25" s="56" t="str">
        <f>IFERROR(HYPERLINK(VLOOKUP(C25,'Flat Base'!D:J,6,0),"SIG TOOLS"),"")</f>
        <v>SIG TOOLS</v>
      </c>
      <c r="I25" s="56" t="str">
        <f>IFERROR(HYPERLINK(VLOOKUP(C25,'Flat Base'!D:J,4,0),"SITE MAP"),"")</f>
        <v>SITE MAP</v>
      </c>
      <c r="J25" s="20"/>
      <c r="K25" s="20"/>
      <c r="L25" s="20" t="s">
        <v>384</v>
      </c>
      <c r="M25" s="20" t="s">
        <v>258</v>
      </c>
      <c r="N25" s="20" t="s">
        <v>2</v>
      </c>
      <c r="O25" s="20" t="s">
        <v>69</v>
      </c>
      <c r="P25" s="20" t="s">
        <v>270</v>
      </c>
      <c r="Q25" s="20" t="s">
        <v>96</v>
      </c>
      <c r="R25" s="20" t="s">
        <v>96</v>
      </c>
      <c r="S25" s="20" t="s">
        <v>271</v>
      </c>
      <c r="T25" s="20" t="s">
        <v>272</v>
      </c>
      <c r="U25" s="107">
        <v>4</v>
      </c>
      <c r="V25"/>
      <c r="W25" s="10"/>
      <c r="X25"/>
      <c r="Y25"/>
      <c r="Z25"/>
      <c r="AA25"/>
      <c r="AB25"/>
      <c r="AC25" s="24"/>
      <c r="AD25"/>
      <c r="AE25"/>
      <c r="AF25"/>
    </row>
    <row r="26" spans="1:32" ht="18.75" x14ac:dyDescent="0.3">
      <c r="A26" s="58"/>
      <c r="B26" s="80"/>
      <c r="C26" s="73" t="s">
        <v>381</v>
      </c>
      <c r="D26" s="52" t="s">
        <v>258</v>
      </c>
      <c r="E26" s="20" t="s">
        <v>294</v>
      </c>
      <c r="F26" s="112">
        <v>4</v>
      </c>
      <c r="G26" s="20" t="str">
        <f>+IF(C26="","",IFERROR(IF(Maestra!A23="#N/D","Log Out",""),"Log Out"))</f>
        <v>Log Out</v>
      </c>
      <c r="H26" s="56" t="str">
        <f>IFERROR(HYPERLINK(VLOOKUP(C26,'Flat Base'!D:J,6,0),"SIG TOOLS"),"")</f>
        <v>SIG TOOLS</v>
      </c>
      <c r="I26" s="56" t="str">
        <f>IFERROR(HYPERLINK(VLOOKUP(C26,'Flat Base'!D:J,4,0),"SITE MAP"),"")</f>
        <v>SITE MAP</v>
      </c>
      <c r="J26" s="20"/>
      <c r="K26" s="20"/>
      <c r="L26" s="20" t="s">
        <v>381</v>
      </c>
      <c r="M26" s="20" t="s">
        <v>258</v>
      </c>
      <c r="N26" s="20" t="s">
        <v>2</v>
      </c>
      <c r="O26" s="20" t="s">
        <v>96</v>
      </c>
      <c r="P26" s="20" t="s">
        <v>96</v>
      </c>
      <c r="Q26" s="20" t="s">
        <v>165</v>
      </c>
      <c r="R26" s="20" t="s">
        <v>166</v>
      </c>
      <c r="S26" s="20">
        <v>20</v>
      </c>
      <c r="T26" s="20" t="s">
        <v>167</v>
      </c>
      <c r="U26" s="107">
        <v>4</v>
      </c>
      <c r="V26"/>
      <c r="W26" s="10"/>
      <c r="X26"/>
      <c r="Y26"/>
      <c r="Z26"/>
      <c r="AA26"/>
      <c r="AB26"/>
      <c r="AC26" s="24"/>
      <c r="AD26"/>
      <c r="AE26"/>
      <c r="AF26"/>
    </row>
    <row r="27" spans="1:32" ht="18.75" x14ac:dyDescent="0.3">
      <c r="A27" s="58"/>
      <c r="B27" s="80"/>
      <c r="C27" s="73" t="s">
        <v>385</v>
      </c>
      <c r="D27" s="52" t="s">
        <v>258</v>
      </c>
      <c r="E27" s="20" t="s">
        <v>321</v>
      </c>
      <c r="F27" s="112">
        <v>4</v>
      </c>
      <c r="G27" s="20" t="str">
        <f>+IF(C27="","",IFERROR(IF(Maestra!A24="#N/D","Log Out",""),"Log Out"))</f>
        <v>Log Out</v>
      </c>
      <c r="H27" s="56" t="str">
        <f>IFERROR(HYPERLINK(VLOOKUP(C27,'Flat Base'!D:J,6,0),"SIG TOOLS"),"")</f>
        <v>SIG TOOLS</v>
      </c>
      <c r="I27" s="56" t="str">
        <f>IFERROR(HYPERLINK(VLOOKUP(C27,'Flat Base'!D:J,4,0),"SITE MAP"),"")</f>
        <v>SITE MAP</v>
      </c>
      <c r="J27" s="20"/>
      <c r="K27" s="20"/>
      <c r="L27" s="20" t="s">
        <v>385</v>
      </c>
      <c r="M27" s="20" t="s">
        <v>258</v>
      </c>
      <c r="N27" s="20" t="s">
        <v>2</v>
      </c>
      <c r="O27" s="20" t="s">
        <v>69</v>
      </c>
      <c r="P27" s="20" t="s">
        <v>318</v>
      </c>
      <c r="Q27" s="20" t="s">
        <v>319</v>
      </c>
      <c r="R27" s="20" t="s">
        <v>96</v>
      </c>
      <c r="S27" s="20" t="s">
        <v>96</v>
      </c>
      <c r="T27" s="20" t="s">
        <v>320</v>
      </c>
      <c r="U27" s="107">
        <v>4</v>
      </c>
      <c r="V27"/>
      <c r="W27" s="10"/>
      <c r="X27"/>
      <c r="Y27"/>
      <c r="Z27"/>
      <c r="AA27"/>
      <c r="AB27"/>
      <c r="AC27" s="24"/>
      <c r="AD27"/>
      <c r="AE27" s="8"/>
      <c r="AF27" s="8"/>
    </row>
    <row r="28" spans="1:32" ht="18.75" x14ac:dyDescent="0.3">
      <c r="A28" s="58"/>
      <c r="B28" s="81"/>
      <c r="C28" s="52" t="s">
        <v>426</v>
      </c>
      <c r="D28" s="52" t="s">
        <v>258</v>
      </c>
      <c r="E28" s="20" t="s">
        <v>429</v>
      </c>
      <c r="F28" s="112">
        <v>4</v>
      </c>
      <c r="G28" s="20" t="str">
        <f>+IF(C28="","",IFERROR(IF(Maestra!A25="#N/D","Log Out",""),"Log Out"))</f>
        <v>Log Out</v>
      </c>
      <c r="H28" s="56" t="str">
        <f>IFERROR(HYPERLINK(VLOOKUP(C28,'Flat Base'!D:J,6,0),"SIG TOOLS"),"")</f>
        <v>SIG TOOLS</v>
      </c>
      <c r="I28" s="56" t="str">
        <f>IFERROR(HYPERLINK(VLOOKUP(C28,'Flat Base'!D:J,4,0),"SITE MAP"),"")</f>
        <v>SITE MAP</v>
      </c>
      <c r="J28" s="20"/>
      <c r="K28" s="20"/>
      <c r="L28" s="20" t="s">
        <v>426</v>
      </c>
      <c r="M28" s="20" t="s">
        <v>258</v>
      </c>
      <c r="N28" s="20" t="s">
        <v>2</v>
      </c>
      <c r="O28" s="20" t="s">
        <v>96</v>
      </c>
      <c r="P28" s="20" t="s">
        <v>96</v>
      </c>
      <c r="Q28" s="20" t="s">
        <v>427</v>
      </c>
      <c r="R28" s="20" t="s">
        <v>96</v>
      </c>
      <c r="S28" s="20" t="s">
        <v>96</v>
      </c>
      <c r="T28" s="20" t="s">
        <v>428</v>
      </c>
      <c r="U28" s="107">
        <v>4</v>
      </c>
      <c r="V28"/>
      <c r="W28" s="10"/>
      <c r="X28"/>
      <c r="Y28"/>
      <c r="Z28"/>
      <c r="AA28"/>
      <c r="AB28"/>
      <c r="AC28" s="24"/>
      <c r="AD28"/>
      <c r="AE28" s="8"/>
      <c r="AF28" s="8"/>
    </row>
    <row r="29" spans="1:32" ht="18.75" x14ac:dyDescent="0.3">
      <c r="A29" s="58"/>
      <c r="B29" s="80" t="s">
        <v>65</v>
      </c>
      <c r="C29" s="116" t="s">
        <v>127</v>
      </c>
      <c r="D29" s="63" t="s">
        <v>72</v>
      </c>
      <c r="E29" s="10" t="s">
        <v>310</v>
      </c>
      <c r="F29" s="113">
        <v>4</v>
      </c>
      <c r="G29" s="20" t="str">
        <f>+IF(C29="","",IFERROR(IF(Maestra!A26="#N/D","Log Out",""),"Log Out"))</f>
        <v>Log Out</v>
      </c>
      <c r="H29" s="56" t="str">
        <f>IFERROR(HYPERLINK(VLOOKUP(C29,'Flat Base'!D:J,6,0),"SIG TOOLS"),"")</f>
        <v>SIG TOOLS</v>
      </c>
      <c r="I29" s="56" t="str">
        <f>IFERROR(HYPERLINK(VLOOKUP(C29,'Flat Base'!D:J,4,0),"SITE MAP"),"")</f>
        <v>SITE MAP</v>
      </c>
      <c r="J29" s="20"/>
      <c r="K29" s="20" t="s">
        <v>65</v>
      </c>
      <c r="L29" s="20" t="s">
        <v>127</v>
      </c>
      <c r="M29" s="20" t="s">
        <v>72</v>
      </c>
      <c r="N29" s="20" t="s">
        <v>4</v>
      </c>
      <c r="O29" s="20" t="s">
        <v>96</v>
      </c>
      <c r="P29" s="20" t="s">
        <v>96</v>
      </c>
      <c r="Q29" s="20" t="s">
        <v>193</v>
      </c>
      <c r="R29" s="20" t="s">
        <v>194</v>
      </c>
      <c r="S29" s="20" t="s">
        <v>96</v>
      </c>
      <c r="T29" s="20" t="s">
        <v>195</v>
      </c>
      <c r="U29" s="107">
        <v>4</v>
      </c>
      <c r="V29"/>
      <c r="W29" s="10"/>
      <c r="X29"/>
      <c r="Y29"/>
      <c r="Z29"/>
      <c r="AA29"/>
      <c r="AB29"/>
      <c r="AC29" s="24"/>
      <c r="AD29"/>
      <c r="AE29" s="8"/>
      <c r="AF29" s="8"/>
    </row>
    <row r="30" spans="1:32" ht="18.75" x14ac:dyDescent="0.3">
      <c r="A30" s="58"/>
      <c r="B30" s="81"/>
      <c r="C30" s="52" t="s">
        <v>249</v>
      </c>
      <c r="D30" s="52" t="s">
        <v>72</v>
      </c>
      <c r="E30" s="20" t="s">
        <v>308</v>
      </c>
      <c r="F30" s="112">
        <v>4</v>
      </c>
      <c r="G30" s="20" t="str">
        <f>+IF(C30="","",IFERROR(IF(Maestra!A27="#N/D","Log Out",""),"Log Out"))</f>
        <v>Log Out</v>
      </c>
      <c r="H30" s="56" t="str">
        <f>IFERROR(HYPERLINK(VLOOKUP(C30,'Flat Base'!D:J,6,0),"SIG TOOLS"),"")</f>
        <v>SIG TOOLS</v>
      </c>
      <c r="I30" s="56" t="str">
        <f>IFERROR(HYPERLINK(VLOOKUP(C30,'Flat Base'!D:J,4,0),"SITE MAP"),"")</f>
        <v>SITE MAP</v>
      </c>
      <c r="J30" s="20"/>
      <c r="K30" s="20"/>
      <c r="L30" s="20" t="s">
        <v>249</v>
      </c>
      <c r="M30" s="20" t="s">
        <v>72</v>
      </c>
      <c r="N30" s="20" t="s">
        <v>4</v>
      </c>
      <c r="O30" s="20" t="s">
        <v>96</v>
      </c>
      <c r="P30" s="20" t="s">
        <v>251</v>
      </c>
      <c r="Q30" s="20" t="s">
        <v>96</v>
      </c>
      <c r="R30" s="20" t="s">
        <v>252</v>
      </c>
      <c r="S30" s="20" t="s">
        <v>253</v>
      </c>
      <c r="T30" s="20" t="s">
        <v>254</v>
      </c>
      <c r="U30" s="107">
        <v>4</v>
      </c>
      <c r="V30"/>
      <c r="W30" s="10"/>
      <c r="X30"/>
      <c r="Y30"/>
      <c r="Z30"/>
      <c r="AA30"/>
      <c r="AB30"/>
      <c r="AC30" s="24"/>
      <c r="AD30"/>
      <c r="AE30" s="8"/>
      <c r="AF30" s="8"/>
    </row>
    <row r="31" spans="1:32" ht="18.75" x14ac:dyDescent="0.3">
      <c r="A31" s="59"/>
      <c r="B31" s="81" t="s">
        <v>67</v>
      </c>
      <c r="C31" s="73" t="s">
        <v>14</v>
      </c>
      <c r="D31" s="52" t="s">
        <v>73</v>
      </c>
      <c r="E31" s="20" t="s">
        <v>330</v>
      </c>
      <c r="F31" s="114">
        <v>4</v>
      </c>
      <c r="G31" s="20" t="str">
        <f>+IF(C31="","",IFERROR(IF(Maestra!A28="#N/D","Log Out",""),"Log Out"))</f>
        <v>Log Out</v>
      </c>
      <c r="H31" s="56" t="str">
        <f>IFERROR(HYPERLINK(VLOOKUP(C31,'Flat Base'!D:J,6,0),"SIG TOOLS"),"")</f>
        <v>SIG TOOLS</v>
      </c>
      <c r="I31" s="56" t="str">
        <f>IFERROR(HYPERLINK(VLOOKUP(C31,'Flat Base'!D:J,4,0),"SITE MAP"),"")</f>
        <v>SITE MAP</v>
      </c>
      <c r="J31" s="20"/>
      <c r="K31" s="20" t="s">
        <v>67</v>
      </c>
      <c r="L31" s="20" t="s">
        <v>14</v>
      </c>
      <c r="M31" s="20" t="s">
        <v>73</v>
      </c>
      <c r="N31" s="20" t="s">
        <v>6</v>
      </c>
      <c r="O31" s="20" t="s">
        <v>96</v>
      </c>
      <c r="P31" s="20">
        <v>10</v>
      </c>
      <c r="Q31" s="20" t="s">
        <v>280</v>
      </c>
      <c r="R31" s="20" t="s">
        <v>96</v>
      </c>
      <c r="S31" s="20" t="s">
        <v>96</v>
      </c>
      <c r="T31" s="20" t="s">
        <v>281</v>
      </c>
      <c r="U31" s="107">
        <v>4</v>
      </c>
      <c r="V31"/>
      <c r="W31" s="10"/>
      <c r="X31"/>
      <c r="Y31"/>
      <c r="Z31"/>
      <c r="AA31"/>
      <c r="AB31"/>
      <c r="AC31" s="24"/>
      <c r="AD31"/>
      <c r="AE31" s="8"/>
      <c r="AF31" s="8"/>
    </row>
    <row r="32" spans="1:32" ht="18.75" x14ac:dyDescent="0.3">
      <c r="B32"/>
      <c r="C32"/>
      <c r="D32"/>
      <c r="E32"/>
      <c r="F32"/>
      <c r="G32" s="20" t="str">
        <f>+IF(C32="","",IFERROR(IF(Maestra!A29="#N/D","Log Out",""),"Log Out"))</f>
        <v/>
      </c>
      <c r="H32" s="56" t="str">
        <f>IFERROR(HYPERLINK(VLOOKUP(C32,'Flat Base'!D:J,6,0),"SIG TOOLS"),"")</f>
        <v/>
      </c>
      <c r="I32" s="56" t="str">
        <f>IFERROR(HYPERLINK(VLOOKUP(C32,'Flat Base'!D:J,4,0),"SITE MAP"),"")</f>
        <v/>
      </c>
      <c r="P32"/>
      <c r="Q32"/>
      <c r="R32"/>
      <c r="S32"/>
      <c r="T32"/>
      <c r="U32"/>
      <c r="V32"/>
      <c r="W32" s="10"/>
      <c r="X32"/>
      <c r="Y32"/>
      <c r="Z32"/>
      <c r="AA32"/>
      <c r="AB32"/>
      <c r="AC32" s="24"/>
      <c r="AD32"/>
      <c r="AE32" s="8"/>
      <c r="AF32" s="8"/>
    </row>
    <row r="33" spans="2:32" ht="18.75" x14ac:dyDescent="0.3">
      <c r="B33"/>
      <c r="C33"/>
      <c r="D33"/>
      <c r="E33"/>
      <c r="F33"/>
      <c r="G33" s="20" t="str">
        <f>+IF(C33="","",IFERROR(IF(Maestra!A30="#N/D","Log Out",""),"Log Out"))</f>
        <v/>
      </c>
      <c r="H33" s="56" t="str">
        <f>IFERROR(HYPERLINK(VLOOKUP(C33,'Flat Base'!D:J,6,0),"SIG TOOLS"),"")</f>
        <v/>
      </c>
      <c r="I33" s="56" t="str">
        <f>IFERROR(HYPERLINK(VLOOKUP(C33,'Flat Base'!D:J,4,0),"SITE MAP"),"")</f>
        <v/>
      </c>
      <c r="P33"/>
      <c r="Q33"/>
      <c r="R33"/>
      <c r="S33"/>
      <c r="T33"/>
      <c r="U33"/>
      <c r="V33"/>
      <c r="W33" s="10"/>
      <c r="X33"/>
      <c r="Y33"/>
      <c r="Z33"/>
      <c r="AA33"/>
      <c r="AB33"/>
      <c r="AC33" s="24"/>
      <c r="AD33"/>
      <c r="AE33" s="8"/>
      <c r="AF33" s="8"/>
    </row>
    <row r="34" spans="2:32" ht="18.75" x14ac:dyDescent="0.3">
      <c r="B34"/>
      <c r="C34"/>
      <c r="D34"/>
      <c r="E34"/>
      <c r="F34"/>
      <c r="G34" s="20" t="str">
        <f>+IF(C34="","",IFERROR(IF(Maestra!A31="#N/D","Log Out",""),"Log Out"))</f>
        <v/>
      </c>
      <c r="H34" s="56" t="str">
        <f>IFERROR(HYPERLINK(VLOOKUP(C34,'Flat Base'!D:J,6,0),"SIG TOOLS"),"")</f>
        <v/>
      </c>
      <c r="I34" s="56" t="str">
        <f>IFERROR(HYPERLINK(VLOOKUP(C34,'Flat Base'!D:J,4,0),"SITE MAP"),"")</f>
        <v/>
      </c>
      <c r="P34"/>
      <c r="Q34"/>
      <c r="R34"/>
      <c r="S34"/>
      <c r="T34"/>
      <c r="U34"/>
      <c r="V34"/>
      <c r="W34" s="10"/>
      <c r="X34"/>
      <c r="Y34"/>
      <c r="Z34"/>
      <c r="AA34"/>
      <c r="AB34"/>
      <c r="AC34" s="24"/>
      <c r="AD34"/>
      <c r="AE34" s="8"/>
      <c r="AF34" s="8"/>
    </row>
    <row r="35" spans="2:32" ht="18.75" x14ac:dyDescent="0.3">
      <c r="B35"/>
      <c r="C35"/>
      <c r="D35"/>
      <c r="E35"/>
      <c r="F35"/>
      <c r="G35" s="20" t="str">
        <f>+IF(C35="","",IFERROR(IF(Maestra!A32="#N/D","Log Out",""),"Log Out"))</f>
        <v/>
      </c>
      <c r="H35" s="56" t="str">
        <f>IFERROR(HYPERLINK(VLOOKUP(C35,'Flat Base'!D:J,6,0),"SIG TOOLS"),"")</f>
        <v/>
      </c>
      <c r="I35" s="56" t="str">
        <f>IFERROR(HYPERLINK(VLOOKUP(C35,'Flat Base'!D:J,4,0),"SITE MAP"),"")</f>
        <v/>
      </c>
      <c r="P35"/>
      <c r="Q35"/>
      <c r="R35"/>
      <c r="S35"/>
      <c r="T35"/>
      <c r="U35"/>
      <c r="V35"/>
      <c r="W35" s="10"/>
      <c r="X35"/>
      <c r="Y35"/>
      <c r="Z35"/>
      <c r="AA35"/>
      <c r="AB35"/>
      <c r="AC35" s="24"/>
      <c r="AD35"/>
      <c r="AE35" s="8"/>
      <c r="AF35" s="8"/>
    </row>
    <row r="36" spans="2:32" ht="18.75" x14ac:dyDescent="0.3">
      <c r="B36"/>
      <c r="C36"/>
      <c r="D36"/>
      <c r="E36"/>
      <c r="F36"/>
      <c r="G36" s="20" t="str">
        <f>+IF(C36="","",IFERROR(IF(Maestra!A33="#N/D","Log Out",""),"Log Out"))</f>
        <v/>
      </c>
      <c r="H36" s="56" t="str">
        <f>IFERROR(HYPERLINK(VLOOKUP(C36,'Flat Base'!D:J,6,0),"SIG TOOLS"),"")</f>
        <v/>
      </c>
      <c r="I36" s="56" t="str">
        <f>IFERROR(HYPERLINK(VLOOKUP(C36,'Flat Base'!D:J,4,0),"SITE MAP"),"")</f>
        <v/>
      </c>
      <c r="P36"/>
      <c r="Q36"/>
      <c r="R36"/>
      <c r="S36"/>
      <c r="T36"/>
      <c r="U36"/>
      <c r="V36"/>
      <c r="W36" s="10"/>
      <c r="X36"/>
      <c r="Y36"/>
      <c r="Z36"/>
      <c r="AA36"/>
      <c r="AB36"/>
      <c r="AC36" s="24"/>
      <c r="AD36"/>
      <c r="AE36" s="8"/>
      <c r="AF36" s="8"/>
    </row>
    <row r="37" spans="2:32" ht="18.75" x14ac:dyDescent="0.3">
      <c r="B37"/>
      <c r="C37"/>
      <c r="D37"/>
      <c r="E37"/>
      <c r="F37"/>
      <c r="G37" s="20" t="str">
        <f>+IF(C37="","",IFERROR(IF(Maestra!A34="#N/D","Log Out",""),"Log Out"))</f>
        <v/>
      </c>
      <c r="H37" s="56" t="str">
        <f>IFERROR(HYPERLINK(VLOOKUP(C37,'Flat Base'!D:J,6,0),"SIG TOOLS"),"")</f>
        <v/>
      </c>
      <c r="I37" s="56" t="str">
        <f>IFERROR(HYPERLINK(VLOOKUP(C37,'Flat Base'!D:J,4,0),"SITE MAP"),"")</f>
        <v/>
      </c>
      <c r="P37"/>
      <c r="Q37"/>
      <c r="R37"/>
      <c r="S37"/>
      <c r="T37"/>
      <c r="U37"/>
      <c r="V37"/>
      <c r="W37" s="10"/>
      <c r="X37"/>
      <c r="Y37"/>
      <c r="Z37"/>
      <c r="AA37"/>
      <c r="AB37"/>
      <c r="AC37" s="24"/>
      <c r="AD37"/>
      <c r="AE37" s="8"/>
      <c r="AF37" s="8"/>
    </row>
    <row r="38" spans="2:32" ht="18.75" x14ac:dyDescent="0.3">
      <c r="B38"/>
      <c r="C38"/>
      <c r="D38"/>
      <c r="E38"/>
      <c r="F38"/>
      <c r="G38" s="20" t="str">
        <f>+IF(C38="","",IFERROR(IF(Maestra!A35="#N/D","Log Out",""),"Log Out"))</f>
        <v/>
      </c>
      <c r="H38" s="56" t="str">
        <f>IFERROR(HYPERLINK(VLOOKUP(C38,'Flat Base'!D:J,6,0),"SIG TOOLS"),"")</f>
        <v/>
      </c>
      <c r="I38" s="56" t="str">
        <f>IFERROR(HYPERLINK(VLOOKUP(C38,'Flat Base'!D:J,4,0),"SITE MAP"),"")</f>
        <v/>
      </c>
      <c r="P38"/>
      <c r="Q38"/>
      <c r="R38"/>
      <c r="S38"/>
      <c r="T38"/>
      <c r="U38"/>
      <c r="V38"/>
      <c r="W38" s="10"/>
      <c r="X38"/>
      <c r="Y38"/>
      <c r="Z38"/>
      <c r="AA38"/>
      <c r="AB38"/>
      <c r="AC38" s="24"/>
      <c r="AD38"/>
      <c r="AE38" s="8"/>
      <c r="AF38" s="8"/>
    </row>
    <row r="39" spans="2:32" ht="18.75" x14ac:dyDescent="0.3">
      <c r="B39"/>
      <c r="C39"/>
      <c r="D39"/>
      <c r="E39"/>
      <c r="F39"/>
      <c r="G39" s="20" t="str">
        <f>+IF(C39="","",IFERROR(IF(Maestra!A36="#N/D","Log Out",""),"Log Out"))</f>
        <v/>
      </c>
      <c r="H39" s="56" t="str">
        <f>IFERROR(HYPERLINK(VLOOKUP(C39,'Flat Base'!D:J,6,0),"SIG TOOLS"),"")</f>
        <v/>
      </c>
      <c r="I39" s="56" t="str">
        <f>IFERROR(HYPERLINK(VLOOKUP(C39,'Flat Base'!D:J,4,0),"SITE MAP"),"")</f>
        <v/>
      </c>
      <c r="P39"/>
      <c r="Q39"/>
      <c r="R39"/>
      <c r="S39"/>
      <c r="T39"/>
      <c r="U39"/>
      <c r="V39"/>
      <c r="W39" s="10"/>
      <c r="X39"/>
      <c r="Y39"/>
      <c r="Z39"/>
      <c r="AA39"/>
      <c r="AB39"/>
      <c r="AC39" s="24"/>
      <c r="AD39"/>
      <c r="AE39" s="8"/>
      <c r="AF39" s="8"/>
    </row>
    <row r="40" spans="2:32" ht="18.75" x14ac:dyDescent="0.3">
      <c r="B40"/>
      <c r="C40"/>
      <c r="D40"/>
      <c r="E40"/>
      <c r="F40"/>
      <c r="G40" s="20" t="str">
        <f>+IF(C40="","",IFERROR(IF(Maestra!A37="#N/D","Log Out",""),"Log Out"))</f>
        <v/>
      </c>
      <c r="H40" s="56" t="str">
        <f>IFERROR(HYPERLINK(VLOOKUP(C40,'Flat Base'!D:J,6,0),"SIG TOOLS"),"")</f>
        <v/>
      </c>
      <c r="I40" s="56" t="str">
        <f>IFERROR(HYPERLINK(VLOOKUP(C40,'Flat Base'!D:J,4,0),"SITE MAP"),"")</f>
        <v/>
      </c>
      <c r="P40"/>
      <c r="Q40"/>
      <c r="R40"/>
      <c r="S40"/>
      <c r="T40"/>
      <c r="U40"/>
      <c r="V40"/>
      <c r="W40" s="10"/>
      <c r="X40"/>
      <c r="Y40"/>
      <c r="Z40"/>
      <c r="AA40"/>
      <c r="AB40"/>
      <c r="AC40" s="24"/>
      <c r="AD40"/>
      <c r="AE40" s="8"/>
      <c r="AF40" s="8"/>
    </row>
    <row r="41" spans="2:32" ht="18.75" x14ac:dyDescent="0.3">
      <c r="B41"/>
      <c r="C41"/>
      <c r="D41"/>
      <c r="E41"/>
      <c r="F41"/>
      <c r="G41" s="20" t="str">
        <f>+IF(C41="","",IFERROR(IF(Maestra!A38="#N/D","Log Out",""),"Log Out"))</f>
        <v/>
      </c>
      <c r="H41" s="56" t="str">
        <f>IFERROR(HYPERLINK(VLOOKUP(C41,'Flat Base'!D:J,6,0),"SIG TOOLS"),"")</f>
        <v/>
      </c>
      <c r="I41" s="56" t="str">
        <f>IFERROR(HYPERLINK(VLOOKUP(C41,'Flat Base'!D:J,4,0),"SITE MAP"),"")</f>
        <v/>
      </c>
      <c r="P41"/>
      <c r="Q41"/>
      <c r="R41"/>
      <c r="S41"/>
      <c r="T41"/>
      <c r="U41"/>
      <c r="V41"/>
      <c r="W41" s="10"/>
      <c r="X41"/>
      <c r="Y41"/>
      <c r="Z41"/>
      <c r="AA41"/>
      <c r="AB41"/>
      <c r="AC41" s="24"/>
      <c r="AD41"/>
      <c r="AE41" s="8"/>
      <c r="AF41" s="8"/>
    </row>
    <row r="42" spans="2:32" ht="18.75" x14ac:dyDescent="0.3">
      <c r="B42"/>
      <c r="C42"/>
      <c r="D42"/>
      <c r="E42"/>
      <c r="F42"/>
      <c r="G42" s="20" t="str">
        <f>+IF(C42="","",IFERROR(IF(Maestra!A39="#N/D","Log Out",""),"Log Out"))</f>
        <v/>
      </c>
      <c r="H42" s="56" t="str">
        <f>IFERROR(HYPERLINK(VLOOKUP(C42,'Flat Base'!D:J,6,0),"SIG TOOLS"),"")</f>
        <v/>
      </c>
      <c r="I42" s="56" t="str">
        <f>IFERROR(HYPERLINK(VLOOKUP(C42,'Flat Base'!D:J,4,0),"SITE MAP"),"")</f>
        <v/>
      </c>
      <c r="P42"/>
      <c r="Q42"/>
      <c r="R42"/>
      <c r="S42"/>
      <c r="T42"/>
      <c r="U42"/>
      <c r="V42"/>
      <c r="W42" s="10"/>
      <c r="X42"/>
      <c r="Y42"/>
      <c r="Z42"/>
      <c r="AA42"/>
      <c r="AB42"/>
      <c r="AC42" s="24"/>
      <c r="AD42"/>
      <c r="AE42" s="8"/>
      <c r="AF42" s="8"/>
    </row>
    <row r="43" spans="2:32" ht="18.75" x14ac:dyDescent="0.3">
      <c r="B43"/>
      <c r="C43"/>
      <c r="D43"/>
      <c r="E43"/>
      <c r="F43"/>
      <c r="G43" s="20" t="str">
        <f>+IF(C43="","",IFERROR(IF(Maestra!A40="#N/D","Log Out",""),"Log Out"))</f>
        <v/>
      </c>
      <c r="H43" s="56" t="str">
        <f>IFERROR(HYPERLINK(VLOOKUP(C43,'Flat Base'!D:J,6,0),"SIG TOOLS"),"")</f>
        <v/>
      </c>
      <c r="I43" s="56" t="str">
        <f>IFERROR(HYPERLINK(VLOOKUP(C43,'Flat Base'!D:J,4,0),"SITE MAP"),"")</f>
        <v/>
      </c>
      <c r="P43"/>
      <c r="Q43"/>
      <c r="R43"/>
      <c r="S43"/>
      <c r="T43"/>
      <c r="U43"/>
      <c r="V43"/>
      <c r="W43" s="10"/>
      <c r="X43"/>
      <c r="Y43"/>
      <c r="Z43"/>
      <c r="AA43"/>
      <c r="AB43"/>
      <c r="AC43" s="24"/>
      <c r="AD43"/>
      <c r="AE43" s="8"/>
      <c r="AF43" s="8"/>
    </row>
    <row r="44" spans="2:32" ht="18.75" x14ac:dyDescent="0.3">
      <c r="B44"/>
      <c r="C44"/>
      <c r="D44"/>
      <c r="E44"/>
      <c r="F44"/>
      <c r="G44" s="20" t="str">
        <f>+IF(C44="","",IFERROR(IF(Maestra!A41="#N/D","Log Out",""),"Log Out"))</f>
        <v/>
      </c>
      <c r="H44" s="56" t="str">
        <f>IFERROR(HYPERLINK(VLOOKUP(C44,'Flat Base'!D:J,6,0),"SIG TOOLS"),"")</f>
        <v/>
      </c>
      <c r="I44" s="56" t="str">
        <f>IFERROR(HYPERLINK(VLOOKUP(C44,'Flat Base'!D:J,4,0),"SITE MAP"),"")</f>
        <v/>
      </c>
      <c r="P44"/>
      <c r="Q44"/>
      <c r="R44"/>
      <c r="S44"/>
      <c r="T44"/>
      <c r="U44"/>
      <c r="V44"/>
      <c r="W44" s="10"/>
      <c r="X44"/>
      <c r="Y44"/>
      <c r="Z44"/>
      <c r="AA44"/>
      <c r="AB44"/>
      <c r="AC44" s="24"/>
      <c r="AD44"/>
      <c r="AE44" s="8"/>
      <c r="AF44" s="8"/>
    </row>
    <row r="45" spans="2:32" ht="18.75" x14ac:dyDescent="0.3">
      <c r="B45"/>
      <c r="C45"/>
      <c r="D45"/>
      <c r="E45"/>
      <c r="F45"/>
      <c r="G45" s="20" t="str">
        <f>+IF(C45="","",IFERROR(IF(Maestra!A42="#N/D","Log Out",""),"Log Out"))</f>
        <v/>
      </c>
      <c r="H45" s="56" t="str">
        <f>IFERROR(HYPERLINK(VLOOKUP(C45,'Flat Base'!D:J,6,0),"SIG TOOLS"),"")</f>
        <v/>
      </c>
      <c r="I45" s="56" t="str">
        <f>IFERROR(HYPERLINK(VLOOKUP(C45,'Flat Base'!D:J,4,0),"SITE MAP"),"")</f>
        <v/>
      </c>
      <c r="P45"/>
      <c r="Q45"/>
      <c r="R45"/>
      <c r="S45"/>
      <c r="T45"/>
      <c r="U45"/>
      <c r="V45"/>
      <c r="W45" s="10"/>
      <c r="X45"/>
      <c r="Y45"/>
      <c r="Z45"/>
      <c r="AA45"/>
      <c r="AB45"/>
      <c r="AC45" s="24"/>
      <c r="AD45"/>
      <c r="AE45" s="8"/>
      <c r="AF45" s="8"/>
    </row>
    <row r="46" spans="2:32" ht="18.75" x14ac:dyDescent="0.3">
      <c r="B46"/>
      <c r="C46"/>
      <c r="D46"/>
      <c r="E46"/>
      <c r="F46"/>
      <c r="G46" s="20" t="str">
        <f>+IF(C46="","",IFERROR(IF(Maestra!A43="#N/D","Log Out",""),"Log Out"))</f>
        <v/>
      </c>
      <c r="H46" s="56" t="str">
        <f>IFERROR(HYPERLINK(VLOOKUP(C46,'Flat Base'!D:J,6,0),"SIG TOOLS"),"")</f>
        <v/>
      </c>
      <c r="I46" s="56" t="str">
        <f>IFERROR(HYPERLINK(VLOOKUP(C46,'Flat Base'!D:J,4,0),"SITE MAP"),"")</f>
        <v/>
      </c>
      <c r="P46"/>
      <c r="Q46"/>
      <c r="R46"/>
      <c r="S46"/>
      <c r="T46"/>
      <c r="U46"/>
      <c r="V46"/>
      <c r="W46" s="10"/>
      <c r="X46"/>
      <c r="Y46"/>
      <c r="Z46"/>
      <c r="AA46"/>
      <c r="AB46"/>
      <c r="AC46" s="24"/>
      <c r="AD46"/>
      <c r="AE46" s="8"/>
      <c r="AF46" s="8"/>
    </row>
    <row r="47" spans="2:32" ht="18.75" x14ac:dyDescent="0.3">
      <c r="B47"/>
      <c r="C47"/>
      <c r="D47"/>
      <c r="E47"/>
      <c r="F47"/>
      <c r="G47" s="20" t="str">
        <f>+IF(C47="","",IFERROR(IF(Maestra!A44="#N/D","Log Out",""),"Log Out"))</f>
        <v/>
      </c>
      <c r="H47" s="56" t="str">
        <f>IFERROR(HYPERLINK(VLOOKUP(C47,'Flat Base'!D:J,6,0),"SIG TOOLS"),"")</f>
        <v/>
      </c>
      <c r="I47" s="56" t="str">
        <f>IFERROR(HYPERLINK(VLOOKUP(C47,'Flat Base'!D:J,4,0),"SITE MAP"),"")</f>
        <v/>
      </c>
      <c r="P47"/>
      <c r="Q47"/>
      <c r="R47"/>
      <c r="S47"/>
      <c r="T47"/>
      <c r="U47"/>
      <c r="V47"/>
      <c r="W47" s="10"/>
      <c r="X47"/>
      <c r="Y47"/>
      <c r="Z47"/>
      <c r="AA47"/>
      <c r="AB47"/>
      <c r="AC47" s="24"/>
      <c r="AD47"/>
      <c r="AE47" s="8"/>
      <c r="AF47" s="8"/>
    </row>
    <row r="48" spans="2:32" ht="18.75" x14ac:dyDescent="0.3">
      <c r="B48"/>
      <c r="C48"/>
      <c r="D48"/>
      <c r="E48"/>
      <c r="F48"/>
      <c r="G48" s="20" t="str">
        <f>+IF(C48="","",IFERROR(IF(Maestra!A45="#N/D","Log Out",""),"Log Out"))</f>
        <v/>
      </c>
      <c r="H48" s="56" t="str">
        <f>IFERROR(HYPERLINK(VLOOKUP(C48,'Flat Base'!D:J,6,0),"SIG TOOLS"),"")</f>
        <v/>
      </c>
      <c r="I48" s="56" t="str">
        <f>IFERROR(HYPERLINK(VLOOKUP(C48,'Flat Base'!D:J,4,0),"SITE MAP"),"")</f>
        <v/>
      </c>
      <c r="P48"/>
      <c r="Q48"/>
      <c r="R48"/>
      <c r="S48"/>
      <c r="T48"/>
      <c r="U48"/>
      <c r="V48"/>
      <c r="W48" s="10"/>
      <c r="X48"/>
      <c r="Y48"/>
      <c r="Z48"/>
      <c r="AA48"/>
      <c r="AB48"/>
      <c r="AC48" s="24"/>
      <c r="AD48"/>
      <c r="AE48" s="8"/>
      <c r="AF48" s="8"/>
    </row>
    <row r="49" spans="2:32" ht="18.75" x14ac:dyDescent="0.3">
      <c r="B49"/>
      <c r="C49"/>
      <c r="D49"/>
      <c r="E49"/>
      <c r="F49"/>
      <c r="G49" s="20" t="str">
        <f>+IF(C49="","",IFERROR(IF(Maestra!A46="#N/D","Log Out",""),"Log Out"))</f>
        <v/>
      </c>
      <c r="H49" s="56" t="str">
        <f>IFERROR(HYPERLINK(VLOOKUP(C49,'Flat Base'!D:J,6,0),"SIG TOOLS"),"")</f>
        <v/>
      </c>
      <c r="I49" s="56" t="str">
        <f>IFERROR(HYPERLINK(VLOOKUP(C49,'Flat Base'!D:J,4,0),"SITE MAP"),"")</f>
        <v/>
      </c>
      <c r="P49"/>
      <c r="Q49"/>
      <c r="R49"/>
      <c r="S49"/>
      <c r="T49"/>
      <c r="U49"/>
      <c r="V49"/>
      <c r="W49" s="10"/>
      <c r="X49"/>
      <c r="Y49"/>
      <c r="Z49"/>
      <c r="AA49"/>
      <c r="AB49"/>
      <c r="AC49" s="24"/>
      <c r="AD49"/>
      <c r="AE49" s="8"/>
      <c r="AF49" s="8"/>
    </row>
    <row r="50" spans="2:32" ht="18.75" x14ac:dyDescent="0.3">
      <c r="B50"/>
      <c r="C50"/>
      <c r="D50"/>
      <c r="E50"/>
      <c r="F50"/>
      <c r="G50" s="20" t="str">
        <f>+IF(C50="","",IFERROR(IF(Maestra!A47="#N/D","Log Out",""),"Log Out"))</f>
        <v/>
      </c>
      <c r="H50" s="56" t="str">
        <f>IFERROR(HYPERLINK(VLOOKUP(C50,'Flat Base'!D:J,6,0),"SIG TOOLS"),"")</f>
        <v/>
      </c>
      <c r="I50" s="56" t="str">
        <f>IFERROR(HYPERLINK(VLOOKUP(C50,'Flat Base'!D:J,4,0),"SITE MAP"),"")</f>
        <v/>
      </c>
      <c r="P50"/>
      <c r="Q50"/>
      <c r="R50"/>
      <c r="S50"/>
      <c r="T50"/>
      <c r="U50"/>
      <c r="V50"/>
      <c r="W50" s="10"/>
      <c r="X50"/>
      <c r="Y50"/>
      <c r="Z50"/>
      <c r="AA50"/>
      <c r="AB50"/>
      <c r="AC50" s="24"/>
      <c r="AD50"/>
      <c r="AE50" s="8"/>
      <c r="AF50" s="8"/>
    </row>
    <row r="51" spans="2:32" ht="18.75" x14ac:dyDescent="0.3">
      <c r="B51"/>
      <c r="C51"/>
      <c r="D51"/>
      <c r="E51"/>
      <c r="F51"/>
      <c r="G51" s="20" t="str">
        <f>+IF(C51="","",IFERROR(IF(Maestra!A48="#N/D","Log Out",""),"Log Out"))</f>
        <v/>
      </c>
      <c r="H51" s="56" t="str">
        <f>IFERROR(HYPERLINK(VLOOKUP(C51,'Flat Base'!D:J,6,0),"SIG TOOLS"),"")</f>
        <v/>
      </c>
      <c r="I51" s="56" t="str">
        <f>IFERROR(HYPERLINK(VLOOKUP(C51,'Flat Base'!D:J,4,0),"SITE MAP"),"")</f>
        <v/>
      </c>
      <c r="P51"/>
      <c r="Q51"/>
      <c r="R51"/>
      <c r="S51"/>
      <c r="T51"/>
      <c r="U51"/>
      <c r="V51"/>
      <c r="W51" s="10"/>
      <c r="X51"/>
      <c r="Y51"/>
      <c r="Z51"/>
      <c r="AA51"/>
      <c r="AB51"/>
      <c r="AC51" s="24"/>
      <c r="AD51"/>
      <c r="AE51" s="8"/>
      <c r="AF51" s="8"/>
    </row>
    <row r="52" spans="2:32" ht="18.75" x14ac:dyDescent="0.3">
      <c r="B52"/>
      <c r="C52"/>
      <c r="D52"/>
      <c r="E52"/>
      <c r="F52"/>
      <c r="G52" s="20" t="str">
        <f>+IF(C52="","",IFERROR(IF(Maestra!A49="#N/D","Log Out",""),"Log Out"))</f>
        <v/>
      </c>
      <c r="H52" s="56" t="str">
        <f>IFERROR(HYPERLINK(VLOOKUP(C52,'Flat Base'!D:J,6,0),"SIG TOOLS"),"")</f>
        <v/>
      </c>
      <c r="I52" s="56" t="str">
        <f>IFERROR(HYPERLINK(VLOOKUP(C52,'Flat Base'!D:J,4,0),"SITE MAP"),"")</f>
        <v/>
      </c>
      <c r="P52"/>
      <c r="Q52"/>
      <c r="R52"/>
      <c r="S52"/>
      <c r="T52"/>
      <c r="U52"/>
      <c r="V52"/>
      <c r="W52" s="10"/>
      <c r="X52"/>
      <c r="Y52"/>
      <c r="Z52"/>
      <c r="AA52"/>
      <c r="AB52"/>
      <c r="AC52" s="24"/>
      <c r="AD52"/>
      <c r="AE52" s="8"/>
      <c r="AF52" s="8"/>
    </row>
    <row r="53" spans="2:32" ht="18.75" x14ac:dyDescent="0.3">
      <c r="B53"/>
      <c r="C53"/>
      <c r="D53"/>
      <c r="E53"/>
      <c r="F53"/>
      <c r="G53" s="20" t="str">
        <f>+IF(C53="","",IFERROR(IF(Maestra!A50="#N/D","Log Out",""),"Log Out"))</f>
        <v/>
      </c>
      <c r="H53" s="56" t="str">
        <f>IFERROR(HYPERLINK(VLOOKUP(C53,'Flat Base'!D:J,6,0),"SIG TOOLS"),"")</f>
        <v/>
      </c>
      <c r="I53" s="56" t="str">
        <f>IFERROR(HYPERLINK(VLOOKUP(C53,'Flat Base'!D:J,4,0),"SITE MAP"),"")</f>
        <v/>
      </c>
      <c r="P53"/>
      <c r="Q53"/>
      <c r="R53"/>
      <c r="S53"/>
      <c r="T53"/>
      <c r="U53"/>
      <c r="V53"/>
      <c r="W53" s="10"/>
      <c r="X53"/>
      <c r="Y53"/>
      <c r="Z53"/>
      <c r="AA53"/>
      <c r="AB53"/>
      <c r="AC53" s="24"/>
      <c r="AD53"/>
      <c r="AE53" s="8"/>
      <c r="AF53" s="8"/>
    </row>
    <row r="54" spans="2:32" ht="18.75" x14ac:dyDescent="0.3">
      <c r="B54"/>
      <c r="C54"/>
      <c r="D54"/>
      <c r="E54"/>
      <c r="F54"/>
      <c r="G54" s="20" t="str">
        <f>+IF(C54="","",IFERROR(IF(Maestra!A51="#N/D","Log Out",""),"Log Out"))</f>
        <v/>
      </c>
      <c r="H54" s="56" t="str">
        <f>IFERROR(HYPERLINK(VLOOKUP(C54,'Flat Base'!D:J,6,0),"SIG TOOLS"),"")</f>
        <v/>
      </c>
      <c r="I54" s="56" t="str">
        <f>IFERROR(HYPERLINK(VLOOKUP(C54,'Flat Base'!D:J,4,0),"SITE MAP"),"")</f>
        <v/>
      </c>
      <c r="P54"/>
      <c r="Q54"/>
      <c r="R54"/>
      <c r="S54"/>
      <c r="T54"/>
      <c r="U54"/>
      <c r="V54"/>
      <c r="W54" s="10"/>
      <c r="X54"/>
      <c r="Y54"/>
      <c r="Z54"/>
      <c r="AA54"/>
      <c r="AB54"/>
      <c r="AC54" s="24"/>
      <c r="AD54"/>
      <c r="AE54" s="8"/>
      <c r="AF54" s="8"/>
    </row>
    <row r="55" spans="2:32" ht="18.75" x14ac:dyDescent="0.3">
      <c r="B55"/>
      <c r="C55"/>
      <c r="D55"/>
      <c r="E55"/>
      <c r="F55"/>
      <c r="G55" s="20" t="str">
        <f>+IF(C55="","",IFERROR(IF(Maestra!A52="#N/D","Log Out",""),"Log Out"))</f>
        <v/>
      </c>
      <c r="H55" s="56" t="str">
        <f>IFERROR(HYPERLINK(VLOOKUP(C55,'Flat Base'!D:J,6,0),"SIG TOOLS"),"")</f>
        <v/>
      </c>
      <c r="I55" s="56" t="str">
        <f>IFERROR(HYPERLINK(VLOOKUP(C55,'Flat Base'!D:J,4,0),"SITE MAP"),"")</f>
        <v/>
      </c>
      <c r="P55"/>
      <c r="Q55"/>
      <c r="R55"/>
      <c r="S55"/>
      <c r="T55"/>
      <c r="U55"/>
      <c r="V55"/>
      <c r="W55" s="10"/>
      <c r="X55"/>
      <c r="Y55"/>
      <c r="Z55"/>
      <c r="AA55"/>
      <c r="AB55"/>
      <c r="AC55" s="24"/>
      <c r="AD55"/>
      <c r="AE55" s="8"/>
      <c r="AF55" s="8"/>
    </row>
    <row r="56" spans="2:32" ht="18.75" x14ac:dyDescent="0.3">
      <c r="B56"/>
      <c r="C56"/>
      <c r="D56"/>
      <c r="E56"/>
      <c r="F56"/>
      <c r="G56" s="20" t="str">
        <f>+IF(C56="","",IFERROR(IF(Maestra!A53="#N/D","Log Out",""),"Log Out"))</f>
        <v/>
      </c>
      <c r="H56" s="56" t="str">
        <f>IFERROR(HYPERLINK(VLOOKUP(C56,'Flat Base'!D:J,6,0),"SIG TOOLS"),"")</f>
        <v/>
      </c>
      <c r="I56" s="56" t="str">
        <f>IFERROR(HYPERLINK(VLOOKUP(C56,'Flat Base'!D:J,4,0),"SITE MAP"),"")</f>
        <v/>
      </c>
      <c r="P56"/>
      <c r="Q56"/>
      <c r="R56"/>
      <c r="S56"/>
      <c r="T56"/>
      <c r="U56"/>
      <c r="V56"/>
      <c r="W56" s="10"/>
      <c r="X56"/>
      <c r="Y56"/>
      <c r="Z56"/>
      <c r="AA56"/>
      <c r="AB56"/>
      <c r="AC56" s="24"/>
      <c r="AD56"/>
      <c r="AE56" s="8"/>
      <c r="AF56" s="8"/>
    </row>
    <row r="57" spans="2:32" ht="18.75" x14ac:dyDescent="0.3">
      <c r="B57"/>
      <c r="C57"/>
      <c r="D57"/>
      <c r="E57"/>
      <c r="F57"/>
      <c r="G57" s="20" t="str">
        <f>+IF(C57="","",IFERROR(IF(Maestra!A54="#N/D","Log Out",""),"Log Out"))</f>
        <v/>
      </c>
      <c r="H57" s="56" t="str">
        <f>IFERROR(HYPERLINK(VLOOKUP(C57,'Flat Base'!D:J,6,0),"SIG TOOLS"),"")</f>
        <v/>
      </c>
      <c r="I57" s="56" t="str">
        <f>IFERROR(HYPERLINK(VLOOKUP(C57,'Flat Base'!D:J,4,0),"SITE MAP"),"")</f>
        <v/>
      </c>
      <c r="P57"/>
      <c r="Q57"/>
      <c r="R57"/>
      <c r="S57"/>
      <c r="T57"/>
      <c r="U57"/>
      <c r="V57"/>
      <c r="W57" s="10"/>
      <c r="X57"/>
      <c r="Y57"/>
      <c r="Z57"/>
      <c r="AA57"/>
      <c r="AB57"/>
      <c r="AC57" s="24"/>
      <c r="AD57"/>
      <c r="AE57" s="8"/>
      <c r="AF57" s="8"/>
    </row>
    <row r="58" spans="2:32" ht="18.75" x14ac:dyDescent="0.3">
      <c r="B58"/>
      <c r="C58"/>
      <c r="D58"/>
      <c r="E58"/>
      <c r="F58"/>
      <c r="G58" s="20" t="str">
        <f>+IF(C58="","",IFERROR(IF(Maestra!A55="#N/D","Log Out",""),"Log Out"))</f>
        <v/>
      </c>
      <c r="H58" s="56" t="str">
        <f>IFERROR(HYPERLINK(VLOOKUP(C58,'Flat Base'!D:J,6,0),"SIG TOOLS"),"")</f>
        <v/>
      </c>
      <c r="I58" s="56" t="str">
        <f>IFERROR(HYPERLINK(VLOOKUP(C58,'Flat Base'!D:J,4,0),"SITE MAP"),"")</f>
        <v/>
      </c>
      <c r="P58"/>
      <c r="Q58"/>
      <c r="R58"/>
      <c r="S58"/>
      <c r="T58"/>
      <c r="U58"/>
      <c r="V58"/>
      <c r="W58" s="10"/>
      <c r="X58"/>
      <c r="Y58"/>
      <c r="Z58"/>
      <c r="AA58"/>
      <c r="AB58"/>
      <c r="AC58" s="24"/>
      <c r="AD58"/>
      <c r="AE58" s="8"/>
      <c r="AF58" s="8"/>
    </row>
    <row r="59" spans="2:32" ht="18.75" x14ac:dyDescent="0.3">
      <c r="B59"/>
      <c r="C59"/>
      <c r="D59"/>
      <c r="E59"/>
      <c r="F59"/>
      <c r="G59" s="20" t="str">
        <f>+IF(C59="","",IFERROR(IF(Maestra!A56="#N/D","Log Out",""),"Log Out"))</f>
        <v/>
      </c>
      <c r="H59" s="56" t="str">
        <f>IFERROR(HYPERLINK(VLOOKUP(C59,'Flat Base'!D:J,6,0),"SIG TOOLS"),"")</f>
        <v/>
      </c>
      <c r="I59" s="56" t="str">
        <f>IFERROR(HYPERLINK(VLOOKUP(C59,'Flat Base'!D:J,4,0),"SITE MAP"),"")</f>
        <v/>
      </c>
      <c r="P59"/>
      <c r="Q59"/>
      <c r="R59"/>
      <c r="S59"/>
      <c r="T59"/>
      <c r="U59"/>
      <c r="V59"/>
      <c r="W59" s="10"/>
      <c r="X59"/>
      <c r="Y59"/>
      <c r="Z59"/>
      <c r="AA59"/>
      <c r="AB59"/>
      <c r="AC59" s="24"/>
      <c r="AD59"/>
      <c r="AE59" s="8"/>
      <c r="AF59" s="8"/>
    </row>
    <row r="60" spans="2:32" ht="18.75" x14ac:dyDescent="0.3">
      <c r="B60"/>
      <c r="C60"/>
      <c r="D60"/>
      <c r="E60"/>
      <c r="F60"/>
      <c r="G60" s="20" t="str">
        <f>+IF(C60="","",IFERROR(IF(Maestra!A57="#N/D","Log Out",""),"Log Out"))</f>
        <v/>
      </c>
      <c r="H60" s="56" t="str">
        <f>IFERROR(HYPERLINK(VLOOKUP(C60,'Flat Base'!D:J,6,0),"SIG TOOLS"),"")</f>
        <v/>
      </c>
      <c r="I60" s="56" t="str">
        <f>IFERROR(HYPERLINK(VLOOKUP(C60,'Flat Base'!D:J,4,0),"SITE MAP"),"")</f>
        <v/>
      </c>
      <c r="P60"/>
      <c r="Q60"/>
      <c r="R60"/>
      <c r="S60"/>
      <c r="T60"/>
      <c r="U60"/>
      <c r="V60"/>
      <c r="W60" s="10"/>
      <c r="X60"/>
      <c r="Y60"/>
      <c r="Z60"/>
      <c r="AA60"/>
      <c r="AB60"/>
      <c r="AC60" s="24"/>
      <c r="AD60"/>
      <c r="AE60" s="8"/>
      <c r="AF60" s="8"/>
    </row>
    <row r="61" spans="2:32" ht="18.75" x14ac:dyDescent="0.3">
      <c r="B61"/>
      <c r="C61"/>
      <c r="D61"/>
      <c r="E61"/>
      <c r="F61"/>
      <c r="G61" s="20" t="str">
        <f>+IF(C61="","",IFERROR(IF(Maestra!A58="#N/D","Log Out",""),"Log Out"))</f>
        <v/>
      </c>
      <c r="H61" s="56" t="str">
        <f>IFERROR(HYPERLINK(VLOOKUP(C61,'Flat Base'!D:J,6,0),"SIG TOOLS"),"")</f>
        <v/>
      </c>
      <c r="I61" s="56" t="str">
        <f>IFERROR(HYPERLINK(VLOOKUP(C61,'Flat Base'!D:J,4,0),"SITE MAP"),"")</f>
        <v/>
      </c>
      <c r="P61"/>
      <c r="Q61"/>
      <c r="R61"/>
      <c r="S61"/>
      <c r="T61"/>
      <c r="U61"/>
      <c r="V61"/>
      <c r="W61" s="10"/>
      <c r="X61"/>
      <c r="Y61"/>
      <c r="Z61"/>
      <c r="AA61"/>
      <c r="AB61"/>
      <c r="AC61" s="24"/>
      <c r="AD61"/>
      <c r="AE61" s="8"/>
      <c r="AF61" s="8"/>
    </row>
    <row r="62" spans="2:32" ht="18.75" x14ac:dyDescent="0.3">
      <c r="B62"/>
      <c r="C62"/>
      <c r="D62"/>
      <c r="E62"/>
      <c r="F62"/>
      <c r="G62" s="20" t="str">
        <f>+IF(C62="","",IFERROR(IF(Maestra!A59="#N/D","Log Out",""),"Log Out"))</f>
        <v/>
      </c>
      <c r="H62" s="56" t="str">
        <f>IFERROR(HYPERLINK(VLOOKUP(C62,'Flat Base'!D:J,6,0),"SIG TOOLS"),"")</f>
        <v/>
      </c>
      <c r="I62" s="56" t="str">
        <f>IFERROR(HYPERLINK(VLOOKUP(C62,'Flat Base'!D:J,4,0),"SITE MAP"),"")</f>
        <v/>
      </c>
      <c r="P62"/>
      <c r="Q62"/>
      <c r="R62"/>
      <c r="S62"/>
      <c r="T62"/>
      <c r="U62"/>
      <c r="V62"/>
      <c r="W62" s="10"/>
      <c r="X62"/>
      <c r="Y62"/>
      <c r="Z62"/>
      <c r="AA62"/>
      <c r="AB62"/>
      <c r="AC62" s="24"/>
      <c r="AD62"/>
      <c r="AE62" s="8"/>
      <c r="AF62" s="8"/>
    </row>
    <row r="63" spans="2:32" ht="18.75" x14ac:dyDescent="0.3">
      <c r="B63"/>
      <c r="C63"/>
      <c r="D63"/>
      <c r="E63"/>
      <c r="F63"/>
      <c r="G63" s="20" t="str">
        <f>+IF(C63="","",IFERROR(IF(Maestra!A60="#N/D","Log Out",""),"Log Out"))</f>
        <v/>
      </c>
      <c r="H63" s="56" t="str">
        <f>IFERROR(HYPERLINK(VLOOKUP(C63,'Flat Base'!D:J,6,0),"SIG TOOLS"),"")</f>
        <v/>
      </c>
      <c r="I63" s="56" t="str">
        <f>IFERROR(HYPERLINK(VLOOKUP(C63,'Flat Base'!D:J,4,0),"SITE MAP"),"")</f>
        <v/>
      </c>
      <c r="P63"/>
      <c r="Q63"/>
      <c r="R63"/>
      <c r="S63"/>
      <c r="T63"/>
      <c r="U63"/>
      <c r="V63"/>
      <c r="W63" s="10"/>
      <c r="X63"/>
      <c r="Y63"/>
      <c r="Z63"/>
      <c r="AA63"/>
      <c r="AB63"/>
      <c r="AC63" s="24"/>
      <c r="AD63"/>
      <c r="AE63" s="8"/>
      <c r="AF63" s="8"/>
    </row>
    <row r="64" spans="2:32" ht="18.75" x14ac:dyDescent="0.3">
      <c r="B64"/>
      <c r="C64"/>
      <c r="D64"/>
      <c r="E64"/>
      <c r="F64"/>
      <c r="G64" s="20" t="str">
        <f>+IF(C64="","",IFERROR(IF(Maestra!A61="#N/D","Log Out",""),"Log Out"))</f>
        <v/>
      </c>
      <c r="H64" s="56" t="str">
        <f>IFERROR(HYPERLINK(VLOOKUP(C64,'Flat Base'!D:J,6,0),"SIG TOOLS"),"")</f>
        <v/>
      </c>
      <c r="I64" s="56" t="str">
        <f>IFERROR(HYPERLINK(VLOOKUP(C64,'Flat Base'!D:J,4,0),"SITE MAP"),"")</f>
        <v/>
      </c>
      <c r="P64"/>
      <c r="Q64"/>
      <c r="R64"/>
      <c r="S64"/>
      <c r="T64"/>
      <c r="U64"/>
      <c r="V64"/>
      <c r="W64" s="10"/>
      <c r="X64"/>
      <c r="Y64"/>
      <c r="Z64"/>
      <c r="AA64"/>
      <c r="AB64"/>
      <c r="AC64" s="24"/>
      <c r="AD64"/>
      <c r="AE64" s="8"/>
      <c r="AF64" s="8"/>
    </row>
    <row r="65" spans="2:32" ht="18.75" x14ac:dyDescent="0.3">
      <c r="B65"/>
      <c r="C65"/>
      <c r="D65"/>
      <c r="E65"/>
      <c r="F65"/>
      <c r="G65" s="20" t="str">
        <f>+IF(C65="","",IFERROR(IF(Maestra!A62="#N/D","Log Out",""),"Log Out"))</f>
        <v/>
      </c>
      <c r="H65" s="56" t="str">
        <f>IFERROR(HYPERLINK(VLOOKUP(C65,'Flat Base'!D:J,6,0),"SIG TOOLS"),"")</f>
        <v/>
      </c>
      <c r="I65" s="56" t="str">
        <f>IFERROR(HYPERLINK(VLOOKUP(C65,'Flat Base'!D:J,4,0),"SITE MAP"),"")</f>
        <v/>
      </c>
      <c r="P65"/>
      <c r="Q65"/>
      <c r="R65"/>
      <c r="S65"/>
      <c r="T65"/>
      <c r="U65"/>
      <c r="V65"/>
      <c r="W65" s="10"/>
      <c r="X65"/>
      <c r="Y65"/>
      <c r="Z65"/>
      <c r="AA65"/>
      <c r="AB65"/>
      <c r="AC65" s="24"/>
      <c r="AD65"/>
      <c r="AE65" s="8"/>
      <c r="AF65" s="8"/>
    </row>
    <row r="66" spans="2:32" ht="18.75" x14ac:dyDescent="0.3">
      <c r="B66"/>
      <c r="C66"/>
      <c r="D66"/>
      <c r="E66"/>
      <c r="F66"/>
      <c r="G66" s="20" t="str">
        <f>+IF(C66="","",IFERROR(IF(Maestra!A63="#N/D","Log Out",""),"Log Out"))</f>
        <v/>
      </c>
      <c r="H66" s="56" t="str">
        <f>IFERROR(HYPERLINK(VLOOKUP(C66,'Flat Base'!D:J,6,0),"SIG TOOLS"),"")</f>
        <v/>
      </c>
      <c r="I66" s="56" t="str">
        <f>IFERROR(HYPERLINK(VLOOKUP(C66,'Flat Base'!D:J,4,0),"SITE MAP"),"")</f>
        <v/>
      </c>
      <c r="P66"/>
      <c r="Q66"/>
      <c r="R66"/>
      <c r="S66"/>
      <c r="T66"/>
      <c r="U66"/>
      <c r="V66"/>
      <c r="W66" s="10"/>
      <c r="X66"/>
      <c r="Y66"/>
      <c r="Z66"/>
      <c r="AA66"/>
      <c r="AB66"/>
      <c r="AC66" s="24"/>
      <c r="AD66"/>
      <c r="AE66" s="8"/>
      <c r="AF66" s="8"/>
    </row>
    <row r="67" spans="2:32" ht="18.75" x14ac:dyDescent="0.3">
      <c r="B67"/>
      <c r="C67"/>
      <c r="D67"/>
      <c r="E67"/>
      <c r="F67"/>
      <c r="G67" s="20" t="str">
        <f>+IF(C67="","",IFERROR(IF(Maestra!A64="#N/D","Log Out",""),"Log Out"))</f>
        <v/>
      </c>
      <c r="H67" s="56" t="str">
        <f>IFERROR(HYPERLINK(VLOOKUP(C67,'Flat Base'!D:J,6,0),"SIG TOOLS"),"")</f>
        <v/>
      </c>
      <c r="I67" s="56" t="str">
        <f>IFERROR(HYPERLINK(VLOOKUP(C67,'Flat Base'!D:J,4,0),"SITE MAP"),"")</f>
        <v/>
      </c>
      <c r="P67"/>
      <c r="Q67"/>
      <c r="R67"/>
      <c r="S67"/>
      <c r="T67"/>
      <c r="U67"/>
      <c r="V67"/>
      <c r="W67" s="10"/>
      <c r="X67"/>
      <c r="Y67"/>
      <c r="Z67"/>
      <c r="AA67"/>
      <c r="AB67"/>
      <c r="AC67" s="24"/>
      <c r="AD67"/>
      <c r="AE67" s="8"/>
      <c r="AF67" s="8"/>
    </row>
    <row r="68" spans="2:32" ht="18.75" x14ac:dyDescent="0.3">
      <c r="B68"/>
      <c r="C68"/>
      <c r="D68"/>
      <c r="E68"/>
      <c r="F68"/>
      <c r="G68" s="20" t="str">
        <f>+IF(C68="","",IFERROR(IF(Maestra!A65="#N/D","Log Out",""),"Log Out"))</f>
        <v/>
      </c>
      <c r="H68" s="56" t="str">
        <f>IFERROR(HYPERLINK(VLOOKUP(C68,'Flat Base'!D:J,6,0),"SIG TOOLS"),"")</f>
        <v/>
      </c>
      <c r="I68" s="56" t="str">
        <f>IFERROR(HYPERLINK(VLOOKUP(C68,'Flat Base'!D:J,4,0),"SITE MAP"),"")</f>
        <v/>
      </c>
      <c r="P68"/>
      <c r="Q68"/>
      <c r="R68"/>
      <c r="S68"/>
      <c r="T68"/>
      <c r="U68"/>
      <c r="V68"/>
      <c r="W68" s="10"/>
      <c r="X68"/>
      <c r="Y68"/>
      <c r="Z68"/>
      <c r="AA68"/>
      <c r="AB68"/>
      <c r="AC68" s="24"/>
      <c r="AD68"/>
      <c r="AE68" s="8"/>
      <c r="AF68" s="8"/>
    </row>
    <row r="69" spans="2:32" ht="18.75" x14ac:dyDescent="0.3">
      <c r="B69"/>
      <c r="C69"/>
      <c r="D69"/>
      <c r="E69"/>
      <c r="F69"/>
      <c r="G69" s="20" t="str">
        <f>+IF(C69="","",IFERROR(IF(Maestra!A66="#N/D","Log Out",""),"Log Out"))</f>
        <v/>
      </c>
      <c r="H69" s="56" t="str">
        <f>IFERROR(HYPERLINK(VLOOKUP(C69,'Flat Base'!D:J,6,0),"SIG TOOLS"),"")</f>
        <v/>
      </c>
      <c r="I69" s="56" t="str">
        <f>IFERROR(HYPERLINK(VLOOKUP(C69,'Flat Base'!D:J,4,0),"SITE MAP"),"")</f>
        <v/>
      </c>
      <c r="P69"/>
      <c r="Q69"/>
      <c r="R69"/>
      <c r="S69"/>
      <c r="T69"/>
      <c r="U69"/>
      <c r="V69"/>
      <c r="W69" s="10"/>
      <c r="X69"/>
      <c r="Y69"/>
      <c r="Z69"/>
      <c r="AA69"/>
      <c r="AB69"/>
      <c r="AC69" s="24"/>
      <c r="AD69"/>
      <c r="AE69" s="8"/>
      <c r="AF69" s="8"/>
    </row>
    <row r="70" spans="2:32" ht="18.75" x14ac:dyDescent="0.3">
      <c r="B70"/>
      <c r="C70"/>
      <c r="D70"/>
      <c r="E70"/>
      <c r="F70"/>
      <c r="G70" s="20" t="str">
        <f>+IF(C70="","",IFERROR(IF(Maestra!A67="#N/D","Log Out",""),"Log Out"))</f>
        <v/>
      </c>
      <c r="H70" s="56" t="str">
        <f>IFERROR(HYPERLINK(VLOOKUP(C70,'Flat Base'!D:J,6,0),"SIG TOOLS"),"")</f>
        <v/>
      </c>
      <c r="I70" s="56" t="str">
        <f>IFERROR(HYPERLINK(VLOOKUP(C70,'Flat Base'!D:J,4,0),"SITE MAP"),"")</f>
        <v/>
      </c>
      <c r="P70"/>
      <c r="Q70"/>
      <c r="R70"/>
      <c r="S70"/>
      <c r="T70"/>
      <c r="U70"/>
      <c r="V70"/>
      <c r="W70" s="10"/>
      <c r="X70"/>
      <c r="Y70"/>
      <c r="Z70"/>
      <c r="AA70"/>
      <c r="AB70"/>
      <c r="AC70" s="24"/>
      <c r="AD70"/>
      <c r="AE70" s="8"/>
      <c r="AF70" s="8"/>
    </row>
    <row r="71" spans="2:32" ht="18.75" x14ac:dyDescent="0.3">
      <c r="B71"/>
      <c r="C71"/>
      <c r="D71"/>
      <c r="E71"/>
      <c r="F71"/>
      <c r="G71" s="20" t="str">
        <f>+IF(C71="","",IFERROR(IF(Maestra!A68="#N/D","Log Out",""),"Log Out"))</f>
        <v/>
      </c>
      <c r="H71" s="56" t="str">
        <f>IFERROR(HYPERLINK(VLOOKUP(C71,'Flat Base'!D:J,6,0),"SIG TOOLS"),"")</f>
        <v/>
      </c>
      <c r="I71" s="56" t="str">
        <f>IFERROR(HYPERLINK(VLOOKUP(C71,'Flat Base'!D:J,4,0),"SITE MAP"),"")</f>
        <v/>
      </c>
      <c r="P71"/>
      <c r="Q71"/>
      <c r="R71"/>
      <c r="S71"/>
      <c r="T71"/>
      <c r="U71"/>
      <c r="V71"/>
      <c r="W71" s="10"/>
      <c r="X71"/>
      <c r="Y71"/>
      <c r="Z71"/>
      <c r="AA71"/>
      <c r="AB71"/>
      <c r="AC71" s="24"/>
      <c r="AD71"/>
      <c r="AE71" s="8"/>
      <c r="AF71" s="8"/>
    </row>
    <row r="72" spans="2:32" ht="18.75" x14ac:dyDescent="0.3">
      <c r="B72"/>
      <c r="C72"/>
      <c r="D72"/>
      <c r="E72"/>
      <c r="F72"/>
      <c r="G72" s="20" t="str">
        <f>+IF(C72="","",IFERROR(IF(Maestra!A69="#N/D","Log Out",""),"Log Out"))</f>
        <v/>
      </c>
      <c r="H72" s="56" t="str">
        <f>IFERROR(HYPERLINK(VLOOKUP(C72,'Flat Base'!D:J,6,0),"SIG TOOLS"),"")</f>
        <v/>
      </c>
      <c r="I72" s="56" t="str">
        <f>IFERROR(HYPERLINK(VLOOKUP(C72,'Flat Base'!D:J,4,0),"SITE MAP"),"")</f>
        <v/>
      </c>
      <c r="P72"/>
      <c r="Q72"/>
      <c r="R72"/>
      <c r="S72"/>
      <c r="T72"/>
      <c r="U72"/>
      <c r="V72"/>
      <c r="W72" s="10"/>
      <c r="X72"/>
      <c r="Y72"/>
      <c r="Z72"/>
      <c r="AA72"/>
      <c r="AB72"/>
      <c r="AC72" s="24"/>
      <c r="AD72"/>
      <c r="AE72" s="8"/>
      <c r="AF72" s="8"/>
    </row>
    <row r="73" spans="2:32" ht="18.75" x14ac:dyDescent="0.3">
      <c r="B73"/>
      <c r="C73"/>
      <c r="D73"/>
      <c r="E73"/>
      <c r="F73"/>
      <c r="G73" s="20" t="str">
        <f>+IF(C73="","",IFERROR(IF(Maestra!A70="#N/D","Log Out",""),"Log Out"))</f>
        <v/>
      </c>
      <c r="H73" s="56" t="str">
        <f>IFERROR(HYPERLINK(VLOOKUP(C73,'Flat Base'!D:J,6,0),"SIG TOOLS"),"")</f>
        <v/>
      </c>
      <c r="I73" s="56" t="str">
        <f>IFERROR(HYPERLINK(VLOOKUP(C73,'Flat Base'!D:J,4,0),"SITE MAP"),"")</f>
        <v/>
      </c>
      <c r="P73"/>
      <c r="Q73"/>
      <c r="R73"/>
      <c r="S73"/>
      <c r="T73"/>
      <c r="U73"/>
      <c r="V73"/>
      <c r="W73" s="10"/>
      <c r="X73"/>
      <c r="Y73"/>
      <c r="Z73"/>
      <c r="AA73"/>
      <c r="AB73"/>
      <c r="AC73" s="24"/>
      <c r="AD73"/>
      <c r="AE73" s="8"/>
      <c r="AF73" s="8"/>
    </row>
    <row r="74" spans="2:32" ht="18.75" x14ac:dyDescent="0.3">
      <c r="B74"/>
      <c r="C74"/>
      <c r="D74"/>
      <c r="E74"/>
      <c r="F74"/>
      <c r="G74" s="20" t="str">
        <f>+IF(C74="","",IFERROR(IF(Maestra!A71="#N/D","Log Out",""),"Log Out"))</f>
        <v/>
      </c>
      <c r="H74" s="56" t="str">
        <f>IFERROR(HYPERLINK(VLOOKUP(C74,'Flat Base'!D:J,6,0),"SIG TOOLS"),"")</f>
        <v/>
      </c>
      <c r="I74" s="56" t="str">
        <f>IFERROR(HYPERLINK(VLOOKUP(C74,'Flat Base'!D:J,4,0),"SITE MAP"),"")</f>
        <v/>
      </c>
      <c r="P74"/>
      <c r="Q74"/>
      <c r="R74"/>
      <c r="S74"/>
      <c r="T74"/>
      <c r="U74"/>
      <c r="V74"/>
      <c r="W74" s="10"/>
      <c r="X74"/>
      <c r="Y74"/>
      <c r="Z74"/>
      <c r="AA74"/>
      <c r="AB74"/>
      <c r="AC74" s="24"/>
      <c r="AD74"/>
      <c r="AE74" s="8"/>
      <c r="AF74" s="8"/>
    </row>
    <row r="75" spans="2:32" ht="18.75" x14ac:dyDescent="0.3">
      <c r="B75"/>
      <c r="C75"/>
      <c r="D75"/>
      <c r="E75"/>
      <c r="F75"/>
      <c r="G75" s="20" t="str">
        <f>+IF(C75="","",IFERROR(IF(Maestra!A72="#N/D","Log Out",""),"Log Out"))</f>
        <v/>
      </c>
      <c r="H75" s="56" t="str">
        <f>IFERROR(HYPERLINK(VLOOKUP(C75,'Flat Base'!D:J,6,0),"SIG TOOLS"),"")</f>
        <v/>
      </c>
      <c r="I75" s="56" t="str">
        <f>IFERROR(HYPERLINK(VLOOKUP(C75,'Flat Base'!D:J,4,0),"SITE MAP"),"")</f>
        <v/>
      </c>
      <c r="P75"/>
      <c r="Q75"/>
      <c r="R75"/>
      <c r="S75"/>
      <c r="T75"/>
      <c r="U75"/>
      <c r="V75"/>
      <c r="W75" s="10"/>
      <c r="X75"/>
      <c r="Y75"/>
      <c r="Z75"/>
      <c r="AA75"/>
      <c r="AB75"/>
      <c r="AC75" s="24"/>
      <c r="AD75"/>
      <c r="AE75" s="8"/>
      <c r="AF75" s="8"/>
    </row>
    <row r="76" spans="2:32" ht="18.75" x14ac:dyDescent="0.3">
      <c r="B76"/>
      <c r="C76"/>
      <c r="D76"/>
      <c r="E76"/>
      <c r="F76"/>
      <c r="G76" s="20" t="str">
        <f>+IF(C76="","",IFERROR(IF(Maestra!A73="#N/D","Log Out",""),"Log Out"))</f>
        <v/>
      </c>
      <c r="H76" s="56" t="str">
        <f>IFERROR(HYPERLINK(VLOOKUP(C76,'Flat Base'!D:J,6,0),"SIG TOOLS"),"")</f>
        <v/>
      </c>
      <c r="I76" s="56" t="str">
        <f>IFERROR(HYPERLINK(VLOOKUP(C76,'Flat Base'!D:J,4,0),"SITE MAP"),"")</f>
        <v/>
      </c>
      <c r="P76"/>
      <c r="Q76"/>
      <c r="R76"/>
      <c r="S76"/>
      <c r="T76"/>
      <c r="U76"/>
      <c r="V76"/>
      <c r="W76" s="10"/>
      <c r="X76"/>
      <c r="Y76"/>
      <c r="Z76"/>
      <c r="AA76"/>
      <c r="AB76"/>
      <c r="AC76" s="24"/>
      <c r="AD76"/>
      <c r="AE76" s="8"/>
      <c r="AF76" s="8"/>
    </row>
    <row r="77" spans="2:32" ht="18.75" x14ac:dyDescent="0.3">
      <c r="B77"/>
      <c r="C77"/>
      <c r="D77"/>
      <c r="E77"/>
      <c r="F77"/>
      <c r="G77" s="20" t="str">
        <f>+IF(C77="","",IFERROR(IF(Maestra!A74="#N/D","Log Out",""),"Log Out"))</f>
        <v/>
      </c>
      <c r="H77" s="56" t="str">
        <f>IFERROR(HYPERLINK(VLOOKUP(C77,'Flat Base'!D:J,6,0),"SIG TOOLS"),"")</f>
        <v/>
      </c>
      <c r="I77" s="56" t="str">
        <f>IFERROR(HYPERLINK(VLOOKUP(C77,'Flat Base'!D:J,4,0),"SITE MAP"),"")</f>
        <v/>
      </c>
      <c r="P77"/>
      <c r="Q77"/>
      <c r="R77"/>
      <c r="S77"/>
      <c r="T77"/>
      <c r="U77"/>
      <c r="V77"/>
      <c r="W77" s="10"/>
      <c r="X77"/>
      <c r="Y77"/>
      <c r="Z77"/>
      <c r="AA77"/>
      <c r="AB77"/>
      <c r="AC77" s="24"/>
      <c r="AD77"/>
      <c r="AE77" s="8"/>
      <c r="AF77" s="8"/>
    </row>
    <row r="78" spans="2:32" ht="18.75" x14ac:dyDescent="0.3">
      <c r="B78"/>
      <c r="C78"/>
      <c r="D78"/>
      <c r="E78"/>
      <c r="F78"/>
      <c r="G78"/>
      <c r="H78"/>
      <c r="P78"/>
      <c r="Q78"/>
      <c r="R78"/>
      <c r="S78"/>
      <c r="T78"/>
      <c r="U78"/>
      <c r="V78"/>
      <c r="W78" s="10"/>
      <c r="X78"/>
      <c r="Y78"/>
      <c r="Z78"/>
      <c r="AA78"/>
      <c r="AB78"/>
      <c r="AC78" s="24"/>
      <c r="AD78"/>
      <c r="AE78" s="8"/>
      <c r="AF78" s="8"/>
    </row>
    <row r="79" spans="2:32" ht="18.75" x14ac:dyDescent="0.3">
      <c r="B79"/>
      <c r="F79"/>
      <c r="G79"/>
      <c r="H79"/>
      <c r="U79"/>
      <c r="V79"/>
      <c r="W79" s="10"/>
      <c r="X79"/>
      <c r="Y79"/>
      <c r="Z79"/>
      <c r="AA79"/>
      <c r="AB79"/>
      <c r="AC79" s="24"/>
      <c r="AD79"/>
      <c r="AE79" s="8"/>
      <c r="AF79" s="8"/>
    </row>
    <row r="80" spans="2:32" ht="18.75" x14ac:dyDescent="0.3">
      <c r="B80"/>
      <c r="F80"/>
      <c r="G80"/>
      <c r="H80"/>
      <c r="U80"/>
      <c r="V80"/>
      <c r="W80" s="10"/>
      <c r="X80"/>
      <c r="Y80"/>
      <c r="Z80"/>
      <c r="AA80"/>
      <c r="AB80"/>
      <c r="AC80" s="24"/>
      <c r="AD80"/>
      <c r="AE80" s="8"/>
      <c r="AF80" s="8"/>
    </row>
  </sheetData>
  <sheetProtection algorithmName="SHA-512" hashValue="gzKFleeveKOybRlVGLgd5EPL6wbvDWXztG2Wa84CbR6k/EpVUZBbI5xFaxkWEdmwa04ujdKkpY+AJWhyLI554A==" saltValue="MuS9TCOGwPxRT2QVH8taLA==" spinCount="100000" sheet="1" formatCells="0" formatColumns="0" autoFilter="0" pivotTables="0"/>
  <mergeCells count="6">
    <mergeCell ref="O3:R5"/>
    <mergeCell ref="H18:I18"/>
    <mergeCell ref="H15:I15"/>
    <mergeCell ref="H16:I16"/>
    <mergeCell ref="A2:C2"/>
    <mergeCell ref="I5:I6"/>
  </mergeCells>
  <conditionalFormatting sqref="C19:C74 L20">
    <cfRule type="expression" dxfId="1757" priority="22">
      <formula>$C$19</formula>
    </cfRule>
  </conditionalFormatting>
  <conditionalFormatting sqref="C19:C6291 W36:W242 AC36:AC242 AD37:AF243">
    <cfRule type="endsWith" dxfId="1756" priority="28" operator="endsWith" text="(NO TOURS)">
      <formula>RIGHT(C19,LEN("(NO TOURS)"))="(NO TOURS)"</formula>
    </cfRule>
  </conditionalFormatting>
  <conditionalFormatting sqref="I14 G18:G77 I39:I6291">
    <cfRule type="cellIs" dxfId="1755" priority="29" operator="equal">
      <formula>"Log Out"</formula>
    </cfRule>
  </conditionalFormatting>
  <conditionalFormatting sqref="L19:L38">
    <cfRule type="endsWith" dxfId="1754" priority="16" operator="endsWith" text="(NO SPEAKERS)">
      <formula>RIGHT(L19,LEN("(NO SPEAKERS)"))="(NO SPEAKERS)"</formula>
    </cfRule>
    <cfRule type="endsWith" dxfId="1753" priority="17" operator="endsWith" text="(NO TOURS)">
      <formula>RIGHT(L19,LEN("(NO TOURS)"))="(NO TOURS)"</formula>
    </cfRule>
  </conditionalFormatting>
  <conditionalFormatting sqref="R36:R245 R246:S253 R254:T315">
    <cfRule type="endsWith" dxfId="1752" priority="23" operator="endsWith" text="(NO SPEAKERS)">
      <formula>RIGHT(R36,LEN("(NO SPEAKERS)"))="(NO SPEAKERS)"</formula>
    </cfRule>
    <cfRule type="endsWith" dxfId="1751" priority="24" operator="endsWith" text="(NO TOURS)">
      <formula>RIGHT(R36,LEN("(NO TOURS)"))="(NO TOURS)"</formula>
    </cfRule>
  </conditionalFormatting>
  <conditionalFormatting sqref="U14:AC14 AF15 AC18:AC6290 AD21:AD26 W25:W242 AD27:AF243">
    <cfRule type="cellIs" dxfId="1750" priority="18" operator="equal">
      <formula>"Log In"</formula>
    </cfRule>
    <cfRule type="endsWith" dxfId="1749" priority="19" operator="endsWith" text="(NO SPEAKERS)">
      <formula>RIGHT(U14,LEN("(NO SPEAKERS)"))="(NO SPEAKERS)"</formula>
    </cfRule>
    <cfRule type="endsWith" dxfId="1748" priority="20" operator="endsWith" text="(NO TOURS)">
      <formula>RIGHT(U14,LEN("(NO TOURS)"))="(NO TOURS)"</formula>
    </cfRule>
  </conditionalFormatting>
  <conditionalFormatting sqref="W36:W75 AC36:AC75 AD37:AF76">
    <cfRule type="cellIs" dxfId="1747" priority="21" operator="equal">
      <formula>"Log In"</formula>
    </cfRule>
  </conditionalFormatting>
  <conditionalFormatting sqref="W36:W242 AC36:AC242 AD37:AF243 C19:C6291">
    <cfRule type="endsWith" dxfId="1746" priority="27" operator="endsWith" text="(NO SPEAKERS)">
      <formula>RIGHT(C19,LEN("(NO SPEAKERS)"))="(NO SPEAKERS)"</formula>
    </cfRule>
  </conditionalFormatting>
  <conditionalFormatting sqref="X36:X245 X246:Y253">
    <cfRule type="endsWith" dxfId="1745" priority="13" operator="endsWith" text="(NO SPEAKERS)">
      <formula>RIGHT(X36,LEN("(NO SPEAKERS)"))="(NO SPEAKERS)"</formula>
    </cfRule>
    <cfRule type="endsWith" dxfId="1744" priority="14" operator="endsWith" text="(NO TOURS)">
      <formula>RIGHT(X36,LEN("(NO TOURS)"))="(NO TOURS)"</formula>
    </cfRule>
  </conditionalFormatting>
  <conditionalFormatting sqref="X15:AB15">
    <cfRule type="cellIs" dxfId="1743" priority="10" operator="equal">
      <formula>"Log In"</formula>
    </cfRule>
    <cfRule type="endsWith" dxfId="1742" priority="11" operator="endsWith" text="(NO SPEAKERS)">
      <formula>RIGHT(X15,LEN("(NO SPEAKERS)"))="(NO SPEAKERS)"</formula>
    </cfRule>
    <cfRule type="endsWith" dxfId="1741" priority="12" operator="endsWith" text="(NO TOURS)">
      <formula>RIGHT(X15,LEN("(NO TOURS)"))="(NO TOURS)"</formula>
    </cfRule>
  </conditionalFormatting>
  <conditionalFormatting sqref="AD11 AD15:AD16">
    <cfRule type="cellIs" dxfId="1740" priority="1" operator="equal">
      <formula>"Log In"</formula>
    </cfRule>
    <cfRule type="endsWith" dxfId="1739" priority="2" operator="endsWith" text="(NO SPEAKERS)">
      <formula>RIGHT(AD11,LEN("(NO SPEAKERS)"))="(NO SPEAKERS)"</formula>
    </cfRule>
    <cfRule type="endsWith" dxfId="1738" priority="3" operator="endsWith" text="(NO TOURS)">
      <formula>RIGHT(AD11,LEN("(NO TOURS)"))="(NO TOURS)"</formula>
    </cfRule>
  </conditionalFormatting>
  <pageMargins left="0.7" right="0.7" top="0.75" bottom="0.75" header="0.3" footer="0.3"/>
  <pageSetup scale="29" orientation="portrait" r:id="rId8"/>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2AABE-53BE-46B5-A36C-CB67AFABE652}">
  <dimension ref="A1:K79"/>
  <sheetViews>
    <sheetView topLeftCell="A9" zoomScale="85" zoomScaleNormal="85" workbookViewId="0">
      <selection activeCell="I20" sqref="I20:J20"/>
    </sheetView>
  </sheetViews>
  <sheetFormatPr defaultColWidth="9.140625" defaultRowHeight="15" x14ac:dyDescent="0.25"/>
  <cols>
    <col min="1" max="1" width="13.42578125" bestFit="1" customWidth="1"/>
    <col min="2" max="2" width="13.7109375" bestFit="1" customWidth="1"/>
    <col min="3" max="3" width="45.28515625" bestFit="1" customWidth="1"/>
    <col min="4" max="4" width="15.85546875" bestFit="1" customWidth="1"/>
    <col min="5" max="5" width="15.42578125" bestFit="1" customWidth="1"/>
    <col min="6" max="6" width="8.28515625" bestFit="1" customWidth="1"/>
    <col min="7" max="7" width="10.85546875" bestFit="1" customWidth="1"/>
    <col min="8" max="8" width="11.28515625" bestFit="1" customWidth="1"/>
    <col min="9" max="9" width="45.28515625" bestFit="1" customWidth="1"/>
    <col min="10" max="10" width="13.5703125" bestFit="1" customWidth="1"/>
    <col min="11" max="11" width="15.42578125" bestFit="1" customWidth="1"/>
  </cols>
  <sheetData>
    <row r="1" spans="1:7" ht="19.5" x14ac:dyDescent="0.25">
      <c r="A1" s="100" t="s">
        <v>46</v>
      </c>
      <c r="B1" s="100"/>
      <c r="C1" s="100"/>
      <c r="D1" s="100"/>
      <c r="E1" s="100"/>
      <c r="F1" s="100"/>
    </row>
    <row r="15" spans="1:7" ht="18.75" x14ac:dyDescent="0.3">
      <c r="A15" s="4" t="s">
        <v>94</v>
      </c>
      <c r="G15" s="7" t="s">
        <v>88</v>
      </c>
    </row>
    <row r="16" spans="1:7" ht="18.75" x14ac:dyDescent="0.3">
      <c r="A16" s="18">
        <v>60</v>
      </c>
      <c r="G16" s="18">
        <f>+COUNTIF('Dynamic Split'!W25:W75,"Log iN")</f>
        <v>0</v>
      </c>
    </row>
    <row r="19" spans="1:11" ht="19.5" x14ac:dyDescent="0.3">
      <c r="A19" s="85" t="s">
        <v>25</v>
      </c>
      <c r="B19" s="86" t="s">
        <v>90</v>
      </c>
      <c r="C19" s="11" t="s">
        <v>27</v>
      </c>
      <c r="D19" s="11" t="s">
        <v>30</v>
      </c>
      <c r="E19" t="s">
        <v>55</v>
      </c>
      <c r="F19" s="12" t="s">
        <v>31</v>
      </c>
      <c r="G19" s="85" t="s">
        <v>25</v>
      </c>
      <c r="H19" s="86" t="s">
        <v>90</v>
      </c>
      <c r="I19" s="11" t="s">
        <v>27</v>
      </c>
      <c r="J19" s="11" t="s">
        <v>30</v>
      </c>
      <c r="K19" t="s">
        <v>55</v>
      </c>
    </row>
    <row r="20" spans="1:11" ht="18.75" x14ac:dyDescent="0.3">
      <c r="A20">
        <v>1</v>
      </c>
      <c r="B20" s="89" t="s">
        <v>62</v>
      </c>
      <c r="C20" s="27" t="s">
        <v>39</v>
      </c>
      <c r="D20" t="s">
        <v>258</v>
      </c>
      <c r="E20">
        <v>1</v>
      </c>
      <c r="F20" s="10" t="str">
        <f>IF('Cambio de Split'!C20="","",IFERROR(IF(Maestra!C16="#N/D","Log In",""),"Log In"))</f>
        <v>Log In</v>
      </c>
      <c r="G20">
        <v>1</v>
      </c>
      <c r="H20" t="s">
        <v>62</v>
      </c>
      <c r="I20" s="27" t="s">
        <v>39</v>
      </c>
      <c r="J20" s="27" t="s">
        <v>258</v>
      </c>
      <c r="K20">
        <v>1</v>
      </c>
    </row>
    <row r="21" spans="1:11" ht="18.75" x14ac:dyDescent="0.3">
      <c r="B21" s="89"/>
      <c r="C21" s="27" t="s">
        <v>368</v>
      </c>
      <c r="D21" t="s">
        <v>258</v>
      </c>
      <c r="E21">
        <v>1</v>
      </c>
      <c r="F21" s="10" t="str">
        <f>IF('Cambio de Split'!C21="","",IFERROR(IF(Maestra!C17="#N/D","Log In",""),"Log In"))</f>
        <v>Log In</v>
      </c>
      <c r="I21" s="27" t="s">
        <v>368</v>
      </c>
      <c r="J21" s="27" t="s">
        <v>258</v>
      </c>
      <c r="K21">
        <v>1</v>
      </c>
    </row>
    <row r="22" spans="1:11" ht="18.75" x14ac:dyDescent="0.3">
      <c r="B22" s="89"/>
      <c r="C22" s="27" t="s">
        <v>218</v>
      </c>
      <c r="D22" t="s">
        <v>258</v>
      </c>
      <c r="E22">
        <v>1</v>
      </c>
      <c r="F22" s="10" t="str">
        <f>IF('Cambio de Split'!C22="","",IFERROR(IF(Maestra!C18="#N/D","Log In",""),"Log In"))</f>
        <v>Log In</v>
      </c>
      <c r="I22" s="27" t="s">
        <v>218</v>
      </c>
      <c r="J22" s="27" t="s">
        <v>258</v>
      </c>
      <c r="K22">
        <v>1</v>
      </c>
    </row>
    <row r="23" spans="1:11" ht="18.75" x14ac:dyDescent="0.3">
      <c r="B23" s="89"/>
      <c r="C23" s="27" t="s">
        <v>212</v>
      </c>
      <c r="D23" t="s">
        <v>258</v>
      </c>
      <c r="E23">
        <v>1</v>
      </c>
      <c r="F23" s="10" t="str">
        <f>IF('Cambio de Split'!C23="","",IFERROR(IF(Maestra!C19="#N/D","Log In",""),"Log In"))</f>
        <v>Log In</v>
      </c>
      <c r="I23" s="27" t="s">
        <v>212</v>
      </c>
      <c r="J23" s="27" t="s">
        <v>258</v>
      </c>
      <c r="K23">
        <v>1</v>
      </c>
    </row>
    <row r="24" spans="1:11" ht="18.75" x14ac:dyDescent="0.3">
      <c r="B24" s="89"/>
      <c r="C24" s="27" t="s">
        <v>446</v>
      </c>
      <c r="D24" t="s">
        <v>258</v>
      </c>
      <c r="E24">
        <v>1</v>
      </c>
      <c r="F24" s="10" t="str">
        <f>IF('Cambio de Split'!C24="","",IFERROR(IF(Maestra!C20="#N/D","Log In",""),"Log In"))</f>
        <v>Log In</v>
      </c>
      <c r="I24" s="27" t="s">
        <v>446</v>
      </c>
      <c r="J24" s="27" t="s">
        <v>258</v>
      </c>
      <c r="K24">
        <v>1</v>
      </c>
    </row>
    <row r="25" spans="1:11" ht="18.75" x14ac:dyDescent="0.3">
      <c r="B25" s="89"/>
      <c r="C25" t="s">
        <v>121</v>
      </c>
      <c r="D25" t="s">
        <v>258</v>
      </c>
      <c r="E25">
        <v>1</v>
      </c>
      <c r="F25" s="10" t="str">
        <f>IF('Dynamic Split'!T24="","",IFERROR(IF(Maestra!C21="#N/D","Log In",""),"Log In"))</f>
        <v>Log In</v>
      </c>
      <c r="I25" t="s">
        <v>121</v>
      </c>
      <c r="J25" t="s">
        <v>258</v>
      </c>
      <c r="K25">
        <v>1</v>
      </c>
    </row>
    <row r="26" spans="1:11" ht="18.75" x14ac:dyDescent="0.3">
      <c r="B26" s="89"/>
      <c r="C26" t="s">
        <v>124</v>
      </c>
      <c r="D26" t="s">
        <v>283</v>
      </c>
      <c r="E26">
        <v>1</v>
      </c>
      <c r="I26" t="s">
        <v>124</v>
      </c>
      <c r="J26" t="s">
        <v>283</v>
      </c>
      <c r="K26">
        <v>1</v>
      </c>
    </row>
    <row r="27" spans="1:11" ht="18.75" x14ac:dyDescent="0.3">
      <c r="B27" s="89"/>
      <c r="C27" t="s">
        <v>306</v>
      </c>
      <c r="D27" t="s">
        <v>72</v>
      </c>
      <c r="E27">
        <v>1</v>
      </c>
      <c r="I27" t="s">
        <v>306</v>
      </c>
      <c r="J27" t="s">
        <v>72</v>
      </c>
      <c r="K27">
        <v>1</v>
      </c>
    </row>
    <row r="28" spans="1:11" ht="18.75" x14ac:dyDescent="0.3">
      <c r="B28" s="90" t="s">
        <v>63</v>
      </c>
      <c r="C28" t="s">
        <v>122</v>
      </c>
      <c r="D28" t="s">
        <v>258</v>
      </c>
      <c r="E28" s="88">
        <v>1</v>
      </c>
      <c r="H28" t="s">
        <v>63</v>
      </c>
      <c r="I28" t="s">
        <v>122</v>
      </c>
      <c r="J28" t="s">
        <v>258</v>
      </c>
      <c r="K28">
        <v>1</v>
      </c>
    </row>
    <row r="29" spans="1:11" ht="18.75" x14ac:dyDescent="0.3">
      <c r="B29" s="90"/>
      <c r="C29" t="s">
        <v>151</v>
      </c>
      <c r="D29" t="s">
        <v>258</v>
      </c>
      <c r="E29" s="88">
        <v>1</v>
      </c>
      <c r="I29" t="s">
        <v>151</v>
      </c>
      <c r="J29" t="s">
        <v>258</v>
      </c>
      <c r="K29">
        <v>1</v>
      </c>
    </row>
    <row r="30" spans="1:11" ht="18.75" x14ac:dyDescent="0.3">
      <c r="B30" s="90"/>
      <c r="C30" t="s">
        <v>236</v>
      </c>
      <c r="D30" t="s">
        <v>258</v>
      </c>
      <c r="E30" s="88">
        <v>1</v>
      </c>
      <c r="I30" t="s">
        <v>236</v>
      </c>
      <c r="J30" t="s">
        <v>258</v>
      </c>
      <c r="K30">
        <v>1</v>
      </c>
    </row>
    <row r="31" spans="1:11" ht="18.75" x14ac:dyDescent="0.3">
      <c r="B31" s="90"/>
      <c r="C31" t="s">
        <v>237</v>
      </c>
      <c r="D31" t="s">
        <v>258</v>
      </c>
      <c r="E31" s="88">
        <v>1</v>
      </c>
      <c r="I31" t="s">
        <v>237</v>
      </c>
      <c r="J31" t="s">
        <v>258</v>
      </c>
      <c r="K31">
        <v>1</v>
      </c>
    </row>
    <row r="32" spans="1:11" ht="18.75" x14ac:dyDescent="0.3">
      <c r="B32" s="90"/>
      <c r="C32" t="s">
        <v>288</v>
      </c>
      <c r="D32" t="s">
        <v>258</v>
      </c>
      <c r="E32" s="88">
        <v>1</v>
      </c>
      <c r="I32" t="s">
        <v>288</v>
      </c>
      <c r="J32" t="s">
        <v>258</v>
      </c>
      <c r="K32">
        <v>1</v>
      </c>
    </row>
    <row r="33" spans="2:11" ht="18.75" x14ac:dyDescent="0.3">
      <c r="B33" s="90"/>
      <c r="C33" t="s">
        <v>357</v>
      </c>
      <c r="D33" t="s">
        <v>258</v>
      </c>
      <c r="E33" s="88">
        <v>1</v>
      </c>
      <c r="I33" t="s">
        <v>357</v>
      </c>
      <c r="J33" t="s">
        <v>258</v>
      </c>
      <c r="K33">
        <v>1</v>
      </c>
    </row>
    <row r="34" spans="2:11" ht="18.75" x14ac:dyDescent="0.3">
      <c r="B34" s="90"/>
      <c r="C34" t="s">
        <v>372</v>
      </c>
      <c r="D34" t="s">
        <v>258</v>
      </c>
      <c r="E34" s="88">
        <v>1</v>
      </c>
      <c r="I34" t="s">
        <v>372</v>
      </c>
      <c r="J34" t="s">
        <v>258</v>
      </c>
      <c r="K34">
        <v>1</v>
      </c>
    </row>
    <row r="35" spans="2:11" ht="18.75" x14ac:dyDescent="0.3">
      <c r="B35" s="90"/>
      <c r="C35" t="s">
        <v>373</v>
      </c>
      <c r="D35" t="s">
        <v>258</v>
      </c>
      <c r="E35" s="88">
        <v>1</v>
      </c>
      <c r="I35" t="s">
        <v>373</v>
      </c>
      <c r="J35" t="s">
        <v>258</v>
      </c>
      <c r="K35">
        <v>1</v>
      </c>
    </row>
    <row r="36" spans="2:11" ht="18.75" x14ac:dyDescent="0.3">
      <c r="B36" s="90"/>
      <c r="C36" t="s">
        <v>374</v>
      </c>
      <c r="D36" t="s">
        <v>258</v>
      </c>
      <c r="E36" s="88">
        <v>1</v>
      </c>
      <c r="I36" t="s">
        <v>374</v>
      </c>
      <c r="J36" t="s">
        <v>258</v>
      </c>
      <c r="K36">
        <v>1</v>
      </c>
    </row>
    <row r="37" spans="2:11" ht="18.75" x14ac:dyDescent="0.3">
      <c r="B37" s="90"/>
      <c r="C37" t="s">
        <v>375</v>
      </c>
      <c r="D37" t="s">
        <v>258</v>
      </c>
      <c r="E37" s="88">
        <v>1</v>
      </c>
      <c r="I37" t="s">
        <v>375</v>
      </c>
      <c r="J37" t="s">
        <v>258</v>
      </c>
      <c r="K37">
        <v>1</v>
      </c>
    </row>
    <row r="38" spans="2:11" ht="18.75" x14ac:dyDescent="0.3">
      <c r="B38" s="90"/>
      <c r="C38" t="s">
        <v>376</v>
      </c>
      <c r="D38" t="s">
        <v>258</v>
      </c>
      <c r="E38" s="88">
        <v>1</v>
      </c>
      <c r="I38" t="s">
        <v>376</v>
      </c>
      <c r="J38" t="s">
        <v>258</v>
      </c>
      <c r="K38">
        <v>1</v>
      </c>
    </row>
    <row r="39" spans="2:11" ht="18.75" x14ac:dyDescent="0.3">
      <c r="B39" s="90"/>
      <c r="C39" t="s">
        <v>377</v>
      </c>
      <c r="D39" t="s">
        <v>258</v>
      </c>
      <c r="E39" s="88">
        <v>1</v>
      </c>
      <c r="I39" t="s">
        <v>377</v>
      </c>
      <c r="J39" t="s">
        <v>258</v>
      </c>
      <c r="K39">
        <v>1</v>
      </c>
    </row>
    <row r="40" spans="2:11" ht="18.75" x14ac:dyDescent="0.3">
      <c r="B40" s="90"/>
      <c r="C40" t="s">
        <v>384</v>
      </c>
      <c r="D40" t="s">
        <v>258</v>
      </c>
      <c r="E40" s="88">
        <v>1</v>
      </c>
      <c r="I40" t="s">
        <v>384</v>
      </c>
      <c r="J40" t="s">
        <v>258</v>
      </c>
      <c r="K40">
        <v>1</v>
      </c>
    </row>
    <row r="41" spans="2:11" ht="18.75" x14ac:dyDescent="0.3">
      <c r="B41" s="90"/>
      <c r="C41" t="s">
        <v>379</v>
      </c>
      <c r="D41" t="s">
        <v>258</v>
      </c>
      <c r="E41" s="88">
        <v>1</v>
      </c>
      <c r="I41" t="s">
        <v>379</v>
      </c>
      <c r="J41" t="s">
        <v>258</v>
      </c>
      <c r="K41">
        <v>1</v>
      </c>
    </row>
    <row r="42" spans="2:11" ht="18.75" x14ac:dyDescent="0.3">
      <c r="B42" s="90"/>
      <c r="C42" t="s">
        <v>380</v>
      </c>
      <c r="D42" t="s">
        <v>258</v>
      </c>
      <c r="E42" s="88">
        <v>1</v>
      </c>
      <c r="I42" t="s">
        <v>380</v>
      </c>
      <c r="J42" t="s">
        <v>258</v>
      </c>
      <c r="K42">
        <v>1</v>
      </c>
    </row>
    <row r="43" spans="2:11" ht="18.75" x14ac:dyDescent="0.3">
      <c r="B43" s="90"/>
      <c r="C43" t="s">
        <v>381</v>
      </c>
      <c r="D43" t="s">
        <v>258</v>
      </c>
      <c r="E43" s="88">
        <v>1</v>
      </c>
      <c r="I43" t="s">
        <v>381</v>
      </c>
      <c r="J43" t="s">
        <v>258</v>
      </c>
      <c r="K43">
        <v>1</v>
      </c>
    </row>
    <row r="44" spans="2:11" ht="18.75" x14ac:dyDescent="0.3">
      <c r="B44" s="90"/>
      <c r="C44" t="s">
        <v>382</v>
      </c>
      <c r="D44" t="s">
        <v>258</v>
      </c>
      <c r="E44" s="88">
        <v>1</v>
      </c>
      <c r="I44" t="s">
        <v>382</v>
      </c>
      <c r="J44" t="s">
        <v>258</v>
      </c>
      <c r="K44">
        <v>1</v>
      </c>
    </row>
    <row r="45" spans="2:11" ht="18.75" x14ac:dyDescent="0.3">
      <c r="B45" s="90"/>
      <c r="C45" t="s">
        <v>385</v>
      </c>
      <c r="D45" t="s">
        <v>258</v>
      </c>
      <c r="E45" s="88">
        <v>1</v>
      </c>
      <c r="I45" t="s">
        <v>385</v>
      </c>
      <c r="J45" t="s">
        <v>258</v>
      </c>
      <c r="K45">
        <v>1</v>
      </c>
    </row>
    <row r="46" spans="2:11" ht="18.75" x14ac:dyDescent="0.3">
      <c r="B46" s="90"/>
      <c r="C46" t="s">
        <v>386</v>
      </c>
      <c r="D46" t="s">
        <v>258</v>
      </c>
      <c r="E46" s="88">
        <v>1</v>
      </c>
      <c r="I46" t="s">
        <v>386</v>
      </c>
      <c r="J46" t="s">
        <v>258</v>
      </c>
      <c r="K46">
        <v>1</v>
      </c>
    </row>
    <row r="47" spans="2:11" ht="18.75" x14ac:dyDescent="0.3">
      <c r="B47" s="90"/>
      <c r="C47" t="s">
        <v>389</v>
      </c>
      <c r="D47" t="s">
        <v>258</v>
      </c>
      <c r="E47" s="88">
        <v>1</v>
      </c>
      <c r="I47" t="s">
        <v>389</v>
      </c>
      <c r="J47" t="s">
        <v>258</v>
      </c>
      <c r="K47">
        <v>1</v>
      </c>
    </row>
    <row r="48" spans="2:11" ht="18.75" x14ac:dyDescent="0.3">
      <c r="B48" s="90"/>
      <c r="C48" t="s">
        <v>406</v>
      </c>
      <c r="D48" t="s">
        <v>258</v>
      </c>
      <c r="E48" s="88">
        <v>1</v>
      </c>
      <c r="I48" t="s">
        <v>406</v>
      </c>
      <c r="J48" t="s">
        <v>258</v>
      </c>
      <c r="K48">
        <v>1</v>
      </c>
    </row>
    <row r="49" spans="2:11" ht="18.75" x14ac:dyDescent="0.3">
      <c r="B49" s="90"/>
      <c r="C49" t="s">
        <v>407</v>
      </c>
      <c r="D49" t="s">
        <v>258</v>
      </c>
      <c r="E49" s="88">
        <v>1</v>
      </c>
      <c r="I49" t="s">
        <v>407</v>
      </c>
      <c r="J49" t="s">
        <v>258</v>
      </c>
      <c r="K49">
        <v>1</v>
      </c>
    </row>
    <row r="50" spans="2:11" ht="18.75" x14ac:dyDescent="0.3">
      <c r="B50" s="90"/>
      <c r="C50" t="s">
        <v>408</v>
      </c>
      <c r="D50" t="s">
        <v>258</v>
      </c>
      <c r="E50" s="88">
        <v>1</v>
      </c>
      <c r="I50" t="s">
        <v>408</v>
      </c>
      <c r="J50" t="s">
        <v>258</v>
      </c>
      <c r="K50">
        <v>1</v>
      </c>
    </row>
    <row r="51" spans="2:11" ht="18.75" x14ac:dyDescent="0.3">
      <c r="B51" s="90"/>
      <c r="C51" t="s">
        <v>415</v>
      </c>
      <c r="D51" t="s">
        <v>258</v>
      </c>
      <c r="E51" s="88">
        <v>1</v>
      </c>
      <c r="I51" t="s">
        <v>415</v>
      </c>
      <c r="J51" t="s">
        <v>258</v>
      </c>
      <c r="K51">
        <v>1</v>
      </c>
    </row>
    <row r="52" spans="2:11" ht="18.75" x14ac:dyDescent="0.3">
      <c r="B52" s="90"/>
      <c r="C52" t="s">
        <v>416</v>
      </c>
      <c r="D52" t="s">
        <v>258</v>
      </c>
      <c r="E52" s="88">
        <v>1</v>
      </c>
      <c r="I52" t="s">
        <v>416</v>
      </c>
      <c r="J52" t="s">
        <v>258</v>
      </c>
      <c r="K52">
        <v>1</v>
      </c>
    </row>
    <row r="53" spans="2:11" ht="18.75" x14ac:dyDescent="0.3">
      <c r="B53" s="90"/>
      <c r="C53" t="s">
        <v>421</v>
      </c>
      <c r="D53" t="s">
        <v>258</v>
      </c>
      <c r="E53" s="88">
        <v>1</v>
      </c>
      <c r="I53" t="s">
        <v>421</v>
      </c>
      <c r="J53" t="s">
        <v>258</v>
      </c>
      <c r="K53">
        <v>1</v>
      </c>
    </row>
    <row r="54" spans="2:11" ht="18.75" x14ac:dyDescent="0.3">
      <c r="B54" s="90"/>
      <c r="C54" t="s">
        <v>426</v>
      </c>
      <c r="D54" t="s">
        <v>258</v>
      </c>
      <c r="E54" s="88">
        <v>1</v>
      </c>
      <c r="I54" t="s">
        <v>426</v>
      </c>
      <c r="J54" t="s">
        <v>258</v>
      </c>
      <c r="K54">
        <v>1</v>
      </c>
    </row>
    <row r="55" spans="2:11" ht="18.75" x14ac:dyDescent="0.3">
      <c r="B55" s="90"/>
      <c r="C55" t="s">
        <v>431</v>
      </c>
      <c r="D55" t="s">
        <v>258</v>
      </c>
      <c r="E55" s="88">
        <v>1</v>
      </c>
      <c r="I55" t="s">
        <v>431</v>
      </c>
      <c r="J55" t="s">
        <v>258</v>
      </c>
      <c r="K55">
        <v>1</v>
      </c>
    </row>
    <row r="56" spans="2:11" ht="18.75" x14ac:dyDescent="0.3">
      <c r="B56" s="90"/>
      <c r="C56" t="s">
        <v>447</v>
      </c>
      <c r="D56" t="s">
        <v>258</v>
      </c>
      <c r="E56" s="88">
        <v>1</v>
      </c>
      <c r="I56" t="s">
        <v>447</v>
      </c>
      <c r="J56" t="s">
        <v>258</v>
      </c>
      <c r="K56">
        <v>1</v>
      </c>
    </row>
    <row r="57" spans="2:11" ht="18.75" x14ac:dyDescent="0.3">
      <c r="B57" s="90"/>
      <c r="C57" t="s">
        <v>452</v>
      </c>
      <c r="D57" t="s">
        <v>258</v>
      </c>
      <c r="E57" s="88">
        <v>1</v>
      </c>
      <c r="I57" t="s">
        <v>452</v>
      </c>
      <c r="J57" t="s">
        <v>258</v>
      </c>
      <c r="K57">
        <v>1</v>
      </c>
    </row>
    <row r="58" spans="2:11" ht="18.75" x14ac:dyDescent="0.3">
      <c r="B58" s="90" t="s">
        <v>65</v>
      </c>
      <c r="C58" s="27" t="s">
        <v>18</v>
      </c>
      <c r="D58" t="s">
        <v>72</v>
      </c>
      <c r="E58" s="88">
        <v>1</v>
      </c>
      <c r="H58" t="s">
        <v>65</v>
      </c>
      <c r="I58" s="27" t="s">
        <v>18</v>
      </c>
      <c r="J58" s="27" t="s">
        <v>72</v>
      </c>
      <c r="K58">
        <v>1</v>
      </c>
    </row>
    <row r="59" spans="2:11" ht="18.75" x14ac:dyDescent="0.3">
      <c r="B59" s="90"/>
      <c r="C59" s="27" t="s">
        <v>125</v>
      </c>
      <c r="D59" t="s">
        <v>72</v>
      </c>
      <c r="E59" s="88">
        <v>1</v>
      </c>
      <c r="I59" s="27" t="s">
        <v>125</v>
      </c>
      <c r="J59" s="27" t="s">
        <v>72</v>
      </c>
      <c r="K59">
        <v>1</v>
      </c>
    </row>
    <row r="60" spans="2:11" ht="18.75" x14ac:dyDescent="0.3">
      <c r="B60" s="90"/>
      <c r="C60" s="27" t="s">
        <v>240</v>
      </c>
      <c r="D60" t="s">
        <v>72</v>
      </c>
      <c r="E60" s="88">
        <v>1</v>
      </c>
      <c r="I60" t="s">
        <v>240</v>
      </c>
      <c r="J60" s="27" t="s">
        <v>72</v>
      </c>
      <c r="K60">
        <v>1</v>
      </c>
    </row>
    <row r="61" spans="2:11" ht="18.75" x14ac:dyDescent="0.3">
      <c r="B61" s="90"/>
      <c r="C61" t="s">
        <v>127</v>
      </c>
      <c r="D61" t="s">
        <v>72</v>
      </c>
      <c r="E61" s="88">
        <v>1</v>
      </c>
      <c r="I61" t="s">
        <v>127</v>
      </c>
      <c r="J61" t="s">
        <v>72</v>
      </c>
      <c r="K61">
        <v>1</v>
      </c>
    </row>
    <row r="62" spans="2:11" ht="18.75" x14ac:dyDescent="0.3">
      <c r="B62" s="90"/>
      <c r="C62" t="s">
        <v>128</v>
      </c>
      <c r="D62" t="s">
        <v>260</v>
      </c>
      <c r="E62" s="88">
        <v>1</v>
      </c>
      <c r="I62" t="s">
        <v>128</v>
      </c>
      <c r="J62" t="s">
        <v>260</v>
      </c>
      <c r="K62">
        <v>1</v>
      </c>
    </row>
    <row r="63" spans="2:11" ht="18.75" x14ac:dyDescent="0.3">
      <c r="B63" s="90"/>
      <c r="C63" t="s">
        <v>129</v>
      </c>
      <c r="D63" t="s">
        <v>72</v>
      </c>
      <c r="E63" s="88">
        <v>1</v>
      </c>
      <c r="I63" t="s">
        <v>129</v>
      </c>
      <c r="J63" t="s">
        <v>72</v>
      </c>
      <c r="K63">
        <v>1</v>
      </c>
    </row>
    <row r="64" spans="2:11" ht="18.75" x14ac:dyDescent="0.3">
      <c r="B64" s="90"/>
      <c r="C64" t="s">
        <v>249</v>
      </c>
      <c r="D64" t="s">
        <v>72</v>
      </c>
      <c r="E64" s="88">
        <v>1</v>
      </c>
      <c r="I64" t="s">
        <v>249</v>
      </c>
      <c r="J64" t="s">
        <v>72</v>
      </c>
      <c r="K64">
        <v>1</v>
      </c>
    </row>
    <row r="65" spans="2:11" ht="18.75" x14ac:dyDescent="0.3">
      <c r="B65" s="90"/>
      <c r="C65" t="s">
        <v>255</v>
      </c>
      <c r="D65" t="s">
        <v>72</v>
      </c>
      <c r="E65" s="88">
        <v>1</v>
      </c>
      <c r="I65" t="s">
        <v>255</v>
      </c>
      <c r="J65" t="s">
        <v>72</v>
      </c>
      <c r="K65">
        <v>1</v>
      </c>
    </row>
    <row r="66" spans="2:11" ht="18.75" x14ac:dyDescent="0.3">
      <c r="B66" s="90"/>
      <c r="C66" t="s">
        <v>264</v>
      </c>
      <c r="D66" t="s">
        <v>72</v>
      </c>
      <c r="E66" s="88">
        <v>1</v>
      </c>
      <c r="I66" t="s">
        <v>264</v>
      </c>
      <c r="J66" t="s">
        <v>72</v>
      </c>
      <c r="K66">
        <v>1</v>
      </c>
    </row>
    <row r="67" spans="2:11" ht="18.75" x14ac:dyDescent="0.3">
      <c r="B67" s="90"/>
      <c r="C67" t="s">
        <v>284</v>
      </c>
      <c r="D67" t="s">
        <v>72</v>
      </c>
      <c r="E67" s="88">
        <v>1</v>
      </c>
      <c r="I67" t="s">
        <v>284</v>
      </c>
      <c r="J67" t="s">
        <v>72</v>
      </c>
      <c r="K67">
        <v>1</v>
      </c>
    </row>
    <row r="68" spans="2:11" ht="18.75" x14ac:dyDescent="0.3">
      <c r="B68" s="90"/>
      <c r="C68" t="s">
        <v>378</v>
      </c>
      <c r="D68" t="s">
        <v>72</v>
      </c>
      <c r="E68" s="88">
        <v>1</v>
      </c>
      <c r="I68" t="s">
        <v>378</v>
      </c>
      <c r="J68" t="s">
        <v>72</v>
      </c>
      <c r="K68">
        <v>1</v>
      </c>
    </row>
    <row r="69" spans="2:11" ht="18.75" x14ac:dyDescent="0.3">
      <c r="B69" s="90"/>
      <c r="C69" t="s">
        <v>396</v>
      </c>
      <c r="D69" t="s">
        <v>72</v>
      </c>
      <c r="E69" s="88">
        <v>1</v>
      </c>
      <c r="I69" t="s">
        <v>396</v>
      </c>
      <c r="J69" t="s">
        <v>72</v>
      </c>
      <c r="K69">
        <v>1</v>
      </c>
    </row>
    <row r="70" spans="2:11" ht="18.75" x14ac:dyDescent="0.3">
      <c r="B70" s="90"/>
      <c r="C70" t="s">
        <v>436</v>
      </c>
      <c r="D70" t="s">
        <v>72</v>
      </c>
      <c r="E70" s="88">
        <v>1</v>
      </c>
      <c r="I70" t="s">
        <v>436</v>
      </c>
      <c r="J70" t="s">
        <v>72</v>
      </c>
      <c r="K70">
        <v>1</v>
      </c>
    </row>
    <row r="71" spans="2:11" ht="18.75" x14ac:dyDescent="0.3">
      <c r="B71" s="90"/>
      <c r="C71" t="s">
        <v>456</v>
      </c>
      <c r="D71" t="s">
        <v>283</v>
      </c>
      <c r="E71" s="88">
        <v>1</v>
      </c>
      <c r="I71" t="s">
        <v>456</v>
      </c>
      <c r="J71" t="s">
        <v>283</v>
      </c>
      <c r="K71">
        <v>1</v>
      </c>
    </row>
    <row r="72" spans="2:11" ht="18.75" x14ac:dyDescent="0.3">
      <c r="B72" s="89" t="s">
        <v>66</v>
      </c>
      <c r="C72" t="s">
        <v>217</v>
      </c>
      <c r="D72" t="s">
        <v>70</v>
      </c>
      <c r="E72" s="87">
        <v>1</v>
      </c>
      <c r="H72" t="s">
        <v>66</v>
      </c>
      <c r="I72" t="s">
        <v>217</v>
      </c>
      <c r="J72" t="s">
        <v>70</v>
      </c>
      <c r="K72">
        <v>1</v>
      </c>
    </row>
    <row r="73" spans="2:11" ht="18.75" x14ac:dyDescent="0.3">
      <c r="B73" s="90" t="s">
        <v>67</v>
      </c>
      <c r="C73" s="27" t="s">
        <v>14</v>
      </c>
      <c r="D73" t="s">
        <v>73</v>
      </c>
      <c r="E73" s="88">
        <v>1</v>
      </c>
      <c r="H73" t="s">
        <v>67</v>
      </c>
      <c r="I73" s="27" t="s">
        <v>14</v>
      </c>
      <c r="J73" s="27" t="s">
        <v>73</v>
      </c>
      <c r="K73">
        <v>1</v>
      </c>
    </row>
    <row r="74" spans="2:11" ht="18.75" x14ac:dyDescent="0.3">
      <c r="B74" s="90"/>
      <c r="C74" t="s">
        <v>130</v>
      </c>
      <c r="D74" t="s">
        <v>73</v>
      </c>
      <c r="E74" s="88">
        <v>1</v>
      </c>
      <c r="I74" t="s">
        <v>130</v>
      </c>
      <c r="J74" t="s">
        <v>73</v>
      </c>
      <c r="K74">
        <v>1</v>
      </c>
    </row>
    <row r="75" spans="2:11" ht="18.75" x14ac:dyDescent="0.3">
      <c r="B75" s="90"/>
      <c r="C75" t="s">
        <v>300</v>
      </c>
      <c r="D75" t="s">
        <v>73</v>
      </c>
      <c r="E75" s="88">
        <v>1</v>
      </c>
      <c r="I75" t="s">
        <v>300</v>
      </c>
      <c r="J75" t="s">
        <v>73</v>
      </c>
      <c r="K75">
        <v>1</v>
      </c>
    </row>
    <row r="76" spans="2:11" x14ac:dyDescent="0.25">
      <c r="B76" t="s">
        <v>123</v>
      </c>
      <c r="C76" t="s">
        <v>100</v>
      </c>
      <c r="D76" t="s">
        <v>96</v>
      </c>
      <c r="E76">
        <v>1</v>
      </c>
      <c r="H76" t="s">
        <v>123</v>
      </c>
      <c r="I76" t="s">
        <v>100</v>
      </c>
      <c r="J76" t="s">
        <v>96</v>
      </c>
      <c r="K76">
        <v>1</v>
      </c>
    </row>
    <row r="77" spans="2:11" x14ac:dyDescent="0.25">
      <c r="C77" t="s">
        <v>120</v>
      </c>
      <c r="D77" t="s">
        <v>96</v>
      </c>
      <c r="E77">
        <v>1</v>
      </c>
      <c r="I77" t="s">
        <v>120</v>
      </c>
      <c r="J77" t="s">
        <v>96</v>
      </c>
      <c r="K77">
        <v>1</v>
      </c>
    </row>
    <row r="78" spans="2:11" x14ac:dyDescent="0.25">
      <c r="B78" t="s">
        <v>259</v>
      </c>
      <c r="C78" t="s">
        <v>126</v>
      </c>
      <c r="D78" t="s">
        <v>258</v>
      </c>
      <c r="E78">
        <v>1</v>
      </c>
      <c r="H78" t="s">
        <v>259</v>
      </c>
      <c r="I78" t="s">
        <v>126</v>
      </c>
      <c r="J78" t="s">
        <v>258</v>
      </c>
      <c r="K78">
        <v>1</v>
      </c>
    </row>
    <row r="79" spans="2:11" x14ac:dyDescent="0.25">
      <c r="C79" t="s">
        <v>274</v>
      </c>
      <c r="D79" t="s">
        <v>72</v>
      </c>
      <c r="E79">
        <v>1</v>
      </c>
      <c r="I79" t="s">
        <v>274</v>
      </c>
      <c r="J79" t="s">
        <v>72</v>
      </c>
      <c r="K79">
        <v>1</v>
      </c>
    </row>
  </sheetData>
  <mergeCells count="1">
    <mergeCell ref="A1:F1"/>
  </mergeCells>
  <conditionalFormatting sqref="D19:E19">
    <cfRule type="cellIs" dxfId="1737" priority="10" operator="equal">
      <formula>"Log In"</formula>
    </cfRule>
    <cfRule type="endsWith" dxfId="1736" priority="11" operator="endsWith" text="(NO SPEAKERS)">
      <formula>RIGHT(D19,LEN("(NO SPEAKERS)"))="(NO SPEAKERS)"</formula>
    </cfRule>
    <cfRule type="endsWith" dxfId="1735" priority="12" operator="endsWith" text="(NO TOURS)">
      <formula>RIGHT(D19,LEN("(NO TOURS)"))="(NO TOURS)"</formula>
    </cfRule>
  </conditionalFormatting>
  <conditionalFormatting sqref="F19:F25">
    <cfRule type="cellIs" dxfId="1734" priority="1" operator="equal">
      <formula>"Log In"</formula>
    </cfRule>
    <cfRule type="endsWith" dxfId="1733" priority="2" operator="endsWith" text="(NO SPEAKERS)">
      <formula>RIGHT(F19,LEN("(NO SPEAKERS)"))="(NO SPEAKERS)"</formula>
    </cfRule>
    <cfRule type="endsWith" dxfId="1732" priority="3" operator="endsWith" text="(NO TOURS)">
      <formula>RIGHT(F19,LEN("(NO TOURS)"))="(NO TOURS)"</formula>
    </cfRule>
  </conditionalFormatting>
  <conditionalFormatting sqref="J19:K19">
    <cfRule type="cellIs" dxfId="1731" priority="4" operator="equal">
      <formula>"Log In"</formula>
    </cfRule>
    <cfRule type="endsWith" dxfId="1730" priority="5" operator="endsWith" text="(NO SPEAKERS)">
      <formula>RIGHT(J19,LEN("(NO SPEAKERS)"))="(NO SPEAKERS)"</formula>
    </cfRule>
    <cfRule type="endsWith" dxfId="1729" priority="6" operator="endsWith" text="(NO TOURS)">
      <formula>RIGHT(J19,LEN("(NO TOURS)"))="(NO TOURS)"</formula>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64F1F-2084-4088-BE18-1F9B8FDC4F13}">
  <dimension ref="A16:C72"/>
  <sheetViews>
    <sheetView workbookViewId="0">
      <selection activeCell="A32" sqref="A32"/>
    </sheetView>
  </sheetViews>
  <sheetFormatPr defaultColWidth="11.5703125" defaultRowHeight="15" x14ac:dyDescent="0.25"/>
  <cols>
    <col min="1" max="1" width="51" bestFit="1" customWidth="1"/>
    <col min="3" max="3" width="51" bestFit="1" customWidth="1"/>
  </cols>
  <sheetData>
    <row r="16" spans="1:3" x14ac:dyDescent="0.25">
      <c r="A16" t="e">
        <f>+VLOOKUP('Dynamic Split'!C19,'Dynamic Split'!T:T,1,0)</f>
        <v>#N/A</v>
      </c>
      <c r="C16" t="e">
        <f>VLOOKUP('Cambio de Split'!C20,'Dynamic Split'!C:C,1,0)</f>
        <v>#N/A</v>
      </c>
    </row>
    <row r="17" spans="1:3" x14ac:dyDescent="0.25">
      <c r="A17" t="e">
        <f>+VLOOKUP('Dynamic Split'!C20,'Dynamic Split'!T:T,1,0)</f>
        <v>#N/A</v>
      </c>
      <c r="C17" t="e">
        <f>VLOOKUP('Cambio de Split'!C21,'Dynamic Split'!C:C,1,0)</f>
        <v>#N/A</v>
      </c>
    </row>
    <row r="18" spans="1:3" x14ac:dyDescent="0.25">
      <c r="A18" t="e">
        <f>+VLOOKUP('Dynamic Split'!C21,'Dynamic Split'!T:T,1,0)</f>
        <v>#N/A</v>
      </c>
      <c r="C18" t="e">
        <f>VLOOKUP('Cambio de Split'!C22,'Dynamic Split'!C:C,1,0)</f>
        <v>#N/A</v>
      </c>
    </row>
    <row r="19" spans="1:3" x14ac:dyDescent="0.25">
      <c r="A19" t="e">
        <f>+VLOOKUP('Dynamic Split'!C22,'Dynamic Split'!T:T,1,0)</f>
        <v>#N/A</v>
      </c>
      <c r="C19" t="e">
        <f>VLOOKUP('Cambio de Split'!C23,'Dynamic Split'!C:C,1,0)</f>
        <v>#N/A</v>
      </c>
    </row>
    <row r="20" spans="1:3" x14ac:dyDescent="0.25">
      <c r="A20" t="e">
        <f>+VLOOKUP('Dynamic Split'!C23,'Dynamic Split'!T:T,1,0)</f>
        <v>#N/A</v>
      </c>
      <c r="C20" t="e">
        <f>VLOOKUP('Cambio de Split'!C24,'Dynamic Split'!C:C,1,0)</f>
        <v>#N/A</v>
      </c>
    </row>
    <row r="21" spans="1:3" x14ac:dyDescent="0.25">
      <c r="A21" t="e">
        <f>+VLOOKUP('Dynamic Split'!C24,'Dynamic Split'!T:T,1,0)</f>
        <v>#N/A</v>
      </c>
      <c r="C21" t="e">
        <f>VLOOKUP('Dynamic Split'!T24,'Dynamic Split'!C:C,1,0)</f>
        <v>#N/A</v>
      </c>
    </row>
    <row r="22" spans="1:3" x14ac:dyDescent="0.25">
      <c r="A22" t="e">
        <f>+VLOOKUP('Dynamic Split'!C25,'Dynamic Split'!T:T,1,0)</f>
        <v>#N/A</v>
      </c>
      <c r="C22" t="e">
        <f>VLOOKUP('Dynamic Split'!T25,'Dynamic Split'!C:C,1,0)</f>
        <v>#N/A</v>
      </c>
    </row>
    <row r="23" spans="1:3" x14ac:dyDescent="0.25">
      <c r="A23" t="e">
        <f>+VLOOKUP('Dynamic Split'!C26,'Dynamic Split'!T:T,1,0)</f>
        <v>#N/A</v>
      </c>
      <c r="C23" t="e">
        <f>VLOOKUP('Dynamic Split'!T26,'Dynamic Split'!C:C,1,0)</f>
        <v>#N/A</v>
      </c>
    </row>
    <row r="24" spans="1:3" x14ac:dyDescent="0.25">
      <c r="A24" t="e">
        <f>+VLOOKUP('Dynamic Split'!C27,'Dynamic Split'!T:T,1,0)</f>
        <v>#N/A</v>
      </c>
      <c r="C24" t="e">
        <f>VLOOKUP('Dynamic Split'!T27,'Dynamic Split'!C:C,1,0)</f>
        <v>#N/A</v>
      </c>
    </row>
    <row r="25" spans="1:3" x14ac:dyDescent="0.25">
      <c r="A25" t="e">
        <f>+VLOOKUP('Dynamic Split'!C28,'Dynamic Split'!T:T,1,0)</f>
        <v>#N/A</v>
      </c>
      <c r="C25" t="e">
        <f>VLOOKUP('Dynamic Split'!T28,'Dynamic Split'!C:C,1,0)</f>
        <v>#N/A</v>
      </c>
    </row>
    <row r="26" spans="1:3" x14ac:dyDescent="0.25">
      <c r="A26" t="e">
        <f>+VLOOKUP('Dynamic Split'!C29,'Dynamic Split'!T:T,1,0)</f>
        <v>#N/A</v>
      </c>
      <c r="C26" t="e">
        <f>VLOOKUP('Dynamic Split'!T29,'Dynamic Split'!C:C,1,0)</f>
        <v>#N/A</v>
      </c>
    </row>
    <row r="27" spans="1:3" x14ac:dyDescent="0.25">
      <c r="A27" t="e">
        <f>+VLOOKUP('Dynamic Split'!C30,'Dynamic Split'!T:T,1,0)</f>
        <v>#N/A</v>
      </c>
      <c r="C27" t="e">
        <f>VLOOKUP('Dynamic Split'!T30,'Dynamic Split'!C:C,1,0)</f>
        <v>#N/A</v>
      </c>
    </row>
    <row r="28" spans="1:3" x14ac:dyDescent="0.25">
      <c r="A28" t="e">
        <f>+VLOOKUP('Dynamic Split'!C31,'Dynamic Split'!T:T,1,0)</f>
        <v>#N/A</v>
      </c>
      <c r="C28" t="e">
        <f>VLOOKUP('Dynamic Split'!T31,'Dynamic Split'!C:C,1,0)</f>
        <v>#N/A</v>
      </c>
    </row>
    <row r="29" spans="1:3" x14ac:dyDescent="0.25">
      <c r="A29" t="e">
        <f>+VLOOKUP('Dynamic Split'!C32,'Dynamic Split'!T:T,1,0)</f>
        <v>#N/A</v>
      </c>
      <c r="C29" t="e">
        <f>VLOOKUP('Dynamic Split'!T32,'Dynamic Split'!C:C,1,0)</f>
        <v>#N/A</v>
      </c>
    </row>
    <row r="30" spans="1:3" x14ac:dyDescent="0.25">
      <c r="A30" t="e">
        <f>+VLOOKUP('Dynamic Split'!C33,'Dynamic Split'!T:T,1,0)</f>
        <v>#N/A</v>
      </c>
      <c r="C30" t="e">
        <f>VLOOKUP('Dynamic Split'!T33,'Dynamic Split'!C:C,1,0)</f>
        <v>#N/A</v>
      </c>
    </row>
    <row r="31" spans="1:3" x14ac:dyDescent="0.25">
      <c r="A31" t="e">
        <f>+VLOOKUP('Dynamic Split'!C34,'Dynamic Split'!T:T,1,0)</f>
        <v>#N/A</v>
      </c>
      <c r="C31" t="e">
        <f>VLOOKUP('Dynamic Split'!T34,'Dynamic Split'!C:C,1,0)</f>
        <v>#N/A</v>
      </c>
    </row>
    <row r="32" spans="1:3" x14ac:dyDescent="0.25">
      <c r="A32" t="e">
        <f>+VLOOKUP('Dynamic Split'!C35,'Dynamic Split'!T:T,1,0)</f>
        <v>#N/A</v>
      </c>
      <c r="C32" t="e">
        <f>VLOOKUP('Dynamic Split'!T35,'Dynamic Split'!C:C,1,0)</f>
        <v>#N/A</v>
      </c>
    </row>
    <row r="33" spans="1:3" x14ac:dyDescent="0.25">
      <c r="A33" t="e">
        <f>+VLOOKUP('Dynamic Split'!C36,'Dynamic Split'!T:T,1,0)</f>
        <v>#N/A</v>
      </c>
      <c r="C33" t="e">
        <f>VLOOKUP('Dynamic Split'!T36,'Dynamic Split'!C:C,1,0)</f>
        <v>#N/A</v>
      </c>
    </row>
    <row r="34" spans="1:3" x14ac:dyDescent="0.25">
      <c r="A34" t="e">
        <f>+VLOOKUP('Dynamic Split'!C37,'Dynamic Split'!T:T,1,0)</f>
        <v>#N/A</v>
      </c>
      <c r="C34" t="e">
        <f>VLOOKUP('Dynamic Split'!T37,'Dynamic Split'!C:C,1,0)</f>
        <v>#N/A</v>
      </c>
    </row>
    <row r="35" spans="1:3" x14ac:dyDescent="0.25">
      <c r="A35" t="e">
        <f>+VLOOKUP('Dynamic Split'!C38,'Dynamic Split'!T:T,1,0)</f>
        <v>#N/A</v>
      </c>
      <c r="C35" t="e">
        <f>VLOOKUP('Dynamic Split'!T38,'Dynamic Split'!C:C,1,0)</f>
        <v>#N/A</v>
      </c>
    </row>
    <row r="36" spans="1:3" x14ac:dyDescent="0.25">
      <c r="A36" t="e">
        <f>+VLOOKUP('Dynamic Split'!C39,'Dynamic Split'!T:T,1,0)</f>
        <v>#N/A</v>
      </c>
      <c r="C36" t="e">
        <f>VLOOKUP('Dynamic Split'!T39,'Dynamic Split'!C:C,1,0)</f>
        <v>#N/A</v>
      </c>
    </row>
    <row r="37" spans="1:3" x14ac:dyDescent="0.25">
      <c r="A37" t="e">
        <f>+VLOOKUP('Dynamic Split'!C40,'Dynamic Split'!T:T,1,0)</f>
        <v>#N/A</v>
      </c>
      <c r="C37" t="e">
        <f>VLOOKUP('Dynamic Split'!T40,'Dynamic Split'!C:C,1,0)</f>
        <v>#N/A</v>
      </c>
    </row>
    <row r="38" spans="1:3" x14ac:dyDescent="0.25">
      <c r="A38" t="e">
        <f>+VLOOKUP('Dynamic Split'!C41,'Dynamic Split'!T:T,1,0)</f>
        <v>#N/A</v>
      </c>
      <c r="C38" t="e">
        <f>VLOOKUP('Dynamic Split'!T41,'Dynamic Split'!C:C,1,0)</f>
        <v>#N/A</v>
      </c>
    </row>
    <row r="39" spans="1:3" x14ac:dyDescent="0.25">
      <c r="A39" t="e">
        <f>+VLOOKUP('Dynamic Split'!C42,'Dynamic Split'!T:T,1,0)</f>
        <v>#N/A</v>
      </c>
      <c r="C39" t="e">
        <f>VLOOKUP('Dynamic Split'!T42,'Dynamic Split'!C:C,1,0)</f>
        <v>#N/A</v>
      </c>
    </row>
    <row r="40" spans="1:3" x14ac:dyDescent="0.25">
      <c r="A40" t="e">
        <f>+VLOOKUP('Dynamic Split'!C43,'Dynamic Split'!T:T,1,0)</f>
        <v>#N/A</v>
      </c>
      <c r="C40" t="e">
        <f>VLOOKUP('Dynamic Split'!T43,'Dynamic Split'!C:C,1,0)</f>
        <v>#N/A</v>
      </c>
    </row>
    <row r="41" spans="1:3" x14ac:dyDescent="0.25">
      <c r="A41" t="e">
        <f>+VLOOKUP('Dynamic Split'!C44,'Dynamic Split'!T:T,1,0)</f>
        <v>#N/A</v>
      </c>
      <c r="C41" t="e">
        <f>VLOOKUP('Dynamic Split'!T44,'Dynamic Split'!C:C,1,0)</f>
        <v>#N/A</v>
      </c>
    </row>
    <row r="42" spans="1:3" x14ac:dyDescent="0.25">
      <c r="A42" t="e">
        <f>+VLOOKUP('Dynamic Split'!C45,'Dynamic Split'!T:T,1,0)</f>
        <v>#N/A</v>
      </c>
      <c r="C42" t="e">
        <f>VLOOKUP('Dynamic Split'!T45,'Dynamic Split'!C:C,1,0)</f>
        <v>#N/A</v>
      </c>
    </row>
    <row r="43" spans="1:3" x14ac:dyDescent="0.25">
      <c r="A43" t="e">
        <f>+VLOOKUP('Dynamic Split'!C46,'Dynamic Split'!T:T,1,0)</f>
        <v>#N/A</v>
      </c>
      <c r="C43" t="e">
        <f>VLOOKUP('Dynamic Split'!T46,'Dynamic Split'!C:C,1,0)</f>
        <v>#N/A</v>
      </c>
    </row>
    <row r="44" spans="1:3" x14ac:dyDescent="0.25">
      <c r="A44" t="e">
        <f>+VLOOKUP('Dynamic Split'!C47,'Dynamic Split'!T:T,1,0)</f>
        <v>#N/A</v>
      </c>
      <c r="C44" t="e">
        <f>VLOOKUP('Dynamic Split'!T47,'Dynamic Split'!C:C,1,0)</f>
        <v>#N/A</v>
      </c>
    </row>
    <row r="45" spans="1:3" x14ac:dyDescent="0.25">
      <c r="A45" t="e">
        <f>+VLOOKUP('Dynamic Split'!C48,'Dynamic Split'!T:T,1,0)</f>
        <v>#N/A</v>
      </c>
      <c r="C45" t="e">
        <f>VLOOKUP('Dynamic Split'!T48,'Dynamic Split'!C:C,1,0)</f>
        <v>#N/A</v>
      </c>
    </row>
    <row r="46" spans="1:3" x14ac:dyDescent="0.25">
      <c r="A46" t="e">
        <f>+VLOOKUP('Dynamic Split'!C49,'Dynamic Split'!T:T,1,0)</f>
        <v>#N/A</v>
      </c>
      <c r="C46" t="e">
        <f>VLOOKUP('Dynamic Split'!T49,'Dynamic Split'!C:C,1,0)</f>
        <v>#N/A</v>
      </c>
    </row>
    <row r="47" spans="1:3" x14ac:dyDescent="0.25">
      <c r="A47" t="e">
        <f>+VLOOKUP('Dynamic Split'!C50,'Dynamic Split'!T:T,1,0)</f>
        <v>#N/A</v>
      </c>
      <c r="C47" t="e">
        <f>VLOOKUP('Dynamic Split'!T50,'Dynamic Split'!C:C,1,0)</f>
        <v>#N/A</v>
      </c>
    </row>
    <row r="48" spans="1:3" x14ac:dyDescent="0.25">
      <c r="A48" t="e">
        <f>+VLOOKUP('Dynamic Split'!C51,'Dynamic Split'!T:T,1,0)</f>
        <v>#N/A</v>
      </c>
      <c r="C48" t="e">
        <f>VLOOKUP('Dynamic Split'!T51,'Dynamic Split'!C:C,1,0)</f>
        <v>#N/A</v>
      </c>
    </row>
    <row r="49" spans="1:3" x14ac:dyDescent="0.25">
      <c r="A49" t="e">
        <f>+VLOOKUP('Dynamic Split'!C52,'Dynamic Split'!T:T,1,0)</f>
        <v>#N/A</v>
      </c>
      <c r="C49" t="e">
        <f>VLOOKUP('Dynamic Split'!T52,'Dynamic Split'!C:C,1,0)</f>
        <v>#N/A</v>
      </c>
    </row>
    <row r="50" spans="1:3" x14ac:dyDescent="0.25">
      <c r="A50" t="e">
        <f>+VLOOKUP('Dynamic Split'!C53,'Dynamic Split'!T:T,1,0)</f>
        <v>#N/A</v>
      </c>
      <c r="C50" t="e">
        <f>VLOOKUP('Dynamic Split'!T53,'Dynamic Split'!C:C,1,0)</f>
        <v>#N/A</v>
      </c>
    </row>
    <row r="51" spans="1:3" x14ac:dyDescent="0.25">
      <c r="A51" t="e">
        <f>+VLOOKUP('Dynamic Split'!C54,'Dynamic Split'!T:T,1,0)</f>
        <v>#N/A</v>
      </c>
      <c r="C51" t="e">
        <f>VLOOKUP('Dynamic Split'!T54,'Dynamic Split'!C:C,1,0)</f>
        <v>#N/A</v>
      </c>
    </row>
    <row r="52" spans="1:3" x14ac:dyDescent="0.25">
      <c r="A52" t="e">
        <f>+VLOOKUP('Dynamic Split'!C55,'Dynamic Split'!T:T,1,0)</f>
        <v>#N/A</v>
      </c>
      <c r="C52" t="e">
        <f>VLOOKUP('Dynamic Split'!T55,'Dynamic Split'!C:C,1,0)</f>
        <v>#N/A</v>
      </c>
    </row>
    <row r="53" spans="1:3" x14ac:dyDescent="0.25">
      <c r="A53" t="e">
        <f>+VLOOKUP('Dynamic Split'!C56,'Dynamic Split'!T:T,1,0)</f>
        <v>#N/A</v>
      </c>
      <c r="C53" t="e">
        <f>VLOOKUP('Dynamic Split'!T56,'Dynamic Split'!C:C,1,0)</f>
        <v>#N/A</v>
      </c>
    </row>
    <row r="54" spans="1:3" x14ac:dyDescent="0.25">
      <c r="A54" t="e">
        <f>+VLOOKUP('Dynamic Split'!C57,'Dynamic Split'!T:T,1,0)</f>
        <v>#N/A</v>
      </c>
      <c r="C54" t="e">
        <f>VLOOKUP('Dynamic Split'!T57,'Dynamic Split'!C:C,1,0)</f>
        <v>#N/A</v>
      </c>
    </row>
    <row r="55" spans="1:3" x14ac:dyDescent="0.25">
      <c r="A55" t="e">
        <f>+VLOOKUP('Dynamic Split'!C58,'Dynamic Split'!T:T,1,0)</f>
        <v>#N/A</v>
      </c>
      <c r="C55" t="e">
        <f>VLOOKUP('Dynamic Split'!T58,'Dynamic Split'!C:C,1,0)</f>
        <v>#N/A</v>
      </c>
    </row>
    <row r="56" spans="1:3" x14ac:dyDescent="0.25">
      <c r="A56" t="e">
        <f>+VLOOKUP('Dynamic Split'!C59,'Dynamic Split'!T:T,1,0)</f>
        <v>#N/A</v>
      </c>
      <c r="C56" t="e">
        <f>VLOOKUP('Dynamic Split'!T59,'Dynamic Split'!C:C,1,0)</f>
        <v>#N/A</v>
      </c>
    </row>
    <row r="57" spans="1:3" x14ac:dyDescent="0.25">
      <c r="A57" t="e">
        <f>+VLOOKUP('Dynamic Split'!C60,'Dynamic Split'!T:T,1,0)</f>
        <v>#N/A</v>
      </c>
      <c r="C57" t="e">
        <f>VLOOKUP('Dynamic Split'!T60,'Dynamic Split'!C:C,1,0)</f>
        <v>#N/A</v>
      </c>
    </row>
    <row r="58" spans="1:3" x14ac:dyDescent="0.25">
      <c r="A58" t="e">
        <f>+VLOOKUP('Dynamic Split'!C61,'Dynamic Split'!T:T,1,0)</f>
        <v>#N/A</v>
      </c>
      <c r="C58" t="e">
        <f>VLOOKUP('Dynamic Split'!T61,'Dynamic Split'!C:C,1,0)</f>
        <v>#N/A</v>
      </c>
    </row>
    <row r="59" spans="1:3" x14ac:dyDescent="0.25">
      <c r="A59" t="e">
        <f>+VLOOKUP('Dynamic Split'!C62,'Dynamic Split'!T:T,1,0)</f>
        <v>#N/A</v>
      </c>
      <c r="C59" t="e">
        <f>VLOOKUP('Dynamic Split'!T62,'Dynamic Split'!C:C,1,0)</f>
        <v>#N/A</v>
      </c>
    </row>
    <row r="60" spans="1:3" x14ac:dyDescent="0.25">
      <c r="A60" t="e">
        <f>+VLOOKUP('Dynamic Split'!C63,'Dynamic Split'!T:T,1,0)</f>
        <v>#N/A</v>
      </c>
      <c r="C60" t="e">
        <f>VLOOKUP('Dynamic Split'!T63,'Dynamic Split'!C:C,1,0)</f>
        <v>#N/A</v>
      </c>
    </row>
    <row r="61" spans="1:3" x14ac:dyDescent="0.25">
      <c r="A61" t="e">
        <f>+VLOOKUP('Dynamic Split'!C64,'Dynamic Split'!T:T,1,0)</f>
        <v>#N/A</v>
      </c>
      <c r="C61" t="e">
        <f>VLOOKUP('Dynamic Split'!T64,'Dynamic Split'!C:C,1,0)</f>
        <v>#N/A</v>
      </c>
    </row>
    <row r="62" spans="1:3" x14ac:dyDescent="0.25">
      <c r="A62" t="e">
        <f>+VLOOKUP('Dynamic Split'!C65,'Dynamic Split'!T:T,1,0)</f>
        <v>#N/A</v>
      </c>
      <c r="C62" t="e">
        <f>VLOOKUP('Dynamic Split'!T65,'Dynamic Split'!C:C,1,0)</f>
        <v>#N/A</v>
      </c>
    </row>
    <row r="63" spans="1:3" x14ac:dyDescent="0.25">
      <c r="A63" t="e">
        <f>+VLOOKUP('Dynamic Split'!C66,'Dynamic Split'!T:T,1,0)</f>
        <v>#N/A</v>
      </c>
      <c r="C63" t="e">
        <f>VLOOKUP('Dynamic Split'!T66,'Dynamic Split'!C:C,1,0)</f>
        <v>#N/A</v>
      </c>
    </row>
    <row r="64" spans="1:3" x14ac:dyDescent="0.25">
      <c r="A64" t="e">
        <f>+VLOOKUP('Dynamic Split'!C67,'Dynamic Split'!T:T,1,0)</f>
        <v>#N/A</v>
      </c>
      <c r="C64" t="e">
        <f>VLOOKUP('Dynamic Split'!T67,'Dynamic Split'!C:C,1,0)</f>
        <v>#N/A</v>
      </c>
    </row>
    <row r="65" spans="1:3" x14ac:dyDescent="0.25">
      <c r="A65" t="e">
        <f>+VLOOKUP('Dynamic Split'!C68,'Dynamic Split'!T:T,1,0)</f>
        <v>#N/A</v>
      </c>
      <c r="C65" t="e">
        <f>VLOOKUP('Dynamic Split'!T68,'Dynamic Split'!C:C,1,0)</f>
        <v>#N/A</v>
      </c>
    </row>
    <row r="66" spans="1:3" x14ac:dyDescent="0.25">
      <c r="A66" t="e">
        <f>+VLOOKUP('Dynamic Split'!C69,'Dynamic Split'!T:T,1,0)</f>
        <v>#N/A</v>
      </c>
      <c r="C66" t="e">
        <f>VLOOKUP('Dynamic Split'!T69,'Dynamic Split'!C:C,1,0)</f>
        <v>#N/A</v>
      </c>
    </row>
    <row r="67" spans="1:3" x14ac:dyDescent="0.25">
      <c r="A67" t="e">
        <f>+VLOOKUP('Dynamic Split'!C70,'Dynamic Split'!T:T,1,0)</f>
        <v>#N/A</v>
      </c>
      <c r="C67" t="e">
        <f>VLOOKUP('Dynamic Split'!T70,'Dynamic Split'!C:C,1,0)</f>
        <v>#N/A</v>
      </c>
    </row>
    <row r="68" spans="1:3" x14ac:dyDescent="0.25">
      <c r="A68" t="e">
        <f>+VLOOKUP('Dynamic Split'!C71,'Dynamic Split'!T:T,1,0)</f>
        <v>#N/A</v>
      </c>
      <c r="C68" t="e">
        <f>VLOOKUP('Dynamic Split'!T71,'Dynamic Split'!C:C,1,0)</f>
        <v>#N/A</v>
      </c>
    </row>
    <row r="69" spans="1:3" x14ac:dyDescent="0.25">
      <c r="A69" t="e">
        <f>+VLOOKUP('Dynamic Split'!C72,'Dynamic Split'!T:T,1,0)</f>
        <v>#N/A</v>
      </c>
      <c r="C69" t="e">
        <f>VLOOKUP('Dynamic Split'!T72,'Dynamic Split'!C:C,1,0)</f>
        <v>#N/A</v>
      </c>
    </row>
    <row r="70" spans="1:3" x14ac:dyDescent="0.25">
      <c r="A70" t="e">
        <f>+VLOOKUP('Dynamic Split'!C73,'Dynamic Split'!T:T,1,0)</f>
        <v>#N/A</v>
      </c>
      <c r="C70" t="e">
        <f>VLOOKUP('Dynamic Split'!T73,'Dynamic Split'!C:C,1,0)</f>
        <v>#N/A</v>
      </c>
    </row>
    <row r="71" spans="1:3" x14ac:dyDescent="0.25">
      <c r="A71" t="e">
        <f>+VLOOKUP('Dynamic Split'!C74,'Dynamic Split'!T:T,1,0)</f>
        <v>#N/A</v>
      </c>
      <c r="C71" t="e">
        <f>VLOOKUP('Dynamic Split'!T74,'Dynamic Split'!C:C,1,0)</f>
        <v>#N/A</v>
      </c>
    </row>
    <row r="72" spans="1:3" x14ac:dyDescent="0.25">
      <c r="A72" t="e">
        <f>+VLOOKUP('Dynamic Split'!C75,'Dynamic Split'!T:T,1,0)</f>
        <v>#N/A</v>
      </c>
      <c r="C72" t="e">
        <f>VLOOKUP('Dynamic Split'!T75,'Dynamic Split'!C:C,1,0)</f>
        <v>#N/A</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A2F55-1A6E-46B1-B204-80EC05E367E3}">
  <sheetPr codeName="Sheet2"/>
  <dimension ref="A1:R575"/>
  <sheetViews>
    <sheetView zoomScale="85" zoomScaleNormal="85" workbookViewId="0">
      <pane xSplit="1" topLeftCell="B1" activePane="topRight" state="frozen"/>
      <selection activeCell="D79" sqref="D79:D501"/>
      <selection pane="topRight" activeCell="D79" sqref="D79:D501"/>
    </sheetView>
  </sheetViews>
  <sheetFormatPr defaultColWidth="11.5703125" defaultRowHeight="15" x14ac:dyDescent="0.25"/>
  <cols>
    <col min="1" max="1" width="54.5703125" customWidth="1"/>
    <col min="2" max="2" width="7.28515625" bestFit="1" customWidth="1"/>
    <col min="3" max="3" width="9.5703125" bestFit="1" customWidth="1"/>
    <col min="4" max="4" width="53.7109375" customWidth="1"/>
    <col min="6" max="6" width="7.7109375" bestFit="1" customWidth="1"/>
    <col min="8" max="8" width="19.140625" style="1" bestFit="1" customWidth="1"/>
    <col min="9" max="9" width="12" customWidth="1"/>
    <col min="10" max="10" width="40.7109375" bestFit="1" customWidth="1"/>
    <col min="12" max="12" width="14.5703125" customWidth="1"/>
    <col min="13" max="13" width="7.140625" customWidth="1"/>
    <col min="14" max="17" width="18.42578125" style="34" customWidth="1"/>
    <col min="18" max="18" width="24.28515625" style="34" bestFit="1" customWidth="1"/>
  </cols>
  <sheetData>
    <row r="1" spans="1:18" s="34" customFormat="1" x14ac:dyDescent="0.25">
      <c r="A1" s="34" t="s">
        <v>92</v>
      </c>
      <c r="B1" s="77" t="s">
        <v>25</v>
      </c>
      <c r="C1" s="77" t="s">
        <v>29</v>
      </c>
      <c r="D1" s="77" t="s">
        <v>27</v>
      </c>
      <c r="E1" s="34" t="s">
        <v>26</v>
      </c>
      <c r="F1" s="34" t="s">
        <v>54</v>
      </c>
      <c r="G1" s="34" t="s">
        <v>30</v>
      </c>
      <c r="H1" s="34" t="s">
        <v>28</v>
      </c>
      <c r="I1" s="34" t="s">
        <v>1</v>
      </c>
      <c r="J1" s="34" t="s">
        <v>441</v>
      </c>
      <c r="K1" s="34" t="s">
        <v>53</v>
      </c>
      <c r="L1" s="34" t="s">
        <v>114</v>
      </c>
      <c r="M1" s="34" t="s">
        <v>115</v>
      </c>
      <c r="N1" s="34" t="s">
        <v>116</v>
      </c>
      <c r="O1" s="34" t="s">
        <v>102</v>
      </c>
      <c r="P1" s="34" t="s">
        <v>117</v>
      </c>
      <c r="Q1" s="34" t="s">
        <v>289</v>
      </c>
    </row>
    <row r="2" spans="1:18" hidden="1" x14ac:dyDescent="0.25">
      <c r="A2" t="str">
        <f>+Tabla3[[#This Row],[Site]]&amp;Tabla3[[#This Row],[Split]]</f>
        <v>(AS) 3281 Storage Lot (NO TOURS)1</v>
      </c>
      <c r="B2">
        <v>1</v>
      </c>
      <c r="C2">
        <v>1</v>
      </c>
      <c r="D2" t="s">
        <v>378</v>
      </c>
      <c r="E2" t="str">
        <f>VLOOKUP(Tabla3[[#This Row],[Site]],Table35[],10,FALSE)</f>
        <v>10:00 P.M.</v>
      </c>
      <c r="F2" t="str">
        <f>VLOOKUP(Tabla3[[#This Row],[Site]],Table35[],11,FALSE)</f>
        <v>CT</v>
      </c>
      <c r="G2" t="str">
        <f>VLOOKUP(Tabla3[[#This Row],[Site]],Table35[],12,FALSE)</f>
        <v>6:00 A.M.</v>
      </c>
      <c r="H2" t="str">
        <f>VLOOKUP(Tabla3[[#This Row],[Site]],Table35[],13,FALSE)</f>
        <v>-</v>
      </c>
      <c r="I2" s="70" t="str">
        <f>HYPERLINK(VLOOKUP(Tabla3[[#This Row],[Site]],Table35[#All],9,FALSE))</f>
        <v>https://tools.sig.systems/site/details/305</v>
      </c>
      <c r="J2" t="str">
        <f>VLOOKUP(Tabla3[[#This Row],[Site]],Table35[],14,FALSE)</f>
        <v>https://www.google.com/maps/d/edit?hl=es&amp;mid=1uPmsRMsXnp74hPFW2t-sp2totVWF_xY&amp;ll=32.83050137713022%2C-96.83197783061323&amp;z=17</v>
      </c>
      <c r="L2" s="34" t="str">
        <f>VLOOKUP(Tabla3[[#This Row],[Site]],Table35[#All],2,FALSE)</f>
        <v>-</v>
      </c>
      <c r="M2" s="34" t="str">
        <f>VLOOKUP(Tabla3[[#This Row],[Site]],Table35[#All],3,FALSE)</f>
        <v>2, 14</v>
      </c>
      <c r="N2" s="34" t="str">
        <f>VLOOKUP(Tabla3[[#This Row],[Site]],Table35[#All],4,FALSE)</f>
        <v>-</v>
      </c>
      <c r="O2" s="34" t="str">
        <f>VLOOKUP(Tabla3[[#This Row],[Site]],Table35[#All],5,FALSE)</f>
        <v>-</v>
      </c>
      <c r="P2" s="34" t="str">
        <f>VLOOKUP(Tabla3[[#This Row],[Site]],Table35[#All],6,FALSE)</f>
        <v>1, 3, 9, 10, 14</v>
      </c>
      <c r="Q2" s="34">
        <f>VLOOKUP(Tabla3[[#This Row],[Site]],Table35[#All],8,FALSE)</f>
        <v>305</v>
      </c>
      <c r="R2"/>
    </row>
    <row r="3" spans="1:18" hidden="1" x14ac:dyDescent="0.25">
      <c r="A3" t="str">
        <f>+Tabla3[[#This Row],[Site]]&amp;Tabla3[[#This Row],[Split]]</f>
        <v>(AS) Coggin BMW Ft. Pierce (NO TOURS)1</v>
      </c>
      <c r="B3">
        <v>1</v>
      </c>
      <c r="C3">
        <v>1</v>
      </c>
      <c r="D3" t="s">
        <v>122</v>
      </c>
      <c r="E3" t="str">
        <f>VLOOKUP(Tabla3[[#This Row],[Site]],Table35[],10,FALSE)</f>
        <v>9:00 P.M.</v>
      </c>
      <c r="F3" t="str">
        <f>VLOOKUP(Tabla3[[#This Row],[Site]],Table35[],11,FALSE)</f>
        <v>ET</v>
      </c>
      <c r="G3" t="str">
        <f>VLOOKUP(Tabla3[[#This Row],[Site]],Table35[],12,FALSE)</f>
        <v>5:00 A.M.</v>
      </c>
      <c r="H3" t="str">
        <f>VLOOKUP(Tabla3[[#This Row],[Site]],Table35[],13,FALSE)</f>
        <v>-</v>
      </c>
      <c r="I3" s="70" t="str">
        <f>HYPERLINK(VLOOKUP(Tabla3[[#This Row],[Site]],Table35[#All],9,FALSE))</f>
        <v>https://tools.sig.systems/site/details/119</v>
      </c>
      <c r="J3" t="str">
        <f>VLOOKUP(Tabla3[[#This Row],[Site]],Table35[],14,FALSE)</f>
        <v>https://www.google.com/maps/d/viewer?mid=1AyViBuyeq7iwDua1SVudJ2A1BYi3IBA&amp;ll=27.38181516363982%2C-80.32568845000002&amp;z=18</v>
      </c>
      <c r="L3" s="34" t="str">
        <f>VLOOKUP(Tabla3[[#This Row],[Site]],Table35[#All],2,FALSE)</f>
        <v>3, 10, 13</v>
      </c>
      <c r="M3" s="34" t="str">
        <f>VLOOKUP(Tabla3[[#This Row],[Site]],Table35[#All],3,FALSE)</f>
        <v>-</v>
      </c>
      <c r="N3" s="34" t="str">
        <f>VLOOKUP(Tabla3[[#This Row],[Site]],Table35[#All],4,FALSE)</f>
        <v>-</v>
      </c>
      <c r="O3" s="34">
        <f>VLOOKUP(Tabla3[[#This Row],[Site]],Table35[#All],5,FALSE)</f>
        <v>2</v>
      </c>
      <c r="P3" s="34" t="str">
        <f>VLOOKUP(Tabla3[[#This Row],[Site]],Table35[#All],6,FALSE)</f>
        <v>1, 20, 27</v>
      </c>
      <c r="Q3" s="34" t="str">
        <f>VLOOKUP(Tabla3[[#This Row],[Site]],Table35[#All],8,FALSE)</f>
        <v>119</v>
      </c>
      <c r="R3"/>
    </row>
    <row r="4" spans="1:18" hidden="1" x14ac:dyDescent="0.25">
      <c r="A4" t="str">
        <f>+Tabla3[[#This Row],[Site]]&amp;Tabla3[[#This Row],[Split]]</f>
        <v>(AS) Coggin Collision Center of Kissimmee (NO TOURS)1</v>
      </c>
      <c r="B4">
        <v>1</v>
      </c>
      <c r="C4">
        <v>1</v>
      </c>
      <c r="D4" t="s">
        <v>288</v>
      </c>
      <c r="E4" t="str">
        <f>VLOOKUP(Tabla3[[#This Row],[Site]],Table35[],10,FALSE)</f>
        <v>9:00 P.M.</v>
      </c>
      <c r="F4" t="str">
        <f>VLOOKUP(Tabla3[[#This Row],[Site]],Table35[],11,FALSE)</f>
        <v>ET</v>
      </c>
      <c r="G4" t="str">
        <f>VLOOKUP(Tabla3[[#This Row],[Site]],Table35[],12,FALSE)</f>
        <v>5:00 A.M.</v>
      </c>
      <c r="H4" t="str">
        <f>VLOOKUP(Tabla3[[#This Row],[Site]],Table35[],13,FALSE)</f>
        <v>-</v>
      </c>
      <c r="I4" s="70" t="str">
        <f>HYPERLINK(VLOOKUP(Tabla3[[#This Row],[Site]],Table35[#All],9,FALSE))</f>
        <v>https://tools.sig.systems/site/details/331</v>
      </c>
      <c r="J4">
        <f>VLOOKUP(Tabla3[[#This Row],[Site]],Table35[],14,FALSE)</f>
        <v>0</v>
      </c>
      <c r="L4" s="34" t="str">
        <f>VLOOKUP(Tabla3[[#This Row],[Site]],Table35[#All],2,FALSE)</f>
        <v>1, 12</v>
      </c>
      <c r="M4" s="34" t="str">
        <f>VLOOKUP(Tabla3[[#This Row],[Site]],Table35[#All],3,FALSE)</f>
        <v>-</v>
      </c>
      <c r="N4" s="34" t="str">
        <f>VLOOKUP(Tabla3[[#This Row],[Site]],Table35[#All],4,FALSE)</f>
        <v>-</v>
      </c>
      <c r="O4" s="34" t="str">
        <f>VLOOKUP(Tabla3[[#This Row],[Site]],Table35[#All],5,FALSE)</f>
        <v>-</v>
      </c>
      <c r="P4" s="34" t="str">
        <f>VLOOKUP(Tabla3[[#This Row],[Site]],Table35[#All],6,FALSE)</f>
        <v>2, 7, 9</v>
      </c>
      <c r="Q4" s="34" t="str">
        <f>VLOOKUP(Tabla3[[#This Row],[Site]],Table35[#All],8,FALSE)</f>
        <v>331</v>
      </c>
      <c r="R4"/>
    </row>
    <row r="5" spans="1:18" hidden="1" x14ac:dyDescent="0.25">
      <c r="A5" t="str">
        <f>+Tabla3[[#This Row],[Site]]&amp;Tabla3[[#This Row],[Split]]</f>
        <v>(AS) Coggin Honda of Orlando (NO TOURS)1</v>
      </c>
      <c r="B5">
        <v>1</v>
      </c>
      <c r="C5">
        <v>1</v>
      </c>
      <c r="D5" t="s">
        <v>384</v>
      </c>
      <c r="E5" t="str">
        <f>VLOOKUP(Tabla3[[#This Row],[Site]],Table35[],10,FALSE)</f>
        <v>9:00 P.M.</v>
      </c>
      <c r="F5" t="str">
        <f>VLOOKUP(Tabla3[[#This Row],[Site]],Table35[],11,FALSE)</f>
        <v>ET</v>
      </c>
      <c r="G5" t="str">
        <f>VLOOKUP(Tabla3[[#This Row],[Site]],Table35[],12,FALSE)</f>
        <v>5:00 A.M.</v>
      </c>
      <c r="H5" t="str">
        <f>VLOOKUP(Tabla3[[#This Row],[Site]],Table35[],13,FALSE)</f>
        <v>11:00 A.M.</v>
      </c>
      <c r="I5" s="70" t="str">
        <f>HYPERLINK(VLOOKUP(Tabla3[[#This Row],[Site]],Table35[#All],9,FALSE))</f>
        <v>https://tools.sig.systems/site/details/324</v>
      </c>
      <c r="J5">
        <f>VLOOKUP(Tabla3[[#This Row],[Site]],Table35[],14,FALSE)</f>
        <v>0</v>
      </c>
      <c r="L5" s="34" t="str">
        <f>VLOOKUP(Tabla3[[#This Row],[Site]],Table35[#All],2,FALSE)</f>
        <v>2, 10, 12B, 14, 38</v>
      </c>
      <c r="M5" s="34" t="str">
        <f>VLOOKUP(Tabla3[[#This Row],[Site]],Table35[#All],3,FALSE)</f>
        <v>-</v>
      </c>
      <c r="N5" s="34" t="str">
        <f>VLOOKUP(Tabla3[[#This Row],[Site]],Table35[#All],4,FALSE)</f>
        <v>-</v>
      </c>
      <c r="O5" s="34" t="str">
        <f>VLOOKUP(Tabla3[[#This Row],[Site]],Table35[#All],5,FALSE)</f>
        <v>12, 31</v>
      </c>
      <c r="P5" s="34" t="str">
        <f>VLOOKUP(Tabla3[[#This Row],[Site]],Table35[#All],6,FALSE)</f>
        <v>12B, 26, 37, 19</v>
      </c>
      <c r="Q5" s="34" t="str">
        <f>VLOOKUP(Tabla3[[#This Row],[Site]],Table35[#All],8,FALSE)</f>
        <v>324</v>
      </c>
      <c r="R5"/>
    </row>
    <row r="6" spans="1:18" hidden="1" x14ac:dyDescent="0.25">
      <c r="A6" t="str">
        <f>+Tabla3[[#This Row],[Site]]&amp;Tabla3[[#This Row],[Split]]</f>
        <v>(AS) Hare Chevrolet (NO TOURS)1</v>
      </c>
      <c r="B6">
        <v>1</v>
      </c>
      <c r="C6">
        <v>1</v>
      </c>
      <c r="D6" t="s">
        <v>379</v>
      </c>
      <c r="E6" t="str">
        <f>VLOOKUP(Tabla3[[#This Row],[Site]],Table35[],10,FALSE)</f>
        <v>9:00 P.M.</v>
      </c>
      <c r="F6" t="str">
        <f>VLOOKUP(Tabla3[[#This Row],[Site]],Table35[],11,FALSE)</f>
        <v>ET</v>
      </c>
      <c r="G6" t="str">
        <f>VLOOKUP(Tabla3[[#This Row],[Site]],Table35[],12,FALSE)</f>
        <v>5:00 A.M.</v>
      </c>
      <c r="H6" t="str">
        <f>VLOOKUP(Tabla3[[#This Row],[Site]],Table35[],13,FALSE)</f>
        <v>-</v>
      </c>
      <c r="I6" s="70" t="str">
        <f>HYPERLINK(VLOOKUP(Tabla3[[#This Row],[Site]],Table35[#All],9,FALSE))</f>
        <v>https://tools.sig.systems/site/details/301</v>
      </c>
      <c r="J6" t="str">
        <f>VLOOKUP(Tabla3[[#This Row],[Site]],Table35[],14,FALSE)</f>
        <v>https://www.google.com/maps/d/edit?mid=1hsX5GGrNcCQgAuzDCDz1OWgEkhsAc78&amp;usp=sharing</v>
      </c>
      <c r="L6" s="34" t="str">
        <f>VLOOKUP(Tabla3[[#This Row],[Site]],Table35[#All],2,FALSE)</f>
        <v>18, 24</v>
      </c>
      <c r="M6" s="34" t="str">
        <f>VLOOKUP(Tabla3[[#This Row],[Site]],Table35[#All],3,FALSE)</f>
        <v>2, 3</v>
      </c>
      <c r="N6" s="34" t="str">
        <f>VLOOKUP(Tabla3[[#This Row],[Site]],Table35[#All],4,FALSE)</f>
        <v>-</v>
      </c>
      <c r="O6" s="34">
        <f>VLOOKUP(Tabla3[[#This Row],[Site]],Table35[#All],5,FALSE)</f>
        <v>5</v>
      </c>
      <c r="P6" s="34" t="str">
        <f>VLOOKUP(Tabla3[[#This Row],[Site]],Table35[#All],6,FALSE)</f>
        <v>1, 5, 7, 8, 21, 29</v>
      </c>
      <c r="Q6" s="34" t="str">
        <f>VLOOKUP(Tabla3[[#This Row],[Site]],Table35[#All],8,FALSE)</f>
        <v>301</v>
      </c>
      <c r="R6"/>
    </row>
    <row r="7" spans="1:18" hidden="1" x14ac:dyDescent="0.25">
      <c r="A7" t="str">
        <f>+Tabla3[[#This Row],[Site]]&amp;Tabla3[[#This Row],[Split]]</f>
        <v>(AS) Hare Truck Center (NO TOURS)1</v>
      </c>
      <c r="B7">
        <v>1</v>
      </c>
      <c r="C7">
        <v>1</v>
      </c>
      <c r="D7" t="s">
        <v>380</v>
      </c>
      <c r="E7" t="str">
        <f>VLOOKUP(Tabla3[[#This Row],[Site]],Table35[],10,FALSE)</f>
        <v>9:00 P.M.</v>
      </c>
      <c r="F7" t="str">
        <f>VLOOKUP(Tabla3[[#This Row],[Site]],Table35[],11,FALSE)</f>
        <v>ET</v>
      </c>
      <c r="G7" t="str">
        <f>VLOOKUP(Tabla3[[#This Row],[Site]],Table35[],12,FALSE)</f>
        <v>5:00 A.M.</v>
      </c>
      <c r="H7" t="str">
        <f>VLOOKUP(Tabla3[[#This Row],[Site]],Table35[],13,FALSE)</f>
        <v>-</v>
      </c>
      <c r="I7" s="70" t="str">
        <f>HYPERLINK(VLOOKUP(Tabla3[[#This Row],[Site]],Table35[#All],9,FALSE))</f>
        <v>https://tools.sig.systems/site/details/300</v>
      </c>
      <c r="J7" t="str">
        <f>VLOOKUP(Tabla3[[#This Row],[Site]],Table35[],14,FALSE)</f>
        <v>https://www.google.com/maps/d/edit?mid=1hsX5GGrNcCQgAuzDCDz1OWgEkhsAc78&amp;usp=sharing</v>
      </c>
      <c r="L7" s="34" t="str">
        <f>VLOOKUP(Tabla3[[#This Row],[Site]],Table35[#All],2,FALSE)</f>
        <v>-</v>
      </c>
      <c r="M7" s="34" t="str">
        <f>VLOOKUP(Tabla3[[#This Row],[Site]],Table35[#All],3,FALSE)</f>
        <v>1, 5</v>
      </c>
      <c r="N7" s="34" t="str">
        <f>VLOOKUP(Tabla3[[#This Row],[Site]],Table35[#All],4,FALSE)</f>
        <v>-</v>
      </c>
      <c r="O7" s="34" t="str">
        <f>VLOOKUP(Tabla3[[#This Row],[Site]],Table35[#All],5,FALSE)</f>
        <v>-</v>
      </c>
      <c r="P7" s="34" t="str">
        <f>VLOOKUP(Tabla3[[#This Row],[Site]],Table35[#All],6,FALSE)</f>
        <v xml:space="preserve">2, 6, 10, 12, 17 </v>
      </c>
      <c r="Q7" s="34" t="str">
        <f>VLOOKUP(Tabla3[[#This Row],[Site]],Table35[#All],8,FALSE)</f>
        <v>300</v>
      </c>
      <c r="R7"/>
    </row>
    <row r="8" spans="1:18" hidden="1" x14ac:dyDescent="0.25">
      <c r="A8" t="str">
        <f>+Tabla3[[#This Row],[Site]]&amp;Tabla3[[#This Row],[Split]]</f>
        <v>(AS) Kahlo CDJR (NO TOURS)1</v>
      </c>
      <c r="B8">
        <v>1</v>
      </c>
      <c r="C8">
        <v>1</v>
      </c>
      <c r="D8" t="s">
        <v>381</v>
      </c>
      <c r="E8" t="str">
        <f>VLOOKUP(Tabla3[[#This Row],[Site]],Table35[],10,FALSE)</f>
        <v>9:00 P.M.</v>
      </c>
      <c r="F8" t="str">
        <f>VLOOKUP(Tabla3[[#This Row],[Site]],Table35[],11,FALSE)</f>
        <v>ET</v>
      </c>
      <c r="G8" t="str">
        <f>VLOOKUP(Tabla3[[#This Row],[Site]],Table35[],12,FALSE)</f>
        <v>5:00 A.M.</v>
      </c>
      <c r="H8" t="str">
        <f>VLOOKUP(Tabla3[[#This Row],[Site]],Table35[],13,FALSE)</f>
        <v>-</v>
      </c>
      <c r="I8" s="70" t="str">
        <f>HYPERLINK(VLOOKUP(Tabla3[[#This Row],[Site]],Table35[#All],9,FALSE))</f>
        <v>https://tools.sig.systems/site/details/282</v>
      </c>
      <c r="J8" t="str">
        <f>VLOOKUP(Tabla3[[#This Row],[Site]],Table35[],14,FALSE)</f>
        <v>https://www.google.com/maps/d/edit?mid=1hsX5GGrNcCQgAuzDCDz1OWgEkhsAc78&amp;usp=sharing</v>
      </c>
      <c r="L8" s="34" t="str">
        <f>VLOOKUP(Tabla3[[#This Row],[Site]],Table35[#All],2,FALSE)</f>
        <v>-</v>
      </c>
      <c r="M8" s="34" t="str">
        <f>VLOOKUP(Tabla3[[#This Row],[Site]],Table35[#All],3,FALSE)</f>
        <v>12, 25</v>
      </c>
      <c r="N8" s="34" t="str">
        <f>VLOOKUP(Tabla3[[#This Row],[Site]],Table35[#All],4,FALSE)</f>
        <v>15, 16</v>
      </c>
      <c r="O8" s="34">
        <f>VLOOKUP(Tabla3[[#This Row],[Site]],Table35[#All],5,FALSE)</f>
        <v>20</v>
      </c>
      <c r="P8" s="34" t="str">
        <f>VLOOKUP(Tabla3[[#This Row],[Site]],Table35[#All],6,FALSE)</f>
        <v>1, 2, 9, 22, 31, 57</v>
      </c>
      <c r="Q8" s="34" t="str">
        <f>VLOOKUP(Tabla3[[#This Row],[Site]],Table35[#All],8,FALSE)</f>
        <v>282</v>
      </c>
      <c r="R8"/>
    </row>
    <row r="9" spans="1:18" hidden="1" x14ac:dyDescent="0.25">
      <c r="A9" t="str">
        <f>+Tabla3[[#This Row],[Site]]&amp;Tabla3[[#This Row],[Split]]</f>
        <v>(AS) Koons Annapolis Toyota (NO TOURS)1</v>
      </c>
      <c r="B9">
        <v>1</v>
      </c>
      <c r="C9">
        <v>1</v>
      </c>
      <c r="D9" t="s">
        <v>447</v>
      </c>
      <c r="E9" t="str">
        <f>VLOOKUP(Tabla3[[#This Row],[Site]],Table35[],10,FALSE)</f>
        <v>9:00 P.M.</v>
      </c>
      <c r="F9" t="str">
        <f>VLOOKUP(Tabla3[[#This Row],[Site]],Table35[],11,FALSE)</f>
        <v>ET</v>
      </c>
      <c r="G9" t="str">
        <f>VLOOKUP(Tabla3[[#This Row],[Site]],Table35[],12,FALSE)</f>
        <v>5:00 A.M.</v>
      </c>
      <c r="H9">
        <f>VLOOKUP(Tabla3[[#This Row],[Site]],Table35[],13,FALSE)</f>
        <v>0</v>
      </c>
      <c r="I9" s="70" t="str">
        <f>HYPERLINK(VLOOKUP(Tabla3[[#This Row],[Site]],Table35[#All],9,FALSE))</f>
        <v>https://tools.sig.systems/site/details/337</v>
      </c>
      <c r="J9" t="str">
        <f>VLOOKUP(Tabla3[[#This Row],[Site]],Table35[],14,FALSE)</f>
        <v>-</v>
      </c>
      <c r="L9" s="34">
        <f>VLOOKUP(Tabla3[[#This Row],[Site]],Table35[#All],2,FALSE)</f>
        <v>6</v>
      </c>
      <c r="M9" s="34" t="str">
        <f>VLOOKUP(Tabla3[[#This Row],[Site]],Table35[#All],3,FALSE)</f>
        <v>1, 6, 21</v>
      </c>
      <c r="N9" s="34" t="str">
        <f>VLOOKUP(Tabla3[[#This Row],[Site]],Table35[#All],4,FALSE)</f>
        <v>-</v>
      </c>
      <c r="O9" s="34" t="str">
        <f>VLOOKUP(Tabla3[[#This Row],[Site]],Table35[#All],5,FALSE)</f>
        <v>-</v>
      </c>
      <c r="P9" s="34" t="str">
        <f>VLOOKUP(Tabla3[[#This Row],[Site]],Table35[#All],6,FALSE)</f>
        <v>3, 5, 7, 19</v>
      </c>
      <c r="Q9" s="34" t="str">
        <f>VLOOKUP(Tabla3[[#This Row],[Site]],Table35[#All],8,FALSE)</f>
        <v>337</v>
      </c>
      <c r="R9"/>
    </row>
    <row r="10" spans="1:18" hidden="1" x14ac:dyDescent="0.25">
      <c r="A10" t="str">
        <f>+Tabla3[[#This Row],[Site]]&amp;Tabla3[[#This Row],[Split]]</f>
        <v>(AS) Koons Arlington Toyota - New Car (NO TOURS)1</v>
      </c>
      <c r="B10">
        <v>1</v>
      </c>
      <c r="C10">
        <v>1</v>
      </c>
      <c r="D10" t="s">
        <v>375</v>
      </c>
      <c r="E10" t="str">
        <f>VLOOKUP(Tabla3[[#This Row],[Site]],Table35[],10,FALSE)</f>
        <v>9:00 P.M.</v>
      </c>
      <c r="F10" t="str">
        <f>VLOOKUP(Tabla3[[#This Row],[Site]],Table35[],11,FALSE)</f>
        <v>ET</v>
      </c>
      <c r="G10" t="str">
        <f>VLOOKUP(Tabla3[[#This Row],[Site]],Table35[],12,FALSE)</f>
        <v>5:00 A.M.</v>
      </c>
      <c r="H10" t="str">
        <f>VLOOKUP(Tabla3[[#This Row],[Site]],Table35[],13,FALSE)</f>
        <v>10:00 A.M.</v>
      </c>
      <c r="I10" s="70" t="str">
        <f>HYPERLINK(VLOOKUP(Tabla3[[#This Row],[Site]],Table35[#All],9,FALSE))</f>
        <v>https://tools.sig.systems/site/details/334</v>
      </c>
      <c r="J10" t="str">
        <f>VLOOKUP(Tabla3[[#This Row],[Site]],Table35[],14,FALSE)</f>
        <v>-</v>
      </c>
      <c r="L10" s="34" t="str">
        <f>VLOOKUP(Tabla3[[#This Row],[Site]],Table35[#All],2,FALSE)</f>
        <v>-</v>
      </c>
      <c r="M10" s="34" t="str">
        <f>VLOOKUP(Tabla3[[#This Row],[Site]],Table35[#All],3,FALSE)</f>
        <v>1, 3, 12, 15, 17</v>
      </c>
      <c r="N10" s="34" t="str">
        <f>VLOOKUP(Tabla3[[#This Row],[Site]],Table35[#All],4,FALSE)</f>
        <v>-</v>
      </c>
      <c r="O10" s="34" t="str">
        <f>VLOOKUP(Tabla3[[#This Row],[Site]],Table35[#All],5,FALSE)</f>
        <v>-</v>
      </c>
      <c r="P10" s="34" t="str">
        <f>VLOOKUP(Tabla3[[#This Row],[Site]],Table35[#All],6,FALSE)</f>
        <v>2, 6, 18, 20</v>
      </c>
      <c r="Q10" s="34" t="str">
        <f>VLOOKUP(Tabla3[[#This Row],[Site]],Table35[#All],8,FALSE)</f>
        <v>334</v>
      </c>
      <c r="R10"/>
    </row>
    <row r="11" spans="1:18" hidden="1" x14ac:dyDescent="0.25">
      <c r="A11" t="str">
        <f>+Tabla3[[#This Row],[Site]]&amp;Tabla3[[#This Row],[Split]]</f>
        <v>(AS) Koons Baltimore Ford - Main Dealership (NO TOURS)1</v>
      </c>
      <c r="B11">
        <v>1</v>
      </c>
      <c r="C11">
        <v>1</v>
      </c>
      <c r="D11" t="s">
        <v>357</v>
      </c>
      <c r="E11" t="str">
        <f>VLOOKUP(Tabla3[[#This Row],[Site]],Table35[],10,FALSE)</f>
        <v>9:00 P.M.</v>
      </c>
      <c r="F11" t="str">
        <f>VLOOKUP(Tabla3[[#This Row],[Site]],Table35[],11,FALSE)</f>
        <v>ET</v>
      </c>
      <c r="G11" t="str">
        <f>VLOOKUP(Tabla3[[#This Row],[Site]],Table35[],12,FALSE)</f>
        <v>5:00 A.M.</v>
      </c>
      <c r="H11" t="str">
        <f>VLOOKUP(Tabla3[[#This Row],[Site]],Table35[],13,FALSE)</f>
        <v>-</v>
      </c>
      <c r="I11" s="70" t="str">
        <f>HYPERLINK(VLOOKUP(Tabla3[[#This Row],[Site]],Table35[#All],9,FALSE))</f>
        <v>https://tools.sig.systems/site/details/335</v>
      </c>
      <c r="J11" t="str">
        <f>VLOOKUP(Tabla3[[#This Row],[Site]],Table35[],14,FALSE)</f>
        <v>-</v>
      </c>
      <c r="L11" s="34" t="str">
        <f>VLOOKUP(Tabla3[[#This Row],[Site]],Table35[#All],2,FALSE)</f>
        <v>21, 22, 24, 32, 45</v>
      </c>
      <c r="M11" s="34">
        <f>VLOOKUP(Tabla3[[#This Row],[Site]],Table35[#All],3,FALSE)</f>
        <v>1</v>
      </c>
      <c r="N11" s="34" t="str">
        <f>VLOOKUP(Tabla3[[#This Row],[Site]],Table35[#All],4,FALSE)</f>
        <v>-</v>
      </c>
      <c r="O11" s="34" t="str">
        <f>VLOOKUP(Tabla3[[#This Row],[Site]],Table35[#All],5,FALSE)</f>
        <v>1, 8</v>
      </c>
      <c r="P11" s="34" t="str">
        <f>VLOOKUP(Tabla3[[#This Row],[Site]],Table35[#All],6,FALSE)</f>
        <v>5, 28, 38</v>
      </c>
      <c r="Q11" s="34" t="str">
        <f>VLOOKUP(Tabla3[[#This Row],[Site]],Table35[#All],8,FALSE)</f>
        <v>335</v>
      </c>
      <c r="R11"/>
    </row>
    <row r="12" spans="1:18" hidden="1" x14ac:dyDescent="0.25">
      <c r="A12" t="str">
        <f>+Tabla3[[#This Row],[Site]]&amp;Tabla3[[#This Row],[Split]]</f>
        <v>(AS) Koons Chevrolet Buick GMC - Clarksville (NO TOURS)1</v>
      </c>
      <c r="B12">
        <v>1</v>
      </c>
      <c r="C12">
        <v>1</v>
      </c>
      <c r="D12" t="s">
        <v>382</v>
      </c>
      <c r="E12" t="str">
        <f>VLOOKUP(Tabla3[[#This Row],[Site]],Table35[],10,FALSE)</f>
        <v>9:00 P.M.</v>
      </c>
      <c r="F12" t="str">
        <f>VLOOKUP(Tabla3[[#This Row],[Site]],Table35[],11,FALSE)</f>
        <v>ET</v>
      </c>
      <c r="G12" t="str">
        <f>VLOOKUP(Tabla3[[#This Row],[Site]],Table35[],12,FALSE)</f>
        <v>5:00 A.M.</v>
      </c>
      <c r="H12" t="str">
        <f>VLOOKUP(Tabla3[[#This Row],[Site]],Table35[],13,FALSE)</f>
        <v>10:00 A.M.</v>
      </c>
      <c r="I12" s="70" t="str">
        <f>HYPERLINK(VLOOKUP(Tabla3[[#This Row],[Site]],Table35[#All],9,FALSE))</f>
        <v>https://tools.sig.systems/site/details/306</v>
      </c>
      <c r="J12" t="str">
        <f>VLOOKUP(Tabla3[[#This Row],[Site]],Table35[],14,FALSE)</f>
        <v>https://www.google.com/maps/d/edit?hl=es&amp;mid=11XB1lTSP7EcDCDvzypdUPWP6bWCNAEI&amp;ll=39.21145022420528%2C-76.94003711910554&amp;z=17</v>
      </c>
      <c r="L12" s="34" t="str">
        <f>VLOOKUP(Tabla3[[#This Row],[Site]],Table35[#All],2,FALSE)</f>
        <v>-</v>
      </c>
      <c r="M12" s="34" t="str">
        <f>VLOOKUP(Tabla3[[#This Row],[Site]],Table35[#All],3,FALSE)</f>
        <v>1, 22, 26, 28, 29</v>
      </c>
      <c r="N12" s="34" t="str">
        <f>VLOOKUP(Tabla3[[#This Row],[Site]],Table35[#All],4,FALSE)</f>
        <v>-</v>
      </c>
      <c r="O12" s="34" t="str">
        <f>VLOOKUP(Tabla3[[#This Row],[Site]],Table35[#All],5,FALSE)</f>
        <v>-</v>
      </c>
      <c r="P12" s="34" t="str">
        <f>VLOOKUP(Tabla3[[#This Row],[Site]],Table35[#All],6,FALSE)</f>
        <v>3, 11, 15, 23</v>
      </c>
      <c r="Q12" s="34" t="str">
        <f>VLOOKUP(Tabla3[[#This Row],[Site]],Table35[#All],8,FALSE)</f>
        <v>306</v>
      </c>
      <c r="R12"/>
    </row>
    <row r="13" spans="1:18" hidden="1" x14ac:dyDescent="0.25">
      <c r="A13" t="str">
        <f>+Tabla3[[#This Row],[Site]]&amp;Tabla3[[#This Row],[Split]]</f>
        <v>(AS) Koons Chevrolet Buick GMC - Clarksville Remote Lot (NO TOURS)1</v>
      </c>
      <c r="B13">
        <v>1</v>
      </c>
      <c r="C13">
        <v>1</v>
      </c>
      <c r="D13" t="s">
        <v>415</v>
      </c>
      <c r="E13" t="str">
        <f>VLOOKUP(Tabla3[[#This Row],[Site]],Table35[],10,FALSE)</f>
        <v>9:00 P.M.</v>
      </c>
      <c r="F13" t="str">
        <f>VLOOKUP(Tabla3[[#This Row],[Site]],Table35[],11,FALSE)</f>
        <v>ET</v>
      </c>
      <c r="G13" t="str">
        <f>VLOOKUP(Tabla3[[#This Row],[Site]],Table35[],12,FALSE)</f>
        <v>5:00 A.M.</v>
      </c>
      <c r="H13" t="str">
        <f>VLOOKUP(Tabla3[[#This Row],[Site]],Table35[],13,FALSE)</f>
        <v>10:00 A.M.</v>
      </c>
      <c r="I13" s="70" t="str">
        <f>HYPERLINK(VLOOKUP(Tabla3[[#This Row],[Site]],Table35[#All],9,FALSE))</f>
        <v>https://tools.sig.systems/site/details/308</v>
      </c>
      <c r="J13" t="str">
        <f>VLOOKUP(Tabla3[[#This Row],[Site]],Table35[],14,FALSE)</f>
        <v>https://www.google.com/maps/d/edit?hl=es&amp;mid=11XB1lTSP7EcDCDvzypdUPWP6bWCNAEI&amp;ll=39.21145022420528%2C-76.94003711910554&amp;z=21</v>
      </c>
      <c r="L13" s="34" t="str">
        <f>VLOOKUP(Tabla3[[#This Row],[Site]],Table35[#All],2,FALSE)</f>
        <v>-</v>
      </c>
      <c r="M13" s="34" t="str">
        <f>VLOOKUP(Tabla3[[#This Row],[Site]],Table35[#All],3,FALSE)</f>
        <v>1, 5</v>
      </c>
      <c r="N13" s="34" t="str">
        <f>VLOOKUP(Tabla3[[#This Row],[Site]],Table35[#All],4,FALSE)</f>
        <v>-</v>
      </c>
      <c r="O13" s="34" t="str">
        <f>VLOOKUP(Tabla3[[#This Row],[Site]],Table35[#All],5,FALSE)</f>
        <v>-</v>
      </c>
      <c r="P13" s="34" t="str">
        <f>VLOOKUP(Tabla3[[#This Row],[Site]],Table35[#All],6,FALSE)</f>
        <v>14, 16</v>
      </c>
      <c r="Q13" s="34" t="str">
        <f>VLOOKUP(Tabla3[[#This Row],[Site]],Table35[#All],8,FALSE)</f>
        <v>308</v>
      </c>
      <c r="R13"/>
    </row>
    <row r="14" spans="1:18" hidden="1" x14ac:dyDescent="0.25">
      <c r="A14" t="str">
        <f>+Tabla3[[#This Row],[Site]]&amp;Tabla3[[#This Row],[Split]]</f>
        <v>(AS) Koons Chevrolet Buick GMC - Tysons (NO TOURS)1</v>
      </c>
      <c r="B14">
        <v>1</v>
      </c>
      <c r="C14">
        <v>1</v>
      </c>
      <c r="D14" t="s">
        <v>377</v>
      </c>
      <c r="E14" t="str">
        <f>VLOOKUP(Tabla3[[#This Row],[Site]],Table35[],10,FALSE)</f>
        <v>9:00 P.M.</v>
      </c>
      <c r="F14" t="str">
        <f>VLOOKUP(Tabla3[[#This Row],[Site]],Table35[],11,FALSE)</f>
        <v>ET</v>
      </c>
      <c r="G14" t="str">
        <f>VLOOKUP(Tabla3[[#This Row],[Site]],Table35[],12,FALSE)</f>
        <v>5:00 A.M.</v>
      </c>
      <c r="H14" t="str">
        <f>VLOOKUP(Tabla3[[#This Row],[Site]],Table35[],13,FALSE)</f>
        <v>10:00 A.M.</v>
      </c>
      <c r="I14" s="70" t="str">
        <f>HYPERLINK(VLOOKUP(Tabla3[[#This Row],[Site]],Table35[#All],9,FALSE))</f>
        <v>https://tools.sig.systems/site/details/352</v>
      </c>
      <c r="J14" t="str">
        <f>VLOOKUP(Tabla3[[#This Row],[Site]],Table35[],14,FALSE)</f>
        <v>-</v>
      </c>
      <c r="L14" s="34" t="str">
        <f>VLOOKUP(Tabla3[[#This Row],[Site]],Table35[#All],2,FALSE)</f>
        <v>-</v>
      </c>
      <c r="M14" s="34" t="str">
        <f>VLOOKUP(Tabla3[[#This Row],[Site]],Table35[#All],3,FALSE)</f>
        <v>3, 6</v>
      </c>
      <c r="N14" s="34" t="str">
        <f>VLOOKUP(Tabla3[[#This Row],[Site]],Table35[#All],4,FALSE)</f>
        <v>-</v>
      </c>
      <c r="O14" s="34">
        <f>VLOOKUP(Tabla3[[#This Row],[Site]],Table35[#All],5,FALSE)</f>
        <v>4</v>
      </c>
      <c r="P14" s="34" t="str">
        <f>VLOOKUP(Tabla3[[#This Row],[Site]],Table35[#All],6,FALSE)</f>
        <v xml:space="preserve">2, 9, 17 </v>
      </c>
      <c r="Q14" s="34" t="str">
        <f>VLOOKUP(Tabla3[[#This Row],[Site]],Table35[#All],8,FALSE)</f>
        <v>352</v>
      </c>
      <c r="R14"/>
    </row>
    <row r="15" spans="1:18" hidden="1" x14ac:dyDescent="0.25">
      <c r="A15" t="str">
        <f>+Tabla3[[#This Row],[Site]]&amp;Tabla3[[#This Row],[Split]]</f>
        <v>(AS) Koons Chevrolet Buick GMC - Tysons Remote Lot (NO TOURS)1</v>
      </c>
      <c r="B15">
        <v>1</v>
      </c>
      <c r="C15">
        <v>1</v>
      </c>
      <c r="D15" t="s">
        <v>374</v>
      </c>
      <c r="E15" t="str">
        <f>VLOOKUP(Tabla3[[#This Row],[Site]],Table35[],10,FALSE)</f>
        <v>9:00 P.M.</v>
      </c>
      <c r="F15" t="str">
        <f>VLOOKUP(Tabla3[[#This Row],[Site]],Table35[],11,FALSE)</f>
        <v>ET</v>
      </c>
      <c r="G15" t="str">
        <f>VLOOKUP(Tabla3[[#This Row],[Site]],Table35[],12,FALSE)</f>
        <v>5:00 A.M.</v>
      </c>
      <c r="H15" t="str">
        <f>VLOOKUP(Tabla3[[#This Row],[Site]],Table35[],13,FALSE)</f>
        <v>-</v>
      </c>
      <c r="I15" s="70" t="str">
        <f>HYPERLINK(VLOOKUP(Tabla3[[#This Row],[Site]],Table35[#All],9,FALSE))</f>
        <v>https://tools.sig.systems/site/details/333</v>
      </c>
      <c r="J15" t="str">
        <f>VLOOKUP(Tabla3[[#This Row],[Site]],Table35[],14,FALSE)</f>
        <v>-</v>
      </c>
      <c r="L15" s="34" t="str">
        <f>VLOOKUP(Tabla3[[#This Row],[Site]],Table35[#All],2,FALSE)</f>
        <v>-</v>
      </c>
      <c r="M15" s="34">
        <f>VLOOKUP(Tabla3[[#This Row],[Site]],Table35[#All],3,FALSE)</f>
        <v>6</v>
      </c>
      <c r="N15" s="34" t="str">
        <f>VLOOKUP(Tabla3[[#This Row],[Site]],Table35[#All],4,FALSE)</f>
        <v>1, 2, 3</v>
      </c>
      <c r="O15" s="34" t="str">
        <f>VLOOKUP(Tabla3[[#This Row],[Site]],Table35[#All],5,FALSE)</f>
        <v>7, 10, 16, 29</v>
      </c>
      <c r="P15" s="34" t="str">
        <f>VLOOKUP(Tabla3[[#This Row],[Site]],Table35[#All],6,FALSE)</f>
        <v>14, 17, 30</v>
      </c>
      <c r="Q15" s="34" t="str">
        <f>VLOOKUP(Tabla3[[#This Row],[Site]],Table35[#All],8,FALSE)</f>
        <v>333</v>
      </c>
      <c r="R15"/>
    </row>
    <row r="16" spans="1:18" hidden="1" x14ac:dyDescent="0.25">
      <c r="A16" t="str">
        <f>+Tabla3[[#This Row],[Site]]&amp;Tabla3[[#This Row],[Split]]</f>
        <v>(AS) Koons Easton Toyota - Main Dealership (NO TOURS)1</v>
      </c>
      <c r="B16">
        <v>1</v>
      </c>
      <c r="C16">
        <v>1</v>
      </c>
      <c r="D16" t="s">
        <v>426</v>
      </c>
      <c r="E16" t="str">
        <f>VLOOKUP(Tabla3[[#This Row],[Site]],Table35[],10,FALSE)</f>
        <v>9:00 P.M.</v>
      </c>
      <c r="F16" t="str">
        <f>VLOOKUP(Tabla3[[#This Row],[Site]],Table35[],11,FALSE)</f>
        <v>ET</v>
      </c>
      <c r="G16" t="str">
        <f>VLOOKUP(Tabla3[[#This Row],[Site]],Table35[],12,FALSE)</f>
        <v>5:00 A.M.</v>
      </c>
      <c r="H16" t="str">
        <f>VLOOKUP(Tabla3[[#This Row],[Site]],Table35[],13,FALSE)</f>
        <v>-</v>
      </c>
      <c r="I16" s="70" t="str">
        <f>HYPERLINK(VLOOKUP(Tabla3[[#This Row],[Site]],Table35[#All],9,FALSE))</f>
        <v>https://tools.sig.systems/site/details/340</v>
      </c>
      <c r="J16" t="str">
        <f>VLOOKUP(Tabla3[[#This Row],[Site]],Table35[],14,FALSE)</f>
        <v>-</v>
      </c>
      <c r="L16" s="34" t="str">
        <f>VLOOKUP(Tabla3[[#This Row],[Site]],Table35[#All],2,FALSE)</f>
        <v>-</v>
      </c>
      <c r="M16" s="34" t="str">
        <f>VLOOKUP(Tabla3[[#This Row],[Site]],Table35[#All],3,FALSE)</f>
        <v>4, 5</v>
      </c>
      <c r="N16" s="34" t="str">
        <f>VLOOKUP(Tabla3[[#This Row],[Site]],Table35[#All],4,FALSE)</f>
        <v>-</v>
      </c>
      <c r="O16" s="34" t="str">
        <f>VLOOKUP(Tabla3[[#This Row],[Site]],Table35[#All],5,FALSE)</f>
        <v>-</v>
      </c>
      <c r="P16" s="34" t="str">
        <f>VLOOKUP(Tabla3[[#This Row],[Site]],Table35[#All],6,FALSE)</f>
        <v>8, 15</v>
      </c>
      <c r="Q16" s="34" t="str">
        <f>VLOOKUP(Tabla3[[#This Row],[Site]],Table35[#All],8,FALSE)</f>
        <v>340</v>
      </c>
      <c r="R16"/>
    </row>
    <row r="17" spans="1:18" hidden="1" x14ac:dyDescent="0.25">
      <c r="A17" t="str">
        <f>+Tabla3[[#This Row],[Site]]&amp;Tabla3[[#This Row],[Split]]</f>
        <v>(AS) Koons Falls Church Ford (NO TOURS)1</v>
      </c>
      <c r="B17">
        <v>1</v>
      </c>
      <c r="C17">
        <v>1</v>
      </c>
      <c r="D17" t="s">
        <v>386</v>
      </c>
      <c r="E17" t="str">
        <f>VLOOKUP(Tabla3[[#This Row],[Site]],Table35[],10,FALSE)</f>
        <v>9:00 P.M.</v>
      </c>
      <c r="F17" t="str">
        <f>VLOOKUP(Tabla3[[#This Row],[Site]],Table35[],11,FALSE)</f>
        <v>ET</v>
      </c>
      <c r="G17" t="str">
        <f>VLOOKUP(Tabla3[[#This Row],[Site]],Table35[],12,FALSE)</f>
        <v>5:00 A.M.</v>
      </c>
      <c r="H17" t="str">
        <f>VLOOKUP(Tabla3[[#This Row],[Site]],Table35[],13,FALSE)</f>
        <v>10:00 A.M.</v>
      </c>
      <c r="I17" s="70" t="str">
        <f>HYPERLINK(VLOOKUP(Tabla3[[#This Row],[Site]],Table35[#All],9,FALSE))</f>
        <v>https://tools.sig.systems/site/details/345</v>
      </c>
      <c r="J17" t="str">
        <f>VLOOKUP(Tabla3[[#This Row],[Site]],Table35[],14,FALSE)</f>
        <v>-</v>
      </c>
      <c r="L17" s="34" t="str">
        <f>VLOOKUP(Tabla3[[#This Row],[Site]],Table35[#All],2,FALSE)</f>
        <v>-</v>
      </c>
      <c r="M17" s="34">
        <f>VLOOKUP(Tabla3[[#This Row],[Site]],Table35[#All],3,FALSE)</f>
        <v>1</v>
      </c>
      <c r="N17" s="34" t="str">
        <f>VLOOKUP(Tabla3[[#This Row],[Site]],Table35[#All],4,FALSE)</f>
        <v>-</v>
      </c>
      <c r="O17" s="34" t="str">
        <f>VLOOKUP(Tabla3[[#This Row],[Site]],Table35[#All],5,FALSE)</f>
        <v>-</v>
      </c>
      <c r="P17" s="34" t="str">
        <f>VLOOKUP(Tabla3[[#This Row],[Site]],Table35[#All],6,FALSE)</f>
        <v>-</v>
      </c>
      <c r="Q17" s="34" t="str">
        <f>VLOOKUP(Tabla3[[#This Row],[Site]],Table35[#All],8,FALSE)</f>
        <v>345</v>
      </c>
      <c r="R17"/>
    </row>
    <row r="18" spans="1:18" hidden="1" x14ac:dyDescent="0.25">
      <c r="A18" t="str">
        <f>+Tabla3[[#This Row],[Site]]&amp;Tabla3[[#This Row],[Split]]</f>
        <v>(AS) Koons MB of Catonsville (NO TOURS)1</v>
      </c>
      <c r="B18">
        <v>1</v>
      </c>
      <c r="C18">
        <v>1</v>
      </c>
      <c r="D18" t="s">
        <v>236</v>
      </c>
      <c r="E18" t="str">
        <f>VLOOKUP(Tabla3[[#This Row],[Site]],Table35[],10,FALSE)</f>
        <v>9:00 P.M.</v>
      </c>
      <c r="F18" t="str">
        <f>VLOOKUP(Tabla3[[#This Row],[Site]],Table35[],11,FALSE)</f>
        <v>ET</v>
      </c>
      <c r="G18" t="str">
        <f>VLOOKUP(Tabla3[[#This Row],[Site]],Table35[],12,FALSE)</f>
        <v>5:00 A.M.</v>
      </c>
      <c r="H18" t="str">
        <f>VLOOKUP(Tabla3[[#This Row],[Site]],Table35[],13,FALSE)</f>
        <v>-</v>
      </c>
      <c r="I18" s="70" t="str">
        <f>HYPERLINK(VLOOKUP(Tabla3[[#This Row],[Site]],Table35[#All],9,FALSE))</f>
        <v>https://tools.sig.systems/site/details/303</v>
      </c>
      <c r="J18">
        <f>VLOOKUP(Tabla3[[#This Row],[Site]],Table35[],14,FALSE)</f>
        <v>0</v>
      </c>
      <c r="L18" s="34" t="str">
        <f>VLOOKUP(Tabla3[[#This Row],[Site]],Table35[#All],2,FALSE)</f>
        <v>-</v>
      </c>
      <c r="M18" s="34" t="str">
        <f>VLOOKUP(Tabla3[[#This Row],[Site]],Table35[#All],3,FALSE)</f>
        <v>15, 16, 17, 29</v>
      </c>
      <c r="N18" s="34">
        <f>VLOOKUP(Tabla3[[#This Row],[Site]],Table35[#All],4,FALSE)</f>
        <v>29</v>
      </c>
      <c r="O18" s="34">
        <f>VLOOKUP(Tabla3[[#This Row],[Site]],Table35[#All],5,FALSE)</f>
        <v>5</v>
      </c>
      <c r="P18" s="34" t="str">
        <f>VLOOKUP(Tabla3[[#This Row],[Site]],Table35[#All],6,FALSE)</f>
        <v>1, 7, 8, 12, 19, 32</v>
      </c>
      <c r="Q18" s="34" t="str">
        <f>VLOOKUP(Tabla3[[#This Row],[Site]],Table35[#All],8,FALSE)</f>
        <v>303</v>
      </c>
      <c r="R18"/>
    </row>
    <row r="19" spans="1:18" hidden="1" x14ac:dyDescent="0.25">
      <c r="A19" t="str">
        <f>+Tabla3[[#This Row],[Site]]&amp;Tabla3[[#This Row],[Split]]</f>
        <v>(AS) Koons Owings Mills Kia (NO TOURS)1</v>
      </c>
      <c r="B19">
        <v>1</v>
      </c>
      <c r="C19">
        <v>1</v>
      </c>
      <c r="D19" t="s">
        <v>416</v>
      </c>
      <c r="E19" t="str">
        <f>VLOOKUP(Tabla3[[#This Row],[Site]],Table35[],10,FALSE)</f>
        <v>9:00 P.M.</v>
      </c>
      <c r="F19" t="str">
        <f>VLOOKUP(Tabla3[[#This Row],[Site]],Table35[],11,FALSE)</f>
        <v>ET</v>
      </c>
      <c r="G19" t="str">
        <f>VLOOKUP(Tabla3[[#This Row],[Site]],Table35[],12,FALSE)</f>
        <v>5:00 A.M.</v>
      </c>
      <c r="H19" t="str">
        <f>VLOOKUP(Tabla3[[#This Row],[Site]],Table35[],13,FALSE)</f>
        <v>-</v>
      </c>
      <c r="I19" s="70" t="str">
        <f>HYPERLINK(VLOOKUP(Tabla3[[#This Row],[Site]],Table35[#All],9,FALSE))</f>
        <v>https://tools.sig.systems/site/details/336</v>
      </c>
      <c r="J19" t="str">
        <f>VLOOKUP(Tabla3[[#This Row],[Site]],Table35[],14,FALSE)</f>
        <v>-</v>
      </c>
      <c r="L19" s="34">
        <f>VLOOKUP(Tabla3[[#This Row],[Site]],Table35[#All],2,FALSE)</f>
        <v>12</v>
      </c>
      <c r="M19" s="34" t="str">
        <f>VLOOKUP(Tabla3[[#This Row],[Site]],Table35[#All],3,FALSE)</f>
        <v>2, 18</v>
      </c>
      <c r="N19" s="34" t="str">
        <f>VLOOKUP(Tabla3[[#This Row],[Site]],Table35[#All],4,FALSE)</f>
        <v>-</v>
      </c>
      <c r="O19" s="34" t="str">
        <f>VLOOKUP(Tabla3[[#This Row],[Site]],Table35[#All],5,FALSE)</f>
        <v>-</v>
      </c>
      <c r="P19" s="34" t="str">
        <f>VLOOKUP(Tabla3[[#This Row],[Site]],Table35[#All],6,FALSE)</f>
        <v>7, 14</v>
      </c>
      <c r="Q19" s="34" t="str">
        <f>VLOOKUP(Tabla3[[#This Row],[Site]],Table35[#All],8,FALSE)</f>
        <v>336</v>
      </c>
      <c r="R19"/>
    </row>
    <row r="20" spans="1:18" hidden="1" x14ac:dyDescent="0.25">
      <c r="A20" t="str">
        <f>+Tabla3[[#This Row],[Site]]&amp;Tabla3[[#This Row],[Split]]</f>
        <v>(AS) Koons Sterling Ford - Main Dealership (NO TOURS)1</v>
      </c>
      <c r="B20">
        <v>1</v>
      </c>
      <c r="C20">
        <v>1</v>
      </c>
      <c r="D20" t="s">
        <v>408</v>
      </c>
      <c r="E20" t="str">
        <f>VLOOKUP(Tabla3[[#This Row],[Site]],Table35[],10,FALSE)</f>
        <v>9:00 P.M.</v>
      </c>
      <c r="F20" t="str">
        <f>VLOOKUP(Tabla3[[#This Row],[Site]],Table35[],11,FALSE)</f>
        <v>ET</v>
      </c>
      <c r="G20" t="str">
        <f>VLOOKUP(Tabla3[[#This Row],[Site]],Table35[],12,FALSE)</f>
        <v>5:00 A.M.</v>
      </c>
      <c r="H20" t="str">
        <f>VLOOKUP(Tabla3[[#This Row],[Site]],Table35[],13,FALSE)</f>
        <v>10:00 A.M.</v>
      </c>
      <c r="I20" s="70" t="str">
        <f>HYPERLINK(VLOOKUP(Tabla3[[#This Row],[Site]],Table35[#All],9,FALSE))</f>
        <v>https://tools.sig.systems/site/details/348</v>
      </c>
      <c r="J20">
        <f>VLOOKUP(Tabla3[[#This Row],[Site]],Table35[],14,FALSE)</f>
        <v>0</v>
      </c>
      <c r="L20" s="34">
        <f>VLOOKUP(Tabla3[[#This Row],[Site]],Table35[#All],2,FALSE)</f>
        <v>19</v>
      </c>
      <c r="M20" s="34">
        <f>VLOOKUP(Tabla3[[#This Row],[Site]],Table35[#All],3,FALSE)</f>
        <v>3</v>
      </c>
      <c r="N20" s="34" t="str">
        <f>VLOOKUP(Tabla3[[#This Row],[Site]],Table35[#All],4,FALSE)</f>
        <v>-</v>
      </c>
      <c r="O20" s="34" t="str">
        <f>VLOOKUP(Tabla3[[#This Row],[Site]],Table35[#All],5,FALSE)</f>
        <v>4, 21</v>
      </c>
      <c r="P20" s="34" t="str">
        <f>VLOOKUP(Tabla3[[#This Row],[Site]],Table35[#All],6,FALSE)</f>
        <v>7, 8</v>
      </c>
      <c r="Q20" s="34" t="str">
        <f>VLOOKUP(Tabla3[[#This Row],[Site]],Table35[#All],8,FALSE)</f>
        <v>348</v>
      </c>
      <c r="R20"/>
    </row>
    <row r="21" spans="1:18" hidden="1" x14ac:dyDescent="0.25">
      <c r="A21" t="str">
        <f>+Tabla3[[#This Row],[Site]]&amp;Tabla3[[#This Row],[Split]]</f>
        <v>(AS) Koons Tysons Toyota - Main Dealership (NO TOURS)1</v>
      </c>
      <c r="B21">
        <v>1</v>
      </c>
      <c r="C21">
        <v>1</v>
      </c>
      <c r="D21" t="s">
        <v>431</v>
      </c>
      <c r="E21" t="str">
        <f>VLOOKUP(Tabla3[[#This Row],[Site]],Table35[],10,FALSE)</f>
        <v>9:00 P.M.</v>
      </c>
      <c r="F21" t="str">
        <f>VLOOKUP(Tabla3[[#This Row],[Site]],Table35[],11,FALSE)</f>
        <v>ET</v>
      </c>
      <c r="G21" t="str">
        <f>VLOOKUP(Tabla3[[#This Row],[Site]],Table35[],12,FALSE)</f>
        <v>5:00 A.M.</v>
      </c>
      <c r="H21" t="str">
        <f>VLOOKUP(Tabla3[[#This Row],[Site]],Table35[],13,FALSE)</f>
        <v>-</v>
      </c>
      <c r="I21" s="70" t="str">
        <f>HYPERLINK(VLOOKUP(Tabla3[[#This Row],[Site]],Table35[#All],9,FALSE))</f>
        <v>https://tools.sig.systems/site/details/344</v>
      </c>
      <c r="J21" t="str">
        <f>VLOOKUP(Tabla3[[#This Row],[Site]],Table35[],14,FALSE)</f>
        <v>-</v>
      </c>
      <c r="L21" s="34" t="str">
        <f>VLOOKUP(Tabla3[[#This Row],[Site]],Table35[#All],2,FALSE)</f>
        <v>-</v>
      </c>
      <c r="M21" s="34" t="str">
        <f>VLOOKUP(Tabla3[[#This Row],[Site]],Table35[#All],3,FALSE)</f>
        <v>1, 25</v>
      </c>
      <c r="N21" s="34" t="str">
        <f>VLOOKUP(Tabla3[[#This Row],[Site]],Table35[#All],4,FALSE)</f>
        <v>-</v>
      </c>
      <c r="O21" s="34" t="str">
        <f>VLOOKUP(Tabla3[[#This Row],[Site]],Table35[#All],5,FALSE)</f>
        <v>-</v>
      </c>
      <c r="P21" s="34" t="str">
        <f>VLOOKUP(Tabla3[[#This Row],[Site]],Table35[#All],6,FALSE)</f>
        <v>13, 22, 27</v>
      </c>
      <c r="Q21" s="34" t="str">
        <f>VLOOKUP(Tabla3[[#This Row],[Site]],Table35[#All],8,FALSE)</f>
        <v>344</v>
      </c>
      <c r="R21"/>
    </row>
    <row r="22" spans="1:18" hidden="1" x14ac:dyDescent="0.25">
      <c r="A22" t="str">
        <f>+Tabla3[[#This Row],[Site]]&amp;Tabla3[[#This Row],[Split]]</f>
        <v>(AS) Koons Volvo Cars White Marsh (NO TOURS)1</v>
      </c>
      <c r="B22">
        <v>1</v>
      </c>
      <c r="C22">
        <v>1</v>
      </c>
      <c r="D22" t="s">
        <v>376</v>
      </c>
      <c r="E22" t="str">
        <f>VLOOKUP(Tabla3[[#This Row],[Site]],Table35[],10,FALSE)</f>
        <v>9:00 P.M.</v>
      </c>
      <c r="F22" t="str">
        <f>VLOOKUP(Tabla3[[#This Row],[Site]],Table35[],11,FALSE)</f>
        <v>ET</v>
      </c>
      <c r="G22" t="str">
        <f>VLOOKUP(Tabla3[[#This Row],[Site]],Table35[],12,FALSE)</f>
        <v>5:00 A.M.</v>
      </c>
      <c r="H22" t="str">
        <f>VLOOKUP(Tabla3[[#This Row],[Site]],Table35[],13,FALSE)</f>
        <v>-</v>
      </c>
      <c r="I22" s="70" t="str">
        <f>HYPERLINK(VLOOKUP(Tabla3[[#This Row],[Site]],Table35[#All],9,FALSE))</f>
        <v>https://tools.sig.systems/site/details/338</v>
      </c>
      <c r="J22">
        <f>VLOOKUP(Tabla3[[#This Row],[Site]],Table35[],14,FALSE)</f>
        <v>0</v>
      </c>
      <c r="L22" s="34" t="str">
        <f>VLOOKUP(Tabla3[[#This Row],[Site]],Table35[#All],2,FALSE)</f>
        <v>-</v>
      </c>
      <c r="M22" s="34" t="str">
        <f>VLOOKUP(Tabla3[[#This Row],[Site]],Table35[#All],3,FALSE)</f>
        <v>5, 7, 9</v>
      </c>
      <c r="N22" s="34" t="str">
        <f>VLOOKUP(Tabla3[[#This Row],[Site]],Table35[#All],4,FALSE)</f>
        <v>-</v>
      </c>
      <c r="O22" s="34" t="str">
        <f>VLOOKUP(Tabla3[[#This Row],[Site]],Table35[#All],5,FALSE)</f>
        <v>-</v>
      </c>
      <c r="P22" s="34" t="str">
        <f>VLOOKUP(Tabla3[[#This Row],[Site]],Table35[#All],6,FALSE)</f>
        <v>6, 10, 1</v>
      </c>
      <c r="Q22" s="34" t="str">
        <f>VLOOKUP(Tabla3[[#This Row],[Site]],Table35[#All],8,FALSE)</f>
        <v>338</v>
      </c>
      <c r="R22"/>
    </row>
    <row r="23" spans="1:18" hidden="1" x14ac:dyDescent="0.25">
      <c r="A23" t="str">
        <f>+Tabla3[[#This Row],[Site]]&amp;Tabla3[[#This Row],[Split]]</f>
        <v>(AS) Koons Westminster Toyota (NO TOURS)1</v>
      </c>
      <c r="B23">
        <v>1</v>
      </c>
      <c r="C23">
        <v>1</v>
      </c>
      <c r="D23" t="s">
        <v>421</v>
      </c>
      <c r="E23" t="str">
        <f>VLOOKUP(Tabla3[[#This Row],[Site]],Table35[],10,FALSE)</f>
        <v>9:00 P.M.</v>
      </c>
      <c r="F23" t="str">
        <f>VLOOKUP(Tabla3[[#This Row],[Site]],Table35[],11,FALSE)</f>
        <v>ET</v>
      </c>
      <c r="G23" t="str">
        <f>VLOOKUP(Tabla3[[#This Row],[Site]],Table35[],12,FALSE)</f>
        <v>5:00 A.M.</v>
      </c>
      <c r="H23" t="str">
        <f>VLOOKUP(Tabla3[[#This Row],[Site]],Table35[],13,FALSE)</f>
        <v>-</v>
      </c>
      <c r="I23" s="70" t="str">
        <f>HYPERLINK(VLOOKUP(Tabla3[[#This Row],[Site]],Table35[#All],9,FALSE))</f>
        <v>https://tools.sig.systems/site/details/341</v>
      </c>
      <c r="J23" t="str">
        <f>VLOOKUP(Tabla3[[#This Row],[Site]],Table35[],14,FALSE)</f>
        <v>-</v>
      </c>
      <c r="L23" s="34" t="str">
        <f>VLOOKUP(Tabla3[[#This Row],[Site]],Table35[#All],2,FALSE)</f>
        <v>-</v>
      </c>
      <c r="M23" s="34" t="str">
        <f>VLOOKUP(Tabla3[[#This Row],[Site]],Table35[#All],3,FALSE)</f>
        <v>1, 10, 18, 25</v>
      </c>
      <c r="N23" s="34" t="str">
        <f>VLOOKUP(Tabla3[[#This Row],[Site]],Table35[#All],4,FALSE)</f>
        <v>-</v>
      </c>
      <c r="O23" s="34" t="str">
        <f>VLOOKUP(Tabla3[[#This Row],[Site]],Table35[#All],5,FALSE)</f>
        <v>-</v>
      </c>
      <c r="P23" s="34" t="str">
        <f>VLOOKUP(Tabla3[[#This Row],[Site]],Table35[#All],6,FALSE)</f>
        <v>8, 14</v>
      </c>
      <c r="Q23" s="34" t="str">
        <f>VLOOKUP(Tabla3[[#This Row],[Site]],Table35[#All],8,FALSE)</f>
        <v>341</v>
      </c>
      <c r="R23"/>
    </row>
    <row r="24" spans="1:18" hidden="1" x14ac:dyDescent="0.25">
      <c r="A24" t="str">
        <f>+Tabla3[[#This Row],[Site]]&amp;Tabla3[[#This Row],[Split]]</f>
        <v>(AS) Koons White Marsh Chevrolet (NO TOURS)1</v>
      </c>
      <c r="B24">
        <v>1</v>
      </c>
      <c r="C24">
        <v>1</v>
      </c>
      <c r="D24" t="s">
        <v>389</v>
      </c>
      <c r="E24" t="str">
        <f>VLOOKUP(Tabla3[[#This Row],[Site]],Table35[],10,FALSE)</f>
        <v>9:00 P.M.</v>
      </c>
      <c r="F24" t="str">
        <f>VLOOKUP(Tabla3[[#This Row],[Site]],Table35[],11,FALSE)</f>
        <v>ET</v>
      </c>
      <c r="G24" t="str">
        <f>VLOOKUP(Tabla3[[#This Row],[Site]],Table35[],12,FALSE)</f>
        <v>5:00 A.M.</v>
      </c>
      <c r="H24" t="str">
        <f>VLOOKUP(Tabla3[[#This Row],[Site]],Table35[],13,FALSE)</f>
        <v>-</v>
      </c>
      <c r="I24" s="70" t="str">
        <f>HYPERLINK(VLOOKUP(Tabla3[[#This Row],[Site]],Table35[#All],9,FALSE))</f>
        <v>https://tools.sig.systems/site/details/339</v>
      </c>
      <c r="J24" t="str">
        <f>VLOOKUP(Tabla3[[#This Row],[Site]],Table35[],14,FALSE)</f>
        <v>-</v>
      </c>
      <c r="L24" s="34">
        <f>VLOOKUP(Tabla3[[#This Row],[Site]],Table35[#All],2,FALSE)</f>
        <v>25</v>
      </c>
      <c r="M24" s="34">
        <f>VLOOKUP(Tabla3[[#This Row],[Site]],Table35[#All],3,FALSE)</f>
        <v>10</v>
      </c>
      <c r="N24" s="34" t="str">
        <f>VLOOKUP(Tabla3[[#This Row],[Site]],Table35[#All],4,FALSE)</f>
        <v>-</v>
      </c>
      <c r="O24" s="34" t="str">
        <f>VLOOKUP(Tabla3[[#This Row],[Site]],Table35[#All],5,FALSE)</f>
        <v>-</v>
      </c>
      <c r="P24" s="34">
        <f>VLOOKUP(Tabla3[[#This Row],[Site]],Table35[#All],6,FALSE)</f>
        <v>12</v>
      </c>
      <c r="Q24" s="34" t="str">
        <f>VLOOKUP(Tabla3[[#This Row],[Site]],Table35[#All],8,FALSE)</f>
        <v>339</v>
      </c>
      <c r="R24"/>
    </row>
    <row r="25" spans="1:18" hidden="1" x14ac:dyDescent="0.25">
      <c r="A25" t="str">
        <f>+Tabla3[[#This Row],[Site]]&amp;Tabla3[[#This Row],[Split]]</f>
        <v>(AS) Koons Woodbridge Ford (NO TOURS)1</v>
      </c>
      <c r="B25">
        <v>1</v>
      </c>
      <c r="C25">
        <v>1</v>
      </c>
      <c r="D25" t="s">
        <v>373</v>
      </c>
      <c r="E25" t="str">
        <f>VLOOKUP(Tabla3[[#This Row],[Site]],Table35[],10,FALSE)</f>
        <v>9:00 P.M.</v>
      </c>
      <c r="F25" t="str">
        <f>VLOOKUP(Tabla3[[#This Row],[Site]],Table35[],11,FALSE)</f>
        <v>ET</v>
      </c>
      <c r="G25" t="str">
        <f>VLOOKUP(Tabla3[[#This Row],[Site]],Table35[],12,FALSE)</f>
        <v>5:00 A.M.</v>
      </c>
      <c r="H25" t="str">
        <f>VLOOKUP(Tabla3[[#This Row],[Site]],Table35[],13,FALSE)</f>
        <v>9:00 A.M.</v>
      </c>
      <c r="I25" s="70" t="str">
        <f>HYPERLINK(VLOOKUP(Tabla3[[#This Row],[Site]],Table35[#All],9,FALSE))</f>
        <v>https://tools.sig.systems/site/details/342</v>
      </c>
      <c r="J25">
        <f>VLOOKUP(Tabla3[[#This Row],[Site]],Table35[],14,FALSE)</f>
        <v>0</v>
      </c>
      <c r="L25" s="34" t="str">
        <f>VLOOKUP(Tabla3[[#This Row],[Site]],Table35[#All],2,FALSE)</f>
        <v>-</v>
      </c>
      <c r="M25" s="34" t="str">
        <f>VLOOKUP(Tabla3[[#This Row],[Site]],Table35[#All],3,FALSE)</f>
        <v>3, 24, 26, 27, 31, 36</v>
      </c>
      <c r="N25" s="34" t="str">
        <f>VLOOKUP(Tabla3[[#This Row],[Site]],Table35[#All],4,FALSE)</f>
        <v>-</v>
      </c>
      <c r="O25" s="34" t="str">
        <f>VLOOKUP(Tabla3[[#This Row],[Site]],Table35[#All],5,FALSE)</f>
        <v>-</v>
      </c>
      <c r="P25" s="34" t="str">
        <f>VLOOKUP(Tabla3[[#This Row],[Site]],Table35[#All],6,FALSE)</f>
        <v>13, 26, 29</v>
      </c>
      <c r="Q25" s="34" t="str">
        <f>VLOOKUP(Tabla3[[#This Row],[Site]],Table35[#All],8,FALSE)</f>
        <v>342</v>
      </c>
      <c r="R25"/>
    </row>
    <row r="26" spans="1:18" hidden="1" x14ac:dyDescent="0.25">
      <c r="A26" t="str">
        <f>+Tabla3[[#This Row],[Site]]&amp;Tabla3[[#This Row],[Split]]</f>
        <v>(AS) Koons Woodbridge GMC (NO TOURS)1</v>
      </c>
      <c r="B26">
        <v>1</v>
      </c>
      <c r="C26">
        <v>1</v>
      </c>
      <c r="D26" t="s">
        <v>372</v>
      </c>
      <c r="E26" t="str">
        <f>VLOOKUP(Tabla3[[#This Row],[Site]],Table35[],10,FALSE)</f>
        <v>9:00 P.M.</v>
      </c>
      <c r="F26" t="str">
        <f>VLOOKUP(Tabla3[[#This Row],[Site]],Table35[],11,FALSE)</f>
        <v>ET</v>
      </c>
      <c r="G26" t="str">
        <f>VLOOKUP(Tabla3[[#This Row],[Site]],Table35[],12,FALSE)</f>
        <v>5:00 A.M.</v>
      </c>
      <c r="H26" t="str">
        <f>VLOOKUP(Tabla3[[#This Row],[Site]],Table35[],13,FALSE)</f>
        <v>10:00 A.M.</v>
      </c>
      <c r="I26" s="70" t="str">
        <f>HYPERLINK(VLOOKUP(Tabla3[[#This Row],[Site]],Table35[#All],9,FALSE))</f>
        <v>https://tools.sig.systems/site/details/343</v>
      </c>
      <c r="J26">
        <f>VLOOKUP(Tabla3[[#This Row],[Site]],Table35[],14,FALSE)</f>
        <v>0</v>
      </c>
      <c r="L26" s="34" t="str">
        <f>VLOOKUP(Tabla3[[#This Row],[Site]],Table35[#All],2,FALSE)</f>
        <v>-</v>
      </c>
      <c r="M26" s="34">
        <f>VLOOKUP(Tabla3[[#This Row],[Site]],Table35[#All],3,FALSE)</f>
        <v>1</v>
      </c>
      <c r="N26" s="34" t="str">
        <f>VLOOKUP(Tabla3[[#This Row],[Site]],Table35[#All],4,FALSE)</f>
        <v>-</v>
      </c>
      <c r="O26" s="34">
        <f>VLOOKUP(Tabla3[[#This Row],[Site]],Table35[#All],5,FALSE)</f>
        <v>11</v>
      </c>
      <c r="P26" s="34" t="str">
        <f>VLOOKUP(Tabla3[[#This Row],[Site]],Table35[#All],6,FALSE)</f>
        <v>2, 7</v>
      </c>
      <c r="Q26" s="34" t="str">
        <f>VLOOKUP(Tabla3[[#This Row],[Site]],Table35[#All],8,FALSE)</f>
        <v>343</v>
      </c>
      <c r="R26"/>
    </row>
    <row r="27" spans="1:18" hidden="1" x14ac:dyDescent="0.25">
      <c r="A27" t="str">
        <f>+Tabla3[[#This Row],[Site]]&amp;Tabla3[[#This Row],[Split]]</f>
        <v>(AS) Koons Woodbridge Hyundai (NO TOURS)1</v>
      </c>
      <c r="B27">
        <v>1</v>
      </c>
      <c r="C27">
        <v>1</v>
      </c>
      <c r="D27" t="s">
        <v>406</v>
      </c>
      <c r="E27" t="str">
        <f>VLOOKUP(Tabla3[[#This Row],[Site]],Table35[],10,FALSE)</f>
        <v>9:00 P.M.</v>
      </c>
      <c r="F27" t="str">
        <f>VLOOKUP(Tabla3[[#This Row],[Site]],Table35[],11,FALSE)</f>
        <v>ET</v>
      </c>
      <c r="G27" t="str">
        <f>VLOOKUP(Tabla3[[#This Row],[Site]],Table35[],12,FALSE)</f>
        <v>5:00 A.M.</v>
      </c>
      <c r="H27" t="str">
        <f>VLOOKUP(Tabla3[[#This Row],[Site]],Table35[],13,FALSE)</f>
        <v>8:00 A.M.</v>
      </c>
      <c r="I27" s="70" t="str">
        <f>HYPERLINK(VLOOKUP(Tabla3[[#This Row],[Site]],Table35[#All],9,FALSE))</f>
        <v>https://tools.sig.systems/site/details/347</v>
      </c>
      <c r="J27" t="str">
        <f>VLOOKUP(Tabla3[[#This Row],[Site]],Table35[],14,FALSE)</f>
        <v>-</v>
      </c>
      <c r="L27" s="34" t="str">
        <f>VLOOKUP(Tabla3[[#This Row],[Site]],Table35[#All],2,FALSE)</f>
        <v>-</v>
      </c>
      <c r="M27" s="34" t="str">
        <f>VLOOKUP(Tabla3[[#This Row],[Site]],Table35[#All],3,FALSE)</f>
        <v>1, 17</v>
      </c>
      <c r="N27" s="34" t="str">
        <f>VLOOKUP(Tabla3[[#This Row],[Site]],Table35[#All],4,FALSE)</f>
        <v>-</v>
      </c>
      <c r="O27" s="34" t="str">
        <f>VLOOKUP(Tabla3[[#This Row],[Site]],Table35[#All],5,FALSE)</f>
        <v>-</v>
      </c>
      <c r="P27" s="34" t="str">
        <f>VLOOKUP(Tabla3[[#This Row],[Site]],Table35[#All],6,FALSE)</f>
        <v>4, 14, 22</v>
      </c>
      <c r="Q27" s="34" t="str">
        <f>VLOOKUP(Tabla3[[#This Row],[Site]],Table35[#All],8,FALSE)</f>
        <v>347</v>
      </c>
      <c r="R27"/>
    </row>
    <row r="28" spans="1:18" hidden="1" x14ac:dyDescent="0.25">
      <c r="A28" t="str">
        <f>+Tabla3[[#This Row],[Site]]&amp;Tabla3[[#This Row],[Split]]</f>
        <v>(AS) Koons Woodbridge Kia (NO TOURS)1</v>
      </c>
      <c r="B28">
        <v>1</v>
      </c>
      <c r="C28">
        <v>1</v>
      </c>
      <c r="D28" t="s">
        <v>407</v>
      </c>
      <c r="E28" t="str">
        <f>VLOOKUP(Tabla3[[#This Row],[Site]],Table35[],10,FALSE)</f>
        <v>9:00 P.M.</v>
      </c>
      <c r="F28" t="str">
        <f>VLOOKUP(Tabla3[[#This Row],[Site]],Table35[],11,FALSE)</f>
        <v>ET</v>
      </c>
      <c r="G28" t="str">
        <f>VLOOKUP(Tabla3[[#This Row],[Site]],Table35[],12,FALSE)</f>
        <v>5:00 A.M.</v>
      </c>
      <c r="H28" t="str">
        <f>VLOOKUP(Tabla3[[#This Row],[Site]],Table35[],13,FALSE)</f>
        <v>10:00 A.M.</v>
      </c>
      <c r="I28" s="70" t="str">
        <f>HYPERLINK(VLOOKUP(Tabla3[[#This Row],[Site]],Table35[#All],9,FALSE))</f>
        <v>https://tools.sig.systems/site/details/346</v>
      </c>
      <c r="J28" t="str">
        <f>VLOOKUP(Tabla3[[#This Row],[Site]],Table35[],14,FALSE)</f>
        <v>-</v>
      </c>
      <c r="L28" s="34" t="str">
        <f>VLOOKUP(Tabla3[[#This Row],[Site]],Table35[#All],2,FALSE)</f>
        <v>-</v>
      </c>
      <c r="M28" s="34">
        <f>VLOOKUP(Tabla3[[#This Row],[Site]],Table35[#All],3,FALSE)</f>
        <v>2</v>
      </c>
      <c r="N28" s="34" t="str">
        <f>VLOOKUP(Tabla3[[#This Row],[Site]],Table35[#All],4,FALSE)</f>
        <v>-</v>
      </c>
      <c r="O28" s="34" t="str">
        <f>VLOOKUP(Tabla3[[#This Row],[Site]],Table35[#All],5,FALSE)</f>
        <v>-</v>
      </c>
      <c r="P28" s="34">
        <f>VLOOKUP(Tabla3[[#This Row],[Site]],Table35[#All],6,FALSE)</f>
        <v>5</v>
      </c>
      <c r="Q28" s="34" t="str">
        <f>VLOOKUP(Tabla3[[#This Row],[Site]],Table35[#All],8,FALSE)</f>
        <v>346</v>
      </c>
      <c r="R28"/>
    </row>
    <row r="29" spans="1:18" hidden="1" x14ac:dyDescent="0.25">
      <c r="A29" t="str">
        <f>+Tabla3[[#This Row],[Site]]&amp;Tabla3[[#This Row],[Split]]</f>
        <v>(AS) Larry H Miller CDJR Fiat (NO TOURS)1</v>
      </c>
      <c r="B29">
        <v>1</v>
      </c>
      <c r="C29">
        <v>1</v>
      </c>
      <c r="D29" t="s">
        <v>217</v>
      </c>
      <c r="E29" t="str">
        <f>VLOOKUP(Tabla3[[#This Row],[Site]],Table35[],10,FALSE)</f>
        <v>11:00 P.M.</v>
      </c>
      <c r="F29" t="str">
        <f>VLOOKUP(Tabla3[[#This Row],[Site]],Table35[],11,FALSE)</f>
        <v>MT</v>
      </c>
      <c r="G29" t="str">
        <f>VLOOKUP(Tabla3[[#This Row],[Site]],Table35[],12,FALSE)</f>
        <v>7:00 A.M.</v>
      </c>
      <c r="H29" t="str">
        <f>VLOOKUP(Tabla3[[#This Row],[Site]],Table35[],13,FALSE)</f>
        <v>-</v>
      </c>
      <c r="I29" s="70" t="str">
        <f>HYPERLINK(VLOOKUP(Tabla3[[#This Row],[Site]],Table35[#All],9,FALSE))</f>
        <v>https://tools.sig.systems/site/details/298</v>
      </c>
      <c r="J29">
        <f>VLOOKUP(Tabla3[[#This Row],[Site]],Table35[],14,FALSE)</f>
        <v>0</v>
      </c>
      <c r="L29" s="34" t="str">
        <f>VLOOKUP(Tabla3[[#This Row],[Site]],Table35[#All],2,FALSE)</f>
        <v>7, 11</v>
      </c>
      <c r="M29" s="34" t="str">
        <f>VLOOKUP(Tabla3[[#This Row],[Site]],Table35[#All],3,FALSE)</f>
        <v>2, 3</v>
      </c>
      <c r="N29" s="34" t="str">
        <f>VLOOKUP(Tabla3[[#This Row],[Site]],Table35[#All],4,FALSE)</f>
        <v>-</v>
      </c>
      <c r="O29" s="34" t="str">
        <f>VLOOKUP(Tabla3[[#This Row],[Site]],Table35[#All],5,FALSE)</f>
        <v>-</v>
      </c>
      <c r="P29" s="34" t="str">
        <f>VLOOKUP(Tabla3[[#This Row],[Site]],Table35[#All],6,FALSE)</f>
        <v xml:space="preserve">2, 6, 10, 15, 18 </v>
      </c>
      <c r="Q29" s="34" t="str">
        <f>VLOOKUP(Tabla3[[#This Row],[Site]],Table35[#All],8,FALSE)</f>
        <v>298</v>
      </c>
      <c r="R29"/>
    </row>
    <row r="30" spans="1:18" hidden="1" x14ac:dyDescent="0.25">
      <c r="A30" t="str">
        <f>+Tabla3[[#This Row],[Site]]&amp;Tabla3[[#This Row],[Split]]</f>
        <v>(AS) Plaza Collision ST Louis (NO TOURS)1</v>
      </c>
      <c r="B30">
        <v>1</v>
      </c>
      <c r="C30">
        <v>1</v>
      </c>
      <c r="D30" t="s">
        <v>436</v>
      </c>
      <c r="E30" t="str">
        <f>VLOOKUP(Tabla3[[#This Row],[Site]],Table35[],10,FALSE)</f>
        <v>10:00 P.M.</v>
      </c>
      <c r="F30" t="str">
        <f>VLOOKUP(Tabla3[[#This Row],[Site]],Table35[],11,FALSE)</f>
        <v>CT</v>
      </c>
      <c r="G30" t="str">
        <f>VLOOKUP(Tabla3[[#This Row],[Site]],Table35[],12,FALSE)</f>
        <v>6:00 A.M.</v>
      </c>
      <c r="H30" t="str">
        <f>VLOOKUP(Tabla3[[#This Row],[Site]],Table35[],13,FALSE)</f>
        <v>-</v>
      </c>
      <c r="I30" s="70" t="str">
        <f>HYPERLINK(VLOOKUP(Tabla3[[#This Row],[Site]],Table35[#All],9,FALSE))</f>
        <v>https://tools.sig.systems/site/details/350</v>
      </c>
      <c r="J30" t="str">
        <f>VLOOKUP(Tabla3[[#This Row],[Site]],Table35[],14,FALSE)</f>
        <v>-</v>
      </c>
      <c r="L30" s="34" t="str">
        <f>VLOOKUP(Tabla3[[#This Row],[Site]],Table35[#All],2,FALSE)</f>
        <v>2, 6</v>
      </c>
      <c r="M30" s="34">
        <f>VLOOKUP(Tabla3[[#This Row],[Site]],Table35[#All],3,FALSE)</f>
        <v>1</v>
      </c>
      <c r="N30" s="34" t="str">
        <f>VLOOKUP(Tabla3[[#This Row],[Site]],Table35[#All],4,FALSE)</f>
        <v>-</v>
      </c>
      <c r="O30" s="34" t="str">
        <f>VLOOKUP(Tabla3[[#This Row],[Site]],Table35[#All],5,FALSE)</f>
        <v>-</v>
      </c>
      <c r="P30" s="34">
        <f>VLOOKUP(Tabla3[[#This Row],[Site]],Table35[#All],6,FALSE)</f>
        <v>3</v>
      </c>
      <c r="Q30" s="34" t="str">
        <f>VLOOKUP(Tabla3[[#This Row],[Site]],Table35[#All],8,FALSE)</f>
        <v>350</v>
      </c>
      <c r="R30"/>
    </row>
    <row r="31" spans="1:18" hidden="1" x14ac:dyDescent="0.25">
      <c r="A31" t="str">
        <f>+Tabla3[[#This Row],[Site]]&amp;Tabla3[[#This Row],[Split]]</f>
        <v>(AS) Plaza Mercedes Benz West (NO TOURS)1</v>
      </c>
      <c r="B31">
        <v>1</v>
      </c>
      <c r="C31">
        <v>1</v>
      </c>
      <c r="D31" t="s">
        <v>396</v>
      </c>
      <c r="E31" t="str">
        <f>VLOOKUP(Tabla3[[#This Row],[Site]],Table35[],10,FALSE)</f>
        <v>10:00 P.M.</v>
      </c>
      <c r="F31" t="str">
        <f>VLOOKUP(Tabla3[[#This Row],[Site]],Table35[],11,FALSE)</f>
        <v>CT</v>
      </c>
      <c r="G31" t="str">
        <f>VLOOKUP(Tabla3[[#This Row],[Site]],Table35[],12,FALSE)</f>
        <v>6:00 A.M.</v>
      </c>
      <c r="H31" t="str">
        <f>VLOOKUP(Tabla3[[#This Row],[Site]],Table35[],13,FALSE)</f>
        <v>-</v>
      </c>
      <c r="I31" s="70" t="str">
        <f>HYPERLINK(VLOOKUP(Tabla3[[#This Row],[Site]],Table35[#All],9,FALSE))</f>
        <v>https://tools.sig.systems/site/details/349</v>
      </c>
      <c r="J31" t="str">
        <f>VLOOKUP(Tabla3[[#This Row],[Site]],Table35[],14,FALSE)</f>
        <v>-</v>
      </c>
      <c r="L31" s="34" t="str">
        <f>VLOOKUP(Tabla3[[#This Row],[Site]],Table35[#All],2,FALSE)</f>
        <v>-</v>
      </c>
      <c r="M31" s="34" t="str">
        <f>VLOOKUP(Tabla3[[#This Row],[Site]],Table35[#All],3,FALSE)</f>
        <v>1, 7</v>
      </c>
      <c r="N31" s="34" t="str">
        <f>VLOOKUP(Tabla3[[#This Row],[Site]],Table35[#All],4,FALSE)</f>
        <v>-</v>
      </c>
      <c r="O31" s="34">
        <f>VLOOKUP(Tabla3[[#This Row],[Site]],Table35[#All],5,FALSE)</f>
        <v>17</v>
      </c>
      <c r="P31" s="34" t="str">
        <f>VLOOKUP(Tabla3[[#This Row],[Site]],Table35[#All],6,FALSE)</f>
        <v>6, 21</v>
      </c>
      <c r="Q31" s="34" t="str">
        <f>VLOOKUP(Tabla3[[#This Row],[Site]],Table35[#All],8,FALSE)</f>
        <v>349</v>
      </c>
      <c r="R31"/>
    </row>
    <row r="32" spans="1:18" hidden="1" x14ac:dyDescent="0.25">
      <c r="A32" t="str">
        <f>+Tabla3[[#This Row],[Site]]&amp;Tabla3[[#This Row],[Split]]</f>
        <v>(BRL) Shoemakersville1</v>
      </c>
      <c r="B32">
        <v>1</v>
      </c>
      <c r="C32">
        <v>1</v>
      </c>
      <c r="D32" t="s">
        <v>120</v>
      </c>
      <c r="E32" t="str">
        <f>VLOOKUP(Tabla3[[#This Row],[Site]],Table35[],10,FALSE)</f>
        <v>24H</v>
      </c>
      <c r="F32" t="str">
        <f>VLOOKUP(Tabla3[[#This Row],[Site]],Table35[],11,FALSE)</f>
        <v>ET</v>
      </c>
      <c r="G32" t="str">
        <f>VLOOKUP(Tabla3[[#This Row],[Site]],Table35[],12,FALSE)</f>
        <v>-</v>
      </c>
      <c r="H32" t="str">
        <f>VLOOKUP(Tabla3[[#This Row],[Site]],Table35[],13,FALSE)</f>
        <v>-</v>
      </c>
      <c r="I32" s="70" t="str">
        <f>HYPERLINK(VLOOKUP(Tabla3[[#This Row],[Site]],Table35[#All],9,FALSE))</f>
        <v>https://tools.sig.systems/site/details/302</v>
      </c>
      <c r="J32">
        <f>VLOOKUP(Tabla3[[#This Row],[Site]],Table35[],14,FALSE)</f>
        <v>0</v>
      </c>
      <c r="L32" s="34" t="str">
        <f>VLOOKUP(Tabla3[[#This Row],[Site]],Table35[#All],2,FALSE)</f>
        <v>-</v>
      </c>
      <c r="M32" s="34" t="str">
        <f>VLOOKUP(Tabla3[[#This Row],[Site]],Table35[#All],3,FALSE)</f>
        <v>8, 11</v>
      </c>
      <c r="N32" s="34" t="str">
        <f>VLOOKUP(Tabla3[[#This Row],[Site]],Table35[#All],4,FALSE)</f>
        <v>-</v>
      </c>
      <c r="O32" s="34" t="str">
        <f>VLOOKUP(Tabla3[[#This Row],[Site]],Table35[#All],5,FALSE)</f>
        <v>1, 6, 13A, 15, 18A</v>
      </c>
      <c r="P32" s="34" t="str">
        <f>VLOOKUP(Tabla3[[#This Row],[Site]],Table35[#All],6,FALSE)</f>
        <v>13B, 23</v>
      </c>
      <c r="Q32" s="34" t="str">
        <f>VLOOKUP(Tabla3[[#This Row],[Site]],Table35[#All],8,FALSE)</f>
        <v>302</v>
      </c>
      <c r="R32"/>
    </row>
    <row r="33" spans="1:18" hidden="1" x14ac:dyDescent="0.25">
      <c r="A33" t="str">
        <f>+Tabla3[[#This Row],[Site]]&amp;Tabla3[[#This Row],[Split]]</f>
        <v>(DT) Arlington1</v>
      </c>
      <c r="B33">
        <v>1</v>
      </c>
      <c r="C33">
        <v>1</v>
      </c>
      <c r="D33" t="s">
        <v>18</v>
      </c>
      <c r="E33" t="str">
        <f>VLOOKUP(Tabla3[[#This Row],[Site]],Table35[],10,FALSE)</f>
        <v>10:00 P.M.</v>
      </c>
      <c r="F33" t="str">
        <f>VLOOKUP(Tabla3[[#This Row],[Site]],Table35[],11,FALSE)</f>
        <v>CT</v>
      </c>
      <c r="G33" t="str">
        <f>VLOOKUP(Tabla3[[#This Row],[Site]],Table35[],12,FALSE)</f>
        <v>6:00 A.M.</v>
      </c>
      <c r="H33" t="str">
        <f>VLOOKUP(Tabla3[[#This Row],[Site]],Table35[],13,FALSE)</f>
        <v>-</v>
      </c>
      <c r="I33" s="70" t="str">
        <f>HYPERLINK(VLOOKUP(Tabla3[[#This Row],[Site]],Table35[#All],9,FALSE))</f>
        <v>https://tools.sig.systems/site/details/199</v>
      </c>
      <c r="J33" t="str">
        <f>VLOOKUP(Tabla3[[#This Row],[Site]],Table35[],14,FALSE)</f>
        <v>-</v>
      </c>
      <c r="L33" s="34" t="str">
        <f>VLOOKUP(Tabla3[[#This Row],[Site]],Table35[#All],2,FALSE)</f>
        <v>3,8</v>
      </c>
      <c r="M33" s="34" t="str">
        <f>VLOOKUP(Tabla3[[#This Row],[Site]],Table35[#All],3,FALSE)</f>
        <v>-</v>
      </c>
      <c r="N33" s="34" t="str">
        <f>VLOOKUP(Tabla3[[#This Row],[Site]],Table35[#All],4,FALSE)</f>
        <v>-</v>
      </c>
      <c r="O33" s="34" t="str">
        <f>VLOOKUP(Tabla3[[#This Row],[Site]],Table35[#All],5,FALSE)</f>
        <v>-</v>
      </c>
      <c r="P33" s="34" t="str">
        <f>VLOOKUP(Tabla3[[#This Row],[Site]],Table35[#All],6,FALSE)</f>
        <v>3, 8, 7</v>
      </c>
      <c r="Q33" s="34" t="str">
        <f>VLOOKUP(Tabla3[[#This Row],[Site]],Table35[#All],8,FALSE)</f>
        <v>199</v>
      </c>
      <c r="R33"/>
    </row>
    <row r="34" spans="1:18" hidden="1" x14ac:dyDescent="0.25">
      <c r="A34" t="str">
        <f>+Tabla3[[#This Row],[Site]]&amp;Tabla3[[#This Row],[Split]]</f>
        <v>(DT) Charlotte1</v>
      </c>
      <c r="B34">
        <v>1</v>
      </c>
      <c r="C34">
        <v>1</v>
      </c>
      <c r="D34" t="s">
        <v>151</v>
      </c>
      <c r="E34" t="str">
        <f>VLOOKUP(Tabla3[[#This Row],[Site]],Table35[],10,FALSE)</f>
        <v>9:00 P.M.</v>
      </c>
      <c r="F34" t="str">
        <f>VLOOKUP(Tabla3[[#This Row],[Site]],Table35[],11,FALSE)</f>
        <v>ET</v>
      </c>
      <c r="G34" t="str">
        <f>VLOOKUP(Tabla3[[#This Row],[Site]],Table35[],12,FALSE)</f>
        <v>5:00 A.M.</v>
      </c>
      <c r="H34" t="str">
        <f>VLOOKUP(Tabla3[[#This Row],[Site]],Table35[],13,FALSE)</f>
        <v>-</v>
      </c>
      <c r="I34" s="70" t="str">
        <f>HYPERLINK(VLOOKUP(Tabla3[[#This Row],[Site]],Table35[#All],9,FALSE))</f>
        <v>https://tools.sig.systems/site/details/299</v>
      </c>
      <c r="J34">
        <f>VLOOKUP(Tabla3[[#This Row],[Site]],Table35[],14,FALSE)</f>
        <v>0</v>
      </c>
      <c r="L34" s="34" t="str">
        <f>VLOOKUP(Tabla3[[#This Row],[Site]],Table35[#All],2,FALSE)</f>
        <v>4, 25, 41</v>
      </c>
      <c r="M34" s="34" t="str">
        <f>VLOOKUP(Tabla3[[#This Row],[Site]],Table35[#All],3,FALSE)</f>
        <v>-</v>
      </c>
      <c r="N34" s="34" t="str">
        <f>VLOOKUP(Tabla3[[#This Row],[Site]],Table35[#All],4,FALSE)</f>
        <v>-</v>
      </c>
      <c r="O34" s="34" t="str">
        <f>VLOOKUP(Tabla3[[#This Row],[Site]],Table35[#All],5,FALSE)</f>
        <v xml:space="preserve">11, 32, 35 </v>
      </c>
      <c r="P34" s="34" t="str">
        <f>VLOOKUP(Tabla3[[#This Row],[Site]],Table35[#All],6,FALSE)</f>
        <v>6, 11, 18, 29, 34,  38, 39</v>
      </c>
      <c r="Q34" s="34" t="str">
        <f>VLOOKUP(Tabla3[[#This Row],[Site]],Table35[#All],8,FALSE)</f>
        <v>299</v>
      </c>
      <c r="R34"/>
    </row>
    <row r="35" spans="1:18" hidden="1" x14ac:dyDescent="0.25">
      <c r="A35" t="str">
        <f>+Tabla3[[#This Row],[Site]]&amp;Tabla3[[#This Row],[Split]]</f>
        <v>(DT) Modesto1</v>
      </c>
      <c r="B35">
        <v>1</v>
      </c>
      <c r="C35">
        <v>1</v>
      </c>
      <c r="D35" t="s">
        <v>14</v>
      </c>
      <c r="E35" t="str">
        <f>VLOOKUP(Tabla3[[#This Row],[Site]],Table35[],10,FALSE)</f>
        <v>12:00 A.M.</v>
      </c>
      <c r="F35" t="str">
        <f>VLOOKUP(Tabla3[[#This Row],[Site]],Table35[],11,FALSE)</f>
        <v>PT</v>
      </c>
      <c r="G35" t="str">
        <f>VLOOKUP(Tabla3[[#This Row],[Site]],Table35[],12,FALSE)</f>
        <v>8:00 A.M.</v>
      </c>
      <c r="H35" t="str">
        <f>VLOOKUP(Tabla3[[#This Row],[Site]],Table35[],13,FALSE)</f>
        <v>-</v>
      </c>
      <c r="I35" s="70" t="str">
        <f>HYPERLINK(VLOOKUP(Tabla3[[#This Row],[Site]],Table35[#All],9,FALSE))</f>
        <v>https://tools.sig.systems/site/details/267</v>
      </c>
      <c r="J35">
        <f>VLOOKUP(Tabla3[[#This Row],[Site]],Table35[],14,FALSE)</f>
        <v>0</v>
      </c>
      <c r="L35" s="34">
        <f>VLOOKUP(Tabla3[[#This Row],[Site]],Table35[#All],2,FALSE)</f>
        <v>10</v>
      </c>
      <c r="M35" s="34" t="str">
        <f>VLOOKUP(Tabla3[[#This Row],[Site]],Table35[#All],3,FALSE)</f>
        <v>5, 6</v>
      </c>
      <c r="N35" s="34" t="str">
        <f>VLOOKUP(Tabla3[[#This Row],[Site]],Table35[#All],4,FALSE)</f>
        <v>-</v>
      </c>
      <c r="O35" s="34" t="str">
        <f>VLOOKUP(Tabla3[[#This Row],[Site]],Table35[#All],5,FALSE)</f>
        <v>-</v>
      </c>
      <c r="P35" s="34" t="str">
        <f>VLOOKUP(Tabla3[[#This Row],[Site]],Table35[#All],6,FALSE)</f>
        <v>2, 3, 5, 10</v>
      </c>
      <c r="Q35" s="34" t="str">
        <f>VLOOKUP(Tabla3[[#This Row],[Site]],Table35[#All],8,FALSE)</f>
        <v>267</v>
      </c>
      <c r="R35"/>
    </row>
    <row r="36" spans="1:18" hidden="1" x14ac:dyDescent="0.25">
      <c r="A36" t="str">
        <f>+Tabla3[[#This Row],[Site]]&amp;Tabla3[[#This Row],[Split]]</f>
        <v>(KG) Big Star Cadillac1</v>
      </c>
      <c r="B36">
        <v>1</v>
      </c>
      <c r="C36">
        <v>1</v>
      </c>
      <c r="D36" t="s">
        <v>240</v>
      </c>
      <c r="E36" t="str">
        <f>VLOOKUP(Tabla3[[#This Row],[Site]],Table35[],10,FALSE)</f>
        <v>10:00 P.M.</v>
      </c>
      <c r="F36" t="str">
        <f>VLOOKUP(Tabla3[[#This Row],[Site]],Table35[],11,FALSE)</f>
        <v>CT</v>
      </c>
      <c r="G36" t="str">
        <f>VLOOKUP(Tabla3[[#This Row],[Site]],Table35[],12,FALSE)</f>
        <v>6:00 A.M.</v>
      </c>
      <c r="H36" t="str">
        <f>VLOOKUP(Tabla3[[#This Row],[Site]],Table35[],13,FALSE)</f>
        <v>-</v>
      </c>
      <c r="I36" s="70" t="str">
        <f>HYPERLINK(VLOOKUP(Tabla3[[#This Row],[Site]],Table35[#All],9,FALSE))</f>
        <v>https://tools.sig.systems/site/details/316</v>
      </c>
      <c r="J36" t="str">
        <f>VLOOKUP(Tabla3[[#This Row],[Site]],Table35[],14,FALSE)</f>
        <v>https://www.google.com/maps/d/edit?mid=1jIRkMUnWNPuTgDjQgDP-f33LClT85NU&amp;usp=sharing</v>
      </c>
      <c r="L36" s="34" t="str">
        <f>VLOOKUP(Tabla3[[#This Row],[Site]],Table35[#All],2,FALSE)</f>
        <v>1, 4, 16</v>
      </c>
      <c r="M36" s="34" t="str">
        <f>VLOOKUP(Tabla3[[#This Row],[Site]],Table35[#All],3,FALSE)</f>
        <v>-</v>
      </c>
      <c r="N36" s="34" t="str">
        <f>VLOOKUP(Tabla3[[#This Row],[Site]],Table35[#All],4,FALSE)</f>
        <v>-</v>
      </c>
      <c r="O36" s="34" t="str">
        <f>VLOOKUP(Tabla3[[#This Row],[Site]],Table35[#All],5,FALSE)</f>
        <v>-</v>
      </c>
      <c r="P36" s="34" t="str">
        <f>VLOOKUP(Tabla3[[#This Row],[Site]],Table35[#All],6,FALSE)</f>
        <v>15, 16, 19, 20</v>
      </c>
      <c r="Q36" s="34" t="str">
        <f>VLOOKUP(Tabla3[[#This Row],[Site]],Table35[#All],8,FALSE)</f>
        <v>316</v>
      </c>
      <c r="R36"/>
    </row>
    <row r="37" spans="1:18" hidden="1" x14ac:dyDescent="0.25">
      <c r="A37" t="str">
        <f>+Tabla3[[#This Row],[Site]]&amp;Tabla3[[#This Row],[Split]]</f>
        <v>(KG) Big Star Hyundai Houston1</v>
      </c>
      <c r="B37">
        <v>1</v>
      </c>
      <c r="C37">
        <v>1</v>
      </c>
      <c r="D37" t="s">
        <v>129</v>
      </c>
      <c r="E37" t="str">
        <f>VLOOKUP(Tabla3[[#This Row],[Site]],Table35[],10,FALSE)</f>
        <v>10:00 P.M.</v>
      </c>
      <c r="F37" t="str">
        <f>VLOOKUP(Tabla3[[#This Row],[Site]],Table35[],11,FALSE)</f>
        <v>CT</v>
      </c>
      <c r="G37" t="str">
        <f>VLOOKUP(Tabla3[[#This Row],[Site]],Table35[],12,FALSE)</f>
        <v>6:00 A.M.</v>
      </c>
      <c r="H37" t="str">
        <f>VLOOKUP(Tabla3[[#This Row],[Site]],Table35[],13,FALSE)</f>
        <v>-</v>
      </c>
      <c r="I37" s="70" t="str">
        <f>HYPERLINK(VLOOKUP(Tabla3[[#This Row],[Site]],Table35[#All],9,FALSE))</f>
        <v>https://tools.sig.systems/site/details/287</v>
      </c>
      <c r="J37" t="str">
        <f>VLOOKUP(Tabla3[[#This Row],[Site]],Table35[],14,FALSE)</f>
        <v>https://www.google.com/maps/d/edit?hl=en&amp;mid=1jIRkMUnWNPuTgDjQgDP-f33LClT85NU&amp;ll=29.55731827236326%2C-95.1601644&amp;z=17</v>
      </c>
      <c r="L37" s="34" t="str">
        <f>VLOOKUP(Tabla3[[#This Row],[Site]],Table35[#All],2,FALSE)</f>
        <v>3, 12, 17</v>
      </c>
      <c r="M37" s="34" t="str">
        <f>VLOOKUP(Tabla3[[#This Row],[Site]],Table35[#All],3,FALSE)</f>
        <v>23, 35</v>
      </c>
      <c r="N37" s="34" t="str">
        <f>VLOOKUP(Tabla3[[#This Row],[Site]],Table35[#All],4,FALSE)</f>
        <v>-</v>
      </c>
      <c r="O37" s="34" t="str">
        <f>VLOOKUP(Tabla3[[#This Row],[Site]],Table35[#All],5,FALSE)</f>
        <v>1, 75</v>
      </c>
      <c r="P37" s="34" t="str">
        <f>VLOOKUP(Tabla3[[#This Row],[Site]],Table35[#All],6,FALSE)</f>
        <v xml:space="preserve">5, 11, 16, 20, 26, 30, 32, 34 </v>
      </c>
      <c r="Q37" s="34" t="str">
        <f>VLOOKUP(Tabla3[[#This Row],[Site]],Table35[#All],8,FALSE)</f>
        <v>287</v>
      </c>
      <c r="R37"/>
    </row>
    <row r="38" spans="1:18" hidden="1" x14ac:dyDescent="0.25">
      <c r="A38" t="str">
        <f>+Tabla3[[#This Row],[Site]]&amp;Tabla3[[#This Row],[Split]]</f>
        <v>(KG) Ken Garff Kia of Avondale1</v>
      </c>
      <c r="B38">
        <v>1</v>
      </c>
      <c r="C38">
        <v>1</v>
      </c>
      <c r="D38" t="s">
        <v>300</v>
      </c>
      <c r="E38" t="str">
        <f>VLOOKUP(Tabla3[[#This Row],[Site]],Table35[],10,FALSE)</f>
        <v>12:00 A.M.</v>
      </c>
      <c r="F38" t="str">
        <f>VLOOKUP(Tabla3[[#This Row],[Site]],Table35[],11,FALSE)</f>
        <v>MST</v>
      </c>
      <c r="G38" t="str">
        <f>VLOOKUP(Tabla3[[#This Row],[Site]],Table35[],12,FALSE)</f>
        <v>8:00 A.M.</v>
      </c>
      <c r="H38" t="str">
        <f>VLOOKUP(Tabla3[[#This Row],[Site]],Table35[],13,FALSE)</f>
        <v>12:00 P.M.</v>
      </c>
      <c r="I38" s="70" t="str">
        <f>HYPERLINK(VLOOKUP(Tabla3[[#This Row],[Site]],Table35[#All],9,FALSE))</f>
        <v>https://tools.sig.systems/site/details/283</v>
      </c>
      <c r="J38" t="str">
        <f>VLOOKUP(Tabla3[[#This Row],[Site]],Table35[],14,FALSE)</f>
        <v>https://www.google.com/maps/d/viewer?mid=1bDs0QGFZwL3vEeGKxjVMk_j4azr0-lg&amp;ll=33.4593758581648%2C-112.28793780000001&amp;z=18</v>
      </c>
      <c r="L38" s="34" t="str">
        <f>VLOOKUP(Tabla3[[#This Row],[Site]],Table35[#All],2,FALSE)</f>
        <v>5, 19</v>
      </c>
      <c r="M38" s="34" t="str">
        <f>VLOOKUP(Tabla3[[#This Row],[Site]],Table35[#All],3,FALSE)</f>
        <v>-</v>
      </c>
      <c r="N38" s="34" t="str">
        <f>VLOOKUP(Tabla3[[#This Row],[Site]],Table35[#All],4,FALSE)</f>
        <v>-</v>
      </c>
      <c r="O38" s="34" t="str">
        <f>VLOOKUP(Tabla3[[#This Row],[Site]],Table35[#All],5,FALSE)</f>
        <v>3, 5</v>
      </c>
      <c r="P38" s="34" t="str">
        <f>VLOOKUP(Tabla3[[#This Row],[Site]],Table35[#All],6,FALSE)</f>
        <v>1, 6, 7, 12, 15, 17, 21</v>
      </c>
      <c r="Q38" s="34" t="str">
        <f>VLOOKUP(Tabla3[[#This Row],[Site]],Table35[#All],8,FALSE)</f>
        <v>283</v>
      </c>
      <c r="R38"/>
    </row>
    <row r="39" spans="1:18" hidden="1" x14ac:dyDescent="0.25">
      <c r="A39" t="str">
        <f>+Tabla3[[#This Row],[Site]]&amp;Tabla3[[#This Row],[Split]]</f>
        <v>(KG) Ken Garff Volkswagen of Gilbert1</v>
      </c>
      <c r="B39">
        <v>1</v>
      </c>
      <c r="C39">
        <v>1</v>
      </c>
      <c r="D39" t="s">
        <v>130</v>
      </c>
      <c r="E39" t="str">
        <f>VLOOKUP(Tabla3[[#This Row],[Site]],Table35[],10,FALSE)</f>
        <v>12:00 A.M.</v>
      </c>
      <c r="F39" t="str">
        <f>VLOOKUP(Tabla3[[#This Row],[Site]],Table35[],11,FALSE)</f>
        <v>MST</v>
      </c>
      <c r="G39" t="str">
        <f>VLOOKUP(Tabla3[[#This Row],[Site]],Table35[],12,FALSE)</f>
        <v>8:00 A.M.</v>
      </c>
      <c r="H39" t="str">
        <f>VLOOKUP(Tabla3[[#This Row],[Site]],Table35[],13,FALSE)</f>
        <v>12:00 P.M.</v>
      </c>
      <c r="I39" s="70" t="str">
        <f>HYPERLINK(VLOOKUP(Tabla3[[#This Row],[Site]],Table35[#All],9,FALSE))</f>
        <v>https://tools.sig.systems/site/details/284</v>
      </c>
      <c r="J39" t="str">
        <f>VLOOKUP(Tabla3[[#This Row],[Site]],Table35[],14,FALSE)</f>
        <v>https://www.google.com/maps/d/viewer?hl=es&amp;mid=19SU7XE9Cg8jhVFpEI21Vi9Zfgdih9Ds&amp;ll=33.29158262977276%2C-111.75783630000002&amp;z=17</v>
      </c>
      <c r="L39" s="34" t="str">
        <f>VLOOKUP(Tabla3[[#This Row],[Site]],Table35[#All],2,FALSE)</f>
        <v>4, 6</v>
      </c>
      <c r="M39" s="34" t="str">
        <f>VLOOKUP(Tabla3[[#This Row],[Site]],Table35[#All],3,FALSE)</f>
        <v>-</v>
      </c>
      <c r="N39" s="34" t="str">
        <f>VLOOKUP(Tabla3[[#This Row],[Site]],Table35[#All],4,FALSE)</f>
        <v>-</v>
      </c>
      <c r="O39" s="34" t="str">
        <f>VLOOKUP(Tabla3[[#This Row],[Site]],Table35[#All],5,FALSE)</f>
        <v>2, 14</v>
      </c>
      <c r="P39" s="34" t="str">
        <f>VLOOKUP(Tabla3[[#This Row],[Site]],Table35[#All],6,FALSE)</f>
        <v>1, 5, 8, 9, 17, 19, 21</v>
      </c>
      <c r="Q39" s="34" t="str">
        <f>VLOOKUP(Tabla3[[#This Row],[Site]],Table35[#All],8,FALSE)</f>
        <v>284</v>
      </c>
      <c r="R39"/>
    </row>
    <row r="40" spans="1:18" hidden="1" x14ac:dyDescent="0.25">
      <c r="A40" t="str">
        <f>+Tabla3[[#This Row],[Site]]&amp;Tabla3[[#This Row],[Split]]</f>
        <v>(LT) Landers Kia of Little Rock1</v>
      </c>
      <c r="B40">
        <v>1</v>
      </c>
      <c r="C40">
        <v>1</v>
      </c>
      <c r="D40" t="s">
        <v>249</v>
      </c>
      <c r="E40" t="str">
        <f>VLOOKUP(Tabla3[[#This Row],[Site]],Table35[],10,FALSE)</f>
        <v>10:00 P.M.</v>
      </c>
      <c r="F40" t="str">
        <f>VLOOKUP(Tabla3[[#This Row],[Site]],Table35[],11,FALSE)</f>
        <v>CT</v>
      </c>
      <c r="G40" t="str">
        <f>VLOOKUP(Tabla3[[#This Row],[Site]],Table35[],12,FALSE)</f>
        <v>6:00 A.M.</v>
      </c>
      <c r="H40" t="str">
        <f>VLOOKUP(Tabla3[[#This Row],[Site]],Table35[],13,FALSE)</f>
        <v>-</v>
      </c>
      <c r="I40" s="70" t="str">
        <f>HYPERLINK(VLOOKUP(Tabla3[[#This Row],[Site]],Table35[#All],9,FALSE))</f>
        <v>https://tools.sig.systems/site/details/322</v>
      </c>
      <c r="J40" t="str">
        <f>VLOOKUP(Tabla3[[#This Row],[Site]],Table35[],14,FALSE)</f>
        <v>https://www.google.com/maps/d/u/1/edit?mid=1-zEzsc6U6nZom08edp0XAd3_HYFvAyk&amp;usp=sharing</v>
      </c>
      <c r="L40" s="34" t="str">
        <f>VLOOKUP(Tabla3[[#This Row],[Site]],Table35[#All],2,FALSE)</f>
        <v>5, 9, 33, 19</v>
      </c>
      <c r="M40" s="34" t="str">
        <f>VLOOKUP(Tabla3[[#This Row],[Site]],Table35[#All],3,FALSE)</f>
        <v>-</v>
      </c>
      <c r="N40" s="34" t="str">
        <f>VLOOKUP(Tabla3[[#This Row],[Site]],Table35[#All],4,FALSE)</f>
        <v>4, 10</v>
      </c>
      <c r="O40" s="34" t="str">
        <f>VLOOKUP(Tabla3[[#This Row],[Site]],Table35[#All],5,FALSE)</f>
        <v>1, 35</v>
      </c>
      <c r="P40" s="34" t="str">
        <f>VLOOKUP(Tabla3[[#This Row],[Site]],Table35[#All],6,FALSE)</f>
        <v>5, 9, 12, 14, 18, 26, 29</v>
      </c>
      <c r="Q40" s="34" t="str">
        <f>VLOOKUP(Tabla3[[#This Row],[Site]],Table35[#All],8,FALSE)</f>
        <v>322</v>
      </c>
      <c r="R40"/>
    </row>
    <row r="41" spans="1:18" x14ac:dyDescent="0.25">
      <c r="A41" t="str">
        <f>+Tabla3[[#This Row],[Site]]&amp;Tabla3[[#This Row],[Split]]</f>
        <v>(LT) Luther Bloomington Hyundai (NO TOURS)1</v>
      </c>
      <c r="B41">
        <v>1</v>
      </c>
      <c r="C41">
        <v>1</v>
      </c>
      <c r="D41" t="s">
        <v>456</v>
      </c>
      <c r="E41" t="str">
        <f>VLOOKUP(Tabla3[[#This Row],[Site]],Table35[],10,FALSE)</f>
        <v>10:00 P.M.</v>
      </c>
      <c r="F41" t="str">
        <f>VLOOKUP(Tabla3[[#This Row],[Site]],Table35[],11,FALSE)</f>
        <v>CT</v>
      </c>
      <c r="G41" t="str">
        <f>VLOOKUP(Tabla3[[#This Row],[Site]],Table35[],12,FALSE)</f>
        <v>4:00 A.M.</v>
      </c>
      <c r="H41" t="str">
        <f>VLOOKUP(Tabla3[[#This Row],[Site]],Table35[],13,FALSE)</f>
        <v>-</v>
      </c>
      <c r="I41" s="70" t="str">
        <f>HYPERLINK(VLOOKUP(Tabla3[[#This Row],[Site]],Table35[#All],9,FALSE))</f>
        <v>https://tools.sig.systems/site/details/318</v>
      </c>
      <c r="J41">
        <f>VLOOKUP(Tabla3[[#This Row],[Site]],Table35[],14,FALSE)</f>
        <v>0</v>
      </c>
      <c r="L41" s="34" t="str">
        <f>VLOOKUP(Tabla3[[#This Row],[Site]],Table35[#All],2,FALSE)</f>
        <v>-</v>
      </c>
      <c r="M41" s="34" t="str">
        <f>VLOOKUP(Tabla3[[#This Row],[Site]],Table35[#All],3,FALSE)</f>
        <v>6, 9, 13</v>
      </c>
      <c r="N41" s="34" t="str">
        <f>VLOOKUP(Tabla3[[#This Row],[Site]],Table35[#All],4,FALSE)</f>
        <v>58, 59</v>
      </c>
      <c r="O41" s="34">
        <f>VLOOKUP(Tabla3[[#This Row],[Site]],Table35[#All],5,FALSE)</f>
        <v>10</v>
      </c>
      <c r="P41" s="34" t="str">
        <f>VLOOKUP(Tabla3[[#This Row],[Site]],Table35[#All],6,FALSE)</f>
        <v>11, 18</v>
      </c>
      <c r="Q41" s="34" t="str">
        <f>VLOOKUP(Tabla3[[#This Row],[Site]],Table35[#All],8,FALSE)</f>
        <v>318</v>
      </c>
      <c r="R41"/>
    </row>
    <row r="42" spans="1:18" hidden="1" x14ac:dyDescent="0.25">
      <c r="A42" t="str">
        <f>+Tabla3[[#This Row],[Site]]&amp;Tabla3[[#This Row],[Split]]</f>
        <v>(LT) Luther Bloomington Subaru - Acura1</v>
      </c>
      <c r="B42">
        <v>1</v>
      </c>
      <c r="C42">
        <v>1</v>
      </c>
      <c r="D42" t="s">
        <v>124</v>
      </c>
      <c r="E42" t="str">
        <f>VLOOKUP(Tabla3[[#This Row],[Site]],Table35[],10,FALSE)</f>
        <v>8:00 P.M.</v>
      </c>
      <c r="F42" t="str">
        <f>VLOOKUP(Tabla3[[#This Row],[Site]],Table35[],11,FALSE)</f>
        <v>CT</v>
      </c>
      <c r="G42" t="str">
        <f>VLOOKUP(Tabla3[[#This Row],[Site]],Table35[],12,FALSE)</f>
        <v>4:00 A.M.</v>
      </c>
      <c r="H42" t="str">
        <f>VLOOKUP(Tabla3[[#This Row],[Site]],Table35[],13,FALSE)</f>
        <v>-</v>
      </c>
      <c r="I42" s="70" t="str">
        <f>HYPERLINK(VLOOKUP(Tabla3[[#This Row],[Site]],Table35[#All],9,FALSE))</f>
        <v>https://tools.sig.systems/site/details/289</v>
      </c>
      <c r="J42">
        <f>VLOOKUP(Tabla3[[#This Row],[Site]],Table35[],14,FALSE)</f>
        <v>0</v>
      </c>
      <c r="L42" s="34">
        <f>VLOOKUP(Tabla3[[#This Row],[Site]],Table35[#All],2,FALSE)</f>
        <v>29</v>
      </c>
      <c r="M42" s="34" t="str">
        <f>VLOOKUP(Tabla3[[#This Row],[Site]],Table35[#All],3,FALSE)</f>
        <v>5, 8, 33</v>
      </c>
      <c r="N42" s="34" t="str">
        <f>VLOOKUP(Tabla3[[#This Row],[Site]],Table35[#All],4,FALSE)</f>
        <v>4, 7, 35</v>
      </c>
      <c r="O42" s="34" t="str">
        <f>VLOOKUP(Tabla3[[#This Row],[Site]],Table35[#All],5,FALSE)</f>
        <v>-</v>
      </c>
      <c r="P42" s="34" t="str">
        <f>VLOOKUP(Tabla3[[#This Row],[Site]],Table35[#All],6,FALSE)</f>
        <v xml:space="preserve">1, 2, 14, 24, 34  </v>
      </c>
      <c r="Q42" s="34" t="str">
        <f>VLOOKUP(Tabla3[[#This Row],[Site]],Table35[#All],8,FALSE)</f>
        <v>289</v>
      </c>
      <c r="R42"/>
    </row>
    <row r="43" spans="1:18" hidden="1" x14ac:dyDescent="0.25">
      <c r="A43" t="str">
        <f>+Tabla3[[#This Row],[Site]]&amp;Tabla3[[#This Row],[Split]]</f>
        <v>(LT) Luther Brookdale Honda (NO TOURS)1</v>
      </c>
      <c r="B43">
        <v>1</v>
      </c>
      <c r="C43">
        <v>1</v>
      </c>
      <c r="D43" t="s">
        <v>274</v>
      </c>
      <c r="E43" t="str">
        <f>VLOOKUP(Tabla3[[#This Row],[Site]],Table35[],10,FALSE)</f>
        <v>7:00 P.M.</v>
      </c>
      <c r="F43" t="str">
        <f>VLOOKUP(Tabla3[[#This Row],[Site]],Table35[],11,FALSE)</f>
        <v>CT</v>
      </c>
      <c r="G43" t="str">
        <f>VLOOKUP(Tabla3[[#This Row],[Site]],Table35[],12,FALSE)</f>
        <v>6:00 A.M.</v>
      </c>
      <c r="H43" t="str">
        <f>VLOOKUP(Tabla3[[#This Row],[Site]],Table35[],13,FALSE)</f>
        <v>-</v>
      </c>
      <c r="I43" s="70" t="str">
        <f>HYPERLINK(VLOOKUP(Tabla3[[#This Row],[Site]],Table35[#All],9,FALSE))</f>
        <v>https://tools.sig.systems/site/details/280</v>
      </c>
      <c r="J43" t="str">
        <f>VLOOKUP(Tabla3[[#This Row],[Site]],Table35[],14,FALSE)</f>
        <v>https://www.google.com/maps/d/viewer?mid=1ot0ILX76JMuvd9yMuqkb4_e0yH1n7TA&amp;ll=45.07815812965141%2C-93.33506855000002&amp;z=17</v>
      </c>
      <c r="L43" s="34" t="str">
        <f>VLOOKUP(Tabla3[[#This Row],[Site]],Table35[#All],2,FALSE)</f>
        <v>-</v>
      </c>
      <c r="M43" s="34" t="str">
        <f>VLOOKUP(Tabla3[[#This Row],[Site]],Table35[#All],3,FALSE)</f>
        <v>1, 21</v>
      </c>
      <c r="N43" s="34" t="str">
        <f>VLOOKUP(Tabla3[[#This Row],[Site]],Table35[#All],4,FALSE)</f>
        <v>38, 39, 40</v>
      </c>
      <c r="O43" s="34" t="str">
        <f>VLOOKUP(Tabla3[[#This Row],[Site]],Table35[#All],5,FALSE)</f>
        <v>2, 10, 19</v>
      </c>
      <c r="P43" s="34" t="str">
        <f>VLOOKUP(Tabla3[[#This Row],[Site]],Table35[#All],6,FALSE)</f>
        <v>4, 5, 7, 11, 13, 20, 24, 36</v>
      </c>
      <c r="Q43" s="34" t="str">
        <f>VLOOKUP(Tabla3[[#This Row],[Site]],Table35[#All],8,FALSE)</f>
        <v>280</v>
      </c>
      <c r="R43"/>
    </row>
    <row r="44" spans="1:18" hidden="1" x14ac:dyDescent="0.25">
      <c r="A44" t="str">
        <f>+Tabla3[[#This Row],[Site]]&amp;Tabla3[[#This Row],[Split]]</f>
        <v>(LT) Luther Brookdale Toyota1</v>
      </c>
      <c r="B44">
        <v>1</v>
      </c>
      <c r="C44">
        <v>1</v>
      </c>
      <c r="D44" t="s">
        <v>126</v>
      </c>
      <c r="E44" t="str">
        <f>VLOOKUP(Tabla3[[#This Row],[Site]],Table35[],10,FALSE)</f>
        <v>7:00 P.M.</v>
      </c>
      <c r="F44" t="str">
        <f>VLOOKUP(Tabla3[[#This Row],[Site]],Table35[],11,FALSE)</f>
        <v>CT</v>
      </c>
      <c r="G44" t="str">
        <f>VLOOKUP(Tabla3[[#This Row],[Site]],Table35[],12,FALSE)</f>
        <v>5:00 A.M.</v>
      </c>
      <c r="H44" t="str">
        <f>VLOOKUP(Tabla3[[#This Row],[Site]],Table35[],13,FALSE)</f>
        <v>-</v>
      </c>
      <c r="I44" s="70" t="str">
        <f>HYPERLINK(VLOOKUP(Tabla3[[#This Row],[Site]],Table35[#All],9,FALSE))</f>
        <v>https://tools.sig.systems/site/details/281</v>
      </c>
      <c r="J44" t="str">
        <f>VLOOKUP(Tabla3[[#This Row],[Site]],Table35[],14,FALSE)</f>
        <v>https://www.google.com/maps/d/viewer?mid=1ot0ILX76JMuvd9yMuqkb4_e0yH1n7TA&amp;ll=45.07815812965141%2C-93.33506855000002&amp;z=17</v>
      </c>
      <c r="L44" s="34" t="str">
        <f>VLOOKUP(Tabla3[[#This Row],[Site]],Table35[#All],2,FALSE)</f>
        <v>-</v>
      </c>
      <c r="M44" s="34" t="str">
        <f>VLOOKUP(Tabla3[[#This Row],[Site]],Table35[#All],3,FALSE)</f>
        <v>5, 7</v>
      </c>
      <c r="N44" s="34">
        <f>VLOOKUP(Tabla3[[#This Row],[Site]],Table35[#All],4,FALSE)</f>
        <v>29</v>
      </c>
      <c r="O44" s="34">
        <f>VLOOKUP(Tabla3[[#This Row],[Site]],Table35[#All],5,FALSE)</f>
        <v>20</v>
      </c>
      <c r="P44" s="34" t="str">
        <f>VLOOKUP(Tabla3[[#This Row],[Site]],Table35[#All],6,FALSE)</f>
        <v xml:space="preserve">1, 2, 4, 10, 18, 24, 25 </v>
      </c>
      <c r="Q44" s="34" t="str">
        <f>VLOOKUP(Tabla3[[#This Row],[Site]],Table35[#All],8,FALSE)</f>
        <v>281</v>
      </c>
      <c r="R44"/>
    </row>
    <row r="45" spans="1:18" hidden="1" x14ac:dyDescent="0.25">
      <c r="A45" t="str">
        <f>+Tabla3[[#This Row],[Site]]&amp;Tabla3[[#This Row],[Split]]</f>
        <v>(LT) Luther Burnsville Hyundai1</v>
      </c>
      <c r="B45">
        <v>1</v>
      </c>
      <c r="C45">
        <v>1</v>
      </c>
      <c r="D45" t="s">
        <v>284</v>
      </c>
      <c r="E45" t="str">
        <f>VLOOKUP(Tabla3[[#This Row],[Site]],Table35[],10,FALSE)</f>
        <v>10:00 P.M.</v>
      </c>
      <c r="F45" t="str">
        <f>VLOOKUP(Tabla3[[#This Row],[Site]],Table35[],11,FALSE)</f>
        <v>CT</v>
      </c>
      <c r="G45" t="str">
        <f>VLOOKUP(Tabla3[[#This Row],[Site]],Table35[],12,FALSE)</f>
        <v>6:00 A.M.</v>
      </c>
      <c r="H45" t="str">
        <f>VLOOKUP(Tabla3[[#This Row],[Site]],Table35[],13,FALSE)</f>
        <v>-</v>
      </c>
      <c r="I45" s="70" t="str">
        <f>HYPERLINK(VLOOKUP(Tabla3[[#This Row],[Site]],Table35[#All],9,FALSE))</f>
        <v>https://tools.sig.systems/site/details/307</v>
      </c>
      <c r="J45">
        <f>VLOOKUP(Tabla3[[#This Row],[Site]],Table35[],14,FALSE)</f>
        <v>0</v>
      </c>
      <c r="L45" s="34" t="str">
        <f>VLOOKUP(Tabla3[[#This Row],[Site]],Table35[#All],2,FALSE)</f>
        <v>-</v>
      </c>
      <c r="M45" s="34" t="str">
        <f>VLOOKUP(Tabla3[[#This Row],[Site]],Table35[#All],3,FALSE)</f>
        <v>6, 17</v>
      </c>
      <c r="N45" s="34" t="str">
        <f>VLOOKUP(Tabla3[[#This Row],[Site]],Table35[#All],4,FALSE)</f>
        <v>22, 21</v>
      </c>
      <c r="O45" s="34">
        <f>VLOOKUP(Tabla3[[#This Row],[Site]],Table35[#All],5,FALSE)</f>
        <v>7</v>
      </c>
      <c r="P45" s="34" t="str">
        <f>VLOOKUP(Tabla3[[#This Row],[Site]],Table35[#All],6,FALSE)</f>
        <v>2, 4, 16</v>
      </c>
      <c r="Q45" s="34" t="str">
        <f>VLOOKUP(Tabla3[[#This Row],[Site]],Table35[#All],8,FALSE)</f>
        <v>307</v>
      </c>
      <c r="R45"/>
    </row>
    <row r="46" spans="1:18" hidden="1" x14ac:dyDescent="0.25">
      <c r="A46" t="str">
        <f>+Tabla3[[#This Row],[Site]]&amp;Tabla3[[#This Row],[Split]]</f>
        <v>(LT) Luther Genesis of Minneapolis1</v>
      </c>
      <c r="B46">
        <v>1</v>
      </c>
      <c r="C46">
        <v>1</v>
      </c>
      <c r="D46" t="s">
        <v>264</v>
      </c>
      <c r="E46" t="str">
        <f>VLOOKUP(Tabla3[[#This Row],[Site]],Table35[],10,FALSE)</f>
        <v>10:00 P.M.</v>
      </c>
      <c r="F46" t="str">
        <f>VLOOKUP(Tabla3[[#This Row],[Site]],Table35[],11,FALSE)</f>
        <v>CT</v>
      </c>
      <c r="G46" t="str">
        <f>VLOOKUP(Tabla3[[#This Row],[Site]],Table35[],12,FALSE)</f>
        <v>6:00 A.M.</v>
      </c>
      <c r="H46" t="str">
        <f>VLOOKUP(Tabla3[[#This Row],[Site]],Table35[],13,FALSE)</f>
        <v>-</v>
      </c>
      <c r="I46" s="70" t="str">
        <f>HYPERLINK(VLOOKUP(Tabla3[[#This Row],[Site]],Table35[#All],9,FALSE))</f>
        <v>https://tools.sig.systems/site/details/315</v>
      </c>
      <c r="J46">
        <f>VLOOKUP(Tabla3[[#This Row],[Site]],Table35[],14,FALSE)</f>
        <v>0</v>
      </c>
      <c r="L46" s="34" t="str">
        <f>VLOOKUP(Tabla3[[#This Row],[Site]],Table35[#All],2,FALSE)</f>
        <v>-</v>
      </c>
      <c r="M46" s="34" t="str">
        <f>VLOOKUP(Tabla3[[#This Row],[Site]],Table35[#All],3,FALSE)</f>
        <v>1,2,3,18</v>
      </c>
      <c r="N46" s="34" t="str">
        <f>VLOOKUP(Tabla3[[#This Row],[Site]],Table35[#All],4,FALSE)</f>
        <v>-</v>
      </c>
      <c r="O46" s="34" t="str">
        <f>VLOOKUP(Tabla3[[#This Row],[Site]],Table35[#All],5,FALSE)</f>
        <v>-</v>
      </c>
      <c r="P46" s="34" t="str">
        <f>VLOOKUP(Tabla3[[#This Row],[Site]],Table35[#All],6,FALSE)</f>
        <v>1,2,3,5,16,18</v>
      </c>
      <c r="Q46" s="34" t="str">
        <f>VLOOKUP(Tabla3[[#This Row],[Site]],Table35[#All],8,FALSE)</f>
        <v>315</v>
      </c>
      <c r="R46"/>
    </row>
    <row r="47" spans="1:18" hidden="1" x14ac:dyDescent="0.25">
      <c r="A47" t="str">
        <f>+Tabla3[[#This Row],[Site]]&amp;Tabla3[[#This Row],[Split]]</f>
        <v>(LT) Luther Hopkins Honda (NO TOURS)1</v>
      </c>
      <c r="B47">
        <v>1</v>
      </c>
      <c r="C47">
        <v>1</v>
      </c>
      <c r="D47" t="s">
        <v>306</v>
      </c>
      <c r="E47" t="str">
        <f>VLOOKUP(Tabla3[[#This Row],[Site]],Table35[],10,FALSE)</f>
        <v>8:00 P.M.</v>
      </c>
      <c r="F47" t="str">
        <f>VLOOKUP(Tabla3[[#This Row],[Site]],Table35[],11,FALSE)</f>
        <v>CT</v>
      </c>
      <c r="G47" t="str">
        <f>VLOOKUP(Tabla3[[#This Row],[Site]],Table35[],12,FALSE)</f>
        <v>6:00 A.M.</v>
      </c>
      <c r="H47" t="str">
        <f>VLOOKUP(Tabla3[[#This Row],[Site]],Table35[],13,FALSE)</f>
        <v>-</v>
      </c>
      <c r="I47" s="70" t="str">
        <f>HYPERLINK(VLOOKUP(Tabla3[[#This Row],[Site]],Table35[#All],9,FALSE))</f>
        <v>https://tools.sig.systems/site/details/288</v>
      </c>
      <c r="J47">
        <f>VLOOKUP(Tabla3[[#This Row],[Site]],Table35[],14,FALSE)</f>
        <v>0</v>
      </c>
      <c r="L47" s="34" t="str">
        <f>VLOOKUP(Tabla3[[#This Row],[Site]],Table35[#All],2,FALSE)</f>
        <v>-</v>
      </c>
      <c r="M47" s="34" t="str">
        <f>VLOOKUP(Tabla3[[#This Row],[Site]],Table35[#All],3,FALSE)</f>
        <v>9, 36</v>
      </c>
      <c r="N47" s="34" t="str">
        <f>VLOOKUP(Tabla3[[#This Row],[Site]],Table35[#All],4,FALSE)</f>
        <v>38, 39</v>
      </c>
      <c r="O47" s="34" t="str">
        <f>VLOOKUP(Tabla3[[#This Row],[Site]],Table35[#All],5,FALSE)</f>
        <v>3, 26</v>
      </c>
      <c r="P47" s="34" t="str">
        <f>VLOOKUP(Tabla3[[#This Row],[Site]],Table35[#All],6,FALSE)</f>
        <v>1, 4, 11, 18, 23, 25, 31</v>
      </c>
      <c r="Q47" s="34" t="str">
        <f>VLOOKUP(Tabla3[[#This Row],[Site]],Table35[#All],8,FALSE)</f>
        <v>288</v>
      </c>
      <c r="R47"/>
    </row>
    <row r="48" spans="1:18" hidden="1" x14ac:dyDescent="0.25">
      <c r="A48" t="str">
        <f>+Tabla3[[#This Row],[Site]]&amp;Tabla3[[#This Row],[Split]]</f>
        <v>(LT) Luther Landers Recon Center1</v>
      </c>
      <c r="B48">
        <v>1</v>
      </c>
      <c r="C48">
        <v>1</v>
      </c>
      <c r="D48" t="s">
        <v>255</v>
      </c>
      <c r="E48" t="str">
        <f>VLOOKUP(Tabla3[[#This Row],[Site]],Table35[],10,FALSE)</f>
        <v>10:00 P.M.</v>
      </c>
      <c r="F48" t="str">
        <f>VLOOKUP(Tabla3[[#This Row],[Site]],Table35[],11,FALSE)</f>
        <v>CT</v>
      </c>
      <c r="G48" t="str">
        <f>VLOOKUP(Tabla3[[#This Row],[Site]],Table35[],12,FALSE)</f>
        <v>6:00 A.M.</v>
      </c>
      <c r="H48" t="str">
        <f>VLOOKUP(Tabla3[[#This Row],[Site]],Table35[],13,FALSE)</f>
        <v>-</v>
      </c>
      <c r="I48" s="70" t="str">
        <f>HYPERLINK(VLOOKUP(Tabla3[[#This Row],[Site]],Table35[#All],9,FALSE))</f>
        <v>https://tools.sig.systems/site/details/323</v>
      </c>
      <c r="J48" t="str">
        <f>VLOOKUP(Tabla3[[#This Row],[Site]],Table35[],14,FALSE)</f>
        <v>https://www.google.com/maps/d/u/1/edit?mid=1-zEzsc6U6nZom08edp0XAd3_HYFvAyk&amp;usp=sharing</v>
      </c>
      <c r="L48" s="34" t="str">
        <f>VLOOKUP(Tabla3[[#This Row],[Site]],Table35[#All],2,FALSE)</f>
        <v>2, 4</v>
      </c>
      <c r="M48" s="34" t="str">
        <f>VLOOKUP(Tabla3[[#This Row],[Site]],Table35[#All],3,FALSE)</f>
        <v>-</v>
      </c>
      <c r="N48" s="34" t="str">
        <f>VLOOKUP(Tabla3[[#This Row],[Site]],Table35[#All],4,FALSE)</f>
        <v>-</v>
      </c>
      <c r="O48" s="34" t="str">
        <f>VLOOKUP(Tabla3[[#This Row],[Site]],Table35[#All],5,FALSE)</f>
        <v>-</v>
      </c>
      <c r="P48" s="34" t="str">
        <f>VLOOKUP(Tabla3[[#This Row],[Site]],Table35[#All],6,FALSE)</f>
        <v>3, 9, 11</v>
      </c>
      <c r="Q48" s="34" t="str">
        <f>VLOOKUP(Tabla3[[#This Row],[Site]],Table35[#All],8,FALSE)</f>
        <v>323</v>
      </c>
      <c r="R48"/>
    </row>
    <row r="49" spans="1:18" hidden="1" x14ac:dyDescent="0.25">
      <c r="A49" t="str">
        <f>+Tabla3[[#This Row],[Site]]&amp;Tabla3[[#This Row],[Split]]</f>
        <v>(LT) Luther North Country Ford1</v>
      </c>
      <c r="B49">
        <v>1</v>
      </c>
      <c r="C49">
        <v>1</v>
      </c>
      <c r="D49" t="s">
        <v>127</v>
      </c>
      <c r="E49" t="str">
        <f>VLOOKUP(Tabla3[[#This Row],[Site]],Table35[],10,FALSE)</f>
        <v>10:00 P.M.</v>
      </c>
      <c r="F49" t="str">
        <f>VLOOKUP(Tabla3[[#This Row],[Site]],Table35[],11,FALSE)</f>
        <v>CT</v>
      </c>
      <c r="G49" t="str">
        <f>VLOOKUP(Tabla3[[#This Row],[Site]],Table35[],12,FALSE)</f>
        <v>6:00 A.M.</v>
      </c>
      <c r="H49" t="str">
        <f>VLOOKUP(Tabla3[[#This Row],[Site]],Table35[],13,FALSE)</f>
        <v>-</v>
      </c>
      <c r="I49" s="70" t="str">
        <f>HYPERLINK(VLOOKUP(Tabla3[[#This Row],[Site]],Table35[#All],9,FALSE))</f>
        <v>https://tools.sig.systems/site/details/292</v>
      </c>
      <c r="J49">
        <f>VLOOKUP(Tabla3[[#This Row],[Site]],Table35[],14,FALSE)</f>
        <v>0</v>
      </c>
      <c r="L49" s="34" t="str">
        <f>VLOOKUP(Tabla3[[#This Row],[Site]],Table35[#All],2,FALSE)</f>
        <v>-</v>
      </c>
      <c r="M49" s="34" t="str">
        <f>VLOOKUP(Tabla3[[#This Row],[Site]],Table35[#All],3,FALSE)</f>
        <v>7, 14, 19</v>
      </c>
      <c r="N49" s="34" t="str">
        <f>VLOOKUP(Tabla3[[#This Row],[Site]],Table35[#All],4,FALSE)</f>
        <v>30, 31, 32</v>
      </c>
      <c r="O49" s="34" t="str">
        <f>VLOOKUP(Tabla3[[#This Row],[Site]],Table35[#All],5,FALSE)</f>
        <v>-</v>
      </c>
      <c r="P49" s="34" t="str">
        <f>VLOOKUP(Tabla3[[#This Row],[Site]],Table35[#All],6,FALSE)</f>
        <v>1, 4, 9, 13, 15, 16B, 25</v>
      </c>
      <c r="Q49" s="34" t="str">
        <f>VLOOKUP(Tabla3[[#This Row],[Site]],Table35[#All],8,FALSE)</f>
        <v>292</v>
      </c>
      <c r="R49"/>
    </row>
    <row r="50" spans="1:18" hidden="1" x14ac:dyDescent="0.25">
      <c r="A50" t="str">
        <f>+Tabla3[[#This Row],[Site]]&amp;Tabla3[[#This Row],[Split]]</f>
        <v>(LT) Luther St. Cloud Subaru1</v>
      </c>
      <c r="B50">
        <v>1</v>
      </c>
      <c r="C50">
        <v>1</v>
      </c>
      <c r="D50" t="s">
        <v>128</v>
      </c>
      <c r="E50" t="str">
        <f>VLOOKUP(Tabla3[[#This Row],[Site]],Table35[],10,FALSE)</f>
        <v>10:00 P.M.</v>
      </c>
      <c r="F50" t="str">
        <f>VLOOKUP(Tabla3[[#This Row],[Site]],Table35[],11,FALSE)</f>
        <v>CT</v>
      </c>
      <c r="G50" t="str">
        <f>VLOOKUP(Tabla3[[#This Row],[Site]],Table35[],12,FALSE)</f>
        <v>5:30 A.M.</v>
      </c>
      <c r="H50" t="str">
        <f>VLOOKUP(Tabla3[[#This Row],[Site]],Table35[],13,FALSE)</f>
        <v>-</v>
      </c>
      <c r="I50" s="70" t="str">
        <f>HYPERLINK(VLOOKUP(Tabla3[[#This Row],[Site]],Table35[#All],9,FALSE))</f>
        <v>https://tools.sig.systems/site/details/295</v>
      </c>
      <c r="J50">
        <f>VLOOKUP(Tabla3[[#This Row],[Site]],Table35[],14,FALSE)</f>
        <v>0</v>
      </c>
      <c r="L50" s="34" t="str">
        <f>VLOOKUP(Tabla3[[#This Row],[Site]],Table35[#All],2,FALSE)</f>
        <v>25, 31</v>
      </c>
      <c r="M50" s="34" t="str">
        <f>VLOOKUP(Tabla3[[#This Row],[Site]],Table35[#All],3,FALSE)</f>
        <v>9, 13, 20</v>
      </c>
      <c r="N50" s="34" t="str">
        <f>VLOOKUP(Tabla3[[#This Row],[Site]],Table35[#All],4,FALSE)</f>
        <v>38, 39, 40, 41</v>
      </c>
      <c r="O50" s="34">
        <f>VLOOKUP(Tabla3[[#This Row],[Site]],Table35[#All],5,FALSE)</f>
        <v>27</v>
      </c>
      <c r="P50" s="34" t="str">
        <f>VLOOKUP(Tabla3[[#This Row],[Site]],Table35[#All],6,FALSE)</f>
        <v>2, 6, 8, 11, 14, 19, 23, 26</v>
      </c>
      <c r="Q50" s="34" t="str">
        <f>VLOOKUP(Tabla3[[#This Row],[Site]],Table35[#All],8,FALSE)</f>
        <v>295</v>
      </c>
      <c r="R50"/>
    </row>
    <row r="51" spans="1:18" hidden="1" x14ac:dyDescent="0.25">
      <c r="A51" t="str">
        <f>+Tabla3[[#This Row],[Site]]&amp;Tabla3[[#This Row],[Split]]</f>
        <v>(ML) Joe Machens Hyundai1</v>
      </c>
      <c r="B51">
        <v>1</v>
      </c>
      <c r="C51">
        <v>1</v>
      </c>
      <c r="D51" t="s">
        <v>125</v>
      </c>
      <c r="E51" t="str">
        <f>VLOOKUP(Tabla3[[#This Row],[Site]],Table35[],10,FALSE)</f>
        <v>10:00 P.M.</v>
      </c>
      <c r="F51" t="str">
        <f>VLOOKUP(Tabla3[[#This Row],[Site]],Table35[],11,FALSE)</f>
        <v>CT</v>
      </c>
      <c r="G51" t="str">
        <f>VLOOKUP(Tabla3[[#This Row],[Site]],Table35[],12,FALSE)</f>
        <v>6:00 A.M.</v>
      </c>
      <c r="H51" t="str">
        <f>VLOOKUP(Tabla3[[#This Row],[Site]],Table35[],13,FALSE)</f>
        <v>-</v>
      </c>
      <c r="I51" s="70" t="str">
        <f>HYPERLINK(VLOOKUP(Tabla3[[#This Row],[Site]],Table35[#All],9,FALSE))</f>
        <v>https://tools.sig.systems/site/details/286</v>
      </c>
      <c r="J51" t="str">
        <f>VLOOKUP(Tabla3[[#This Row],[Site]],Table35[],14,FALSE)</f>
        <v>https://www.google.com/maps/d/viewer?hl=es&amp;mid=1C1oZdjH3dNvCvqdpIv_Lk0Yn1OCVn-4&amp;ll=38.965368114274455%2C-92.3405954&amp;z=15</v>
      </c>
      <c r="L51" s="34" t="str">
        <f>VLOOKUP(Tabla3[[#This Row],[Site]],Table35[#All],2,FALSE)</f>
        <v>-</v>
      </c>
      <c r="M51" s="34" t="str">
        <f>VLOOKUP(Tabla3[[#This Row],[Site]],Table35[#All],3,FALSE)</f>
        <v>3, 4, 14, 25</v>
      </c>
      <c r="N51" s="34" t="str">
        <f>VLOOKUP(Tabla3[[#This Row],[Site]],Table35[#All],4,FALSE)</f>
        <v>-</v>
      </c>
      <c r="O51" s="34">
        <f>VLOOKUP(Tabla3[[#This Row],[Site]],Table35[#All],5,FALSE)</f>
        <v>17</v>
      </c>
      <c r="P51" s="34" t="str">
        <f>VLOOKUP(Tabla3[[#This Row],[Site]],Table35[#All],6,FALSE)</f>
        <v>1, 11, 12, 13, 15</v>
      </c>
      <c r="Q51" s="34" t="str">
        <f>VLOOKUP(Tabla3[[#This Row],[Site]],Table35[#All],8,FALSE)</f>
        <v>286</v>
      </c>
      <c r="R51"/>
    </row>
    <row r="52" spans="1:18" hidden="1" x14ac:dyDescent="0.25">
      <c r="A52" t="str">
        <f>+Tabla3[[#This Row],[Site]]&amp;Tabla3[[#This Row],[Split]]</f>
        <v>(PE) BMW Service Center (NO TOURS)1</v>
      </c>
      <c r="B52">
        <v>1</v>
      </c>
      <c r="C52">
        <v>1</v>
      </c>
      <c r="D52" t="s">
        <v>39</v>
      </c>
      <c r="E52" t="str">
        <f>VLOOKUP(Tabla3[[#This Row],[Site]],Table35[],10,FALSE)</f>
        <v>8:00 P.M.</v>
      </c>
      <c r="F52" t="str">
        <f>VLOOKUP(Tabla3[[#This Row],[Site]],Table35[],11,FALSE)</f>
        <v>ET</v>
      </c>
      <c r="G52" t="str">
        <f>VLOOKUP(Tabla3[[#This Row],[Site]],Table35[],12,FALSE)</f>
        <v>5:00 A.M.</v>
      </c>
      <c r="H52" t="str">
        <f>VLOOKUP(Tabla3[[#This Row],[Site]],Table35[],13,FALSE)</f>
        <v>-</v>
      </c>
      <c r="I52" s="70" t="str">
        <f>HYPERLINK(VLOOKUP(Tabla3[[#This Row],[Site]],Table35[#All],9,FALSE))</f>
        <v>https://tools.sig.systems/site/details/184</v>
      </c>
      <c r="J52" t="str">
        <f>VLOOKUP(Tabla3[[#This Row],[Site]],Table35[],14,FALSE)</f>
        <v>https://www.google.com/maps/d/edit?hl=en&amp;mid=1UHmt7tH1ihTa85i0MfQIcTfVvIQg_vM&amp;ll=41.02423447529239%2C-73.63721502222738&amp;z=18</v>
      </c>
      <c r="L52" s="34">
        <f>VLOOKUP(Tabla3[[#This Row],[Site]],Table35[#All],2,FALSE)</f>
        <v>3</v>
      </c>
      <c r="M52" s="34" t="str">
        <f>VLOOKUP(Tabla3[[#This Row],[Site]],Table35[#All],3,FALSE)</f>
        <v>-</v>
      </c>
      <c r="N52" s="34" t="str">
        <f>VLOOKUP(Tabla3[[#This Row],[Site]],Table35[#All],4,FALSE)</f>
        <v>-</v>
      </c>
      <c r="O52" s="34" t="str">
        <f>VLOOKUP(Tabla3[[#This Row],[Site]],Table35[#All],5,FALSE)</f>
        <v>-</v>
      </c>
      <c r="P52" s="34" t="str">
        <f>VLOOKUP(Tabla3[[#This Row],[Site]],Table35[#All],6,FALSE)</f>
        <v xml:space="preserve">1, 2 </v>
      </c>
      <c r="Q52" s="34" t="str">
        <f>VLOOKUP(Tabla3[[#This Row],[Site]],Table35[#All],8,FALSE)</f>
        <v>184</v>
      </c>
      <c r="R52"/>
    </row>
    <row r="53" spans="1:18" hidden="1" x14ac:dyDescent="0.25">
      <c r="A53" t="str">
        <f>+Tabla3[[#This Row],[Site]]&amp;Tabla3[[#This Row],[Split]]</f>
        <v>(PE) JLR Darien (NO TOURS)1</v>
      </c>
      <c r="B53">
        <v>1</v>
      </c>
      <c r="C53">
        <v>1</v>
      </c>
      <c r="D53" t="s">
        <v>368</v>
      </c>
      <c r="E53" t="str">
        <f>VLOOKUP(Tabla3[[#This Row],[Site]],Table35[],10,FALSE)</f>
        <v>8:00 P.M.</v>
      </c>
      <c r="F53" t="str">
        <f>VLOOKUP(Tabla3[[#This Row],[Site]],Table35[],11,FALSE)</f>
        <v>ET</v>
      </c>
      <c r="G53" t="str">
        <f>VLOOKUP(Tabla3[[#This Row],[Site]],Table35[],12,FALSE)</f>
        <v>5:00 A.M.</v>
      </c>
      <c r="H53" t="str">
        <f>VLOOKUP(Tabla3[[#This Row],[Site]],Table35[],13,FALSE)</f>
        <v>-</v>
      </c>
      <c r="I53" s="70" t="str">
        <f>HYPERLINK(VLOOKUP(Tabla3[[#This Row],[Site]],Table35[#All],9,FALSE))</f>
        <v>https://tools.sig.systems/site/details/189</v>
      </c>
      <c r="J53" t="str">
        <f>VLOOKUP(Tabla3[[#This Row],[Site]],Table35[],14,FALSE)</f>
        <v>-</v>
      </c>
      <c r="L53" s="34" t="str">
        <f>VLOOKUP(Tabla3[[#This Row],[Site]],Table35[#All],2,FALSE)</f>
        <v>1, 13</v>
      </c>
      <c r="M53" s="34" t="str">
        <f>VLOOKUP(Tabla3[[#This Row],[Site]],Table35[#All],3,FALSE)</f>
        <v>-</v>
      </c>
      <c r="N53" s="34" t="str">
        <f>VLOOKUP(Tabla3[[#This Row],[Site]],Table35[#All],4,FALSE)</f>
        <v>-</v>
      </c>
      <c r="O53" s="34" t="str">
        <f>VLOOKUP(Tabla3[[#This Row],[Site]],Table35[#All],5,FALSE)</f>
        <v>-</v>
      </c>
      <c r="P53" s="34" t="str">
        <f>VLOOKUP(Tabla3[[#This Row],[Site]],Table35[#All],6,FALSE)</f>
        <v>-</v>
      </c>
      <c r="Q53" s="34" t="str">
        <f>VLOOKUP(Tabla3[[#This Row],[Site]],Table35[#All],8,FALSE)</f>
        <v>189</v>
      </c>
      <c r="R53"/>
    </row>
    <row r="54" spans="1:18" hidden="1" x14ac:dyDescent="0.25">
      <c r="A54" t="str">
        <f>+Tabla3[[#This Row],[Site]]&amp;Tabla3[[#This Row],[Split]]</f>
        <v>(PE) JLR Englewood (NO TOURS)1</v>
      </c>
      <c r="B54">
        <v>1</v>
      </c>
      <c r="C54">
        <v>1</v>
      </c>
      <c r="D54" t="s">
        <v>218</v>
      </c>
      <c r="E54" t="str">
        <f>VLOOKUP(Tabla3[[#This Row],[Site]],Table35[],10,FALSE)</f>
        <v>8:00 P.M.</v>
      </c>
      <c r="F54" t="str">
        <f>VLOOKUP(Tabla3[[#This Row],[Site]],Table35[],11,FALSE)</f>
        <v>ET</v>
      </c>
      <c r="G54" t="str">
        <f>VLOOKUP(Tabla3[[#This Row],[Site]],Table35[],12,FALSE)</f>
        <v>5:00 A.M.</v>
      </c>
      <c r="H54" t="str">
        <f>VLOOKUP(Tabla3[[#This Row],[Site]],Table35[],13,FALSE)</f>
        <v>-</v>
      </c>
      <c r="I54" s="70" t="str">
        <f>HYPERLINK(VLOOKUP(Tabla3[[#This Row],[Site]],Table35[#All],9,FALSE))</f>
        <v>https://tools.sig.systems/site/details/178</v>
      </c>
      <c r="J54" t="str">
        <f>VLOOKUP(Tabla3[[#This Row],[Site]],Table35[],14,FALSE)</f>
        <v>https://www.google.com/maps/d/viewer?mid=1ubI2iKs1JyYXssuT4oLPnVvFnyLPi_s&amp;ll=40.878808846788026%2C-73.98560655&amp;z=17</v>
      </c>
      <c r="L54" s="34" t="str">
        <f>VLOOKUP(Tabla3[[#This Row],[Site]],Table35[#All],2,FALSE)</f>
        <v>1, 2</v>
      </c>
      <c r="M54" s="34" t="str">
        <f>VLOOKUP(Tabla3[[#This Row],[Site]],Table35[#All],3,FALSE)</f>
        <v>-</v>
      </c>
      <c r="N54" s="34" t="str">
        <f>VLOOKUP(Tabla3[[#This Row],[Site]],Table35[#All],4,FALSE)</f>
        <v>-</v>
      </c>
      <c r="O54" s="34" t="str">
        <f>VLOOKUP(Tabla3[[#This Row],[Site]],Table35[#All],5,FALSE)</f>
        <v>-</v>
      </c>
      <c r="P54" s="34" t="str">
        <f>VLOOKUP(Tabla3[[#This Row],[Site]],Table35[#All],6,FALSE)</f>
        <v>-</v>
      </c>
      <c r="Q54" s="34" t="str">
        <f>VLOOKUP(Tabla3[[#This Row],[Site]],Table35[#All],8,FALSE)</f>
        <v>178</v>
      </c>
      <c r="R54"/>
    </row>
    <row r="55" spans="1:18" hidden="1" x14ac:dyDescent="0.25">
      <c r="A55" t="str">
        <f>+Tabla3[[#This Row],[Site]]&amp;Tabla3[[#This Row],[Split]]</f>
        <v>(PE) JLR Paramus (NO TOURS)1</v>
      </c>
      <c r="B55">
        <v>1</v>
      </c>
      <c r="C55">
        <v>1</v>
      </c>
      <c r="D55" t="s">
        <v>212</v>
      </c>
      <c r="E55" t="str">
        <f>VLOOKUP(Tabla3[[#This Row],[Site]],Table35[],10,FALSE)</f>
        <v>8:00 P.M.</v>
      </c>
      <c r="F55" t="str">
        <f>VLOOKUP(Tabla3[[#This Row],[Site]],Table35[],11,FALSE)</f>
        <v>ET</v>
      </c>
      <c r="G55" t="str">
        <f>VLOOKUP(Tabla3[[#This Row],[Site]],Table35[],12,FALSE)</f>
        <v>5:00 A.M.</v>
      </c>
      <c r="H55" t="str">
        <f>VLOOKUP(Tabla3[[#This Row],[Site]],Table35[],13,FALSE)</f>
        <v>-</v>
      </c>
      <c r="I55" s="70" t="str">
        <f>HYPERLINK(VLOOKUP(Tabla3[[#This Row],[Site]],Table35[#All],9,FALSE))</f>
        <v>https://tools.sig.systems/site/details/177</v>
      </c>
      <c r="J55">
        <f>VLOOKUP(Tabla3[[#This Row],[Site]],Table35[],14,FALSE)</f>
        <v>0</v>
      </c>
      <c r="L55" s="34" t="str">
        <f>VLOOKUP(Tabla3[[#This Row],[Site]],Table35[#All],2,FALSE)</f>
        <v>1, 17</v>
      </c>
      <c r="M55" s="34" t="str">
        <f>VLOOKUP(Tabla3[[#This Row],[Site]],Table35[#All],3,FALSE)</f>
        <v>-</v>
      </c>
      <c r="N55" s="34" t="str">
        <f>VLOOKUP(Tabla3[[#This Row],[Site]],Table35[#All],4,FALSE)</f>
        <v>-</v>
      </c>
      <c r="O55" s="34" t="str">
        <f>VLOOKUP(Tabla3[[#This Row],[Site]],Table35[#All],5,FALSE)</f>
        <v>-</v>
      </c>
      <c r="P55" s="34" t="str">
        <f>VLOOKUP(Tabla3[[#This Row],[Site]],Table35[#All],6,FALSE)</f>
        <v>1, 17</v>
      </c>
      <c r="Q55" s="34" t="str">
        <f>VLOOKUP(Tabla3[[#This Row],[Site]],Table35[#All],8,FALSE)</f>
        <v>177</v>
      </c>
      <c r="R55"/>
    </row>
    <row r="56" spans="1:18" hidden="1" x14ac:dyDescent="0.25">
      <c r="A56" t="str">
        <f>+Tabla3[[#This Row],[Site]]&amp;Tabla3[[#This Row],[Split]]</f>
        <v>(PE) MB of Greenwich1</v>
      </c>
      <c r="B56">
        <v>1</v>
      </c>
      <c r="C56">
        <v>1</v>
      </c>
      <c r="D56" t="s">
        <v>121</v>
      </c>
      <c r="E56" t="str">
        <f>VLOOKUP(Tabla3[[#This Row],[Site]],Table35[],10,FALSE)</f>
        <v>8:00 P.M.</v>
      </c>
      <c r="F56" t="str">
        <f>VLOOKUP(Tabla3[[#This Row],[Site]],Table35[],11,FALSE)</f>
        <v>ET</v>
      </c>
      <c r="G56" t="str">
        <f>VLOOKUP(Tabla3[[#This Row],[Site]],Table35[],12,FALSE)</f>
        <v>5:00 A.M.</v>
      </c>
      <c r="H56" t="str">
        <f>VLOOKUP(Tabla3[[#This Row],[Site]],Table35[],13,FALSE)</f>
        <v>-</v>
      </c>
      <c r="I56" s="70" t="str">
        <f>HYPERLINK(VLOOKUP(Tabla3[[#This Row],[Site]],Table35[#All],9,FALSE))</f>
        <v>https://tools.sig.systems/site/details/188</v>
      </c>
      <c r="J56" t="str">
        <f>VLOOKUP(Tabla3[[#This Row],[Site]],Table35[],14,FALSE)</f>
        <v>https://www.google.com/maps/d/edit?hl=en&amp;mid=1UHmt7tH1ihTa85i0MfQIcTfVvIQg_vM&amp;ll=41.02423447529239%2C-73.63721502222738&amp;z=18</v>
      </c>
      <c r="L56" s="34" t="str">
        <f>VLOOKUP(Tabla3[[#This Row],[Site]],Table35[#All],2,FALSE)</f>
        <v>1, 2, 8</v>
      </c>
      <c r="M56" s="34" t="str">
        <f>VLOOKUP(Tabla3[[#This Row],[Site]],Table35[#All],3,FALSE)</f>
        <v>13, 14, 20, 26, 40</v>
      </c>
      <c r="N56" s="34" t="str">
        <f>VLOOKUP(Tabla3[[#This Row],[Site]],Table35[#All],4,FALSE)</f>
        <v>-</v>
      </c>
      <c r="O56" s="34" t="str">
        <f>VLOOKUP(Tabla3[[#This Row],[Site]],Table35[#All],5,FALSE)</f>
        <v>-</v>
      </c>
      <c r="P56" s="34">
        <f>VLOOKUP(Tabla3[[#This Row],[Site]],Table35[#All],6,FALSE)</f>
        <v>29</v>
      </c>
      <c r="Q56" s="34" t="str">
        <f>VLOOKUP(Tabla3[[#This Row],[Site]],Table35[#All],8,FALSE)</f>
        <v>188</v>
      </c>
      <c r="R56"/>
    </row>
    <row r="57" spans="1:18" hidden="1" x14ac:dyDescent="0.25">
      <c r="A57" t="str">
        <f>+Tabla3[[#This Row],[Site]]&amp;Tabla3[[#This Row],[Split]]</f>
        <v>(PE) Porsche Audi Fairfield (NO TOURS)1</v>
      </c>
      <c r="B57">
        <v>1</v>
      </c>
      <c r="C57">
        <v>1</v>
      </c>
      <c r="D57" t="s">
        <v>446</v>
      </c>
      <c r="E57" t="str">
        <f>VLOOKUP(Tabla3[[#This Row],[Site]],Table35[],10,FALSE)</f>
        <v>8:00 P.M.</v>
      </c>
      <c r="F57" t="str">
        <f>VLOOKUP(Tabla3[[#This Row],[Site]],Table35[],11,FALSE)</f>
        <v>ET</v>
      </c>
      <c r="G57" t="str">
        <f>VLOOKUP(Tabla3[[#This Row],[Site]],Table35[],12,FALSE)</f>
        <v>5:00 A.M.</v>
      </c>
      <c r="H57" t="str">
        <f>VLOOKUP(Tabla3[[#This Row],[Site]],Table35[],13,FALSE)</f>
        <v>-</v>
      </c>
      <c r="I57" s="70" t="str">
        <f>HYPERLINK(VLOOKUP(Tabla3[[#This Row],[Site]],Table35[#All],9,FALSE))</f>
        <v>https://tools.sig.systems/site/details/194</v>
      </c>
      <c r="J57" t="str">
        <f>VLOOKUP(Tabla3[[#This Row],[Site]],Table35[],14,FALSE)</f>
        <v>-</v>
      </c>
      <c r="L57" s="34" t="str">
        <f>VLOOKUP(Tabla3[[#This Row],[Site]],Table35[#All],2,FALSE)</f>
        <v>1, 18</v>
      </c>
      <c r="M57" s="34" t="str">
        <f>VLOOKUP(Tabla3[[#This Row],[Site]],Table35[#All],3,FALSE)</f>
        <v>-</v>
      </c>
      <c r="N57" s="34" t="str">
        <f>VLOOKUP(Tabla3[[#This Row],[Site]],Table35[#All],4,FALSE)</f>
        <v>-</v>
      </c>
      <c r="O57" s="34">
        <f>VLOOKUP(Tabla3[[#This Row],[Site]],Table35[#All],5,FALSE)</f>
        <v>20</v>
      </c>
      <c r="P57" s="34">
        <f>VLOOKUP(Tabla3[[#This Row],[Site]],Table35[#All],6,FALSE)</f>
        <v>15</v>
      </c>
      <c r="Q57" s="34">
        <f>VLOOKUP(Tabla3[[#This Row],[Site]],Table35[#All],8,FALSE)</f>
        <v>194</v>
      </c>
      <c r="R57"/>
    </row>
    <row r="58" spans="1:18" hidden="1" x14ac:dyDescent="0.25">
      <c r="A58" t="str">
        <f>+Tabla3[[#This Row],[Site]]&amp;Tabla3[[#This Row],[Split]]</f>
        <v>(SCH) Schumacher of Delray I &amp; III1</v>
      </c>
      <c r="B58">
        <v>1</v>
      </c>
      <c r="C58">
        <v>1</v>
      </c>
      <c r="D58" t="s">
        <v>385</v>
      </c>
      <c r="E58" t="str">
        <f>VLOOKUP(Tabla3[[#This Row],[Site]],Table35[],10,FALSE)</f>
        <v>9:00 P.M.</v>
      </c>
      <c r="F58" t="str">
        <f>VLOOKUP(Tabla3[[#This Row],[Site]],Table35[],11,FALSE)</f>
        <v>ET</v>
      </c>
      <c r="G58" t="str">
        <f>VLOOKUP(Tabla3[[#This Row],[Site]],Table35[],12,FALSE)</f>
        <v>5:00 A.M.</v>
      </c>
      <c r="H58" t="str">
        <f>VLOOKUP(Tabla3[[#This Row],[Site]],Table35[],13,FALSE)</f>
        <v>11:00 A.M.</v>
      </c>
      <c r="I58" s="70" t="str">
        <f>HYPERLINK(VLOOKUP(Tabla3[[#This Row],[Site]],Table35[#All],9,FALSE))</f>
        <v>https://tools.sig.systems/site/details/159</v>
      </c>
      <c r="J58" t="str">
        <f>VLOOKUP(Tabla3[[#This Row],[Site]],Table35[],14,FALSE)</f>
        <v>https://www.google.com/maps/d/viewer?mid=1ZLGV-cDM9aCfovhmXHIAXgVOKts0dEI&amp;ll=26.438859950088858%2C-80.07968125000001&amp;z=16</v>
      </c>
      <c r="L58" s="34" t="str">
        <f>VLOOKUP(Tabla3[[#This Row],[Site]],Table35[#All],2,FALSE)</f>
        <v>11, 21, 22, 57, 69</v>
      </c>
      <c r="M58" s="34" t="str">
        <f>VLOOKUP(Tabla3[[#This Row],[Site]],Table35[#All],3,FALSE)</f>
        <v>2, 16, 46</v>
      </c>
      <c r="N58" s="34" t="str">
        <f>VLOOKUP(Tabla3[[#This Row],[Site]],Table35[#All],4,FALSE)</f>
        <v>-</v>
      </c>
      <c r="O58" s="34" t="str">
        <f>VLOOKUP(Tabla3[[#This Row],[Site]],Table35[#All],5,FALSE)</f>
        <v>-</v>
      </c>
      <c r="P58" s="34" t="str">
        <f>VLOOKUP(Tabla3[[#This Row],[Site]],Table35[#All],6,FALSE)</f>
        <v>24, 39</v>
      </c>
      <c r="Q58" s="34" t="str">
        <f>VLOOKUP(Tabla3[[#This Row],[Site]],Table35[#All],8,FALSE)</f>
        <v>159</v>
      </c>
      <c r="R58"/>
    </row>
    <row r="59" spans="1:18" hidden="1" x14ac:dyDescent="0.25">
      <c r="A59" t="str">
        <f>+Tabla3[[#This Row],[Site]]&amp;Tabla3[[#This Row],[Split]]</f>
        <v>(TC) Lamborghini South Dade1</v>
      </c>
      <c r="B59">
        <v>1</v>
      </c>
      <c r="C59">
        <v>1</v>
      </c>
      <c r="D59" t="s">
        <v>237</v>
      </c>
      <c r="E59" t="str">
        <f>VLOOKUP(Tabla3[[#This Row],[Site]],Table35[],10,FALSE)</f>
        <v>9:00 P.M.</v>
      </c>
      <c r="F59" t="str">
        <f>VLOOKUP(Tabla3[[#This Row],[Site]],Table35[],11,FALSE)</f>
        <v>ET</v>
      </c>
      <c r="G59" t="str">
        <f>VLOOKUP(Tabla3[[#This Row],[Site]],Table35[],12,FALSE)</f>
        <v>5:00 A.M.</v>
      </c>
      <c r="H59" t="str">
        <f>VLOOKUP(Tabla3[[#This Row],[Site]],Table35[],13,FALSE)</f>
        <v>-</v>
      </c>
      <c r="I59" s="70" t="str">
        <f>HYPERLINK(VLOOKUP(Tabla3[[#This Row],[Site]],Table35[#All],9,FALSE))</f>
        <v>https://tools.sig.systems/site/details/313</v>
      </c>
      <c r="J59">
        <f>VLOOKUP(Tabla3[[#This Row],[Site]],Table35[],14,FALSE)</f>
        <v>0</v>
      </c>
      <c r="L59" s="34" t="str">
        <f>VLOOKUP(Tabla3[[#This Row],[Site]],Table35[#All],2,FALSE)</f>
        <v>-</v>
      </c>
      <c r="M59" s="34" t="str">
        <f>VLOOKUP(Tabla3[[#This Row],[Site]],Table35[#All],3,FALSE)</f>
        <v>9, 11</v>
      </c>
      <c r="N59" s="34" t="str">
        <f>VLOOKUP(Tabla3[[#This Row],[Site]],Table35[#All],4,FALSE)</f>
        <v>-</v>
      </c>
      <c r="O59" s="34" t="str">
        <f>VLOOKUP(Tabla3[[#This Row],[Site]],Table35[#All],5,FALSE)</f>
        <v>-</v>
      </c>
      <c r="P59" s="34" t="str">
        <f>VLOOKUP(Tabla3[[#This Row],[Site]],Table35[#All],6,FALSE)</f>
        <v>-</v>
      </c>
      <c r="Q59" s="34" t="str">
        <f>VLOOKUP(Tabla3[[#This Row],[Site]],Table35[#All],8,FALSE)</f>
        <v>313</v>
      </c>
      <c r="R59"/>
    </row>
    <row r="60" spans="1:18" hidden="1" x14ac:dyDescent="0.25">
      <c r="A60" t="str">
        <f>+Tabla3[[#This Row],[Site]]&amp;Tabla3[[#This Row],[Split]]</f>
        <v>Mario Residence1</v>
      </c>
      <c r="B60">
        <v>1</v>
      </c>
      <c r="C60">
        <v>1</v>
      </c>
      <c r="D60" t="s">
        <v>100</v>
      </c>
      <c r="E60" t="str">
        <f>VLOOKUP(Tabla3[[#This Row],[Site]],Table35[],10,FALSE)</f>
        <v>24H</v>
      </c>
      <c r="F60" t="str">
        <f>VLOOKUP(Tabla3[[#This Row],[Site]],Table35[],11,FALSE)</f>
        <v>ET</v>
      </c>
      <c r="G60" t="str">
        <f>VLOOKUP(Tabla3[[#This Row],[Site]],Table35[],12,FALSE)</f>
        <v>-</v>
      </c>
      <c r="H60" t="str">
        <f>VLOOKUP(Tabla3[[#This Row],[Site]],Table35[],13,FALSE)</f>
        <v>-</v>
      </c>
      <c r="I60" s="70" t="str">
        <f>HYPERLINK(VLOOKUP(Tabla3[[#This Row],[Site]],Table35[#All],9,FALSE))</f>
        <v>https://tools.sig.systems/site/details/148</v>
      </c>
      <c r="J60" t="str">
        <f>VLOOKUP(Tabla3[[#This Row],[Site]],Table35[],14,FALSE)</f>
        <v>https://www.google.com/maps/d/edit?hl=es&amp;mid=13OmECPqyeB7fXgZmEoM9cnG34HU_v5g&amp;ll=26.046837034777553%2C-80.38753458591658&amp;z=19</v>
      </c>
      <c r="L60" s="34" t="str">
        <f>VLOOKUP(Tabla3[[#This Row],[Site]],Table35[#All],2,FALSE)</f>
        <v>7, 8</v>
      </c>
      <c r="M60" s="34" t="str">
        <f>VLOOKUP(Tabla3[[#This Row],[Site]],Table35[#All],3,FALSE)</f>
        <v>7, 8</v>
      </c>
      <c r="N60" s="34" t="str">
        <f>VLOOKUP(Tabla3[[#This Row],[Site]],Table35[#All],4,FALSE)</f>
        <v>-</v>
      </c>
      <c r="O60" s="34" t="str">
        <f>VLOOKUP(Tabla3[[#This Row],[Site]],Table35[#All],5,FALSE)</f>
        <v>-</v>
      </c>
      <c r="P60" s="34" t="str">
        <f>VLOOKUP(Tabla3[[#This Row],[Site]],Table35[#All],6,FALSE)</f>
        <v>4,12,13</v>
      </c>
      <c r="Q60" s="34" t="str">
        <f>VLOOKUP(Tabla3[[#This Row],[Site]],Table35[#All],8,FALSE)</f>
        <v>148</v>
      </c>
      <c r="R60"/>
    </row>
    <row r="61" spans="1:18" hidden="1" x14ac:dyDescent="0.25">
      <c r="A61" t="str">
        <f>+Tabla3[[#This Row],[Site]]&amp;Tabla3[[#This Row],[Split]]</f>
        <v>(AS) 3281 Storage Lot (NO TOURS)2</v>
      </c>
      <c r="B61">
        <v>2</v>
      </c>
      <c r="C61">
        <v>1</v>
      </c>
      <c r="D61" t="s">
        <v>378</v>
      </c>
      <c r="E61" t="str">
        <f>VLOOKUP(Tabla3[[#This Row],[Site]],Table35[],10,FALSE)</f>
        <v>10:00 P.M.</v>
      </c>
      <c r="F61" t="str">
        <f>VLOOKUP(Tabla3[[#This Row],[Site]],Table35[],11,FALSE)</f>
        <v>CT</v>
      </c>
      <c r="G61" t="str">
        <f>VLOOKUP(Tabla3[[#This Row],[Site]],Table35[],12,FALSE)</f>
        <v>6:00 A.M.</v>
      </c>
      <c r="H61" t="str">
        <f>VLOOKUP(Tabla3[[#This Row],[Site]],Table35[],13,FALSE)</f>
        <v>-</v>
      </c>
      <c r="I61" s="70" t="str">
        <f>HYPERLINK(VLOOKUP(Tabla3[[#This Row],[Site]],Table35[#All],9,FALSE))</f>
        <v>https://tools.sig.systems/site/details/305</v>
      </c>
      <c r="J61" t="str">
        <f>VLOOKUP(Tabla3[[#This Row],[Site]],Table35[],14,FALSE)</f>
        <v>https://www.google.com/maps/d/edit?hl=es&amp;mid=1uPmsRMsXnp74hPFW2t-sp2totVWF_xY&amp;ll=32.83050137713022%2C-96.83197783061323&amp;z=17</v>
      </c>
      <c r="L61" s="34" t="str">
        <f>VLOOKUP(Tabla3[[#This Row],[Site]],Table35[#All],2,FALSE)</f>
        <v>-</v>
      </c>
      <c r="M61" s="34" t="str">
        <f>VLOOKUP(Tabla3[[#This Row],[Site]],Table35[#All],3,FALSE)</f>
        <v>2, 14</v>
      </c>
      <c r="N61" s="34" t="str">
        <f>VLOOKUP(Tabla3[[#This Row],[Site]],Table35[#All],4,FALSE)</f>
        <v>-</v>
      </c>
      <c r="O61" s="34" t="str">
        <f>VLOOKUP(Tabla3[[#This Row],[Site]],Table35[#All],5,FALSE)</f>
        <v>-</v>
      </c>
      <c r="P61" s="34" t="str">
        <f>VLOOKUP(Tabla3[[#This Row],[Site]],Table35[#All],6,FALSE)</f>
        <v>1, 3, 9, 10, 14</v>
      </c>
      <c r="Q61" s="34">
        <f>VLOOKUP(Tabla3[[#This Row],[Site]],Table35[#All],8,FALSE)</f>
        <v>305</v>
      </c>
      <c r="R61"/>
    </row>
    <row r="62" spans="1:18" hidden="1" x14ac:dyDescent="0.25">
      <c r="A62" t="str">
        <f>+Tabla3[[#This Row],[Site]]&amp;Tabla3[[#This Row],[Split]]</f>
        <v>(AS) Koons Annapolis Toyota (NO TOURS)2</v>
      </c>
      <c r="B62">
        <v>2</v>
      </c>
      <c r="C62">
        <v>1</v>
      </c>
      <c r="D62" t="s">
        <v>447</v>
      </c>
      <c r="E62" t="str">
        <f>VLOOKUP(Tabla3[[#This Row],[Site]],Table35[],10,FALSE)</f>
        <v>9:00 P.M.</v>
      </c>
      <c r="F62" t="str">
        <f>VLOOKUP(Tabla3[[#This Row],[Site]],Table35[],11,FALSE)</f>
        <v>ET</v>
      </c>
      <c r="G62" t="str">
        <f>VLOOKUP(Tabla3[[#This Row],[Site]],Table35[],12,FALSE)</f>
        <v>5:00 A.M.</v>
      </c>
      <c r="H62">
        <f>VLOOKUP(Tabla3[[#This Row],[Site]],Table35[],13,FALSE)</f>
        <v>0</v>
      </c>
      <c r="I62" s="70" t="str">
        <f>HYPERLINK(VLOOKUP(Tabla3[[#This Row],[Site]],Table35[#All],9,FALSE))</f>
        <v>https://tools.sig.systems/site/details/337</v>
      </c>
      <c r="J62" t="str">
        <f>VLOOKUP(Tabla3[[#This Row],[Site]],Table35[],14,FALSE)</f>
        <v>-</v>
      </c>
      <c r="L62" s="34">
        <f>VLOOKUP(Tabla3[[#This Row],[Site]],Table35[#All],2,FALSE)</f>
        <v>6</v>
      </c>
      <c r="M62" s="34" t="str">
        <f>VLOOKUP(Tabla3[[#This Row],[Site]],Table35[#All],3,FALSE)</f>
        <v>1, 6, 21</v>
      </c>
      <c r="N62" s="34" t="str">
        <f>VLOOKUP(Tabla3[[#This Row],[Site]],Table35[#All],4,FALSE)</f>
        <v>-</v>
      </c>
      <c r="O62" s="34" t="str">
        <f>VLOOKUP(Tabla3[[#This Row],[Site]],Table35[#All],5,FALSE)</f>
        <v>-</v>
      </c>
      <c r="P62" s="34" t="str">
        <f>VLOOKUP(Tabla3[[#This Row],[Site]],Table35[#All],6,FALSE)</f>
        <v>3, 5, 7, 19</v>
      </c>
      <c r="Q62" s="34" t="str">
        <f>VLOOKUP(Tabla3[[#This Row],[Site]],Table35[#All],8,FALSE)</f>
        <v>337</v>
      </c>
      <c r="R62"/>
    </row>
    <row r="63" spans="1:18" hidden="1" x14ac:dyDescent="0.25">
      <c r="A63" t="str">
        <f>+Tabla3[[#This Row],[Site]]&amp;Tabla3[[#This Row],[Split]]</f>
        <v>(AS) Hare Truck Center (NO TOURS)2</v>
      </c>
      <c r="B63">
        <v>2</v>
      </c>
      <c r="C63">
        <v>1</v>
      </c>
      <c r="D63" t="s">
        <v>380</v>
      </c>
      <c r="E63" t="str">
        <f>VLOOKUP(Tabla3[[#This Row],[Site]],Table35[],10,FALSE)</f>
        <v>9:00 P.M.</v>
      </c>
      <c r="F63" t="str">
        <f>VLOOKUP(Tabla3[[#This Row],[Site]],Table35[],11,FALSE)</f>
        <v>ET</v>
      </c>
      <c r="G63" t="str">
        <f>VLOOKUP(Tabla3[[#This Row],[Site]],Table35[],12,FALSE)</f>
        <v>5:00 A.M.</v>
      </c>
      <c r="H63" t="str">
        <f>VLOOKUP(Tabla3[[#This Row],[Site]],Table35[],13,FALSE)</f>
        <v>-</v>
      </c>
      <c r="I63" s="70" t="str">
        <f>HYPERLINK(VLOOKUP(Tabla3[[#This Row],[Site]],Table35[#All],9,FALSE))</f>
        <v>https://tools.sig.systems/site/details/300</v>
      </c>
      <c r="J63" t="str">
        <f>VLOOKUP(Tabla3[[#This Row],[Site]],Table35[],14,FALSE)</f>
        <v>https://www.google.com/maps/d/edit?mid=1hsX5GGrNcCQgAuzDCDz1OWgEkhsAc78&amp;usp=sharing</v>
      </c>
      <c r="L63" s="34" t="str">
        <f>VLOOKUP(Tabla3[[#This Row],[Site]],Table35[#All],2,FALSE)</f>
        <v>-</v>
      </c>
      <c r="M63" s="34" t="str">
        <f>VLOOKUP(Tabla3[[#This Row],[Site]],Table35[#All],3,FALSE)</f>
        <v>1, 5</v>
      </c>
      <c r="N63" s="34" t="str">
        <f>VLOOKUP(Tabla3[[#This Row],[Site]],Table35[#All],4,FALSE)</f>
        <v>-</v>
      </c>
      <c r="O63" s="34" t="str">
        <f>VLOOKUP(Tabla3[[#This Row],[Site]],Table35[#All],5,FALSE)</f>
        <v>-</v>
      </c>
      <c r="P63" s="34" t="str">
        <f>VLOOKUP(Tabla3[[#This Row],[Site]],Table35[#All],6,FALSE)</f>
        <v xml:space="preserve">2, 6, 10, 12, 17 </v>
      </c>
      <c r="Q63" s="34" t="str">
        <f>VLOOKUP(Tabla3[[#This Row],[Site]],Table35[#All],8,FALSE)</f>
        <v>300</v>
      </c>
      <c r="R63"/>
    </row>
    <row r="64" spans="1:18" hidden="1" x14ac:dyDescent="0.25">
      <c r="A64" t="str">
        <f>+Tabla3[[#This Row],[Site]]&amp;Tabla3[[#This Row],[Split]]</f>
        <v>(AS) Koons Chevrolet Buick GMC - Clarksville (NO TOURS)2</v>
      </c>
      <c r="B64">
        <v>2</v>
      </c>
      <c r="C64">
        <v>1</v>
      </c>
      <c r="D64" t="s">
        <v>382</v>
      </c>
      <c r="E64" t="str">
        <f>VLOOKUP(Tabla3[[#This Row],[Site]],Table35[],10,FALSE)</f>
        <v>9:00 P.M.</v>
      </c>
      <c r="F64" t="str">
        <f>VLOOKUP(Tabla3[[#This Row],[Site]],Table35[],11,FALSE)</f>
        <v>ET</v>
      </c>
      <c r="G64" t="str">
        <f>VLOOKUP(Tabla3[[#This Row],[Site]],Table35[],12,FALSE)</f>
        <v>5:00 A.M.</v>
      </c>
      <c r="H64" t="str">
        <f>VLOOKUP(Tabla3[[#This Row],[Site]],Table35[],13,FALSE)</f>
        <v>10:00 A.M.</v>
      </c>
      <c r="I64" s="70" t="str">
        <f>HYPERLINK(VLOOKUP(Tabla3[[#This Row],[Site]],Table35[#All],9,FALSE))</f>
        <v>https://tools.sig.systems/site/details/306</v>
      </c>
      <c r="J64" t="str">
        <f>VLOOKUP(Tabla3[[#This Row],[Site]],Table35[],14,FALSE)</f>
        <v>https://www.google.com/maps/d/edit?hl=es&amp;mid=11XB1lTSP7EcDCDvzypdUPWP6bWCNAEI&amp;ll=39.21145022420528%2C-76.94003711910554&amp;z=17</v>
      </c>
      <c r="L64" s="34" t="str">
        <f>VLOOKUP(Tabla3[[#This Row],[Site]],Table35[#All],2,FALSE)</f>
        <v>-</v>
      </c>
      <c r="M64" s="34" t="str">
        <f>VLOOKUP(Tabla3[[#This Row],[Site]],Table35[#All],3,FALSE)</f>
        <v>1, 22, 26, 28, 29</v>
      </c>
      <c r="N64" s="34" t="str">
        <f>VLOOKUP(Tabla3[[#This Row],[Site]],Table35[#All],4,FALSE)</f>
        <v>-</v>
      </c>
      <c r="O64" s="34" t="str">
        <f>VLOOKUP(Tabla3[[#This Row],[Site]],Table35[#All],5,FALSE)</f>
        <v>-</v>
      </c>
      <c r="P64" s="34" t="str">
        <f>VLOOKUP(Tabla3[[#This Row],[Site]],Table35[#All],6,FALSE)</f>
        <v>3, 11, 15, 23</v>
      </c>
      <c r="Q64" s="34" t="str">
        <f>VLOOKUP(Tabla3[[#This Row],[Site]],Table35[#All],8,FALSE)</f>
        <v>306</v>
      </c>
      <c r="R64"/>
    </row>
    <row r="65" spans="1:18" hidden="1" x14ac:dyDescent="0.25">
      <c r="A65" t="str">
        <f>+Tabla3[[#This Row],[Site]]&amp;Tabla3[[#This Row],[Split]]</f>
        <v>(AS) Koons Chevrolet Buick GMC - Tysons (NO TOURS)2</v>
      </c>
      <c r="B65">
        <v>2</v>
      </c>
      <c r="C65">
        <v>1</v>
      </c>
      <c r="D65" t="s">
        <v>377</v>
      </c>
      <c r="E65" t="str">
        <f>VLOOKUP(Tabla3[[#This Row],[Site]],Table35[],10,FALSE)</f>
        <v>9:00 P.M.</v>
      </c>
      <c r="F65" t="str">
        <f>VLOOKUP(Tabla3[[#This Row],[Site]],Table35[],11,FALSE)</f>
        <v>ET</v>
      </c>
      <c r="G65" t="str">
        <f>VLOOKUP(Tabla3[[#This Row],[Site]],Table35[],12,FALSE)</f>
        <v>5:00 A.M.</v>
      </c>
      <c r="H65" t="str">
        <f>VLOOKUP(Tabla3[[#This Row],[Site]],Table35[],13,FALSE)</f>
        <v>10:00 A.M.</v>
      </c>
      <c r="I65" s="70" t="str">
        <f>HYPERLINK(VLOOKUP(Tabla3[[#This Row],[Site]],Table35[#All],9,FALSE))</f>
        <v>https://tools.sig.systems/site/details/352</v>
      </c>
      <c r="J65" t="str">
        <f>VLOOKUP(Tabla3[[#This Row],[Site]],Table35[],14,FALSE)</f>
        <v>-</v>
      </c>
      <c r="L65" s="34" t="str">
        <f>VLOOKUP(Tabla3[[#This Row],[Site]],Table35[#All],2,FALSE)</f>
        <v>-</v>
      </c>
      <c r="M65" s="34" t="str">
        <f>VLOOKUP(Tabla3[[#This Row],[Site]],Table35[#All],3,FALSE)</f>
        <v>3, 6</v>
      </c>
      <c r="N65" s="34" t="str">
        <f>VLOOKUP(Tabla3[[#This Row],[Site]],Table35[#All],4,FALSE)</f>
        <v>-</v>
      </c>
      <c r="O65" s="34">
        <f>VLOOKUP(Tabla3[[#This Row],[Site]],Table35[#All],5,FALSE)</f>
        <v>4</v>
      </c>
      <c r="P65" s="34" t="str">
        <f>VLOOKUP(Tabla3[[#This Row],[Site]],Table35[#All],6,FALSE)</f>
        <v xml:space="preserve">2, 9, 17 </v>
      </c>
      <c r="Q65" s="34" t="str">
        <f>VLOOKUP(Tabla3[[#This Row],[Site]],Table35[#All],8,FALSE)</f>
        <v>352</v>
      </c>
      <c r="R65"/>
    </row>
    <row r="66" spans="1:18" hidden="1" x14ac:dyDescent="0.25">
      <c r="A66" t="str">
        <f>+Tabla3[[#This Row],[Site]]&amp;Tabla3[[#This Row],[Split]]</f>
        <v>(AS) Koons Falls Church Ford (NO TOURS)2</v>
      </c>
      <c r="B66">
        <v>2</v>
      </c>
      <c r="C66">
        <v>1</v>
      </c>
      <c r="D66" t="s">
        <v>386</v>
      </c>
      <c r="E66" t="str">
        <f>VLOOKUP(Tabla3[[#This Row],[Site]],Table35[],10,FALSE)</f>
        <v>9:00 P.M.</v>
      </c>
      <c r="F66" t="str">
        <f>VLOOKUP(Tabla3[[#This Row],[Site]],Table35[],11,FALSE)</f>
        <v>ET</v>
      </c>
      <c r="G66" t="str">
        <f>VLOOKUP(Tabla3[[#This Row],[Site]],Table35[],12,FALSE)</f>
        <v>5:00 A.M.</v>
      </c>
      <c r="H66" t="str">
        <f>VLOOKUP(Tabla3[[#This Row],[Site]],Table35[],13,FALSE)</f>
        <v>10:00 A.M.</v>
      </c>
      <c r="I66" s="70" t="str">
        <f>HYPERLINK(VLOOKUP(Tabla3[[#This Row],[Site]],Table35[#All],9,FALSE))</f>
        <v>https://tools.sig.systems/site/details/345</v>
      </c>
      <c r="J66" t="str">
        <f>VLOOKUP(Tabla3[[#This Row],[Site]],Table35[],14,FALSE)</f>
        <v>-</v>
      </c>
      <c r="L66" s="34" t="str">
        <f>VLOOKUP(Tabla3[[#This Row],[Site]],Table35[#All],2,FALSE)</f>
        <v>-</v>
      </c>
      <c r="M66" s="34">
        <f>VLOOKUP(Tabla3[[#This Row],[Site]],Table35[#All],3,FALSE)</f>
        <v>1</v>
      </c>
      <c r="N66" s="34" t="str">
        <f>VLOOKUP(Tabla3[[#This Row],[Site]],Table35[#All],4,FALSE)</f>
        <v>-</v>
      </c>
      <c r="O66" s="34" t="str">
        <f>VLOOKUP(Tabla3[[#This Row],[Site]],Table35[#All],5,FALSE)</f>
        <v>-</v>
      </c>
      <c r="P66" s="34" t="str">
        <f>VLOOKUP(Tabla3[[#This Row],[Site]],Table35[#All],6,FALSE)</f>
        <v>-</v>
      </c>
      <c r="Q66" s="34" t="str">
        <f>VLOOKUP(Tabla3[[#This Row],[Site]],Table35[#All],8,FALSE)</f>
        <v>345</v>
      </c>
      <c r="R66"/>
    </row>
    <row r="67" spans="1:18" hidden="1" x14ac:dyDescent="0.25">
      <c r="A67" t="str">
        <f>+Tabla3[[#This Row],[Site]]&amp;Tabla3[[#This Row],[Split]]</f>
        <v>(AS) Koons MB of Catonsville (NO TOURS)2</v>
      </c>
      <c r="B67">
        <v>2</v>
      </c>
      <c r="C67">
        <v>1</v>
      </c>
      <c r="D67" t="s">
        <v>236</v>
      </c>
      <c r="E67" t="str">
        <f>VLOOKUP(Tabla3[[#This Row],[Site]],Table35[],10,FALSE)</f>
        <v>9:00 P.M.</v>
      </c>
      <c r="F67" t="str">
        <f>VLOOKUP(Tabla3[[#This Row],[Site]],Table35[],11,FALSE)</f>
        <v>ET</v>
      </c>
      <c r="G67" t="str">
        <f>VLOOKUP(Tabla3[[#This Row],[Site]],Table35[],12,FALSE)</f>
        <v>5:00 A.M.</v>
      </c>
      <c r="H67" t="str">
        <f>VLOOKUP(Tabla3[[#This Row],[Site]],Table35[],13,FALSE)</f>
        <v>-</v>
      </c>
      <c r="I67" s="70" t="str">
        <f>HYPERLINK(VLOOKUP(Tabla3[[#This Row],[Site]],Table35[#All],9,FALSE))</f>
        <v>https://tools.sig.systems/site/details/303</v>
      </c>
      <c r="J67">
        <f>VLOOKUP(Tabla3[[#This Row],[Site]],Table35[],14,FALSE)</f>
        <v>0</v>
      </c>
      <c r="L67" s="34" t="str">
        <f>VLOOKUP(Tabla3[[#This Row],[Site]],Table35[#All],2,FALSE)</f>
        <v>-</v>
      </c>
      <c r="M67" s="34" t="str">
        <f>VLOOKUP(Tabla3[[#This Row],[Site]],Table35[#All],3,FALSE)</f>
        <v>15, 16, 17, 29</v>
      </c>
      <c r="N67" s="34">
        <f>VLOOKUP(Tabla3[[#This Row],[Site]],Table35[#All],4,FALSE)</f>
        <v>29</v>
      </c>
      <c r="O67" s="34">
        <f>VLOOKUP(Tabla3[[#This Row],[Site]],Table35[#All],5,FALSE)</f>
        <v>5</v>
      </c>
      <c r="P67" s="34" t="str">
        <f>VLOOKUP(Tabla3[[#This Row],[Site]],Table35[#All],6,FALSE)</f>
        <v>1, 7, 8, 12, 19, 32</v>
      </c>
      <c r="Q67" s="34" t="str">
        <f>VLOOKUP(Tabla3[[#This Row],[Site]],Table35[#All],8,FALSE)</f>
        <v>303</v>
      </c>
      <c r="R67"/>
    </row>
    <row r="68" spans="1:18" hidden="1" x14ac:dyDescent="0.25">
      <c r="A68" t="str">
        <f>+Tabla3[[#This Row],[Site]]&amp;Tabla3[[#This Row],[Split]]</f>
        <v>(AS) Koons Owings Mills Kia (NO TOURS)2</v>
      </c>
      <c r="B68">
        <v>2</v>
      </c>
      <c r="C68">
        <v>1</v>
      </c>
      <c r="D68" t="s">
        <v>416</v>
      </c>
      <c r="E68" t="str">
        <f>VLOOKUP(Tabla3[[#This Row],[Site]],Table35[],10,FALSE)</f>
        <v>9:00 P.M.</v>
      </c>
      <c r="F68" t="str">
        <f>VLOOKUP(Tabla3[[#This Row],[Site]],Table35[],11,FALSE)</f>
        <v>ET</v>
      </c>
      <c r="G68" t="str">
        <f>VLOOKUP(Tabla3[[#This Row],[Site]],Table35[],12,FALSE)</f>
        <v>5:00 A.M.</v>
      </c>
      <c r="H68" t="str">
        <f>VLOOKUP(Tabla3[[#This Row],[Site]],Table35[],13,FALSE)</f>
        <v>-</v>
      </c>
      <c r="I68" s="70" t="str">
        <f>HYPERLINK(VLOOKUP(Tabla3[[#This Row],[Site]],Table35[#All],9,FALSE))</f>
        <v>https://tools.sig.systems/site/details/336</v>
      </c>
      <c r="J68" t="str">
        <f>VLOOKUP(Tabla3[[#This Row],[Site]],Table35[],14,FALSE)</f>
        <v>-</v>
      </c>
      <c r="L68" s="34">
        <f>VLOOKUP(Tabla3[[#This Row],[Site]],Table35[#All],2,FALSE)</f>
        <v>12</v>
      </c>
      <c r="M68" s="34" t="str">
        <f>VLOOKUP(Tabla3[[#This Row],[Site]],Table35[#All],3,FALSE)</f>
        <v>2, 18</v>
      </c>
      <c r="N68" s="34" t="str">
        <f>VLOOKUP(Tabla3[[#This Row],[Site]],Table35[#All],4,FALSE)</f>
        <v>-</v>
      </c>
      <c r="O68" s="34" t="str">
        <f>VLOOKUP(Tabla3[[#This Row],[Site]],Table35[#All],5,FALSE)</f>
        <v>-</v>
      </c>
      <c r="P68" s="34" t="str">
        <f>VLOOKUP(Tabla3[[#This Row],[Site]],Table35[#All],6,FALSE)</f>
        <v>7, 14</v>
      </c>
      <c r="Q68" s="34" t="str">
        <f>VLOOKUP(Tabla3[[#This Row],[Site]],Table35[#All],8,FALSE)</f>
        <v>336</v>
      </c>
      <c r="R68"/>
    </row>
    <row r="69" spans="1:18" hidden="1" x14ac:dyDescent="0.25">
      <c r="A69" t="str">
        <f>+Tabla3[[#This Row],[Site]]&amp;Tabla3[[#This Row],[Split]]</f>
        <v>(AS) Koons Sterling Ford - Main Dealership (NO TOURS)2</v>
      </c>
      <c r="B69">
        <v>2</v>
      </c>
      <c r="C69">
        <v>1</v>
      </c>
      <c r="D69" t="s">
        <v>408</v>
      </c>
      <c r="E69" t="str">
        <f>VLOOKUP(Tabla3[[#This Row],[Site]],Table35[],10,FALSE)</f>
        <v>9:00 P.M.</v>
      </c>
      <c r="F69" t="str">
        <f>VLOOKUP(Tabla3[[#This Row],[Site]],Table35[],11,FALSE)</f>
        <v>ET</v>
      </c>
      <c r="G69" t="str">
        <f>VLOOKUP(Tabla3[[#This Row],[Site]],Table35[],12,FALSE)</f>
        <v>5:00 A.M.</v>
      </c>
      <c r="H69" t="str">
        <f>VLOOKUP(Tabla3[[#This Row],[Site]],Table35[],13,FALSE)</f>
        <v>10:00 A.M.</v>
      </c>
      <c r="I69" s="70" t="str">
        <f>HYPERLINK(VLOOKUP(Tabla3[[#This Row],[Site]],Table35[#All],9,FALSE))</f>
        <v>https://tools.sig.systems/site/details/348</v>
      </c>
      <c r="J69">
        <f>VLOOKUP(Tabla3[[#This Row],[Site]],Table35[],14,FALSE)</f>
        <v>0</v>
      </c>
      <c r="L69" s="34">
        <f>VLOOKUP(Tabla3[[#This Row],[Site]],Table35[#All],2,FALSE)</f>
        <v>19</v>
      </c>
      <c r="M69" s="34">
        <f>VLOOKUP(Tabla3[[#This Row],[Site]],Table35[#All],3,FALSE)</f>
        <v>3</v>
      </c>
      <c r="N69" s="34" t="str">
        <f>VLOOKUP(Tabla3[[#This Row],[Site]],Table35[#All],4,FALSE)</f>
        <v>-</v>
      </c>
      <c r="O69" s="34" t="str">
        <f>VLOOKUP(Tabla3[[#This Row],[Site]],Table35[#All],5,FALSE)</f>
        <v>4, 21</v>
      </c>
      <c r="P69" s="34" t="str">
        <f>VLOOKUP(Tabla3[[#This Row],[Site]],Table35[#All],6,FALSE)</f>
        <v>7, 8</v>
      </c>
      <c r="Q69" s="34" t="str">
        <f>VLOOKUP(Tabla3[[#This Row],[Site]],Table35[#All],8,FALSE)</f>
        <v>348</v>
      </c>
      <c r="R69"/>
    </row>
    <row r="70" spans="1:18" hidden="1" x14ac:dyDescent="0.25">
      <c r="A70" t="str">
        <f>+Tabla3[[#This Row],[Site]]&amp;Tabla3[[#This Row],[Split]]</f>
        <v>(AS) Koons Woodbridge GMC (NO TOURS)2</v>
      </c>
      <c r="B70">
        <v>2</v>
      </c>
      <c r="C70">
        <v>1</v>
      </c>
      <c r="D70" t="s">
        <v>372</v>
      </c>
      <c r="E70" t="str">
        <f>VLOOKUP(Tabla3[[#This Row],[Site]],Table35[],10,FALSE)</f>
        <v>9:00 P.M.</v>
      </c>
      <c r="F70" t="str">
        <f>VLOOKUP(Tabla3[[#This Row],[Site]],Table35[],11,FALSE)</f>
        <v>ET</v>
      </c>
      <c r="G70" t="str">
        <f>VLOOKUP(Tabla3[[#This Row],[Site]],Table35[],12,FALSE)</f>
        <v>5:00 A.M.</v>
      </c>
      <c r="H70" t="str">
        <f>VLOOKUP(Tabla3[[#This Row],[Site]],Table35[],13,FALSE)</f>
        <v>10:00 A.M.</v>
      </c>
      <c r="I70" s="70" t="str">
        <f>HYPERLINK(VLOOKUP(Tabla3[[#This Row],[Site]],Table35[#All],9,FALSE))</f>
        <v>https://tools.sig.systems/site/details/343</v>
      </c>
      <c r="J70">
        <f>VLOOKUP(Tabla3[[#This Row],[Site]],Table35[],14,FALSE)</f>
        <v>0</v>
      </c>
      <c r="L70" s="34" t="str">
        <f>VLOOKUP(Tabla3[[#This Row],[Site]],Table35[#All],2,FALSE)</f>
        <v>-</v>
      </c>
      <c r="M70" s="34">
        <f>VLOOKUP(Tabla3[[#This Row],[Site]],Table35[#All],3,FALSE)</f>
        <v>1</v>
      </c>
      <c r="N70" s="34" t="str">
        <f>VLOOKUP(Tabla3[[#This Row],[Site]],Table35[#All],4,FALSE)</f>
        <v>-</v>
      </c>
      <c r="O70" s="34">
        <f>VLOOKUP(Tabla3[[#This Row],[Site]],Table35[#All],5,FALSE)</f>
        <v>11</v>
      </c>
      <c r="P70" s="34" t="str">
        <f>VLOOKUP(Tabla3[[#This Row],[Site]],Table35[#All],6,FALSE)</f>
        <v>2, 7</v>
      </c>
      <c r="Q70" s="34" t="str">
        <f>VLOOKUP(Tabla3[[#This Row],[Site]],Table35[#All],8,FALSE)</f>
        <v>343</v>
      </c>
      <c r="R70"/>
    </row>
    <row r="71" spans="1:18" hidden="1" x14ac:dyDescent="0.25">
      <c r="A71" t="str">
        <f>+Tabla3[[#This Row],[Site]]&amp;Tabla3[[#This Row],[Split]]</f>
        <v>(AS) Koons Woodbridge Kia (NO TOURS)2</v>
      </c>
      <c r="B71">
        <v>2</v>
      </c>
      <c r="C71">
        <v>1</v>
      </c>
      <c r="D71" t="s">
        <v>407</v>
      </c>
      <c r="E71" t="str">
        <f>VLOOKUP(Tabla3[[#This Row],[Site]],Table35[],10,FALSE)</f>
        <v>9:00 P.M.</v>
      </c>
      <c r="F71" t="str">
        <f>VLOOKUP(Tabla3[[#This Row],[Site]],Table35[],11,FALSE)</f>
        <v>ET</v>
      </c>
      <c r="G71" t="str">
        <f>VLOOKUP(Tabla3[[#This Row],[Site]],Table35[],12,FALSE)</f>
        <v>5:00 A.M.</v>
      </c>
      <c r="H71" t="str">
        <f>VLOOKUP(Tabla3[[#This Row],[Site]],Table35[],13,FALSE)</f>
        <v>10:00 A.M.</v>
      </c>
      <c r="I71" s="70" t="str">
        <f>HYPERLINK(VLOOKUP(Tabla3[[#This Row],[Site]],Table35[#All],9,FALSE))</f>
        <v>https://tools.sig.systems/site/details/346</v>
      </c>
      <c r="J71" t="str">
        <f>VLOOKUP(Tabla3[[#This Row],[Site]],Table35[],14,FALSE)</f>
        <v>-</v>
      </c>
      <c r="L71" s="34" t="str">
        <f>VLOOKUP(Tabla3[[#This Row],[Site]],Table35[#All],2,FALSE)</f>
        <v>-</v>
      </c>
      <c r="M71" s="34">
        <f>VLOOKUP(Tabla3[[#This Row],[Site]],Table35[#All],3,FALSE)</f>
        <v>2</v>
      </c>
      <c r="N71" s="34" t="str">
        <f>VLOOKUP(Tabla3[[#This Row],[Site]],Table35[#All],4,FALSE)</f>
        <v>-</v>
      </c>
      <c r="O71" s="34" t="str">
        <f>VLOOKUP(Tabla3[[#This Row],[Site]],Table35[#All],5,FALSE)</f>
        <v>-</v>
      </c>
      <c r="P71" s="34">
        <f>VLOOKUP(Tabla3[[#This Row],[Site]],Table35[#All],6,FALSE)</f>
        <v>5</v>
      </c>
      <c r="Q71" s="34" t="str">
        <f>VLOOKUP(Tabla3[[#This Row],[Site]],Table35[#All],8,FALSE)</f>
        <v>346</v>
      </c>
      <c r="R71"/>
    </row>
    <row r="72" spans="1:18" hidden="1" x14ac:dyDescent="0.25">
      <c r="A72" t="str">
        <f>+Tabla3[[#This Row],[Site]]&amp;Tabla3[[#This Row],[Split]]</f>
        <v>(AS) Plaza Collision ST Louis (NO TOURS)2</v>
      </c>
      <c r="B72">
        <v>2</v>
      </c>
      <c r="C72">
        <v>1</v>
      </c>
      <c r="D72" t="s">
        <v>436</v>
      </c>
      <c r="E72" t="str">
        <f>VLOOKUP(Tabla3[[#This Row],[Site]],Table35[],10,FALSE)</f>
        <v>10:00 P.M.</v>
      </c>
      <c r="F72" t="str">
        <f>VLOOKUP(Tabla3[[#This Row],[Site]],Table35[],11,FALSE)</f>
        <v>CT</v>
      </c>
      <c r="G72" t="str">
        <f>VLOOKUP(Tabla3[[#This Row],[Site]],Table35[],12,FALSE)</f>
        <v>6:00 A.M.</v>
      </c>
      <c r="H72" t="str">
        <f>VLOOKUP(Tabla3[[#This Row],[Site]],Table35[],13,FALSE)</f>
        <v>-</v>
      </c>
      <c r="I72" s="70" t="str">
        <f>HYPERLINK(VLOOKUP(Tabla3[[#This Row],[Site]],Table35[#All],9,FALSE))</f>
        <v>https://tools.sig.systems/site/details/350</v>
      </c>
      <c r="J72" t="str">
        <f>VLOOKUP(Tabla3[[#This Row],[Site]],Table35[],14,FALSE)</f>
        <v>-</v>
      </c>
      <c r="L72" s="34" t="str">
        <f>VLOOKUP(Tabla3[[#This Row],[Site]],Table35[#All],2,FALSE)</f>
        <v>2, 6</v>
      </c>
      <c r="M72" s="34">
        <f>VLOOKUP(Tabla3[[#This Row],[Site]],Table35[#All],3,FALSE)</f>
        <v>1</v>
      </c>
      <c r="N72" s="34" t="str">
        <f>VLOOKUP(Tabla3[[#This Row],[Site]],Table35[#All],4,FALSE)</f>
        <v>-</v>
      </c>
      <c r="O72" s="34" t="str">
        <f>VLOOKUP(Tabla3[[#This Row],[Site]],Table35[#All],5,FALSE)</f>
        <v>-</v>
      </c>
      <c r="P72" s="34">
        <f>VLOOKUP(Tabla3[[#This Row],[Site]],Table35[#All],6,FALSE)</f>
        <v>3</v>
      </c>
      <c r="Q72" s="34" t="str">
        <f>VLOOKUP(Tabla3[[#This Row],[Site]],Table35[#All],8,FALSE)</f>
        <v>350</v>
      </c>
      <c r="R72"/>
    </row>
    <row r="73" spans="1:18" hidden="1" x14ac:dyDescent="0.25">
      <c r="A73" t="str">
        <f>+Tabla3[[#This Row],[Site]]&amp;Tabla3[[#This Row],[Split]]</f>
        <v>(AS) Plaza Mercedes Benz West (NO TOURS)2</v>
      </c>
      <c r="B73">
        <v>2</v>
      </c>
      <c r="C73">
        <v>1</v>
      </c>
      <c r="D73" t="s">
        <v>396</v>
      </c>
      <c r="E73" t="str">
        <f>VLOOKUP(Tabla3[[#This Row],[Site]],Table35[],10,FALSE)</f>
        <v>10:00 P.M.</v>
      </c>
      <c r="F73" t="str">
        <f>VLOOKUP(Tabla3[[#This Row],[Site]],Table35[],11,FALSE)</f>
        <v>CT</v>
      </c>
      <c r="G73" t="str">
        <f>VLOOKUP(Tabla3[[#This Row],[Site]],Table35[],12,FALSE)</f>
        <v>6:00 A.M.</v>
      </c>
      <c r="H73" t="str">
        <f>VLOOKUP(Tabla3[[#This Row],[Site]],Table35[],13,FALSE)</f>
        <v>-</v>
      </c>
      <c r="I73" s="70" t="str">
        <f>HYPERLINK(VLOOKUP(Tabla3[[#This Row],[Site]],Table35[#All],9,FALSE))</f>
        <v>https://tools.sig.systems/site/details/349</v>
      </c>
      <c r="J73" t="str">
        <f>VLOOKUP(Tabla3[[#This Row],[Site]],Table35[],14,FALSE)</f>
        <v>-</v>
      </c>
      <c r="L73" s="34" t="str">
        <f>VLOOKUP(Tabla3[[#This Row],[Site]],Table35[#All],2,FALSE)</f>
        <v>-</v>
      </c>
      <c r="M73" s="34" t="str">
        <f>VLOOKUP(Tabla3[[#This Row],[Site]],Table35[#All],3,FALSE)</f>
        <v>1, 7</v>
      </c>
      <c r="N73" s="34" t="str">
        <f>VLOOKUP(Tabla3[[#This Row],[Site]],Table35[#All],4,FALSE)</f>
        <v>-</v>
      </c>
      <c r="O73" s="34">
        <f>VLOOKUP(Tabla3[[#This Row],[Site]],Table35[#All],5,FALSE)</f>
        <v>17</v>
      </c>
      <c r="P73" s="34" t="str">
        <f>VLOOKUP(Tabla3[[#This Row],[Site]],Table35[#All],6,FALSE)</f>
        <v>6, 21</v>
      </c>
      <c r="Q73" s="34" t="str">
        <f>VLOOKUP(Tabla3[[#This Row],[Site]],Table35[#All],8,FALSE)</f>
        <v>349</v>
      </c>
      <c r="R73"/>
    </row>
    <row r="74" spans="1:18" hidden="1" x14ac:dyDescent="0.25">
      <c r="A74" t="str">
        <f>+Tabla3[[#This Row],[Site]]&amp;Tabla3[[#This Row],[Split]]</f>
        <v>(DT) Charlotte2</v>
      </c>
      <c r="B74">
        <v>2</v>
      </c>
      <c r="C74">
        <v>1</v>
      </c>
      <c r="D74" t="s">
        <v>151</v>
      </c>
      <c r="E74" t="str">
        <f>VLOOKUP(Tabla3[[#This Row],[Site]],Table35[],10,FALSE)</f>
        <v>9:00 P.M.</v>
      </c>
      <c r="F74" t="str">
        <f>VLOOKUP(Tabla3[[#This Row],[Site]],Table35[],11,FALSE)</f>
        <v>ET</v>
      </c>
      <c r="G74" t="str">
        <f>VLOOKUP(Tabla3[[#This Row],[Site]],Table35[],12,FALSE)</f>
        <v>5:00 A.M.</v>
      </c>
      <c r="H74" t="str">
        <f>VLOOKUP(Tabla3[[#This Row],[Site]],Table35[],13,FALSE)</f>
        <v>-</v>
      </c>
      <c r="I74" s="70" t="str">
        <f>HYPERLINK(VLOOKUP(Tabla3[[#This Row],[Site]],Table35[#All],9,FALSE))</f>
        <v>https://tools.sig.systems/site/details/299</v>
      </c>
      <c r="J74">
        <f>VLOOKUP(Tabla3[[#This Row],[Site]],Table35[],14,FALSE)</f>
        <v>0</v>
      </c>
      <c r="L74" s="34" t="str">
        <f>VLOOKUP(Tabla3[[#This Row],[Site]],Table35[#All],2,FALSE)</f>
        <v>4, 25, 41</v>
      </c>
      <c r="M74" s="34" t="str">
        <f>VLOOKUP(Tabla3[[#This Row],[Site]],Table35[#All],3,FALSE)</f>
        <v>-</v>
      </c>
      <c r="N74" s="34" t="str">
        <f>VLOOKUP(Tabla3[[#This Row],[Site]],Table35[#All],4,FALSE)</f>
        <v>-</v>
      </c>
      <c r="O74" s="34" t="str">
        <f>VLOOKUP(Tabla3[[#This Row],[Site]],Table35[#All],5,FALSE)</f>
        <v xml:space="preserve">11, 32, 35 </v>
      </c>
      <c r="P74" s="34" t="str">
        <f>VLOOKUP(Tabla3[[#This Row],[Site]],Table35[#All],6,FALSE)</f>
        <v>6, 11, 18, 29, 34,  38, 39</v>
      </c>
      <c r="Q74" s="34" t="str">
        <f>VLOOKUP(Tabla3[[#This Row],[Site]],Table35[#All],8,FALSE)</f>
        <v>299</v>
      </c>
      <c r="R74"/>
    </row>
    <row r="75" spans="1:18" hidden="1" x14ac:dyDescent="0.25">
      <c r="A75" t="str">
        <f>+Tabla3[[#This Row],[Site]]&amp;Tabla3[[#This Row],[Split]]</f>
        <v>(DT) Modesto2</v>
      </c>
      <c r="B75">
        <v>2</v>
      </c>
      <c r="C75">
        <v>1</v>
      </c>
      <c r="D75" t="s">
        <v>14</v>
      </c>
      <c r="E75" t="str">
        <f>VLOOKUP(Tabla3[[#This Row],[Site]],Table35[],10,FALSE)</f>
        <v>12:00 A.M.</v>
      </c>
      <c r="F75" t="str">
        <f>VLOOKUP(Tabla3[[#This Row],[Site]],Table35[],11,FALSE)</f>
        <v>PT</v>
      </c>
      <c r="G75" t="str">
        <f>VLOOKUP(Tabla3[[#This Row],[Site]],Table35[],12,FALSE)</f>
        <v>8:00 A.M.</v>
      </c>
      <c r="H75" t="str">
        <f>VLOOKUP(Tabla3[[#This Row],[Site]],Table35[],13,FALSE)</f>
        <v>-</v>
      </c>
      <c r="I75" s="70" t="str">
        <f>HYPERLINK(VLOOKUP(Tabla3[[#This Row],[Site]],Table35[#All],9,FALSE))</f>
        <v>https://tools.sig.systems/site/details/267</v>
      </c>
      <c r="J75">
        <f>VLOOKUP(Tabla3[[#This Row],[Site]],Table35[],14,FALSE)</f>
        <v>0</v>
      </c>
      <c r="L75" s="34">
        <f>VLOOKUP(Tabla3[[#This Row],[Site]],Table35[#All],2,FALSE)</f>
        <v>10</v>
      </c>
      <c r="M75" s="34" t="str">
        <f>VLOOKUP(Tabla3[[#This Row],[Site]],Table35[#All],3,FALSE)</f>
        <v>5, 6</v>
      </c>
      <c r="N75" s="34" t="str">
        <f>VLOOKUP(Tabla3[[#This Row],[Site]],Table35[#All],4,FALSE)</f>
        <v>-</v>
      </c>
      <c r="O75" s="34" t="str">
        <f>VLOOKUP(Tabla3[[#This Row],[Site]],Table35[#All],5,FALSE)</f>
        <v>-</v>
      </c>
      <c r="P75" s="34" t="str">
        <f>VLOOKUP(Tabla3[[#This Row],[Site]],Table35[#All],6,FALSE)</f>
        <v>2, 3, 5, 10</v>
      </c>
      <c r="Q75" s="34" t="str">
        <f>VLOOKUP(Tabla3[[#This Row],[Site]],Table35[#All],8,FALSE)</f>
        <v>267</v>
      </c>
      <c r="R75"/>
    </row>
    <row r="76" spans="1:18" hidden="1" x14ac:dyDescent="0.25">
      <c r="A76" t="str">
        <f>+Tabla3[[#This Row],[Site]]&amp;Tabla3[[#This Row],[Split]]</f>
        <v>(KG) Big Star Hyundai Houston2</v>
      </c>
      <c r="B76">
        <v>2</v>
      </c>
      <c r="C76">
        <v>1</v>
      </c>
      <c r="D76" t="s">
        <v>129</v>
      </c>
      <c r="E76" t="str">
        <f>VLOOKUP(Tabla3[[#This Row],[Site]],Table35[],10,FALSE)</f>
        <v>10:00 P.M.</v>
      </c>
      <c r="F76" t="str">
        <f>VLOOKUP(Tabla3[[#This Row],[Site]],Table35[],11,FALSE)</f>
        <v>CT</v>
      </c>
      <c r="G76" t="str">
        <f>VLOOKUP(Tabla3[[#This Row],[Site]],Table35[],12,FALSE)</f>
        <v>6:00 A.M.</v>
      </c>
      <c r="H76" t="str">
        <f>VLOOKUP(Tabla3[[#This Row],[Site]],Table35[],13,FALSE)</f>
        <v>-</v>
      </c>
      <c r="I76" s="70" t="str">
        <f>HYPERLINK(VLOOKUP(Tabla3[[#This Row],[Site]],Table35[#All],9,FALSE))</f>
        <v>https://tools.sig.systems/site/details/287</v>
      </c>
      <c r="J76" t="str">
        <f>VLOOKUP(Tabla3[[#This Row],[Site]],Table35[],14,FALSE)</f>
        <v>https://www.google.com/maps/d/edit?hl=en&amp;mid=1jIRkMUnWNPuTgDjQgDP-f33LClT85NU&amp;ll=29.55731827236326%2C-95.1601644&amp;z=17</v>
      </c>
      <c r="L76" s="34" t="str">
        <f>VLOOKUP(Tabla3[[#This Row],[Site]],Table35[#All],2,FALSE)</f>
        <v>3, 12, 17</v>
      </c>
      <c r="M76" s="34" t="str">
        <f>VLOOKUP(Tabla3[[#This Row],[Site]],Table35[#All],3,FALSE)</f>
        <v>23, 35</v>
      </c>
      <c r="N76" s="34" t="str">
        <f>VLOOKUP(Tabla3[[#This Row],[Site]],Table35[#All],4,FALSE)</f>
        <v>-</v>
      </c>
      <c r="O76" s="34" t="str">
        <f>VLOOKUP(Tabla3[[#This Row],[Site]],Table35[#All],5,FALSE)</f>
        <v>1, 75</v>
      </c>
      <c r="P76" s="34" t="str">
        <f>VLOOKUP(Tabla3[[#This Row],[Site]],Table35[#All],6,FALSE)</f>
        <v xml:space="preserve">5, 11, 16, 20, 26, 30, 32, 34 </v>
      </c>
      <c r="Q76" s="34" t="str">
        <f>VLOOKUP(Tabla3[[#This Row],[Site]],Table35[#All],8,FALSE)</f>
        <v>287</v>
      </c>
      <c r="R76"/>
    </row>
    <row r="77" spans="1:18" hidden="1" x14ac:dyDescent="0.25">
      <c r="A77" t="str">
        <f>+Tabla3[[#This Row],[Site]]&amp;Tabla3[[#This Row],[Split]]</f>
        <v>(KG) Ken Garff Volkswagen of Gilbert2</v>
      </c>
      <c r="B77">
        <v>2</v>
      </c>
      <c r="C77">
        <v>1</v>
      </c>
      <c r="D77" t="s">
        <v>130</v>
      </c>
      <c r="E77" t="str">
        <f>VLOOKUP(Tabla3[[#This Row],[Site]],Table35[],10,FALSE)</f>
        <v>12:00 A.M.</v>
      </c>
      <c r="F77" t="str">
        <f>VLOOKUP(Tabla3[[#This Row],[Site]],Table35[],11,FALSE)</f>
        <v>MST</v>
      </c>
      <c r="G77" t="str">
        <f>VLOOKUP(Tabla3[[#This Row],[Site]],Table35[],12,FALSE)</f>
        <v>8:00 A.M.</v>
      </c>
      <c r="H77" t="str">
        <f>VLOOKUP(Tabla3[[#This Row],[Site]],Table35[],13,FALSE)</f>
        <v>12:00 P.M.</v>
      </c>
      <c r="I77" s="70" t="str">
        <f>HYPERLINK(VLOOKUP(Tabla3[[#This Row],[Site]],Table35[#All],9,FALSE))</f>
        <v>https://tools.sig.systems/site/details/284</v>
      </c>
      <c r="J77" t="str">
        <f>VLOOKUP(Tabla3[[#This Row],[Site]],Table35[],14,FALSE)</f>
        <v>https://www.google.com/maps/d/viewer?hl=es&amp;mid=19SU7XE9Cg8jhVFpEI21Vi9Zfgdih9Ds&amp;ll=33.29158262977276%2C-111.75783630000002&amp;z=17</v>
      </c>
      <c r="L77" s="34" t="str">
        <f>VLOOKUP(Tabla3[[#This Row],[Site]],Table35[#All],2,FALSE)</f>
        <v>4, 6</v>
      </c>
      <c r="M77" s="34" t="str">
        <f>VLOOKUP(Tabla3[[#This Row],[Site]],Table35[#All],3,FALSE)</f>
        <v>-</v>
      </c>
      <c r="N77" s="34" t="str">
        <f>VLOOKUP(Tabla3[[#This Row],[Site]],Table35[#All],4,FALSE)</f>
        <v>-</v>
      </c>
      <c r="O77" s="34" t="str">
        <f>VLOOKUP(Tabla3[[#This Row],[Site]],Table35[#All],5,FALSE)</f>
        <v>2, 14</v>
      </c>
      <c r="P77" s="34" t="str">
        <f>VLOOKUP(Tabla3[[#This Row],[Site]],Table35[#All],6,FALSE)</f>
        <v>1, 5, 8, 9, 17, 19, 21</v>
      </c>
      <c r="Q77" s="34" t="str">
        <f>VLOOKUP(Tabla3[[#This Row],[Site]],Table35[#All],8,FALSE)</f>
        <v>284</v>
      </c>
      <c r="R77"/>
    </row>
    <row r="78" spans="1:18" hidden="1" x14ac:dyDescent="0.25">
      <c r="A78" t="str">
        <f>+Tabla3[[#This Row],[Site]]&amp;Tabla3[[#This Row],[Split]]</f>
        <v>(LT) Landers Kia of Little Rock2</v>
      </c>
      <c r="B78">
        <v>2</v>
      </c>
      <c r="C78">
        <v>1</v>
      </c>
      <c r="D78" t="s">
        <v>249</v>
      </c>
      <c r="E78" t="str">
        <f>VLOOKUP(Tabla3[[#This Row],[Site]],Table35[],10,FALSE)</f>
        <v>10:00 P.M.</v>
      </c>
      <c r="F78" t="str">
        <f>VLOOKUP(Tabla3[[#This Row],[Site]],Table35[],11,FALSE)</f>
        <v>CT</v>
      </c>
      <c r="G78" t="str">
        <f>VLOOKUP(Tabla3[[#This Row],[Site]],Table35[],12,FALSE)</f>
        <v>6:00 A.M.</v>
      </c>
      <c r="H78" t="str">
        <f>VLOOKUP(Tabla3[[#This Row],[Site]],Table35[],13,FALSE)</f>
        <v>-</v>
      </c>
      <c r="I78" s="70" t="str">
        <f>HYPERLINK(VLOOKUP(Tabla3[[#This Row],[Site]],Table35[#All],9,FALSE))</f>
        <v>https://tools.sig.systems/site/details/322</v>
      </c>
      <c r="J78" t="str">
        <f>VLOOKUP(Tabla3[[#This Row],[Site]],Table35[],14,FALSE)</f>
        <v>https://www.google.com/maps/d/u/1/edit?mid=1-zEzsc6U6nZom08edp0XAd3_HYFvAyk&amp;usp=sharing</v>
      </c>
      <c r="L78" s="34" t="str">
        <f>VLOOKUP(Tabla3[[#This Row],[Site]],Table35[#All],2,FALSE)</f>
        <v>5, 9, 33, 19</v>
      </c>
      <c r="M78" s="34" t="str">
        <f>VLOOKUP(Tabla3[[#This Row],[Site]],Table35[#All],3,FALSE)</f>
        <v>-</v>
      </c>
      <c r="N78" s="34" t="str">
        <f>VLOOKUP(Tabla3[[#This Row],[Site]],Table35[#All],4,FALSE)</f>
        <v>4, 10</v>
      </c>
      <c r="O78" s="34" t="str">
        <f>VLOOKUP(Tabla3[[#This Row],[Site]],Table35[#All],5,FALSE)</f>
        <v>1, 35</v>
      </c>
      <c r="P78" s="34" t="str">
        <f>VLOOKUP(Tabla3[[#This Row],[Site]],Table35[#All],6,FALSE)</f>
        <v>5, 9, 12, 14, 18, 26, 29</v>
      </c>
      <c r="Q78" s="34" t="str">
        <f>VLOOKUP(Tabla3[[#This Row],[Site]],Table35[#All],8,FALSE)</f>
        <v>322</v>
      </c>
      <c r="R78"/>
    </row>
    <row r="79" spans="1:18" x14ac:dyDescent="0.25">
      <c r="A79" t="str">
        <f>+Tabla3[[#This Row],[Site]]&amp;Tabla3[[#This Row],[Split]]</f>
        <v>(LT) Luther Bloomington Hyundai (NO TOURS)2</v>
      </c>
      <c r="B79">
        <v>2</v>
      </c>
      <c r="C79">
        <v>1</v>
      </c>
      <c r="D79" t="s">
        <v>456</v>
      </c>
      <c r="E79" t="str">
        <f>VLOOKUP(Tabla3[[#This Row],[Site]],Table35[],10,FALSE)</f>
        <v>10:00 P.M.</v>
      </c>
      <c r="F79" t="str">
        <f>VLOOKUP(Tabla3[[#This Row],[Site]],Table35[],11,FALSE)</f>
        <v>CT</v>
      </c>
      <c r="G79" t="str">
        <f>VLOOKUP(Tabla3[[#This Row],[Site]],Table35[],12,FALSE)</f>
        <v>4:00 A.M.</v>
      </c>
      <c r="H79" t="str">
        <f>VLOOKUP(Tabla3[[#This Row],[Site]],Table35[],13,FALSE)</f>
        <v>-</v>
      </c>
      <c r="I79" s="70" t="str">
        <f>HYPERLINK(VLOOKUP(Tabla3[[#This Row],[Site]],Table35[#All],9,FALSE))</f>
        <v>https://tools.sig.systems/site/details/318</v>
      </c>
      <c r="J79">
        <f>VLOOKUP(Tabla3[[#This Row],[Site]],Table35[],14,FALSE)</f>
        <v>0</v>
      </c>
      <c r="L79" s="34" t="str">
        <f>VLOOKUP(Tabla3[[#This Row],[Site]],Table35[#All],2,FALSE)</f>
        <v>-</v>
      </c>
      <c r="M79" s="34" t="str">
        <f>VLOOKUP(Tabla3[[#This Row],[Site]],Table35[#All],3,FALSE)</f>
        <v>6, 9, 13</v>
      </c>
      <c r="N79" s="34" t="str">
        <f>VLOOKUP(Tabla3[[#This Row],[Site]],Table35[#All],4,FALSE)</f>
        <v>58, 59</v>
      </c>
      <c r="O79" s="34">
        <f>VLOOKUP(Tabla3[[#This Row],[Site]],Table35[#All],5,FALSE)</f>
        <v>10</v>
      </c>
      <c r="P79" s="34" t="str">
        <f>VLOOKUP(Tabla3[[#This Row],[Site]],Table35[#All],6,FALSE)</f>
        <v>11, 18</v>
      </c>
      <c r="Q79" s="34" t="str">
        <f>VLOOKUP(Tabla3[[#This Row],[Site]],Table35[#All],8,FALSE)</f>
        <v>318</v>
      </c>
      <c r="R79"/>
    </row>
    <row r="80" spans="1:18" hidden="1" x14ac:dyDescent="0.25">
      <c r="A80" t="str">
        <f>+Tabla3[[#This Row],[Site]]&amp;Tabla3[[#This Row],[Split]]</f>
        <v>(LT) Luther Brookdale Toyota2</v>
      </c>
      <c r="B80">
        <v>2</v>
      </c>
      <c r="C80">
        <v>1</v>
      </c>
      <c r="D80" t="s">
        <v>126</v>
      </c>
      <c r="E80" t="str">
        <f>VLOOKUP(Tabla3[[#This Row],[Site]],Table35[],10,FALSE)</f>
        <v>7:00 P.M.</v>
      </c>
      <c r="F80" t="str">
        <f>VLOOKUP(Tabla3[[#This Row],[Site]],Table35[],11,FALSE)</f>
        <v>CT</v>
      </c>
      <c r="G80" t="str">
        <f>VLOOKUP(Tabla3[[#This Row],[Site]],Table35[],12,FALSE)</f>
        <v>5:00 A.M.</v>
      </c>
      <c r="H80" t="str">
        <f>VLOOKUP(Tabla3[[#This Row],[Site]],Table35[],13,FALSE)</f>
        <v>-</v>
      </c>
      <c r="I80" s="70" t="str">
        <f>HYPERLINK(VLOOKUP(Tabla3[[#This Row],[Site]],Table35[#All],9,FALSE))</f>
        <v>https://tools.sig.systems/site/details/281</v>
      </c>
      <c r="J80" t="str">
        <f>VLOOKUP(Tabla3[[#This Row],[Site]],Table35[],14,FALSE)</f>
        <v>https://www.google.com/maps/d/viewer?mid=1ot0ILX76JMuvd9yMuqkb4_e0yH1n7TA&amp;ll=45.07815812965141%2C-93.33506855000002&amp;z=17</v>
      </c>
      <c r="L80" s="34" t="str">
        <f>VLOOKUP(Tabla3[[#This Row],[Site]],Table35[#All],2,FALSE)</f>
        <v>-</v>
      </c>
      <c r="M80" s="34" t="str">
        <f>VLOOKUP(Tabla3[[#This Row],[Site]],Table35[#All],3,FALSE)</f>
        <v>5, 7</v>
      </c>
      <c r="N80" s="34">
        <f>VLOOKUP(Tabla3[[#This Row],[Site]],Table35[#All],4,FALSE)</f>
        <v>29</v>
      </c>
      <c r="O80" s="34">
        <f>VLOOKUP(Tabla3[[#This Row],[Site]],Table35[#All],5,FALSE)</f>
        <v>20</v>
      </c>
      <c r="P80" s="34" t="str">
        <f>VLOOKUP(Tabla3[[#This Row],[Site]],Table35[#All],6,FALSE)</f>
        <v xml:space="preserve">1, 2, 4, 10, 18, 24, 25 </v>
      </c>
      <c r="Q80" s="34" t="str">
        <f>VLOOKUP(Tabla3[[#This Row],[Site]],Table35[#All],8,FALSE)</f>
        <v>281</v>
      </c>
      <c r="R80"/>
    </row>
    <row r="81" spans="1:18" hidden="1" x14ac:dyDescent="0.25">
      <c r="A81" t="str">
        <f>+Tabla3[[#This Row],[Site]]&amp;Tabla3[[#This Row],[Split]]</f>
        <v>(LT) Luther Burnsville Hyundai2</v>
      </c>
      <c r="B81">
        <v>2</v>
      </c>
      <c r="C81">
        <v>1</v>
      </c>
      <c r="D81" t="s">
        <v>284</v>
      </c>
      <c r="E81" t="str">
        <f>VLOOKUP(Tabla3[[#This Row],[Site]],Table35[],10,FALSE)</f>
        <v>10:00 P.M.</v>
      </c>
      <c r="F81" t="str">
        <f>VLOOKUP(Tabla3[[#This Row],[Site]],Table35[],11,FALSE)</f>
        <v>CT</v>
      </c>
      <c r="G81" t="str">
        <f>VLOOKUP(Tabla3[[#This Row],[Site]],Table35[],12,FALSE)</f>
        <v>6:00 A.M.</v>
      </c>
      <c r="H81" t="str">
        <f>VLOOKUP(Tabla3[[#This Row],[Site]],Table35[],13,FALSE)</f>
        <v>-</v>
      </c>
      <c r="I81" s="70" t="str">
        <f>HYPERLINK(VLOOKUP(Tabla3[[#This Row],[Site]],Table35[#All],9,FALSE))</f>
        <v>https://tools.sig.systems/site/details/307</v>
      </c>
      <c r="J81">
        <f>VLOOKUP(Tabla3[[#This Row],[Site]],Table35[],14,FALSE)</f>
        <v>0</v>
      </c>
      <c r="L81" s="34" t="str">
        <f>VLOOKUP(Tabla3[[#This Row],[Site]],Table35[#All],2,FALSE)</f>
        <v>-</v>
      </c>
      <c r="M81" s="34" t="str">
        <f>VLOOKUP(Tabla3[[#This Row],[Site]],Table35[#All],3,FALSE)</f>
        <v>6, 17</v>
      </c>
      <c r="N81" s="34" t="str">
        <f>VLOOKUP(Tabla3[[#This Row],[Site]],Table35[#All],4,FALSE)</f>
        <v>22, 21</v>
      </c>
      <c r="O81" s="34">
        <f>VLOOKUP(Tabla3[[#This Row],[Site]],Table35[#All],5,FALSE)</f>
        <v>7</v>
      </c>
      <c r="P81" s="34" t="str">
        <f>VLOOKUP(Tabla3[[#This Row],[Site]],Table35[#All],6,FALSE)</f>
        <v>2, 4, 16</v>
      </c>
      <c r="Q81" s="34" t="str">
        <f>VLOOKUP(Tabla3[[#This Row],[Site]],Table35[#All],8,FALSE)</f>
        <v>307</v>
      </c>
      <c r="R81"/>
    </row>
    <row r="82" spans="1:18" hidden="1" x14ac:dyDescent="0.25">
      <c r="A82" t="str">
        <f>+Tabla3[[#This Row],[Site]]&amp;Tabla3[[#This Row],[Split]]</f>
        <v>(LT) Luther Hopkins Honda (NO TOURS)2</v>
      </c>
      <c r="B82">
        <v>2</v>
      </c>
      <c r="C82">
        <v>1</v>
      </c>
      <c r="D82" t="s">
        <v>306</v>
      </c>
      <c r="E82" t="str">
        <f>VLOOKUP(Tabla3[[#This Row],[Site]],Table35[],10,FALSE)</f>
        <v>8:00 P.M.</v>
      </c>
      <c r="F82" t="str">
        <f>VLOOKUP(Tabla3[[#This Row],[Site]],Table35[],11,FALSE)</f>
        <v>CT</v>
      </c>
      <c r="G82" t="str">
        <f>VLOOKUP(Tabla3[[#This Row],[Site]],Table35[],12,FALSE)</f>
        <v>6:00 A.M.</v>
      </c>
      <c r="H82" t="str">
        <f>VLOOKUP(Tabla3[[#This Row],[Site]],Table35[],13,FALSE)</f>
        <v>-</v>
      </c>
      <c r="I82" s="70" t="str">
        <f>HYPERLINK(VLOOKUP(Tabla3[[#This Row],[Site]],Table35[#All],9,FALSE))</f>
        <v>https://tools.sig.systems/site/details/288</v>
      </c>
      <c r="J82">
        <f>VLOOKUP(Tabla3[[#This Row],[Site]],Table35[],14,FALSE)</f>
        <v>0</v>
      </c>
      <c r="L82" s="34" t="str">
        <f>VLOOKUP(Tabla3[[#This Row],[Site]],Table35[#All],2,FALSE)</f>
        <v>-</v>
      </c>
      <c r="M82" s="34" t="str">
        <f>VLOOKUP(Tabla3[[#This Row],[Site]],Table35[#All],3,FALSE)</f>
        <v>9, 36</v>
      </c>
      <c r="N82" s="34" t="str">
        <f>VLOOKUP(Tabla3[[#This Row],[Site]],Table35[#All],4,FALSE)</f>
        <v>38, 39</v>
      </c>
      <c r="O82" s="34" t="str">
        <f>VLOOKUP(Tabla3[[#This Row],[Site]],Table35[#All],5,FALSE)</f>
        <v>3, 26</v>
      </c>
      <c r="P82" s="34" t="str">
        <f>VLOOKUP(Tabla3[[#This Row],[Site]],Table35[#All],6,FALSE)</f>
        <v>1, 4, 11, 18, 23, 25, 31</v>
      </c>
      <c r="Q82" s="34" t="str">
        <f>VLOOKUP(Tabla3[[#This Row],[Site]],Table35[#All],8,FALSE)</f>
        <v>288</v>
      </c>
      <c r="R82"/>
    </row>
    <row r="83" spans="1:18" hidden="1" x14ac:dyDescent="0.25">
      <c r="A83" t="str">
        <f>+Tabla3[[#This Row],[Site]]&amp;Tabla3[[#This Row],[Split]]</f>
        <v>(LT) Luther North Country Ford2</v>
      </c>
      <c r="B83">
        <v>2</v>
      </c>
      <c r="C83">
        <v>1</v>
      </c>
      <c r="D83" t="s">
        <v>127</v>
      </c>
      <c r="E83" t="str">
        <f>VLOOKUP(Tabla3[[#This Row],[Site]],Table35[],10,FALSE)</f>
        <v>10:00 P.M.</v>
      </c>
      <c r="F83" t="str">
        <f>VLOOKUP(Tabla3[[#This Row],[Site]],Table35[],11,FALSE)</f>
        <v>CT</v>
      </c>
      <c r="G83" t="str">
        <f>VLOOKUP(Tabla3[[#This Row],[Site]],Table35[],12,FALSE)</f>
        <v>6:00 A.M.</v>
      </c>
      <c r="H83" t="str">
        <f>VLOOKUP(Tabla3[[#This Row],[Site]],Table35[],13,FALSE)</f>
        <v>-</v>
      </c>
      <c r="I83" s="70" t="str">
        <f>HYPERLINK(VLOOKUP(Tabla3[[#This Row],[Site]],Table35[#All],9,FALSE))</f>
        <v>https://tools.sig.systems/site/details/292</v>
      </c>
      <c r="J83">
        <f>VLOOKUP(Tabla3[[#This Row],[Site]],Table35[],14,FALSE)</f>
        <v>0</v>
      </c>
      <c r="L83" s="34" t="str">
        <f>VLOOKUP(Tabla3[[#This Row],[Site]],Table35[#All],2,FALSE)</f>
        <v>-</v>
      </c>
      <c r="M83" s="34" t="str">
        <f>VLOOKUP(Tabla3[[#This Row],[Site]],Table35[#All],3,FALSE)</f>
        <v>7, 14, 19</v>
      </c>
      <c r="N83" s="34" t="str">
        <f>VLOOKUP(Tabla3[[#This Row],[Site]],Table35[#All],4,FALSE)</f>
        <v>30, 31, 32</v>
      </c>
      <c r="O83" s="34" t="str">
        <f>VLOOKUP(Tabla3[[#This Row],[Site]],Table35[#All],5,FALSE)</f>
        <v>-</v>
      </c>
      <c r="P83" s="34" t="str">
        <f>VLOOKUP(Tabla3[[#This Row],[Site]],Table35[#All],6,FALSE)</f>
        <v>1, 4, 9, 13, 15, 16B, 25</v>
      </c>
      <c r="Q83" s="34" t="str">
        <f>VLOOKUP(Tabla3[[#This Row],[Site]],Table35[#All],8,FALSE)</f>
        <v>292</v>
      </c>
      <c r="R83"/>
    </row>
    <row r="84" spans="1:18" hidden="1" x14ac:dyDescent="0.25">
      <c r="A84" t="str">
        <f>+Tabla3[[#This Row],[Site]]&amp;Tabla3[[#This Row],[Split]]</f>
        <v>(LT) Luther St. Cloud Subaru2</v>
      </c>
      <c r="B84">
        <v>2</v>
      </c>
      <c r="C84">
        <v>1</v>
      </c>
      <c r="D84" t="s">
        <v>128</v>
      </c>
      <c r="E84" t="str">
        <f>VLOOKUP(Tabla3[[#This Row],[Site]],Table35[],10,FALSE)</f>
        <v>10:00 P.M.</v>
      </c>
      <c r="F84" t="str">
        <f>VLOOKUP(Tabla3[[#This Row],[Site]],Table35[],11,FALSE)</f>
        <v>CT</v>
      </c>
      <c r="G84" t="str">
        <f>VLOOKUP(Tabla3[[#This Row],[Site]],Table35[],12,FALSE)</f>
        <v>5:30 A.M.</v>
      </c>
      <c r="H84" t="str">
        <f>VLOOKUP(Tabla3[[#This Row],[Site]],Table35[],13,FALSE)</f>
        <v>-</v>
      </c>
      <c r="I84" s="70" t="str">
        <f>HYPERLINK(VLOOKUP(Tabla3[[#This Row],[Site]],Table35[#All],9,FALSE))</f>
        <v>https://tools.sig.systems/site/details/295</v>
      </c>
      <c r="J84">
        <f>VLOOKUP(Tabla3[[#This Row],[Site]],Table35[],14,FALSE)</f>
        <v>0</v>
      </c>
      <c r="L84" s="34" t="str">
        <f>VLOOKUP(Tabla3[[#This Row],[Site]],Table35[#All],2,FALSE)</f>
        <v>25, 31</v>
      </c>
      <c r="M84" s="34" t="str">
        <f>VLOOKUP(Tabla3[[#This Row],[Site]],Table35[#All],3,FALSE)</f>
        <v>9, 13, 20</v>
      </c>
      <c r="N84" s="34" t="str">
        <f>VLOOKUP(Tabla3[[#This Row],[Site]],Table35[#All],4,FALSE)</f>
        <v>38, 39, 40, 41</v>
      </c>
      <c r="O84" s="34">
        <f>VLOOKUP(Tabla3[[#This Row],[Site]],Table35[#All],5,FALSE)</f>
        <v>27</v>
      </c>
      <c r="P84" s="34" t="str">
        <f>VLOOKUP(Tabla3[[#This Row],[Site]],Table35[#All],6,FALSE)</f>
        <v>2, 6, 8, 11, 14, 19, 23, 26</v>
      </c>
      <c r="Q84" s="34" t="str">
        <f>VLOOKUP(Tabla3[[#This Row],[Site]],Table35[#All],8,FALSE)</f>
        <v>295</v>
      </c>
      <c r="R84"/>
    </row>
    <row r="85" spans="1:18" hidden="1" x14ac:dyDescent="0.25">
      <c r="A85" t="str">
        <f>+Tabla3[[#This Row],[Site]]&amp;Tabla3[[#This Row],[Split]]</f>
        <v>(ML) Joe Machens Hyundai2</v>
      </c>
      <c r="B85">
        <v>2</v>
      </c>
      <c r="C85">
        <v>1</v>
      </c>
      <c r="D85" t="s">
        <v>125</v>
      </c>
      <c r="E85" t="str">
        <f>VLOOKUP(Tabla3[[#This Row],[Site]],Table35[],10,FALSE)</f>
        <v>10:00 P.M.</v>
      </c>
      <c r="F85" t="str">
        <f>VLOOKUP(Tabla3[[#This Row],[Site]],Table35[],11,FALSE)</f>
        <v>CT</v>
      </c>
      <c r="G85" t="str">
        <f>VLOOKUP(Tabla3[[#This Row],[Site]],Table35[],12,FALSE)</f>
        <v>6:00 A.M.</v>
      </c>
      <c r="H85" t="str">
        <f>VLOOKUP(Tabla3[[#This Row],[Site]],Table35[],13,FALSE)</f>
        <v>-</v>
      </c>
      <c r="I85" s="70" t="str">
        <f>HYPERLINK(VLOOKUP(Tabla3[[#This Row],[Site]],Table35[#All],9,FALSE))</f>
        <v>https://tools.sig.systems/site/details/286</v>
      </c>
      <c r="J85" t="str">
        <f>VLOOKUP(Tabla3[[#This Row],[Site]],Table35[],14,FALSE)</f>
        <v>https://www.google.com/maps/d/viewer?hl=es&amp;mid=1C1oZdjH3dNvCvqdpIv_Lk0Yn1OCVn-4&amp;ll=38.965368114274455%2C-92.3405954&amp;z=15</v>
      </c>
      <c r="L85" s="34" t="str">
        <f>VLOOKUP(Tabla3[[#This Row],[Site]],Table35[#All],2,FALSE)</f>
        <v>-</v>
      </c>
      <c r="M85" s="34" t="str">
        <f>VLOOKUP(Tabla3[[#This Row],[Site]],Table35[#All],3,FALSE)</f>
        <v>3, 4, 14, 25</v>
      </c>
      <c r="N85" s="34" t="str">
        <f>VLOOKUP(Tabla3[[#This Row],[Site]],Table35[#All],4,FALSE)</f>
        <v>-</v>
      </c>
      <c r="O85" s="34">
        <f>VLOOKUP(Tabla3[[#This Row],[Site]],Table35[#All],5,FALSE)</f>
        <v>17</v>
      </c>
      <c r="P85" s="34" t="str">
        <f>VLOOKUP(Tabla3[[#This Row],[Site]],Table35[#All],6,FALSE)</f>
        <v>1, 11, 12, 13, 15</v>
      </c>
      <c r="Q85" s="34" t="str">
        <f>VLOOKUP(Tabla3[[#This Row],[Site]],Table35[#All],8,FALSE)</f>
        <v>286</v>
      </c>
      <c r="R85"/>
    </row>
    <row r="86" spans="1:18" hidden="1" x14ac:dyDescent="0.25">
      <c r="A86" t="str">
        <f>+Tabla3[[#This Row],[Site]]&amp;Tabla3[[#This Row],[Split]]</f>
        <v>(PE) BMW Service Center (NO TOURS)2</v>
      </c>
      <c r="B86">
        <v>2</v>
      </c>
      <c r="C86">
        <v>1</v>
      </c>
      <c r="D86" t="s">
        <v>39</v>
      </c>
      <c r="E86" t="str">
        <f>VLOOKUP(Tabla3[[#This Row],[Site]],Table35[],10,FALSE)</f>
        <v>8:00 P.M.</v>
      </c>
      <c r="F86" t="str">
        <f>VLOOKUP(Tabla3[[#This Row],[Site]],Table35[],11,FALSE)</f>
        <v>ET</v>
      </c>
      <c r="G86" t="str">
        <f>VLOOKUP(Tabla3[[#This Row],[Site]],Table35[],12,FALSE)</f>
        <v>5:00 A.M.</v>
      </c>
      <c r="H86" t="str">
        <f>VLOOKUP(Tabla3[[#This Row],[Site]],Table35[],13,FALSE)</f>
        <v>-</v>
      </c>
      <c r="I86" s="70" t="str">
        <f>HYPERLINK(VLOOKUP(Tabla3[[#This Row],[Site]],Table35[#All],9,FALSE))</f>
        <v>https://tools.sig.systems/site/details/184</v>
      </c>
      <c r="J86" t="str">
        <f>VLOOKUP(Tabla3[[#This Row],[Site]],Table35[],14,FALSE)</f>
        <v>https://www.google.com/maps/d/edit?hl=en&amp;mid=1UHmt7tH1ihTa85i0MfQIcTfVvIQg_vM&amp;ll=41.02423447529239%2C-73.63721502222738&amp;z=18</v>
      </c>
      <c r="L86" s="34">
        <f>VLOOKUP(Tabla3[[#This Row],[Site]],Table35[#All],2,FALSE)</f>
        <v>3</v>
      </c>
      <c r="M86" s="34" t="str">
        <f>VLOOKUP(Tabla3[[#This Row],[Site]],Table35[#All],3,FALSE)</f>
        <v>-</v>
      </c>
      <c r="N86" s="34" t="str">
        <f>VLOOKUP(Tabla3[[#This Row],[Site]],Table35[#All],4,FALSE)</f>
        <v>-</v>
      </c>
      <c r="O86" s="34" t="str">
        <f>VLOOKUP(Tabla3[[#This Row],[Site]],Table35[#All],5,FALSE)</f>
        <v>-</v>
      </c>
      <c r="P86" s="34" t="str">
        <f>VLOOKUP(Tabla3[[#This Row],[Site]],Table35[#All],6,FALSE)</f>
        <v xml:space="preserve">1, 2 </v>
      </c>
      <c r="Q86" s="34" t="str">
        <f>VLOOKUP(Tabla3[[#This Row],[Site]],Table35[#All],8,FALSE)</f>
        <v>184</v>
      </c>
      <c r="R86"/>
    </row>
    <row r="87" spans="1:18" hidden="1" x14ac:dyDescent="0.25">
      <c r="A87" t="str">
        <f>+Tabla3[[#This Row],[Site]]&amp;Tabla3[[#This Row],[Split]]</f>
        <v>(PE) JLR Darien (NO TOURS)2</v>
      </c>
      <c r="B87">
        <v>2</v>
      </c>
      <c r="C87">
        <v>1</v>
      </c>
      <c r="D87" t="s">
        <v>368</v>
      </c>
      <c r="E87" t="str">
        <f>VLOOKUP(Tabla3[[#This Row],[Site]],Table35[],10,FALSE)</f>
        <v>8:00 P.M.</v>
      </c>
      <c r="F87" t="str">
        <f>VLOOKUP(Tabla3[[#This Row],[Site]],Table35[],11,FALSE)</f>
        <v>ET</v>
      </c>
      <c r="G87" t="str">
        <f>VLOOKUP(Tabla3[[#This Row],[Site]],Table35[],12,FALSE)</f>
        <v>5:00 A.M.</v>
      </c>
      <c r="H87" t="str">
        <f>VLOOKUP(Tabla3[[#This Row],[Site]],Table35[],13,FALSE)</f>
        <v>-</v>
      </c>
      <c r="I87" s="70" t="str">
        <f>HYPERLINK(VLOOKUP(Tabla3[[#This Row],[Site]],Table35[#All],9,FALSE))</f>
        <v>https://tools.sig.systems/site/details/189</v>
      </c>
      <c r="J87" t="str">
        <f>VLOOKUP(Tabla3[[#This Row],[Site]],Table35[],14,FALSE)</f>
        <v>-</v>
      </c>
      <c r="L87" s="34" t="str">
        <f>VLOOKUP(Tabla3[[#This Row],[Site]],Table35[#All],2,FALSE)</f>
        <v>1, 13</v>
      </c>
      <c r="M87" s="34" t="str">
        <f>VLOOKUP(Tabla3[[#This Row],[Site]],Table35[#All],3,FALSE)</f>
        <v>-</v>
      </c>
      <c r="N87" s="34" t="str">
        <f>VLOOKUP(Tabla3[[#This Row],[Site]],Table35[#All],4,FALSE)</f>
        <v>-</v>
      </c>
      <c r="O87" s="34" t="str">
        <f>VLOOKUP(Tabla3[[#This Row],[Site]],Table35[#All],5,FALSE)</f>
        <v>-</v>
      </c>
      <c r="P87" s="34" t="str">
        <f>VLOOKUP(Tabla3[[#This Row],[Site]],Table35[#All],6,FALSE)</f>
        <v>-</v>
      </c>
      <c r="Q87" s="34" t="str">
        <f>VLOOKUP(Tabla3[[#This Row],[Site]],Table35[#All],8,FALSE)</f>
        <v>189</v>
      </c>
      <c r="R87"/>
    </row>
    <row r="88" spans="1:18" hidden="1" x14ac:dyDescent="0.25">
      <c r="A88" t="str">
        <f>+Tabla3[[#This Row],[Site]]&amp;Tabla3[[#This Row],[Split]]</f>
        <v>(PE) JLR Paramus (NO TOURS)2</v>
      </c>
      <c r="B88">
        <v>2</v>
      </c>
      <c r="C88">
        <v>1</v>
      </c>
      <c r="D88" t="s">
        <v>212</v>
      </c>
      <c r="E88" t="str">
        <f>VLOOKUP(Tabla3[[#This Row],[Site]],Table35[],10,FALSE)</f>
        <v>8:00 P.M.</v>
      </c>
      <c r="F88" t="str">
        <f>VLOOKUP(Tabla3[[#This Row],[Site]],Table35[],11,FALSE)</f>
        <v>ET</v>
      </c>
      <c r="G88" t="str">
        <f>VLOOKUP(Tabla3[[#This Row],[Site]],Table35[],12,FALSE)</f>
        <v>5:00 A.M.</v>
      </c>
      <c r="H88" t="str">
        <f>VLOOKUP(Tabla3[[#This Row],[Site]],Table35[],13,FALSE)</f>
        <v>-</v>
      </c>
      <c r="I88" s="70" t="str">
        <f>HYPERLINK(VLOOKUP(Tabla3[[#This Row],[Site]],Table35[#All],9,FALSE))</f>
        <v>https://tools.sig.systems/site/details/177</v>
      </c>
      <c r="J88">
        <f>VLOOKUP(Tabla3[[#This Row],[Site]],Table35[],14,FALSE)</f>
        <v>0</v>
      </c>
      <c r="L88" s="34" t="str">
        <f>VLOOKUP(Tabla3[[#This Row],[Site]],Table35[#All],2,FALSE)</f>
        <v>1, 17</v>
      </c>
      <c r="M88" s="34" t="str">
        <f>VLOOKUP(Tabla3[[#This Row],[Site]],Table35[#All],3,FALSE)</f>
        <v>-</v>
      </c>
      <c r="N88" s="34" t="str">
        <f>VLOOKUP(Tabla3[[#This Row],[Site]],Table35[#All],4,FALSE)</f>
        <v>-</v>
      </c>
      <c r="O88" s="34" t="str">
        <f>VLOOKUP(Tabla3[[#This Row],[Site]],Table35[#All],5,FALSE)</f>
        <v>-</v>
      </c>
      <c r="P88" s="34" t="str">
        <f>VLOOKUP(Tabla3[[#This Row],[Site]],Table35[#All],6,FALSE)</f>
        <v>1, 17</v>
      </c>
      <c r="Q88" s="34" t="str">
        <f>VLOOKUP(Tabla3[[#This Row],[Site]],Table35[#All],8,FALSE)</f>
        <v>177</v>
      </c>
      <c r="R88"/>
    </row>
    <row r="89" spans="1:18" hidden="1" x14ac:dyDescent="0.25">
      <c r="A89" t="str">
        <f>+Tabla3[[#This Row],[Site]]&amp;Tabla3[[#This Row],[Split]]</f>
        <v>(PE) MB of Greenwich2</v>
      </c>
      <c r="B89">
        <v>2</v>
      </c>
      <c r="C89">
        <v>1</v>
      </c>
      <c r="D89" t="s">
        <v>121</v>
      </c>
      <c r="E89" t="str">
        <f>VLOOKUP(Tabla3[[#This Row],[Site]],Table35[],10,FALSE)</f>
        <v>8:00 P.M.</v>
      </c>
      <c r="F89" t="str">
        <f>VLOOKUP(Tabla3[[#This Row],[Site]],Table35[],11,FALSE)</f>
        <v>ET</v>
      </c>
      <c r="G89" t="str">
        <f>VLOOKUP(Tabla3[[#This Row],[Site]],Table35[],12,FALSE)</f>
        <v>5:00 A.M.</v>
      </c>
      <c r="H89" t="str">
        <f>VLOOKUP(Tabla3[[#This Row],[Site]],Table35[],13,FALSE)</f>
        <v>-</v>
      </c>
      <c r="I89" s="70" t="str">
        <f>HYPERLINK(VLOOKUP(Tabla3[[#This Row],[Site]],Table35[#All],9,FALSE))</f>
        <v>https://tools.sig.systems/site/details/188</v>
      </c>
      <c r="J89" t="str">
        <f>VLOOKUP(Tabla3[[#This Row],[Site]],Table35[],14,FALSE)</f>
        <v>https://www.google.com/maps/d/edit?hl=en&amp;mid=1UHmt7tH1ihTa85i0MfQIcTfVvIQg_vM&amp;ll=41.02423447529239%2C-73.63721502222738&amp;z=18</v>
      </c>
      <c r="L89" s="34" t="str">
        <f>VLOOKUP(Tabla3[[#This Row],[Site]],Table35[#All],2,FALSE)</f>
        <v>1, 2, 8</v>
      </c>
      <c r="M89" s="34" t="str">
        <f>VLOOKUP(Tabla3[[#This Row],[Site]],Table35[#All],3,FALSE)</f>
        <v>13, 14, 20, 26, 40</v>
      </c>
      <c r="N89" s="34" t="str">
        <f>VLOOKUP(Tabla3[[#This Row],[Site]],Table35[#All],4,FALSE)</f>
        <v>-</v>
      </c>
      <c r="O89" s="34" t="str">
        <f>VLOOKUP(Tabla3[[#This Row],[Site]],Table35[#All],5,FALSE)</f>
        <v>-</v>
      </c>
      <c r="P89" s="34">
        <f>VLOOKUP(Tabla3[[#This Row],[Site]],Table35[#All],6,FALSE)</f>
        <v>29</v>
      </c>
      <c r="Q89" s="34" t="str">
        <f>VLOOKUP(Tabla3[[#This Row],[Site]],Table35[#All],8,FALSE)</f>
        <v>188</v>
      </c>
      <c r="R89"/>
    </row>
    <row r="90" spans="1:18" hidden="1" x14ac:dyDescent="0.25">
      <c r="A90" t="str">
        <f>+Tabla3[[#This Row],[Site]]&amp;Tabla3[[#This Row],[Split]]</f>
        <v>(PE) Porsche Audi Fairfield (NO TOURS)2</v>
      </c>
      <c r="B90">
        <v>2</v>
      </c>
      <c r="C90">
        <v>1</v>
      </c>
      <c r="D90" t="s">
        <v>446</v>
      </c>
      <c r="E90" t="str">
        <f>VLOOKUP(Tabla3[[#This Row],[Site]],Table35[],10,FALSE)</f>
        <v>8:00 P.M.</v>
      </c>
      <c r="F90" t="str">
        <f>VLOOKUP(Tabla3[[#This Row],[Site]],Table35[],11,FALSE)</f>
        <v>ET</v>
      </c>
      <c r="G90" t="str">
        <f>VLOOKUP(Tabla3[[#This Row],[Site]],Table35[],12,FALSE)</f>
        <v>5:00 A.M.</v>
      </c>
      <c r="H90" t="str">
        <f>VLOOKUP(Tabla3[[#This Row],[Site]],Table35[],13,FALSE)</f>
        <v>-</v>
      </c>
      <c r="I90" s="70" t="str">
        <f>HYPERLINK(VLOOKUP(Tabla3[[#This Row],[Site]],Table35[#All],9,FALSE))</f>
        <v>https://tools.sig.systems/site/details/194</v>
      </c>
      <c r="J90" t="str">
        <f>VLOOKUP(Tabla3[[#This Row],[Site]],Table35[],14,FALSE)</f>
        <v>-</v>
      </c>
      <c r="L90" s="34" t="str">
        <f>VLOOKUP(Tabla3[[#This Row],[Site]],Table35[#All],2,FALSE)</f>
        <v>1, 18</v>
      </c>
      <c r="M90" s="34" t="str">
        <f>VLOOKUP(Tabla3[[#This Row],[Site]],Table35[#All],3,FALSE)</f>
        <v>-</v>
      </c>
      <c r="N90" s="34" t="str">
        <f>VLOOKUP(Tabla3[[#This Row],[Site]],Table35[#All],4,FALSE)</f>
        <v>-</v>
      </c>
      <c r="O90" s="34">
        <f>VLOOKUP(Tabla3[[#This Row],[Site]],Table35[#All],5,FALSE)</f>
        <v>20</v>
      </c>
      <c r="P90" s="34">
        <f>VLOOKUP(Tabla3[[#This Row],[Site]],Table35[#All],6,FALSE)</f>
        <v>15</v>
      </c>
      <c r="Q90" s="34">
        <f>VLOOKUP(Tabla3[[#This Row],[Site]],Table35[#All],8,FALSE)</f>
        <v>194</v>
      </c>
      <c r="R90"/>
    </row>
    <row r="91" spans="1:18" hidden="1" x14ac:dyDescent="0.25">
      <c r="A91" t="str">
        <f>+Tabla3[[#This Row],[Site]]&amp;Tabla3[[#This Row],[Split]]</f>
        <v>Mario Residence2</v>
      </c>
      <c r="B91">
        <v>2</v>
      </c>
      <c r="C91">
        <v>1</v>
      </c>
      <c r="D91" t="s">
        <v>100</v>
      </c>
      <c r="E91" t="str">
        <f>VLOOKUP(Tabla3[[#This Row],[Site]],Table35[],10,FALSE)</f>
        <v>24H</v>
      </c>
      <c r="F91" t="str">
        <f>VLOOKUP(Tabla3[[#This Row],[Site]],Table35[],11,FALSE)</f>
        <v>ET</v>
      </c>
      <c r="G91" t="str">
        <f>VLOOKUP(Tabla3[[#This Row],[Site]],Table35[],12,FALSE)</f>
        <v>-</v>
      </c>
      <c r="H91" t="str">
        <f>VLOOKUP(Tabla3[[#This Row],[Site]],Table35[],13,FALSE)</f>
        <v>-</v>
      </c>
      <c r="I91" s="70" t="str">
        <f>HYPERLINK(VLOOKUP(Tabla3[[#This Row],[Site]],Table35[#All],9,FALSE))</f>
        <v>https://tools.sig.systems/site/details/148</v>
      </c>
      <c r="J91" t="str">
        <f>VLOOKUP(Tabla3[[#This Row],[Site]],Table35[],14,FALSE)</f>
        <v>https://www.google.com/maps/d/edit?hl=es&amp;mid=13OmECPqyeB7fXgZmEoM9cnG34HU_v5g&amp;ll=26.046837034777553%2C-80.38753458591658&amp;z=19</v>
      </c>
      <c r="L91" s="34" t="str">
        <f>VLOOKUP(Tabla3[[#This Row],[Site]],Table35[#All],2,FALSE)</f>
        <v>7, 8</v>
      </c>
      <c r="M91" s="34" t="str">
        <f>VLOOKUP(Tabla3[[#This Row],[Site]],Table35[#All],3,FALSE)</f>
        <v>7, 8</v>
      </c>
      <c r="N91" s="34" t="str">
        <f>VLOOKUP(Tabla3[[#This Row],[Site]],Table35[#All],4,FALSE)</f>
        <v>-</v>
      </c>
      <c r="O91" s="34" t="str">
        <f>VLOOKUP(Tabla3[[#This Row],[Site]],Table35[#All],5,FALSE)</f>
        <v>-</v>
      </c>
      <c r="P91" s="34" t="str">
        <f>VLOOKUP(Tabla3[[#This Row],[Site]],Table35[#All],6,FALSE)</f>
        <v>4,12,13</v>
      </c>
      <c r="Q91" s="34" t="str">
        <f>VLOOKUP(Tabla3[[#This Row],[Site]],Table35[#All],8,FALSE)</f>
        <v>148</v>
      </c>
      <c r="R91"/>
    </row>
    <row r="92" spans="1:18" hidden="1" x14ac:dyDescent="0.25">
      <c r="A92" t="str">
        <f>+Tabla3[[#This Row],[Site]]&amp;Tabla3[[#This Row],[Split]]</f>
        <v>(AS) Coggin BMW Ft. Pierce (NO TOURS)2</v>
      </c>
      <c r="B92">
        <v>2</v>
      </c>
      <c r="C92">
        <v>2</v>
      </c>
      <c r="D92" t="s">
        <v>122</v>
      </c>
      <c r="E92" t="str">
        <f>VLOOKUP(Tabla3[[#This Row],[Site]],Table35[],10,FALSE)</f>
        <v>9:00 P.M.</v>
      </c>
      <c r="F92" t="str">
        <f>VLOOKUP(Tabla3[[#This Row],[Site]],Table35[],11,FALSE)</f>
        <v>ET</v>
      </c>
      <c r="G92" t="str">
        <f>VLOOKUP(Tabla3[[#This Row],[Site]],Table35[],12,FALSE)</f>
        <v>5:00 A.M.</v>
      </c>
      <c r="H92" t="str">
        <f>VLOOKUP(Tabla3[[#This Row],[Site]],Table35[],13,FALSE)</f>
        <v>-</v>
      </c>
      <c r="I92" s="70" t="str">
        <f>HYPERLINK(VLOOKUP(Tabla3[[#This Row],[Site]],Table35[#All],9,FALSE))</f>
        <v>https://tools.sig.systems/site/details/119</v>
      </c>
      <c r="J92" t="str">
        <f>VLOOKUP(Tabla3[[#This Row],[Site]],Table35[],14,FALSE)</f>
        <v>https://www.google.com/maps/d/viewer?mid=1AyViBuyeq7iwDua1SVudJ2A1BYi3IBA&amp;ll=27.38181516363982%2C-80.32568845000002&amp;z=18</v>
      </c>
      <c r="L92" s="34" t="str">
        <f>VLOOKUP(Tabla3[[#This Row],[Site]],Table35[#All],2,FALSE)</f>
        <v>3, 10, 13</v>
      </c>
      <c r="M92" s="34" t="str">
        <f>VLOOKUP(Tabla3[[#This Row],[Site]],Table35[#All],3,FALSE)</f>
        <v>-</v>
      </c>
      <c r="N92" s="34" t="str">
        <f>VLOOKUP(Tabla3[[#This Row],[Site]],Table35[#All],4,FALSE)</f>
        <v>-</v>
      </c>
      <c r="O92" s="34">
        <f>VLOOKUP(Tabla3[[#This Row],[Site]],Table35[#All],5,FALSE)</f>
        <v>2</v>
      </c>
      <c r="P92" s="34" t="str">
        <f>VLOOKUP(Tabla3[[#This Row],[Site]],Table35[#All],6,FALSE)</f>
        <v>1, 20, 27</v>
      </c>
      <c r="Q92" s="34" t="str">
        <f>VLOOKUP(Tabla3[[#This Row],[Site]],Table35[#All],8,FALSE)</f>
        <v>119</v>
      </c>
      <c r="R92"/>
    </row>
    <row r="93" spans="1:18" hidden="1" x14ac:dyDescent="0.25">
      <c r="A93" t="str">
        <f>+Tabla3[[#This Row],[Site]]&amp;Tabla3[[#This Row],[Split]]</f>
        <v>(AS) Coggin Collision Center of Kissimmee (NO TOURS)2</v>
      </c>
      <c r="B93">
        <v>2</v>
      </c>
      <c r="C93">
        <v>2</v>
      </c>
      <c r="D93" t="s">
        <v>288</v>
      </c>
      <c r="E93" t="str">
        <f>VLOOKUP(Tabla3[[#This Row],[Site]],Table35[],10,FALSE)</f>
        <v>9:00 P.M.</v>
      </c>
      <c r="F93" t="str">
        <f>VLOOKUP(Tabla3[[#This Row],[Site]],Table35[],11,FALSE)</f>
        <v>ET</v>
      </c>
      <c r="G93" t="str">
        <f>VLOOKUP(Tabla3[[#This Row],[Site]],Table35[],12,FALSE)</f>
        <v>5:00 A.M.</v>
      </c>
      <c r="H93" t="str">
        <f>VLOOKUP(Tabla3[[#This Row],[Site]],Table35[],13,FALSE)</f>
        <v>-</v>
      </c>
      <c r="I93" s="70" t="str">
        <f>HYPERLINK(VLOOKUP(Tabla3[[#This Row],[Site]],Table35[#All],9,FALSE))</f>
        <v>https://tools.sig.systems/site/details/331</v>
      </c>
      <c r="J93">
        <f>VLOOKUP(Tabla3[[#This Row],[Site]],Table35[],14,FALSE)</f>
        <v>0</v>
      </c>
      <c r="L93" s="34" t="str">
        <f>VLOOKUP(Tabla3[[#This Row],[Site]],Table35[#All],2,FALSE)</f>
        <v>1, 12</v>
      </c>
      <c r="M93" s="34" t="str">
        <f>VLOOKUP(Tabla3[[#This Row],[Site]],Table35[#All],3,FALSE)</f>
        <v>-</v>
      </c>
      <c r="N93" s="34" t="str">
        <f>VLOOKUP(Tabla3[[#This Row],[Site]],Table35[#All],4,FALSE)</f>
        <v>-</v>
      </c>
      <c r="O93" s="34" t="str">
        <f>VLOOKUP(Tabla3[[#This Row],[Site]],Table35[#All],5,FALSE)</f>
        <v>-</v>
      </c>
      <c r="P93" s="34" t="str">
        <f>VLOOKUP(Tabla3[[#This Row],[Site]],Table35[#All],6,FALSE)</f>
        <v>2, 7, 9</v>
      </c>
      <c r="Q93" s="34" t="str">
        <f>VLOOKUP(Tabla3[[#This Row],[Site]],Table35[#All],8,FALSE)</f>
        <v>331</v>
      </c>
      <c r="R93"/>
    </row>
    <row r="94" spans="1:18" hidden="1" x14ac:dyDescent="0.25">
      <c r="A94" t="str">
        <f>+Tabla3[[#This Row],[Site]]&amp;Tabla3[[#This Row],[Split]]</f>
        <v>(AS) Coggin Honda of Orlando (NO TOURS)2</v>
      </c>
      <c r="B94">
        <v>2</v>
      </c>
      <c r="C94">
        <v>2</v>
      </c>
      <c r="D94" t="s">
        <v>384</v>
      </c>
      <c r="E94" t="str">
        <f>VLOOKUP(Tabla3[[#This Row],[Site]],Table35[],10,FALSE)</f>
        <v>9:00 P.M.</v>
      </c>
      <c r="F94" t="str">
        <f>VLOOKUP(Tabla3[[#This Row],[Site]],Table35[],11,FALSE)</f>
        <v>ET</v>
      </c>
      <c r="G94" t="str">
        <f>VLOOKUP(Tabla3[[#This Row],[Site]],Table35[],12,FALSE)</f>
        <v>5:00 A.M.</v>
      </c>
      <c r="H94" t="str">
        <f>VLOOKUP(Tabla3[[#This Row],[Site]],Table35[],13,FALSE)</f>
        <v>11:00 A.M.</v>
      </c>
      <c r="I94" s="70" t="str">
        <f>HYPERLINK(VLOOKUP(Tabla3[[#This Row],[Site]],Table35[#All],9,FALSE))</f>
        <v>https://tools.sig.systems/site/details/324</v>
      </c>
      <c r="J94">
        <f>VLOOKUP(Tabla3[[#This Row],[Site]],Table35[],14,FALSE)</f>
        <v>0</v>
      </c>
      <c r="L94" s="34" t="str">
        <f>VLOOKUP(Tabla3[[#This Row],[Site]],Table35[#All],2,FALSE)</f>
        <v>2, 10, 12B, 14, 38</v>
      </c>
      <c r="M94" s="34" t="str">
        <f>VLOOKUP(Tabla3[[#This Row],[Site]],Table35[#All],3,FALSE)</f>
        <v>-</v>
      </c>
      <c r="N94" s="34" t="str">
        <f>VLOOKUP(Tabla3[[#This Row],[Site]],Table35[#All],4,FALSE)</f>
        <v>-</v>
      </c>
      <c r="O94" s="34" t="str">
        <f>VLOOKUP(Tabla3[[#This Row],[Site]],Table35[#All],5,FALSE)</f>
        <v>12, 31</v>
      </c>
      <c r="P94" s="34" t="str">
        <f>VLOOKUP(Tabla3[[#This Row],[Site]],Table35[#All],6,FALSE)</f>
        <v>12B, 26, 37, 19</v>
      </c>
      <c r="Q94" s="34" t="str">
        <f>VLOOKUP(Tabla3[[#This Row],[Site]],Table35[#All],8,FALSE)</f>
        <v>324</v>
      </c>
      <c r="R94"/>
    </row>
    <row r="95" spans="1:18" hidden="1" x14ac:dyDescent="0.25">
      <c r="A95" t="str">
        <f>+Tabla3[[#This Row],[Site]]&amp;Tabla3[[#This Row],[Split]]</f>
        <v>(AS) Hare Chevrolet (NO TOURS)2</v>
      </c>
      <c r="B95">
        <v>2</v>
      </c>
      <c r="C95">
        <v>2</v>
      </c>
      <c r="D95" t="s">
        <v>379</v>
      </c>
      <c r="E95" t="str">
        <f>VLOOKUP(Tabla3[[#This Row],[Site]],Table35[],10,FALSE)</f>
        <v>9:00 P.M.</v>
      </c>
      <c r="F95" t="str">
        <f>VLOOKUP(Tabla3[[#This Row],[Site]],Table35[],11,FALSE)</f>
        <v>ET</v>
      </c>
      <c r="G95" t="str">
        <f>VLOOKUP(Tabla3[[#This Row],[Site]],Table35[],12,FALSE)</f>
        <v>5:00 A.M.</v>
      </c>
      <c r="H95" t="str">
        <f>VLOOKUP(Tabla3[[#This Row],[Site]],Table35[],13,FALSE)</f>
        <v>-</v>
      </c>
      <c r="I95" s="70" t="str">
        <f>HYPERLINK(VLOOKUP(Tabla3[[#This Row],[Site]],Table35[#All],9,FALSE))</f>
        <v>https://tools.sig.systems/site/details/301</v>
      </c>
      <c r="J95" t="str">
        <f>VLOOKUP(Tabla3[[#This Row],[Site]],Table35[],14,FALSE)</f>
        <v>https://www.google.com/maps/d/edit?mid=1hsX5GGrNcCQgAuzDCDz1OWgEkhsAc78&amp;usp=sharing</v>
      </c>
      <c r="L95" s="34" t="str">
        <f>VLOOKUP(Tabla3[[#This Row],[Site]],Table35[#All],2,FALSE)</f>
        <v>18, 24</v>
      </c>
      <c r="M95" s="34" t="str">
        <f>VLOOKUP(Tabla3[[#This Row],[Site]],Table35[#All],3,FALSE)</f>
        <v>2, 3</v>
      </c>
      <c r="N95" s="34" t="str">
        <f>VLOOKUP(Tabla3[[#This Row],[Site]],Table35[#All],4,FALSE)</f>
        <v>-</v>
      </c>
      <c r="O95" s="34">
        <f>VLOOKUP(Tabla3[[#This Row],[Site]],Table35[#All],5,FALSE)</f>
        <v>5</v>
      </c>
      <c r="P95" s="34" t="str">
        <f>VLOOKUP(Tabla3[[#This Row],[Site]],Table35[#All],6,FALSE)</f>
        <v>1, 5, 7, 8, 21, 29</v>
      </c>
      <c r="Q95" s="34" t="str">
        <f>VLOOKUP(Tabla3[[#This Row],[Site]],Table35[#All],8,FALSE)</f>
        <v>301</v>
      </c>
      <c r="R95"/>
    </row>
    <row r="96" spans="1:18" hidden="1" x14ac:dyDescent="0.25">
      <c r="A96" t="str">
        <f>+Tabla3[[#This Row],[Site]]&amp;Tabla3[[#This Row],[Split]]</f>
        <v>(AS) Kahlo CDJR (NO TOURS)2</v>
      </c>
      <c r="B96">
        <v>2</v>
      </c>
      <c r="C96">
        <v>2</v>
      </c>
      <c r="D96" t="s">
        <v>381</v>
      </c>
      <c r="E96" t="str">
        <f>VLOOKUP(Tabla3[[#This Row],[Site]],Table35[],10,FALSE)</f>
        <v>9:00 P.M.</v>
      </c>
      <c r="F96" t="str">
        <f>VLOOKUP(Tabla3[[#This Row],[Site]],Table35[],11,FALSE)</f>
        <v>ET</v>
      </c>
      <c r="G96" t="str">
        <f>VLOOKUP(Tabla3[[#This Row],[Site]],Table35[],12,FALSE)</f>
        <v>5:00 A.M.</v>
      </c>
      <c r="H96" t="str">
        <f>VLOOKUP(Tabla3[[#This Row],[Site]],Table35[],13,FALSE)</f>
        <v>-</v>
      </c>
      <c r="I96" s="70" t="str">
        <f>HYPERLINK(VLOOKUP(Tabla3[[#This Row],[Site]],Table35[#All],9,FALSE))</f>
        <v>https://tools.sig.systems/site/details/282</v>
      </c>
      <c r="J96" t="str">
        <f>VLOOKUP(Tabla3[[#This Row],[Site]],Table35[],14,FALSE)</f>
        <v>https://www.google.com/maps/d/edit?mid=1hsX5GGrNcCQgAuzDCDz1OWgEkhsAc78&amp;usp=sharing</v>
      </c>
      <c r="L96" s="34" t="str">
        <f>VLOOKUP(Tabla3[[#This Row],[Site]],Table35[#All],2,FALSE)</f>
        <v>-</v>
      </c>
      <c r="M96" s="34" t="str">
        <f>VLOOKUP(Tabla3[[#This Row],[Site]],Table35[#All],3,FALSE)</f>
        <v>12, 25</v>
      </c>
      <c r="N96" s="34" t="str">
        <f>VLOOKUP(Tabla3[[#This Row],[Site]],Table35[#All],4,FALSE)</f>
        <v>15, 16</v>
      </c>
      <c r="O96" s="34">
        <f>VLOOKUP(Tabla3[[#This Row],[Site]],Table35[#All],5,FALSE)</f>
        <v>20</v>
      </c>
      <c r="P96" s="34" t="str">
        <f>VLOOKUP(Tabla3[[#This Row],[Site]],Table35[#All],6,FALSE)</f>
        <v>1, 2, 9, 22, 31, 57</v>
      </c>
      <c r="Q96" s="34" t="str">
        <f>VLOOKUP(Tabla3[[#This Row],[Site]],Table35[#All],8,FALSE)</f>
        <v>282</v>
      </c>
      <c r="R96"/>
    </row>
    <row r="97" spans="1:18" hidden="1" x14ac:dyDescent="0.25">
      <c r="A97" t="str">
        <f>+Tabla3[[#This Row],[Site]]&amp;Tabla3[[#This Row],[Split]]</f>
        <v>(AS) Koons Arlington Toyota - New Car (NO TOURS)2</v>
      </c>
      <c r="B97">
        <v>2</v>
      </c>
      <c r="C97">
        <v>2</v>
      </c>
      <c r="D97" t="s">
        <v>375</v>
      </c>
      <c r="E97" t="str">
        <f>VLOOKUP(Tabla3[[#This Row],[Site]],Table35[],10,FALSE)</f>
        <v>9:00 P.M.</v>
      </c>
      <c r="F97" t="str">
        <f>VLOOKUP(Tabla3[[#This Row],[Site]],Table35[],11,FALSE)</f>
        <v>ET</v>
      </c>
      <c r="G97" t="str">
        <f>VLOOKUP(Tabla3[[#This Row],[Site]],Table35[],12,FALSE)</f>
        <v>5:00 A.M.</v>
      </c>
      <c r="H97" t="str">
        <f>VLOOKUP(Tabla3[[#This Row],[Site]],Table35[],13,FALSE)</f>
        <v>10:00 A.M.</v>
      </c>
      <c r="I97" s="70" t="str">
        <f>HYPERLINK(VLOOKUP(Tabla3[[#This Row],[Site]],Table35[#All],9,FALSE))</f>
        <v>https://tools.sig.systems/site/details/334</v>
      </c>
      <c r="J97" t="str">
        <f>VLOOKUP(Tabla3[[#This Row],[Site]],Table35[],14,FALSE)</f>
        <v>-</v>
      </c>
      <c r="L97" s="34" t="str">
        <f>VLOOKUP(Tabla3[[#This Row],[Site]],Table35[#All],2,FALSE)</f>
        <v>-</v>
      </c>
      <c r="M97" s="34" t="str">
        <f>VLOOKUP(Tabla3[[#This Row],[Site]],Table35[#All],3,FALSE)</f>
        <v>1, 3, 12, 15, 17</v>
      </c>
      <c r="N97" s="34" t="str">
        <f>VLOOKUP(Tabla3[[#This Row],[Site]],Table35[#All],4,FALSE)</f>
        <v>-</v>
      </c>
      <c r="O97" s="34" t="str">
        <f>VLOOKUP(Tabla3[[#This Row],[Site]],Table35[#All],5,FALSE)</f>
        <v>-</v>
      </c>
      <c r="P97" s="34" t="str">
        <f>VLOOKUP(Tabla3[[#This Row],[Site]],Table35[#All],6,FALSE)</f>
        <v>2, 6, 18, 20</v>
      </c>
      <c r="Q97" s="34" t="str">
        <f>VLOOKUP(Tabla3[[#This Row],[Site]],Table35[#All],8,FALSE)</f>
        <v>334</v>
      </c>
      <c r="R97"/>
    </row>
    <row r="98" spans="1:18" hidden="1" x14ac:dyDescent="0.25">
      <c r="A98" t="str">
        <f>+Tabla3[[#This Row],[Site]]&amp;Tabla3[[#This Row],[Split]]</f>
        <v>(AS) Koons Baltimore Ford - Main Dealership (NO TOURS)2</v>
      </c>
      <c r="B98">
        <v>2</v>
      </c>
      <c r="C98">
        <v>2</v>
      </c>
      <c r="D98" t="s">
        <v>357</v>
      </c>
      <c r="E98" t="str">
        <f>VLOOKUP(Tabla3[[#This Row],[Site]],Table35[],10,FALSE)</f>
        <v>9:00 P.M.</v>
      </c>
      <c r="F98" t="str">
        <f>VLOOKUP(Tabla3[[#This Row],[Site]],Table35[],11,FALSE)</f>
        <v>ET</v>
      </c>
      <c r="G98" t="str">
        <f>VLOOKUP(Tabla3[[#This Row],[Site]],Table35[],12,FALSE)</f>
        <v>5:00 A.M.</v>
      </c>
      <c r="H98" t="str">
        <f>VLOOKUP(Tabla3[[#This Row],[Site]],Table35[],13,FALSE)</f>
        <v>-</v>
      </c>
      <c r="I98" s="70" t="str">
        <f>HYPERLINK(VLOOKUP(Tabla3[[#This Row],[Site]],Table35[#All],9,FALSE))</f>
        <v>https://tools.sig.systems/site/details/335</v>
      </c>
      <c r="J98" t="str">
        <f>VLOOKUP(Tabla3[[#This Row],[Site]],Table35[],14,FALSE)</f>
        <v>-</v>
      </c>
      <c r="L98" s="34" t="str">
        <f>VLOOKUP(Tabla3[[#This Row],[Site]],Table35[#All],2,FALSE)</f>
        <v>21, 22, 24, 32, 45</v>
      </c>
      <c r="M98" s="34">
        <f>VLOOKUP(Tabla3[[#This Row],[Site]],Table35[#All],3,FALSE)</f>
        <v>1</v>
      </c>
      <c r="N98" s="34" t="str">
        <f>VLOOKUP(Tabla3[[#This Row],[Site]],Table35[#All],4,FALSE)</f>
        <v>-</v>
      </c>
      <c r="O98" s="34" t="str">
        <f>VLOOKUP(Tabla3[[#This Row],[Site]],Table35[#All],5,FALSE)</f>
        <v>1, 8</v>
      </c>
      <c r="P98" s="34" t="str">
        <f>VLOOKUP(Tabla3[[#This Row],[Site]],Table35[#All],6,FALSE)</f>
        <v>5, 28, 38</v>
      </c>
      <c r="Q98" s="34" t="str">
        <f>VLOOKUP(Tabla3[[#This Row],[Site]],Table35[#All],8,FALSE)</f>
        <v>335</v>
      </c>
      <c r="R98"/>
    </row>
    <row r="99" spans="1:18" hidden="1" x14ac:dyDescent="0.25">
      <c r="A99" t="str">
        <f>+Tabla3[[#This Row],[Site]]&amp;Tabla3[[#This Row],[Split]]</f>
        <v>(AS) Koons Chevrolet Buick GMC - Clarksville Remote Lot (NO TOURS)2</v>
      </c>
      <c r="B99">
        <v>2</v>
      </c>
      <c r="C99">
        <v>2</v>
      </c>
      <c r="D99" t="s">
        <v>415</v>
      </c>
      <c r="E99" t="str">
        <f>VLOOKUP(Tabla3[[#This Row],[Site]],Table35[],10,FALSE)</f>
        <v>9:00 P.M.</v>
      </c>
      <c r="F99" t="str">
        <f>VLOOKUP(Tabla3[[#This Row],[Site]],Table35[],11,FALSE)</f>
        <v>ET</v>
      </c>
      <c r="G99" t="str">
        <f>VLOOKUP(Tabla3[[#This Row],[Site]],Table35[],12,FALSE)</f>
        <v>5:00 A.M.</v>
      </c>
      <c r="H99" t="str">
        <f>VLOOKUP(Tabla3[[#This Row],[Site]],Table35[],13,FALSE)</f>
        <v>10:00 A.M.</v>
      </c>
      <c r="I99" s="70" t="str">
        <f>HYPERLINK(VLOOKUP(Tabla3[[#This Row],[Site]],Table35[#All],9,FALSE))</f>
        <v>https://tools.sig.systems/site/details/308</v>
      </c>
      <c r="J99" t="str">
        <f>VLOOKUP(Tabla3[[#This Row],[Site]],Table35[],14,FALSE)</f>
        <v>https://www.google.com/maps/d/edit?hl=es&amp;mid=11XB1lTSP7EcDCDvzypdUPWP6bWCNAEI&amp;ll=39.21145022420528%2C-76.94003711910554&amp;z=21</v>
      </c>
      <c r="L99" s="34" t="str">
        <f>VLOOKUP(Tabla3[[#This Row],[Site]],Table35[#All],2,FALSE)</f>
        <v>-</v>
      </c>
      <c r="M99" s="34" t="str">
        <f>VLOOKUP(Tabla3[[#This Row],[Site]],Table35[#All],3,FALSE)</f>
        <v>1, 5</v>
      </c>
      <c r="N99" s="34" t="str">
        <f>VLOOKUP(Tabla3[[#This Row],[Site]],Table35[#All],4,FALSE)</f>
        <v>-</v>
      </c>
      <c r="O99" s="34" t="str">
        <f>VLOOKUP(Tabla3[[#This Row],[Site]],Table35[#All],5,FALSE)</f>
        <v>-</v>
      </c>
      <c r="P99" s="34" t="str">
        <f>VLOOKUP(Tabla3[[#This Row],[Site]],Table35[#All],6,FALSE)</f>
        <v>14, 16</v>
      </c>
      <c r="Q99" s="34" t="str">
        <f>VLOOKUP(Tabla3[[#This Row],[Site]],Table35[#All],8,FALSE)</f>
        <v>308</v>
      </c>
      <c r="R99"/>
    </row>
    <row r="100" spans="1:18" hidden="1" x14ac:dyDescent="0.25">
      <c r="A100" t="str">
        <f>+Tabla3[[#This Row],[Site]]&amp;Tabla3[[#This Row],[Split]]</f>
        <v>(AS) Koons Chevrolet Buick GMC - Tysons Remote Lot (NO TOURS)2</v>
      </c>
      <c r="B100">
        <v>2</v>
      </c>
      <c r="C100">
        <v>2</v>
      </c>
      <c r="D100" t="s">
        <v>374</v>
      </c>
      <c r="E100" t="str">
        <f>VLOOKUP(Tabla3[[#This Row],[Site]],Table35[],10,FALSE)</f>
        <v>9:00 P.M.</v>
      </c>
      <c r="F100" t="str">
        <f>VLOOKUP(Tabla3[[#This Row],[Site]],Table35[],11,FALSE)</f>
        <v>ET</v>
      </c>
      <c r="G100" t="str">
        <f>VLOOKUP(Tabla3[[#This Row],[Site]],Table35[],12,FALSE)</f>
        <v>5:00 A.M.</v>
      </c>
      <c r="H100" t="str">
        <f>VLOOKUP(Tabla3[[#This Row],[Site]],Table35[],13,FALSE)</f>
        <v>-</v>
      </c>
      <c r="I100" s="70" t="str">
        <f>HYPERLINK(VLOOKUP(Tabla3[[#This Row],[Site]],Table35[#All],9,FALSE))</f>
        <v>https://tools.sig.systems/site/details/333</v>
      </c>
      <c r="J100" t="str">
        <f>VLOOKUP(Tabla3[[#This Row],[Site]],Table35[],14,FALSE)</f>
        <v>-</v>
      </c>
      <c r="L100" s="34" t="str">
        <f>VLOOKUP(Tabla3[[#This Row],[Site]],Table35[#All],2,FALSE)</f>
        <v>-</v>
      </c>
      <c r="M100" s="34">
        <f>VLOOKUP(Tabla3[[#This Row],[Site]],Table35[#All],3,FALSE)</f>
        <v>6</v>
      </c>
      <c r="N100" s="34" t="str">
        <f>VLOOKUP(Tabla3[[#This Row],[Site]],Table35[#All],4,FALSE)</f>
        <v>1, 2, 3</v>
      </c>
      <c r="O100" s="34" t="str">
        <f>VLOOKUP(Tabla3[[#This Row],[Site]],Table35[#All],5,FALSE)</f>
        <v>7, 10, 16, 29</v>
      </c>
      <c r="P100" s="34" t="str">
        <f>VLOOKUP(Tabla3[[#This Row],[Site]],Table35[#All],6,FALSE)</f>
        <v>14, 17, 30</v>
      </c>
      <c r="Q100" s="34" t="str">
        <f>VLOOKUP(Tabla3[[#This Row],[Site]],Table35[#All],8,FALSE)</f>
        <v>333</v>
      </c>
      <c r="R100"/>
    </row>
    <row r="101" spans="1:18" hidden="1" x14ac:dyDescent="0.25">
      <c r="A101" t="str">
        <f>+Tabla3[[#This Row],[Site]]&amp;Tabla3[[#This Row],[Split]]</f>
        <v>(AS) Koons Easton Toyota - Main Dealership (NO TOURS)2</v>
      </c>
      <c r="B101">
        <v>2</v>
      </c>
      <c r="C101">
        <v>2</v>
      </c>
      <c r="D101" t="s">
        <v>426</v>
      </c>
      <c r="E101" t="str">
        <f>VLOOKUP(Tabla3[[#This Row],[Site]],Table35[],10,FALSE)</f>
        <v>9:00 P.M.</v>
      </c>
      <c r="F101" t="str">
        <f>VLOOKUP(Tabla3[[#This Row],[Site]],Table35[],11,FALSE)</f>
        <v>ET</v>
      </c>
      <c r="G101" t="str">
        <f>VLOOKUP(Tabla3[[#This Row],[Site]],Table35[],12,FALSE)</f>
        <v>5:00 A.M.</v>
      </c>
      <c r="H101" t="str">
        <f>VLOOKUP(Tabla3[[#This Row],[Site]],Table35[],13,FALSE)</f>
        <v>-</v>
      </c>
      <c r="I101" s="70" t="str">
        <f>HYPERLINK(VLOOKUP(Tabla3[[#This Row],[Site]],Table35[#All],9,FALSE))</f>
        <v>https://tools.sig.systems/site/details/340</v>
      </c>
      <c r="J101" t="str">
        <f>VLOOKUP(Tabla3[[#This Row],[Site]],Table35[],14,FALSE)</f>
        <v>-</v>
      </c>
      <c r="L101" s="34" t="str">
        <f>VLOOKUP(Tabla3[[#This Row],[Site]],Table35[#All],2,FALSE)</f>
        <v>-</v>
      </c>
      <c r="M101" s="34" t="str">
        <f>VLOOKUP(Tabla3[[#This Row],[Site]],Table35[#All],3,FALSE)</f>
        <v>4, 5</v>
      </c>
      <c r="N101" s="34" t="str">
        <f>VLOOKUP(Tabla3[[#This Row],[Site]],Table35[#All],4,FALSE)</f>
        <v>-</v>
      </c>
      <c r="O101" s="34" t="str">
        <f>VLOOKUP(Tabla3[[#This Row],[Site]],Table35[#All],5,FALSE)</f>
        <v>-</v>
      </c>
      <c r="P101" s="34" t="str">
        <f>VLOOKUP(Tabla3[[#This Row],[Site]],Table35[#All],6,FALSE)</f>
        <v>8, 15</v>
      </c>
      <c r="Q101" s="34" t="str">
        <f>VLOOKUP(Tabla3[[#This Row],[Site]],Table35[#All],8,FALSE)</f>
        <v>340</v>
      </c>
      <c r="R101"/>
    </row>
    <row r="102" spans="1:18" hidden="1" x14ac:dyDescent="0.25">
      <c r="A102" t="str">
        <f>+Tabla3[[#This Row],[Site]]&amp;Tabla3[[#This Row],[Split]]</f>
        <v>(AS) Koons Tysons Toyota - Main Dealership (NO TOURS)2</v>
      </c>
      <c r="B102">
        <v>2</v>
      </c>
      <c r="C102">
        <v>2</v>
      </c>
      <c r="D102" t="s">
        <v>431</v>
      </c>
      <c r="E102" t="str">
        <f>VLOOKUP(Tabla3[[#This Row],[Site]],Table35[],10,FALSE)</f>
        <v>9:00 P.M.</v>
      </c>
      <c r="F102" t="str">
        <f>VLOOKUP(Tabla3[[#This Row],[Site]],Table35[],11,FALSE)</f>
        <v>ET</v>
      </c>
      <c r="G102" t="str">
        <f>VLOOKUP(Tabla3[[#This Row],[Site]],Table35[],12,FALSE)</f>
        <v>5:00 A.M.</v>
      </c>
      <c r="H102" t="str">
        <f>VLOOKUP(Tabla3[[#This Row],[Site]],Table35[],13,FALSE)</f>
        <v>-</v>
      </c>
      <c r="I102" s="70" t="str">
        <f>HYPERLINK(VLOOKUP(Tabla3[[#This Row],[Site]],Table35[#All],9,FALSE))</f>
        <v>https://tools.sig.systems/site/details/344</v>
      </c>
      <c r="J102" t="str">
        <f>VLOOKUP(Tabla3[[#This Row],[Site]],Table35[],14,FALSE)</f>
        <v>-</v>
      </c>
      <c r="L102" s="34" t="str">
        <f>VLOOKUP(Tabla3[[#This Row],[Site]],Table35[#All],2,FALSE)</f>
        <v>-</v>
      </c>
      <c r="M102" s="34" t="str">
        <f>VLOOKUP(Tabla3[[#This Row],[Site]],Table35[#All],3,FALSE)</f>
        <v>1, 25</v>
      </c>
      <c r="N102" s="34" t="str">
        <f>VLOOKUP(Tabla3[[#This Row],[Site]],Table35[#All],4,FALSE)</f>
        <v>-</v>
      </c>
      <c r="O102" s="34" t="str">
        <f>VLOOKUP(Tabla3[[#This Row],[Site]],Table35[#All],5,FALSE)</f>
        <v>-</v>
      </c>
      <c r="P102" s="34" t="str">
        <f>VLOOKUP(Tabla3[[#This Row],[Site]],Table35[#All],6,FALSE)</f>
        <v>13, 22, 27</v>
      </c>
      <c r="Q102" s="34" t="str">
        <f>VLOOKUP(Tabla3[[#This Row],[Site]],Table35[#All],8,FALSE)</f>
        <v>344</v>
      </c>
      <c r="R102"/>
    </row>
    <row r="103" spans="1:18" hidden="1" x14ac:dyDescent="0.25">
      <c r="A103" t="str">
        <f>+Tabla3[[#This Row],[Site]]&amp;Tabla3[[#This Row],[Split]]</f>
        <v>(AS) Koons Volvo Cars White Marsh (NO TOURS)2</v>
      </c>
      <c r="B103">
        <v>2</v>
      </c>
      <c r="C103">
        <v>2</v>
      </c>
      <c r="D103" t="s">
        <v>376</v>
      </c>
      <c r="E103" t="str">
        <f>VLOOKUP(Tabla3[[#This Row],[Site]],Table35[],10,FALSE)</f>
        <v>9:00 P.M.</v>
      </c>
      <c r="F103" t="str">
        <f>VLOOKUP(Tabla3[[#This Row],[Site]],Table35[],11,FALSE)</f>
        <v>ET</v>
      </c>
      <c r="G103" t="str">
        <f>VLOOKUP(Tabla3[[#This Row],[Site]],Table35[],12,FALSE)</f>
        <v>5:00 A.M.</v>
      </c>
      <c r="H103" t="str">
        <f>VLOOKUP(Tabla3[[#This Row],[Site]],Table35[],13,FALSE)</f>
        <v>-</v>
      </c>
      <c r="I103" s="70" t="str">
        <f>HYPERLINK(VLOOKUP(Tabla3[[#This Row],[Site]],Table35[#All],9,FALSE))</f>
        <v>https://tools.sig.systems/site/details/338</v>
      </c>
      <c r="J103">
        <f>VLOOKUP(Tabla3[[#This Row],[Site]],Table35[],14,FALSE)</f>
        <v>0</v>
      </c>
      <c r="L103" s="34" t="str">
        <f>VLOOKUP(Tabla3[[#This Row],[Site]],Table35[#All],2,FALSE)</f>
        <v>-</v>
      </c>
      <c r="M103" s="34" t="str">
        <f>VLOOKUP(Tabla3[[#This Row],[Site]],Table35[#All],3,FALSE)</f>
        <v>5, 7, 9</v>
      </c>
      <c r="N103" s="34" t="str">
        <f>VLOOKUP(Tabla3[[#This Row],[Site]],Table35[#All],4,FALSE)</f>
        <v>-</v>
      </c>
      <c r="O103" s="34" t="str">
        <f>VLOOKUP(Tabla3[[#This Row],[Site]],Table35[#All],5,FALSE)</f>
        <v>-</v>
      </c>
      <c r="P103" s="34" t="str">
        <f>VLOOKUP(Tabla3[[#This Row],[Site]],Table35[#All],6,FALSE)</f>
        <v>6, 10, 1</v>
      </c>
      <c r="Q103" s="34" t="str">
        <f>VLOOKUP(Tabla3[[#This Row],[Site]],Table35[#All],8,FALSE)</f>
        <v>338</v>
      </c>
      <c r="R103"/>
    </row>
    <row r="104" spans="1:18" hidden="1" x14ac:dyDescent="0.25">
      <c r="A104" t="str">
        <f>+Tabla3[[#This Row],[Site]]&amp;Tabla3[[#This Row],[Split]]</f>
        <v>(AS) Koons Westminster Toyota (NO TOURS)2</v>
      </c>
      <c r="B104">
        <v>2</v>
      </c>
      <c r="C104">
        <v>2</v>
      </c>
      <c r="D104" t="s">
        <v>421</v>
      </c>
      <c r="E104" t="str">
        <f>VLOOKUP(Tabla3[[#This Row],[Site]],Table35[],10,FALSE)</f>
        <v>9:00 P.M.</v>
      </c>
      <c r="F104" t="str">
        <f>VLOOKUP(Tabla3[[#This Row],[Site]],Table35[],11,FALSE)</f>
        <v>ET</v>
      </c>
      <c r="G104" t="str">
        <f>VLOOKUP(Tabla3[[#This Row],[Site]],Table35[],12,FALSE)</f>
        <v>5:00 A.M.</v>
      </c>
      <c r="H104" t="str">
        <f>VLOOKUP(Tabla3[[#This Row],[Site]],Table35[],13,FALSE)</f>
        <v>-</v>
      </c>
      <c r="I104" s="70" t="str">
        <f>HYPERLINK(VLOOKUP(Tabla3[[#This Row],[Site]],Table35[#All],9,FALSE))</f>
        <v>https://tools.sig.systems/site/details/341</v>
      </c>
      <c r="J104" t="str">
        <f>VLOOKUP(Tabla3[[#This Row],[Site]],Table35[],14,FALSE)</f>
        <v>-</v>
      </c>
      <c r="L104" s="34" t="str">
        <f>VLOOKUP(Tabla3[[#This Row],[Site]],Table35[#All],2,FALSE)</f>
        <v>-</v>
      </c>
      <c r="M104" s="34" t="str">
        <f>VLOOKUP(Tabla3[[#This Row],[Site]],Table35[#All],3,FALSE)</f>
        <v>1, 10, 18, 25</v>
      </c>
      <c r="N104" s="34" t="str">
        <f>VLOOKUP(Tabla3[[#This Row],[Site]],Table35[#All],4,FALSE)</f>
        <v>-</v>
      </c>
      <c r="O104" s="34" t="str">
        <f>VLOOKUP(Tabla3[[#This Row],[Site]],Table35[#All],5,FALSE)</f>
        <v>-</v>
      </c>
      <c r="P104" s="34" t="str">
        <f>VLOOKUP(Tabla3[[#This Row],[Site]],Table35[#All],6,FALSE)</f>
        <v>8, 14</v>
      </c>
      <c r="Q104" s="34" t="str">
        <f>VLOOKUP(Tabla3[[#This Row],[Site]],Table35[#All],8,FALSE)</f>
        <v>341</v>
      </c>
      <c r="R104"/>
    </row>
    <row r="105" spans="1:18" hidden="1" x14ac:dyDescent="0.25">
      <c r="A105" t="str">
        <f>+Tabla3[[#This Row],[Site]]&amp;Tabla3[[#This Row],[Split]]</f>
        <v>(AS) Koons White Marsh Chevrolet (NO TOURS)2</v>
      </c>
      <c r="B105">
        <v>2</v>
      </c>
      <c r="C105">
        <v>2</v>
      </c>
      <c r="D105" t="s">
        <v>389</v>
      </c>
      <c r="E105" t="str">
        <f>VLOOKUP(Tabla3[[#This Row],[Site]],Table35[],10,FALSE)</f>
        <v>9:00 P.M.</v>
      </c>
      <c r="F105" t="str">
        <f>VLOOKUP(Tabla3[[#This Row],[Site]],Table35[],11,FALSE)</f>
        <v>ET</v>
      </c>
      <c r="G105" t="str">
        <f>VLOOKUP(Tabla3[[#This Row],[Site]],Table35[],12,FALSE)</f>
        <v>5:00 A.M.</v>
      </c>
      <c r="H105" t="str">
        <f>VLOOKUP(Tabla3[[#This Row],[Site]],Table35[],13,FALSE)</f>
        <v>-</v>
      </c>
      <c r="I105" s="70" t="str">
        <f>HYPERLINK(VLOOKUP(Tabla3[[#This Row],[Site]],Table35[#All],9,FALSE))</f>
        <v>https://tools.sig.systems/site/details/339</v>
      </c>
      <c r="J105" t="str">
        <f>VLOOKUP(Tabla3[[#This Row],[Site]],Table35[],14,FALSE)</f>
        <v>-</v>
      </c>
      <c r="L105" s="34">
        <f>VLOOKUP(Tabla3[[#This Row],[Site]],Table35[#All],2,FALSE)</f>
        <v>25</v>
      </c>
      <c r="M105" s="34">
        <f>VLOOKUP(Tabla3[[#This Row],[Site]],Table35[#All],3,FALSE)</f>
        <v>10</v>
      </c>
      <c r="N105" s="34" t="str">
        <f>VLOOKUP(Tabla3[[#This Row],[Site]],Table35[#All],4,FALSE)</f>
        <v>-</v>
      </c>
      <c r="O105" s="34" t="str">
        <f>VLOOKUP(Tabla3[[#This Row],[Site]],Table35[#All],5,FALSE)</f>
        <v>-</v>
      </c>
      <c r="P105" s="34">
        <f>VLOOKUP(Tabla3[[#This Row],[Site]],Table35[#All],6,FALSE)</f>
        <v>12</v>
      </c>
      <c r="Q105" s="34" t="str">
        <f>VLOOKUP(Tabla3[[#This Row],[Site]],Table35[#All],8,FALSE)</f>
        <v>339</v>
      </c>
      <c r="R105"/>
    </row>
    <row r="106" spans="1:18" hidden="1" x14ac:dyDescent="0.25">
      <c r="A106" t="str">
        <f>+Tabla3[[#This Row],[Site]]&amp;Tabla3[[#This Row],[Split]]</f>
        <v>(AS) Koons Woodbridge Ford (NO TOURS)2</v>
      </c>
      <c r="B106">
        <v>2</v>
      </c>
      <c r="C106">
        <v>2</v>
      </c>
      <c r="D106" t="s">
        <v>373</v>
      </c>
      <c r="E106" t="str">
        <f>VLOOKUP(Tabla3[[#This Row],[Site]],Table35[],10,FALSE)</f>
        <v>9:00 P.M.</v>
      </c>
      <c r="F106" t="str">
        <f>VLOOKUP(Tabla3[[#This Row],[Site]],Table35[],11,FALSE)</f>
        <v>ET</v>
      </c>
      <c r="G106" t="str">
        <f>VLOOKUP(Tabla3[[#This Row],[Site]],Table35[],12,FALSE)</f>
        <v>5:00 A.M.</v>
      </c>
      <c r="H106" t="str">
        <f>VLOOKUP(Tabla3[[#This Row],[Site]],Table35[],13,FALSE)</f>
        <v>9:00 A.M.</v>
      </c>
      <c r="I106" s="70" t="str">
        <f>HYPERLINK(VLOOKUP(Tabla3[[#This Row],[Site]],Table35[#All],9,FALSE))</f>
        <v>https://tools.sig.systems/site/details/342</v>
      </c>
      <c r="J106">
        <f>VLOOKUP(Tabla3[[#This Row],[Site]],Table35[],14,FALSE)</f>
        <v>0</v>
      </c>
      <c r="L106" s="34" t="str">
        <f>VLOOKUP(Tabla3[[#This Row],[Site]],Table35[#All],2,FALSE)</f>
        <v>-</v>
      </c>
      <c r="M106" s="34" t="str">
        <f>VLOOKUP(Tabla3[[#This Row],[Site]],Table35[#All],3,FALSE)</f>
        <v>3, 24, 26, 27, 31, 36</v>
      </c>
      <c r="N106" s="34" t="str">
        <f>VLOOKUP(Tabla3[[#This Row],[Site]],Table35[#All],4,FALSE)</f>
        <v>-</v>
      </c>
      <c r="O106" s="34" t="str">
        <f>VLOOKUP(Tabla3[[#This Row],[Site]],Table35[#All],5,FALSE)</f>
        <v>-</v>
      </c>
      <c r="P106" s="34" t="str">
        <f>VLOOKUP(Tabla3[[#This Row],[Site]],Table35[#All],6,FALSE)</f>
        <v>13, 26, 29</v>
      </c>
      <c r="Q106" s="34" t="str">
        <f>VLOOKUP(Tabla3[[#This Row],[Site]],Table35[#All],8,FALSE)</f>
        <v>342</v>
      </c>
      <c r="R106"/>
    </row>
    <row r="107" spans="1:18" hidden="1" x14ac:dyDescent="0.25">
      <c r="A107" t="str">
        <f>+Tabla3[[#This Row],[Site]]&amp;Tabla3[[#This Row],[Split]]</f>
        <v>(AS) Koons Woodbridge Hyundai (NO TOURS)2</v>
      </c>
      <c r="B107">
        <v>2</v>
      </c>
      <c r="C107">
        <v>2</v>
      </c>
      <c r="D107" t="s">
        <v>406</v>
      </c>
      <c r="E107" t="str">
        <f>VLOOKUP(Tabla3[[#This Row],[Site]],Table35[],10,FALSE)</f>
        <v>9:00 P.M.</v>
      </c>
      <c r="F107" t="str">
        <f>VLOOKUP(Tabla3[[#This Row],[Site]],Table35[],11,FALSE)</f>
        <v>ET</v>
      </c>
      <c r="G107" t="str">
        <f>VLOOKUP(Tabla3[[#This Row],[Site]],Table35[],12,FALSE)</f>
        <v>5:00 A.M.</v>
      </c>
      <c r="H107" t="str">
        <f>VLOOKUP(Tabla3[[#This Row],[Site]],Table35[],13,FALSE)</f>
        <v>8:00 A.M.</v>
      </c>
      <c r="I107" s="70" t="str">
        <f>HYPERLINK(VLOOKUP(Tabla3[[#This Row],[Site]],Table35[#All],9,FALSE))</f>
        <v>https://tools.sig.systems/site/details/347</v>
      </c>
      <c r="J107" t="str">
        <f>VLOOKUP(Tabla3[[#This Row],[Site]],Table35[],14,FALSE)</f>
        <v>-</v>
      </c>
      <c r="L107" s="34" t="str">
        <f>VLOOKUP(Tabla3[[#This Row],[Site]],Table35[#All],2,FALSE)</f>
        <v>-</v>
      </c>
      <c r="M107" s="34" t="str">
        <f>VLOOKUP(Tabla3[[#This Row],[Site]],Table35[#All],3,FALSE)</f>
        <v>1, 17</v>
      </c>
      <c r="N107" s="34" t="str">
        <f>VLOOKUP(Tabla3[[#This Row],[Site]],Table35[#All],4,FALSE)</f>
        <v>-</v>
      </c>
      <c r="O107" s="34" t="str">
        <f>VLOOKUP(Tabla3[[#This Row],[Site]],Table35[#All],5,FALSE)</f>
        <v>-</v>
      </c>
      <c r="P107" s="34" t="str">
        <f>VLOOKUP(Tabla3[[#This Row],[Site]],Table35[#All],6,FALSE)</f>
        <v>4, 14, 22</v>
      </c>
      <c r="Q107" s="34" t="str">
        <f>VLOOKUP(Tabla3[[#This Row],[Site]],Table35[#All],8,FALSE)</f>
        <v>347</v>
      </c>
      <c r="R107"/>
    </row>
    <row r="108" spans="1:18" hidden="1" x14ac:dyDescent="0.25">
      <c r="A108" t="str">
        <f>+Tabla3[[#This Row],[Site]]&amp;Tabla3[[#This Row],[Split]]</f>
        <v>(AS) Larry H Miller CDJR Fiat (NO TOURS)2</v>
      </c>
      <c r="B108">
        <v>2</v>
      </c>
      <c r="C108">
        <v>2</v>
      </c>
      <c r="D108" t="s">
        <v>217</v>
      </c>
      <c r="E108" t="str">
        <f>VLOOKUP(Tabla3[[#This Row],[Site]],Table35[],10,FALSE)</f>
        <v>11:00 P.M.</v>
      </c>
      <c r="F108" t="str">
        <f>VLOOKUP(Tabla3[[#This Row],[Site]],Table35[],11,FALSE)</f>
        <v>MT</v>
      </c>
      <c r="G108" t="str">
        <f>VLOOKUP(Tabla3[[#This Row],[Site]],Table35[],12,FALSE)</f>
        <v>7:00 A.M.</v>
      </c>
      <c r="H108" t="str">
        <f>VLOOKUP(Tabla3[[#This Row],[Site]],Table35[],13,FALSE)</f>
        <v>-</v>
      </c>
      <c r="I108" s="70" t="str">
        <f>HYPERLINK(VLOOKUP(Tabla3[[#This Row],[Site]],Table35[#All],9,FALSE))</f>
        <v>https://tools.sig.systems/site/details/298</v>
      </c>
      <c r="J108">
        <f>VLOOKUP(Tabla3[[#This Row],[Site]],Table35[],14,FALSE)</f>
        <v>0</v>
      </c>
      <c r="L108" s="34" t="str">
        <f>VLOOKUP(Tabla3[[#This Row],[Site]],Table35[#All],2,FALSE)</f>
        <v>7, 11</v>
      </c>
      <c r="M108" s="34" t="str">
        <f>VLOOKUP(Tabla3[[#This Row],[Site]],Table35[#All],3,FALSE)</f>
        <v>2, 3</v>
      </c>
      <c r="N108" s="34" t="str">
        <f>VLOOKUP(Tabla3[[#This Row],[Site]],Table35[#All],4,FALSE)</f>
        <v>-</v>
      </c>
      <c r="O108" s="34" t="str">
        <f>VLOOKUP(Tabla3[[#This Row],[Site]],Table35[#All],5,FALSE)</f>
        <v>-</v>
      </c>
      <c r="P108" s="34" t="str">
        <f>VLOOKUP(Tabla3[[#This Row],[Site]],Table35[#All],6,FALSE)</f>
        <v xml:space="preserve">2, 6, 10, 15, 18 </v>
      </c>
      <c r="Q108" s="34" t="str">
        <f>VLOOKUP(Tabla3[[#This Row],[Site]],Table35[#All],8,FALSE)</f>
        <v>298</v>
      </c>
      <c r="R108"/>
    </row>
    <row r="109" spans="1:18" hidden="1" x14ac:dyDescent="0.25">
      <c r="A109" t="str">
        <f>+Tabla3[[#This Row],[Site]]&amp;Tabla3[[#This Row],[Split]]</f>
        <v>(BRL) Shoemakersville2</v>
      </c>
      <c r="B109">
        <v>2</v>
      </c>
      <c r="C109">
        <v>2</v>
      </c>
      <c r="D109" t="s">
        <v>120</v>
      </c>
      <c r="E109" t="str">
        <f>VLOOKUP(Tabla3[[#This Row],[Site]],Table35[],10,FALSE)</f>
        <v>24H</v>
      </c>
      <c r="F109" t="str">
        <f>VLOOKUP(Tabla3[[#This Row],[Site]],Table35[],11,FALSE)</f>
        <v>ET</v>
      </c>
      <c r="G109" t="str">
        <f>VLOOKUP(Tabla3[[#This Row],[Site]],Table35[],12,FALSE)</f>
        <v>-</v>
      </c>
      <c r="H109" t="str">
        <f>VLOOKUP(Tabla3[[#This Row],[Site]],Table35[],13,FALSE)</f>
        <v>-</v>
      </c>
      <c r="I109" s="70" t="str">
        <f>HYPERLINK(VLOOKUP(Tabla3[[#This Row],[Site]],Table35[#All],9,FALSE))</f>
        <v>https://tools.sig.systems/site/details/302</v>
      </c>
      <c r="J109">
        <f>VLOOKUP(Tabla3[[#This Row],[Site]],Table35[],14,FALSE)</f>
        <v>0</v>
      </c>
      <c r="L109" s="34" t="str">
        <f>VLOOKUP(Tabla3[[#This Row],[Site]],Table35[#All],2,FALSE)</f>
        <v>-</v>
      </c>
      <c r="M109" s="34" t="str">
        <f>VLOOKUP(Tabla3[[#This Row],[Site]],Table35[#All],3,FALSE)</f>
        <v>8, 11</v>
      </c>
      <c r="N109" s="34" t="str">
        <f>VLOOKUP(Tabla3[[#This Row],[Site]],Table35[#All],4,FALSE)</f>
        <v>-</v>
      </c>
      <c r="O109" s="34" t="str">
        <f>VLOOKUP(Tabla3[[#This Row],[Site]],Table35[#All],5,FALSE)</f>
        <v>1, 6, 13A, 15, 18A</v>
      </c>
      <c r="P109" s="34" t="str">
        <f>VLOOKUP(Tabla3[[#This Row],[Site]],Table35[#All],6,FALSE)</f>
        <v>13B, 23</v>
      </c>
      <c r="Q109" s="34" t="str">
        <f>VLOOKUP(Tabla3[[#This Row],[Site]],Table35[#All],8,FALSE)</f>
        <v>302</v>
      </c>
      <c r="R109"/>
    </row>
    <row r="110" spans="1:18" hidden="1" x14ac:dyDescent="0.25">
      <c r="A110" t="str">
        <f>+Tabla3[[#This Row],[Site]]&amp;Tabla3[[#This Row],[Split]]</f>
        <v>(DT) Arlington2</v>
      </c>
      <c r="B110">
        <v>2</v>
      </c>
      <c r="C110">
        <v>2</v>
      </c>
      <c r="D110" t="s">
        <v>18</v>
      </c>
      <c r="E110" t="str">
        <f>VLOOKUP(Tabla3[[#This Row],[Site]],Table35[],10,FALSE)</f>
        <v>10:00 P.M.</v>
      </c>
      <c r="F110" t="str">
        <f>VLOOKUP(Tabla3[[#This Row],[Site]],Table35[],11,FALSE)</f>
        <v>CT</v>
      </c>
      <c r="G110" t="str">
        <f>VLOOKUP(Tabla3[[#This Row],[Site]],Table35[],12,FALSE)</f>
        <v>6:00 A.M.</v>
      </c>
      <c r="H110" t="str">
        <f>VLOOKUP(Tabla3[[#This Row],[Site]],Table35[],13,FALSE)</f>
        <v>-</v>
      </c>
      <c r="I110" s="70" t="str">
        <f>HYPERLINK(VLOOKUP(Tabla3[[#This Row],[Site]],Table35[#All],9,FALSE))</f>
        <v>https://tools.sig.systems/site/details/199</v>
      </c>
      <c r="J110" t="str">
        <f>VLOOKUP(Tabla3[[#This Row],[Site]],Table35[],14,FALSE)</f>
        <v>-</v>
      </c>
      <c r="L110" s="34" t="str">
        <f>VLOOKUP(Tabla3[[#This Row],[Site]],Table35[#All],2,FALSE)</f>
        <v>3,8</v>
      </c>
      <c r="M110" s="34" t="str">
        <f>VLOOKUP(Tabla3[[#This Row],[Site]],Table35[#All],3,FALSE)</f>
        <v>-</v>
      </c>
      <c r="N110" s="34" t="str">
        <f>VLOOKUP(Tabla3[[#This Row],[Site]],Table35[#All],4,FALSE)</f>
        <v>-</v>
      </c>
      <c r="O110" s="34" t="str">
        <f>VLOOKUP(Tabla3[[#This Row],[Site]],Table35[#All],5,FALSE)</f>
        <v>-</v>
      </c>
      <c r="P110" s="34" t="str">
        <f>VLOOKUP(Tabla3[[#This Row],[Site]],Table35[#All],6,FALSE)</f>
        <v>3, 8, 7</v>
      </c>
      <c r="Q110" s="34" t="str">
        <f>VLOOKUP(Tabla3[[#This Row],[Site]],Table35[#All],8,FALSE)</f>
        <v>199</v>
      </c>
      <c r="R110"/>
    </row>
    <row r="111" spans="1:18" hidden="1" x14ac:dyDescent="0.25">
      <c r="A111" t="str">
        <f>+Tabla3[[#This Row],[Site]]&amp;Tabla3[[#This Row],[Split]]</f>
        <v>(KG) Big Star Cadillac2</v>
      </c>
      <c r="B111">
        <v>2</v>
      </c>
      <c r="C111">
        <v>2</v>
      </c>
      <c r="D111" t="s">
        <v>240</v>
      </c>
      <c r="E111" t="str">
        <f>VLOOKUP(Tabla3[[#This Row],[Site]],Table35[],10,FALSE)</f>
        <v>10:00 P.M.</v>
      </c>
      <c r="F111" t="str">
        <f>VLOOKUP(Tabla3[[#This Row],[Site]],Table35[],11,FALSE)</f>
        <v>CT</v>
      </c>
      <c r="G111" t="str">
        <f>VLOOKUP(Tabla3[[#This Row],[Site]],Table35[],12,FALSE)</f>
        <v>6:00 A.M.</v>
      </c>
      <c r="H111" t="str">
        <f>VLOOKUP(Tabla3[[#This Row],[Site]],Table35[],13,FALSE)</f>
        <v>-</v>
      </c>
      <c r="I111" s="70" t="str">
        <f>HYPERLINK(VLOOKUP(Tabla3[[#This Row],[Site]],Table35[#All],9,FALSE))</f>
        <v>https://tools.sig.systems/site/details/316</v>
      </c>
      <c r="J111" t="str">
        <f>VLOOKUP(Tabla3[[#This Row],[Site]],Table35[],14,FALSE)</f>
        <v>https://www.google.com/maps/d/edit?mid=1jIRkMUnWNPuTgDjQgDP-f33LClT85NU&amp;usp=sharing</v>
      </c>
      <c r="L111" s="34" t="str">
        <f>VLOOKUP(Tabla3[[#This Row],[Site]],Table35[#All],2,FALSE)</f>
        <v>1, 4, 16</v>
      </c>
      <c r="M111" s="34" t="str">
        <f>VLOOKUP(Tabla3[[#This Row],[Site]],Table35[#All],3,FALSE)</f>
        <v>-</v>
      </c>
      <c r="N111" s="34" t="str">
        <f>VLOOKUP(Tabla3[[#This Row],[Site]],Table35[#All],4,FALSE)</f>
        <v>-</v>
      </c>
      <c r="O111" s="34" t="str">
        <f>VLOOKUP(Tabla3[[#This Row],[Site]],Table35[#All],5,FALSE)</f>
        <v>-</v>
      </c>
      <c r="P111" s="34" t="str">
        <f>VLOOKUP(Tabla3[[#This Row],[Site]],Table35[#All],6,FALSE)</f>
        <v>15, 16, 19, 20</v>
      </c>
      <c r="Q111" s="34" t="str">
        <f>VLOOKUP(Tabla3[[#This Row],[Site]],Table35[#All],8,FALSE)</f>
        <v>316</v>
      </c>
      <c r="R111"/>
    </row>
    <row r="112" spans="1:18" hidden="1" x14ac:dyDescent="0.25">
      <c r="A112" t="str">
        <f>+Tabla3[[#This Row],[Site]]&amp;Tabla3[[#This Row],[Split]]</f>
        <v>(KG) Ken Garff Kia of Avondale2</v>
      </c>
      <c r="B112">
        <v>2</v>
      </c>
      <c r="C112">
        <v>2</v>
      </c>
      <c r="D112" t="s">
        <v>300</v>
      </c>
      <c r="E112" t="str">
        <f>VLOOKUP(Tabla3[[#This Row],[Site]],Table35[],10,FALSE)</f>
        <v>12:00 A.M.</v>
      </c>
      <c r="F112" t="str">
        <f>VLOOKUP(Tabla3[[#This Row],[Site]],Table35[],11,FALSE)</f>
        <v>MST</v>
      </c>
      <c r="G112" t="str">
        <f>VLOOKUP(Tabla3[[#This Row],[Site]],Table35[],12,FALSE)</f>
        <v>8:00 A.M.</v>
      </c>
      <c r="H112" t="str">
        <f>VLOOKUP(Tabla3[[#This Row],[Site]],Table35[],13,FALSE)</f>
        <v>12:00 P.M.</v>
      </c>
      <c r="I112" s="70" t="str">
        <f>HYPERLINK(VLOOKUP(Tabla3[[#This Row],[Site]],Table35[#All],9,FALSE))</f>
        <v>https://tools.sig.systems/site/details/283</v>
      </c>
      <c r="J112" t="str">
        <f>VLOOKUP(Tabla3[[#This Row],[Site]],Table35[],14,FALSE)</f>
        <v>https://www.google.com/maps/d/viewer?mid=1bDs0QGFZwL3vEeGKxjVMk_j4azr0-lg&amp;ll=33.4593758581648%2C-112.28793780000001&amp;z=18</v>
      </c>
      <c r="L112" s="34" t="str">
        <f>VLOOKUP(Tabla3[[#This Row],[Site]],Table35[#All],2,FALSE)</f>
        <v>5, 19</v>
      </c>
      <c r="M112" s="34" t="str">
        <f>VLOOKUP(Tabla3[[#This Row],[Site]],Table35[#All],3,FALSE)</f>
        <v>-</v>
      </c>
      <c r="N112" s="34" t="str">
        <f>VLOOKUP(Tabla3[[#This Row],[Site]],Table35[#All],4,FALSE)</f>
        <v>-</v>
      </c>
      <c r="O112" s="34" t="str">
        <f>VLOOKUP(Tabla3[[#This Row],[Site]],Table35[#All],5,FALSE)</f>
        <v>3, 5</v>
      </c>
      <c r="P112" s="34" t="str">
        <f>VLOOKUP(Tabla3[[#This Row],[Site]],Table35[#All],6,FALSE)</f>
        <v>1, 6, 7, 12, 15, 17, 21</v>
      </c>
      <c r="Q112" s="34" t="str">
        <f>VLOOKUP(Tabla3[[#This Row],[Site]],Table35[#All],8,FALSE)</f>
        <v>283</v>
      </c>
      <c r="R112"/>
    </row>
    <row r="113" spans="1:18" hidden="1" x14ac:dyDescent="0.25">
      <c r="A113" t="str">
        <f>+Tabla3[[#This Row],[Site]]&amp;Tabla3[[#This Row],[Split]]</f>
        <v>(LT) Luther Bloomington Subaru - Acura2</v>
      </c>
      <c r="B113">
        <v>2</v>
      </c>
      <c r="C113">
        <v>2</v>
      </c>
      <c r="D113" t="s">
        <v>124</v>
      </c>
      <c r="E113" t="str">
        <f>VLOOKUP(Tabla3[[#This Row],[Site]],Table35[],10,FALSE)</f>
        <v>8:00 P.M.</v>
      </c>
      <c r="F113" t="str">
        <f>VLOOKUP(Tabla3[[#This Row],[Site]],Table35[],11,FALSE)</f>
        <v>CT</v>
      </c>
      <c r="G113" t="str">
        <f>VLOOKUP(Tabla3[[#This Row],[Site]],Table35[],12,FALSE)</f>
        <v>4:00 A.M.</v>
      </c>
      <c r="H113" t="str">
        <f>VLOOKUP(Tabla3[[#This Row],[Site]],Table35[],13,FALSE)</f>
        <v>-</v>
      </c>
      <c r="I113" s="70" t="str">
        <f>HYPERLINK(VLOOKUP(Tabla3[[#This Row],[Site]],Table35[#All],9,FALSE))</f>
        <v>https://tools.sig.systems/site/details/289</v>
      </c>
      <c r="J113">
        <f>VLOOKUP(Tabla3[[#This Row],[Site]],Table35[],14,FALSE)</f>
        <v>0</v>
      </c>
      <c r="L113" s="34">
        <f>VLOOKUP(Tabla3[[#This Row],[Site]],Table35[#All],2,FALSE)</f>
        <v>29</v>
      </c>
      <c r="M113" s="34" t="str">
        <f>VLOOKUP(Tabla3[[#This Row],[Site]],Table35[#All],3,FALSE)</f>
        <v>5, 8, 33</v>
      </c>
      <c r="N113" s="34" t="str">
        <f>VLOOKUP(Tabla3[[#This Row],[Site]],Table35[#All],4,FALSE)</f>
        <v>4, 7, 35</v>
      </c>
      <c r="O113" s="34" t="str">
        <f>VLOOKUP(Tabla3[[#This Row],[Site]],Table35[#All],5,FALSE)</f>
        <v>-</v>
      </c>
      <c r="P113" s="34" t="str">
        <f>VLOOKUP(Tabla3[[#This Row],[Site]],Table35[#All],6,FALSE)</f>
        <v xml:space="preserve">1, 2, 14, 24, 34  </v>
      </c>
      <c r="Q113" s="34" t="str">
        <f>VLOOKUP(Tabla3[[#This Row],[Site]],Table35[#All],8,FALSE)</f>
        <v>289</v>
      </c>
      <c r="R113"/>
    </row>
    <row r="114" spans="1:18" hidden="1" x14ac:dyDescent="0.25">
      <c r="A114" t="str">
        <f>+Tabla3[[#This Row],[Site]]&amp;Tabla3[[#This Row],[Split]]</f>
        <v>(LT) Luther Brookdale Honda (NO TOURS)2</v>
      </c>
      <c r="B114">
        <v>2</v>
      </c>
      <c r="C114">
        <v>2</v>
      </c>
      <c r="D114" t="s">
        <v>274</v>
      </c>
      <c r="E114" t="str">
        <f>VLOOKUP(Tabla3[[#This Row],[Site]],Table35[],10,FALSE)</f>
        <v>7:00 P.M.</v>
      </c>
      <c r="F114" t="str">
        <f>VLOOKUP(Tabla3[[#This Row],[Site]],Table35[],11,FALSE)</f>
        <v>CT</v>
      </c>
      <c r="G114" t="str">
        <f>VLOOKUP(Tabla3[[#This Row],[Site]],Table35[],12,FALSE)</f>
        <v>6:00 A.M.</v>
      </c>
      <c r="H114" t="str">
        <f>VLOOKUP(Tabla3[[#This Row],[Site]],Table35[],13,FALSE)</f>
        <v>-</v>
      </c>
      <c r="I114" s="70" t="str">
        <f>HYPERLINK(VLOOKUP(Tabla3[[#This Row],[Site]],Table35[#All],9,FALSE))</f>
        <v>https://tools.sig.systems/site/details/280</v>
      </c>
      <c r="J114" t="str">
        <f>VLOOKUP(Tabla3[[#This Row],[Site]],Table35[],14,FALSE)</f>
        <v>https://www.google.com/maps/d/viewer?mid=1ot0ILX76JMuvd9yMuqkb4_e0yH1n7TA&amp;ll=45.07815812965141%2C-93.33506855000002&amp;z=17</v>
      </c>
      <c r="L114" s="34" t="str">
        <f>VLOOKUP(Tabla3[[#This Row],[Site]],Table35[#All],2,FALSE)</f>
        <v>-</v>
      </c>
      <c r="M114" s="34" t="str">
        <f>VLOOKUP(Tabla3[[#This Row],[Site]],Table35[#All],3,FALSE)</f>
        <v>1, 21</v>
      </c>
      <c r="N114" s="34" t="str">
        <f>VLOOKUP(Tabla3[[#This Row],[Site]],Table35[#All],4,FALSE)</f>
        <v>38, 39, 40</v>
      </c>
      <c r="O114" s="34" t="str">
        <f>VLOOKUP(Tabla3[[#This Row],[Site]],Table35[#All],5,FALSE)</f>
        <v>2, 10, 19</v>
      </c>
      <c r="P114" s="34" t="str">
        <f>VLOOKUP(Tabla3[[#This Row],[Site]],Table35[#All],6,FALSE)</f>
        <v>4, 5, 7, 11, 13, 20, 24, 36</v>
      </c>
      <c r="Q114" s="34" t="str">
        <f>VLOOKUP(Tabla3[[#This Row],[Site]],Table35[#All],8,FALSE)</f>
        <v>280</v>
      </c>
      <c r="R114"/>
    </row>
    <row r="115" spans="1:18" hidden="1" x14ac:dyDescent="0.25">
      <c r="A115" t="str">
        <f>+Tabla3[[#This Row],[Site]]&amp;Tabla3[[#This Row],[Split]]</f>
        <v>(LT) Luther Genesis of Minneapolis2</v>
      </c>
      <c r="B115">
        <v>2</v>
      </c>
      <c r="C115">
        <v>2</v>
      </c>
      <c r="D115" t="s">
        <v>264</v>
      </c>
      <c r="E115" t="str">
        <f>VLOOKUP(Tabla3[[#This Row],[Site]],Table35[],10,FALSE)</f>
        <v>10:00 P.M.</v>
      </c>
      <c r="F115" t="str">
        <f>VLOOKUP(Tabla3[[#This Row],[Site]],Table35[],11,FALSE)</f>
        <v>CT</v>
      </c>
      <c r="G115" t="str">
        <f>VLOOKUP(Tabla3[[#This Row],[Site]],Table35[],12,FALSE)</f>
        <v>6:00 A.M.</v>
      </c>
      <c r="H115" t="str">
        <f>VLOOKUP(Tabla3[[#This Row],[Site]],Table35[],13,FALSE)</f>
        <v>-</v>
      </c>
      <c r="I115" s="70" t="str">
        <f>HYPERLINK(VLOOKUP(Tabla3[[#This Row],[Site]],Table35[#All],9,FALSE))</f>
        <v>https://tools.sig.systems/site/details/315</v>
      </c>
      <c r="J115">
        <f>VLOOKUP(Tabla3[[#This Row],[Site]],Table35[],14,FALSE)</f>
        <v>0</v>
      </c>
      <c r="L115" s="34" t="str">
        <f>VLOOKUP(Tabla3[[#This Row],[Site]],Table35[#All],2,FALSE)</f>
        <v>-</v>
      </c>
      <c r="M115" s="34" t="str">
        <f>VLOOKUP(Tabla3[[#This Row],[Site]],Table35[#All],3,FALSE)</f>
        <v>1,2,3,18</v>
      </c>
      <c r="N115" s="34" t="str">
        <f>VLOOKUP(Tabla3[[#This Row],[Site]],Table35[#All],4,FALSE)</f>
        <v>-</v>
      </c>
      <c r="O115" s="34" t="str">
        <f>VLOOKUP(Tabla3[[#This Row],[Site]],Table35[#All],5,FALSE)</f>
        <v>-</v>
      </c>
      <c r="P115" s="34" t="str">
        <f>VLOOKUP(Tabla3[[#This Row],[Site]],Table35[#All],6,FALSE)</f>
        <v>1,2,3,5,16,18</v>
      </c>
      <c r="Q115" s="34" t="str">
        <f>VLOOKUP(Tabla3[[#This Row],[Site]],Table35[#All],8,FALSE)</f>
        <v>315</v>
      </c>
      <c r="R115"/>
    </row>
    <row r="116" spans="1:18" hidden="1" x14ac:dyDescent="0.25">
      <c r="A116" t="str">
        <f>+Tabla3[[#This Row],[Site]]&amp;Tabla3[[#This Row],[Split]]</f>
        <v>(LT) Luther Landers Recon Center2</v>
      </c>
      <c r="B116">
        <v>2</v>
      </c>
      <c r="C116">
        <v>2</v>
      </c>
      <c r="D116" t="s">
        <v>255</v>
      </c>
      <c r="E116" t="str">
        <f>VLOOKUP(Tabla3[[#This Row],[Site]],Table35[],10,FALSE)</f>
        <v>10:00 P.M.</v>
      </c>
      <c r="F116" t="str">
        <f>VLOOKUP(Tabla3[[#This Row],[Site]],Table35[],11,FALSE)</f>
        <v>CT</v>
      </c>
      <c r="G116" t="str">
        <f>VLOOKUP(Tabla3[[#This Row],[Site]],Table35[],12,FALSE)</f>
        <v>6:00 A.M.</v>
      </c>
      <c r="H116" t="str">
        <f>VLOOKUP(Tabla3[[#This Row],[Site]],Table35[],13,FALSE)</f>
        <v>-</v>
      </c>
      <c r="I116" s="70" t="str">
        <f>HYPERLINK(VLOOKUP(Tabla3[[#This Row],[Site]],Table35[#All],9,FALSE))</f>
        <v>https://tools.sig.systems/site/details/323</v>
      </c>
      <c r="J116" t="str">
        <f>VLOOKUP(Tabla3[[#This Row],[Site]],Table35[],14,FALSE)</f>
        <v>https://www.google.com/maps/d/u/1/edit?mid=1-zEzsc6U6nZom08edp0XAd3_HYFvAyk&amp;usp=sharing</v>
      </c>
      <c r="L116" s="34" t="str">
        <f>VLOOKUP(Tabla3[[#This Row],[Site]],Table35[#All],2,FALSE)</f>
        <v>2, 4</v>
      </c>
      <c r="M116" s="34" t="str">
        <f>VLOOKUP(Tabla3[[#This Row],[Site]],Table35[#All],3,FALSE)</f>
        <v>-</v>
      </c>
      <c r="N116" s="34" t="str">
        <f>VLOOKUP(Tabla3[[#This Row],[Site]],Table35[#All],4,FALSE)</f>
        <v>-</v>
      </c>
      <c r="O116" s="34" t="str">
        <f>VLOOKUP(Tabla3[[#This Row],[Site]],Table35[#All],5,FALSE)</f>
        <v>-</v>
      </c>
      <c r="P116" s="34" t="str">
        <f>VLOOKUP(Tabla3[[#This Row],[Site]],Table35[#All],6,FALSE)</f>
        <v>3, 9, 11</v>
      </c>
      <c r="Q116" s="34" t="str">
        <f>VLOOKUP(Tabla3[[#This Row],[Site]],Table35[#All],8,FALSE)</f>
        <v>323</v>
      </c>
      <c r="R116"/>
    </row>
    <row r="117" spans="1:18" hidden="1" x14ac:dyDescent="0.25">
      <c r="A117" t="str">
        <f>+Tabla3[[#This Row],[Site]]&amp;Tabla3[[#This Row],[Split]]</f>
        <v>(PE) JLR Englewood (NO TOURS)2</v>
      </c>
      <c r="B117">
        <v>2</v>
      </c>
      <c r="C117">
        <v>2</v>
      </c>
      <c r="D117" t="s">
        <v>218</v>
      </c>
      <c r="E117" t="str">
        <f>VLOOKUP(Tabla3[[#This Row],[Site]],Table35[],10,FALSE)</f>
        <v>8:00 P.M.</v>
      </c>
      <c r="F117" t="str">
        <f>VLOOKUP(Tabla3[[#This Row],[Site]],Table35[],11,FALSE)</f>
        <v>ET</v>
      </c>
      <c r="G117" t="str">
        <f>VLOOKUP(Tabla3[[#This Row],[Site]],Table35[],12,FALSE)</f>
        <v>5:00 A.M.</v>
      </c>
      <c r="H117" t="str">
        <f>VLOOKUP(Tabla3[[#This Row],[Site]],Table35[],13,FALSE)</f>
        <v>-</v>
      </c>
      <c r="I117" s="70" t="str">
        <f>HYPERLINK(VLOOKUP(Tabla3[[#This Row],[Site]],Table35[#All],9,FALSE))</f>
        <v>https://tools.sig.systems/site/details/178</v>
      </c>
      <c r="J117" t="str">
        <f>VLOOKUP(Tabla3[[#This Row],[Site]],Table35[],14,FALSE)</f>
        <v>https://www.google.com/maps/d/viewer?mid=1ubI2iKs1JyYXssuT4oLPnVvFnyLPi_s&amp;ll=40.878808846788026%2C-73.98560655&amp;z=17</v>
      </c>
      <c r="L117" s="34" t="str">
        <f>VLOOKUP(Tabla3[[#This Row],[Site]],Table35[#All],2,FALSE)</f>
        <v>1, 2</v>
      </c>
      <c r="M117" s="34" t="str">
        <f>VLOOKUP(Tabla3[[#This Row],[Site]],Table35[#All],3,FALSE)</f>
        <v>-</v>
      </c>
      <c r="N117" s="34" t="str">
        <f>VLOOKUP(Tabla3[[#This Row],[Site]],Table35[#All],4,FALSE)</f>
        <v>-</v>
      </c>
      <c r="O117" s="34" t="str">
        <f>VLOOKUP(Tabla3[[#This Row],[Site]],Table35[#All],5,FALSE)</f>
        <v>-</v>
      </c>
      <c r="P117" s="34" t="str">
        <f>VLOOKUP(Tabla3[[#This Row],[Site]],Table35[#All],6,FALSE)</f>
        <v>-</v>
      </c>
      <c r="Q117" s="34" t="str">
        <f>VLOOKUP(Tabla3[[#This Row],[Site]],Table35[#All],8,FALSE)</f>
        <v>178</v>
      </c>
      <c r="R117"/>
    </row>
    <row r="118" spans="1:18" hidden="1" x14ac:dyDescent="0.25">
      <c r="A118" t="str">
        <f>+Tabla3[[#This Row],[Site]]&amp;Tabla3[[#This Row],[Split]]</f>
        <v>(SCH) Schumacher of Delray I &amp; III2</v>
      </c>
      <c r="B118">
        <v>2</v>
      </c>
      <c r="C118">
        <v>2</v>
      </c>
      <c r="D118" t="s">
        <v>385</v>
      </c>
      <c r="E118" t="str">
        <f>VLOOKUP(Tabla3[[#This Row],[Site]],Table35[],10,FALSE)</f>
        <v>9:00 P.M.</v>
      </c>
      <c r="F118" t="str">
        <f>VLOOKUP(Tabla3[[#This Row],[Site]],Table35[],11,FALSE)</f>
        <v>ET</v>
      </c>
      <c r="G118" t="str">
        <f>VLOOKUP(Tabla3[[#This Row],[Site]],Table35[],12,FALSE)</f>
        <v>5:00 A.M.</v>
      </c>
      <c r="H118" t="str">
        <f>VLOOKUP(Tabla3[[#This Row],[Site]],Table35[],13,FALSE)</f>
        <v>11:00 A.M.</v>
      </c>
      <c r="I118" s="70" t="str">
        <f>HYPERLINK(VLOOKUP(Tabla3[[#This Row],[Site]],Table35[#All],9,FALSE))</f>
        <v>https://tools.sig.systems/site/details/159</v>
      </c>
      <c r="J118" t="str">
        <f>VLOOKUP(Tabla3[[#This Row],[Site]],Table35[],14,FALSE)</f>
        <v>https://www.google.com/maps/d/viewer?mid=1ZLGV-cDM9aCfovhmXHIAXgVOKts0dEI&amp;ll=26.438859950088858%2C-80.07968125000001&amp;z=16</v>
      </c>
      <c r="L118" s="34" t="str">
        <f>VLOOKUP(Tabla3[[#This Row],[Site]],Table35[#All],2,FALSE)</f>
        <v>11, 21, 22, 57, 69</v>
      </c>
      <c r="M118" s="34" t="str">
        <f>VLOOKUP(Tabla3[[#This Row],[Site]],Table35[#All],3,FALSE)</f>
        <v>2, 16, 46</v>
      </c>
      <c r="N118" s="34" t="str">
        <f>VLOOKUP(Tabla3[[#This Row],[Site]],Table35[#All],4,FALSE)</f>
        <v>-</v>
      </c>
      <c r="O118" s="34" t="str">
        <f>VLOOKUP(Tabla3[[#This Row],[Site]],Table35[#All],5,FALSE)</f>
        <v>-</v>
      </c>
      <c r="P118" s="34" t="str">
        <f>VLOOKUP(Tabla3[[#This Row],[Site]],Table35[#All],6,FALSE)</f>
        <v>24, 39</v>
      </c>
      <c r="Q118" s="34" t="str">
        <f>VLOOKUP(Tabla3[[#This Row],[Site]],Table35[#All],8,FALSE)</f>
        <v>159</v>
      </c>
      <c r="R118"/>
    </row>
    <row r="119" spans="1:18" hidden="1" x14ac:dyDescent="0.25">
      <c r="A119" t="str">
        <f>+Tabla3[[#This Row],[Site]]&amp;Tabla3[[#This Row],[Split]]</f>
        <v>(TC) Lamborghini South Dade2</v>
      </c>
      <c r="B119">
        <v>2</v>
      </c>
      <c r="C119">
        <v>2</v>
      </c>
      <c r="D119" t="s">
        <v>237</v>
      </c>
      <c r="E119" t="str">
        <f>VLOOKUP(Tabla3[[#This Row],[Site]],Table35[],10,FALSE)</f>
        <v>9:00 P.M.</v>
      </c>
      <c r="F119" t="str">
        <f>VLOOKUP(Tabla3[[#This Row],[Site]],Table35[],11,FALSE)</f>
        <v>ET</v>
      </c>
      <c r="G119" t="str">
        <f>VLOOKUP(Tabla3[[#This Row],[Site]],Table35[],12,FALSE)</f>
        <v>5:00 A.M.</v>
      </c>
      <c r="H119" t="str">
        <f>VLOOKUP(Tabla3[[#This Row],[Site]],Table35[],13,FALSE)</f>
        <v>-</v>
      </c>
      <c r="I119" s="70" t="str">
        <f>HYPERLINK(VLOOKUP(Tabla3[[#This Row],[Site]],Table35[#All],9,FALSE))</f>
        <v>https://tools.sig.systems/site/details/313</v>
      </c>
      <c r="J119">
        <f>VLOOKUP(Tabla3[[#This Row],[Site]],Table35[],14,FALSE)</f>
        <v>0</v>
      </c>
      <c r="L119" s="34" t="str">
        <f>VLOOKUP(Tabla3[[#This Row],[Site]],Table35[#All],2,FALSE)</f>
        <v>-</v>
      </c>
      <c r="M119" s="34" t="str">
        <f>VLOOKUP(Tabla3[[#This Row],[Site]],Table35[#All],3,FALSE)</f>
        <v>9, 11</v>
      </c>
      <c r="N119" s="34" t="str">
        <f>VLOOKUP(Tabla3[[#This Row],[Site]],Table35[#All],4,FALSE)</f>
        <v>-</v>
      </c>
      <c r="O119" s="34" t="str">
        <f>VLOOKUP(Tabla3[[#This Row],[Site]],Table35[#All],5,FALSE)</f>
        <v>-</v>
      </c>
      <c r="P119" s="34" t="str">
        <f>VLOOKUP(Tabla3[[#This Row],[Site]],Table35[#All],6,FALSE)</f>
        <v>-</v>
      </c>
      <c r="Q119" s="34" t="str">
        <f>VLOOKUP(Tabla3[[#This Row],[Site]],Table35[#All],8,FALSE)</f>
        <v>313</v>
      </c>
      <c r="R119"/>
    </row>
    <row r="120" spans="1:18" hidden="1" x14ac:dyDescent="0.25">
      <c r="A120" t="str">
        <f>+Tabla3[[#This Row],[Site]]&amp;Tabla3[[#This Row],[Split]]</f>
        <v>(AS) Coggin BMW Ft. Pierce (NO TOURS)3</v>
      </c>
      <c r="B120">
        <v>3</v>
      </c>
      <c r="C120">
        <v>1</v>
      </c>
      <c r="D120" t="s">
        <v>122</v>
      </c>
      <c r="E120" t="str">
        <f>VLOOKUP(Tabla3[[#This Row],[Site]],Table35[],10,FALSE)</f>
        <v>9:00 P.M.</v>
      </c>
      <c r="F120" t="str">
        <f>VLOOKUP(Tabla3[[#This Row],[Site]],Table35[],11,FALSE)</f>
        <v>ET</v>
      </c>
      <c r="G120" t="str">
        <f>VLOOKUP(Tabla3[[#This Row],[Site]],Table35[],12,FALSE)</f>
        <v>5:00 A.M.</v>
      </c>
      <c r="H120" t="str">
        <f>VLOOKUP(Tabla3[[#This Row],[Site]],Table35[],13,FALSE)</f>
        <v>-</v>
      </c>
      <c r="I120" s="70" t="str">
        <f>HYPERLINK(VLOOKUP(Tabla3[[#This Row],[Site]],Table35[#All],9,FALSE))</f>
        <v>https://tools.sig.systems/site/details/119</v>
      </c>
      <c r="J120" t="str">
        <f>VLOOKUP(Tabla3[[#This Row],[Site]],Table35[],14,FALSE)</f>
        <v>https://www.google.com/maps/d/viewer?mid=1AyViBuyeq7iwDua1SVudJ2A1BYi3IBA&amp;ll=27.38181516363982%2C-80.32568845000002&amp;z=18</v>
      </c>
      <c r="L120" s="34" t="str">
        <f>VLOOKUP(Tabla3[[#This Row],[Site]],Table35[#All],2,FALSE)</f>
        <v>3, 10, 13</v>
      </c>
      <c r="M120" s="34" t="str">
        <f>VLOOKUP(Tabla3[[#This Row],[Site]],Table35[#All],3,FALSE)</f>
        <v>-</v>
      </c>
      <c r="N120" s="34" t="str">
        <f>VLOOKUP(Tabla3[[#This Row],[Site]],Table35[#All],4,FALSE)</f>
        <v>-</v>
      </c>
      <c r="O120" s="34">
        <f>VLOOKUP(Tabla3[[#This Row],[Site]],Table35[#All],5,FALSE)</f>
        <v>2</v>
      </c>
      <c r="P120" s="34" t="str">
        <f>VLOOKUP(Tabla3[[#This Row],[Site]],Table35[#All],6,FALSE)</f>
        <v>1, 20, 27</v>
      </c>
      <c r="Q120" s="34" t="str">
        <f>VLOOKUP(Tabla3[[#This Row],[Site]],Table35[#All],8,FALSE)</f>
        <v>119</v>
      </c>
      <c r="R120"/>
    </row>
    <row r="121" spans="1:18" hidden="1" x14ac:dyDescent="0.25">
      <c r="A121" t="str">
        <f>+Tabla3[[#This Row],[Site]]&amp;Tabla3[[#This Row],[Split]]</f>
        <v>(AS) Coggin Collision Center of Kissimmee (NO TOURS)3</v>
      </c>
      <c r="B121">
        <v>3</v>
      </c>
      <c r="C121">
        <v>1</v>
      </c>
      <c r="D121" t="s">
        <v>288</v>
      </c>
      <c r="E121" t="str">
        <f>VLOOKUP(Tabla3[[#This Row],[Site]],Table35[],10,FALSE)</f>
        <v>9:00 P.M.</v>
      </c>
      <c r="F121" t="str">
        <f>VLOOKUP(Tabla3[[#This Row],[Site]],Table35[],11,FALSE)</f>
        <v>ET</v>
      </c>
      <c r="G121" t="str">
        <f>VLOOKUP(Tabla3[[#This Row],[Site]],Table35[],12,FALSE)</f>
        <v>5:00 A.M.</v>
      </c>
      <c r="H121" t="str">
        <f>VLOOKUP(Tabla3[[#This Row],[Site]],Table35[],13,FALSE)</f>
        <v>-</v>
      </c>
      <c r="I121" s="70" t="str">
        <f>HYPERLINK(VLOOKUP(Tabla3[[#This Row],[Site]],Table35[#All],9,FALSE))</f>
        <v>https://tools.sig.systems/site/details/331</v>
      </c>
      <c r="J121">
        <f>VLOOKUP(Tabla3[[#This Row],[Site]],Table35[],14,FALSE)</f>
        <v>0</v>
      </c>
      <c r="L121" s="34" t="str">
        <f>VLOOKUP(Tabla3[[#This Row],[Site]],Table35[#All],2,FALSE)</f>
        <v>1, 12</v>
      </c>
      <c r="M121" s="34" t="str">
        <f>VLOOKUP(Tabla3[[#This Row],[Site]],Table35[#All],3,FALSE)</f>
        <v>-</v>
      </c>
      <c r="N121" s="34" t="str">
        <f>VLOOKUP(Tabla3[[#This Row],[Site]],Table35[#All],4,FALSE)</f>
        <v>-</v>
      </c>
      <c r="O121" s="34" t="str">
        <f>VLOOKUP(Tabla3[[#This Row],[Site]],Table35[#All],5,FALSE)</f>
        <v>-</v>
      </c>
      <c r="P121" s="34" t="str">
        <f>VLOOKUP(Tabla3[[#This Row],[Site]],Table35[#All],6,FALSE)</f>
        <v>2, 7, 9</v>
      </c>
      <c r="Q121" s="34" t="str">
        <f>VLOOKUP(Tabla3[[#This Row],[Site]],Table35[#All],8,FALSE)</f>
        <v>331</v>
      </c>
      <c r="R121"/>
    </row>
    <row r="122" spans="1:18" hidden="1" x14ac:dyDescent="0.25">
      <c r="A122" t="str">
        <f>+Tabla3[[#This Row],[Site]]&amp;Tabla3[[#This Row],[Split]]</f>
        <v>(AS) Koons Annapolis Toyota (NO TOURS)3</v>
      </c>
      <c r="B122">
        <v>3</v>
      </c>
      <c r="C122">
        <v>1</v>
      </c>
      <c r="D122" t="s">
        <v>447</v>
      </c>
      <c r="E122" t="str">
        <f>VLOOKUP(Tabla3[[#This Row],[Site]],Table35[],10,FALSE)</f>
        <v>9:00 P.M.</v>
      </c>
      <c r="F122" t="str">
        <f>VLOOKUP(Tabla3[[#This Row],[Site]],Table35[],11,FALSE)</f>
        <v>ET</v>
      </c>
      <c r="G122" t="str">
        <f>VLOOKUP(Tabla3[[#This Row],[Site]],Table35[],12,FALSE)</f>
        <v>5:00 A.M.</v>
      </c>
      <c r="H122">
        <f>VLOOKUP(Tabla3[[#This Row],[Site]],Table35[],13,FALSE)</f>
        <v>0</v>
      </c>
      <c r="I122" s="70" t="str">
        <f>HYPERLINK(VLOOKUP(Tabla3[[#This Row],[Site]],Table35[#All],9,FALSE))</f>
        <v>https://tools.sig.systems/site/details/337</v>
      </c>
      <c r="J122" t="str">
        <f>VLOOKUP(Tabla3[[#This Row],[Site]],Table35[],14,FALSE)</f>
        <v>-</v>
      </c>
      <c r="L122" s="34">
        <f>VLOOKUP(Tabla3[[#This Row],[Site]],Table35[#All],2,FALSE)</f>
        <v>6</v>
      </c>
      <c r="M122" s="34" t="str">
        <f>VLOOKUP(Tabla3[[#This Row],[Site]],Table35[#All],3,FALSE)</f>
        <v>1, 6, 21</v>
      </c>
      <c r="N122" s="34" t="str">
        <f>VLOOKUP(Tabla3[[#This Row],[Site]],Table35[#All],4,FALSE)</f>
        <v>-</v>
      </c>
      <c r="O122" s="34" t="str">
        <f>VLOOKUP(Tabla3[[#This Row],[Site]],Table35[#All],5,FALSE)</f>
        <v>-</v>
      </c>
      <c r="P122" s="34" t="str">
        <f>VLOOKUP(Tabla3[[#This Row],[Site]],Table35[#All],6,FALSE)</f>
        <v>3, 5, 7, 19</v>
      </c>
      <c r="Q122" s="34" t="str">
        <f>VLOOKUP(Tabla3[[#This Row],[Site]],Table35[#All],8,FALSE)</f>
        <v>337</v>
      </c>
      <c r="R122"/>
    </row>
    <row r="123" spans="1:18" hidden="1" x14ac:dyDescent="0.25">
      <c r="A123" t="str">
        <f>+Tabla3[[#This Row],[Site]]&amp;Tabla3[[#This Row],[Split]]</f>
        <v>(AS) Koons Chevrolet Buick GMC - Clarksville (NO TOURS)3</v>
      </c>
      <c r="B123">
        <v>3</v>
      </c>
      <c r="C123">
        <v>1</v>
      </c>
      <c r="D123" t="s">
        <v>382</v>
      </c>
      <c r="E123" t="str">
        <f>VLOOKUP(Tabla3[[#This Row],[Site]],Table35[],10,FALSE)</f>
        <v>9:00 P.M.</v>
      </c>
      <c r="F123" t="str">
        <f>VLOOKUP(Tabla3[[#This Row],[Site]],Table35[],11,FALSE)</f>
        <v>ET</v>
      </c>
      <c r="G123" t="str">
        <f>VLOOKUP(Tabla3[[#This Row],[Site]],Table35[],12,FALSE)</f>
        <v>5:00 A.M.</v>
      </c>
      <c r="H123" t="str">
        <f>VLOOKUP(Tabla3[[#This Row],[Site]],Table35[],13,FALSE)</f>
        <v>10:00 A.M.</v>
      </c>
      <c r="I123" s="70" t="str">
        <f>HYPERLINK(VLOOKUP(Tabla3[[#This Row],[Site]],Table35[#All],9,FALSE))</f>
        <v>https://tools.sig.systems/site/details/306</v>
      </c>
      <c r="J123" t="str">
        <f>VLOOKUP(Tabla3[[#This Row],[Site]],Table35[],14,FALSE)</f>
        <v>https://www.google.com/maps/d/edit?hl=es&amp;mid=11XB1lTSP7EcDCDvzypdUPWP6bWCNAEI&amp;ll=39.21145022420528%2C-76.94003711910554&amp;z=17</v>
      </c>
      <c r="L123" s="34" t="str">
        <f>VLOOKUP(Tabla3[[#This Row],[Site]],Table35[#All],2,FALSE)</f>
        <v>-</v>
      </c>
      <c r="M123" s="34" t="str">
        <f>VLOOKUP(Tabla3[[#This Row],[Site]],Table35[#All],3,FALSE)</f>
        <v>1, 22, 26, 28, 29</v>
      </c>
      <c r="N123" s="34" t="str">
        <f>VLOOKUP(Tabla3[[#This Row],[Site]],Table35[#All],4,FALSE)</f>
        <v>-</v>
      </c>
      <c r="O123" s="34" t="str">
        <f>VLOOKUP(Tabla3[[#This Row],[Site]],Table35[#All],5,FALSE)</f>
        <v>-</v>
      </c>
      <c r="P123" s="34" t="str">
        <f>VLOOKUP(Tabla3[[#This Row],[Site]],Table35[#All],6,FALSE)</f>
        <v>3, 11, 15, 23</v>
      </c>
      <c r="Q123" s="34" t="str">
        <f>VLOOKUP(Tabla3[[#This Row],[Site]],Table35[#All],8,FALSE)</f>
        <v>306</v>
      </c>
      <c r="R123"/>
    </row>
    <row r="124" spans="1:18" hidden="1" x14ac:dyDescent="0.25">
      <c r="A124" t="str">
        <f>+Tabla3[[#This Row],[Site]]&amp;Tabla3[[#This Row],[Split]]</f>
        <v>(AS) Koons Chevrolet Buick GMC - Tysons (NO TOURS)3</v>
      </c>
      <c r="B124">
        <v>3</v>
      </c>
      <c r="C124">
        <v>1</v>
      </c>
      <c r="D124" t="s">
        <v>377</v>
      </c>
      <c r="E124" t="str">
        <f>VLOOKUP(Tabla3[[#This Row],[Site]],Table35[],10,FALSE)</f>
        <v>9:00 P.M.</v>
      </c>
      <c r="F124" t="str">
        <f>VLOOKUP(Tabla3[[#This Row],[Site]],Table35[],11,FALSE)</f>
        <v>ET</v>
      </c>
      <c r="G124" t="str">
        <f>VLOOKUP(Tabla3[[#This Row],[Site]],Table35[],12,FALSE)</f>
        <v>5:00 A.M.</v>
      </c>
      <c r="H124" t="str">
        <f>VLOOKUP(Tabla3[[#This Row],[Site]],Table35[],13,FALSE)</f>
        <v>10:00 A.M.</v>
      </c>
      <c r="I124" s="70" t="str">
        <f>HYPERLINK(VLOOKUP(Tabla3[[#This Row],[Site]],Table35[#All],9,FALSE))</f>
        <v>https://tools.sig.systems/site/details/352</v>
      </c>
      <c r="J124" t="str">
        <f>VLOOKUP(Tabla3[[#This Row],[Site]],Table35[],14,FALSE)</f>
        <v>-</v>
      </c>
      <c r="L124" s="34" t="str">
        <f>VLOOKUP(Tabla3[[#This Row],[Site]],Table35[#All],2,FALSE)</f>
        <v>-</v>
      </c>
      <c r="M124" s="34" t="str">
        <f>VLOOKUP(Tabla3[[#This Row],[Site]],Table35[#All],3,FALSE)</f>
        <v>3, 6</v>
      </c>
      <c r="N124" s="34" t="str">
        <f>VLOOKUP(Tabla3[[#This Row],[Site]],Table35[#All],4,FALSE)</f>
        <v>-</v>
      </c>
      <c r="O124" s="34">
        <f>VLOOKUP(Tabla3[[#This Row],[Site]],Table35[#All],5,FALSE)</f>
        <v>4</v>
      </c>
      <c r="P124" s="34" t="str">
        <f>VLOOKUP(Tabla3[[#This Row],[Site]],Table35[#All],6,FALSE)</f>
        <v xml:space="preserve">2, 9, 17 </v>
      </c>
      <c r="Q124" s="34" t="str">
        <f>VLOOKUP(Tabla3[[#This Row],[Site]],Table35[#All],8,FALSE)</f>
        <v>352</v>
      </c>
      <c r="R124"/>
    </row>
    <row r="125" spans="1:18" hidden="1" x14ac:dyDescent="0.25">
      <c r="A125" t="str">
        <f>+Tabla3[[#This Row],[Site]]&amp;Tabla3[[#This Row],[Split]]</f>
        <v>(AS) Koons Easton Toyota - Main Dealership (NO TOURS)3</v>
      </c>
      <c r="B125">
        <v>3</v>
      </c>
      <c r="C125">
        <v>1</v>
      </c>
      <c r="D125" t="s">
        <v>426</v>
      </c>
      <c r="E125" t="str">
        <f>VLOOKUP(Tabla3[[#This Row],[Site]],Table35[],10,FALSE)</f>
        <v>9:00 P.M.</v>
      </c>
      <c r="F125" t="str">
        <f>VLOOKUP(Tabla3[[#This Row],[Site]],Table35[],11,FALSE)</f>
        <v>ET</v>
      </c>
      <c r="G125" t="str">
        <f>VLOOKUP(Tabla3[[#This Row],[Site]],Table35[],12,FALSE)</f>
        <v>5:00 A.M.</v>
      </c>
      <c r="H125" t="str">
        <f>VLOOKUP(Tabla3[[#This Row],[Site]],Table35[],13,FALSE)</f>
        <v>-</v>
      </c>
      <c r="I125" s="70" t="str">
        <f>HYPERLINK(VLOOKUP(Tabla3[[#This Row],[Site]],Table35[#All],9,FALSE))</f>
        <v>https://tools.sig.systems/site/details/340</v>
      </c>
      <c r="J125" t="str">
        <f>VLOOKUP(Tabla3[[#This Row],[Site]],Table35[],14,FALSE)</f>
        <v>-</v>
      </c>
      <c r="L125" s="34" t="str">
        <f>VLOOKUP(Tabla3[[#This Row],[Site]],Table35[#All],2,FALSE)</f>
        <v>-</v>
      </c>
      <c r="M125" s="34" t="str">
        <f>VLOOKUP(Tabla3[[#This Row],[Site]],Table35[#All],3,FALSE)</f>
        <v>4, 5</v>
      </c>
      <c r="N125" s="34" t="str">
        <f>VLOOKUP(Tabla3[[#This Row],[Site]],Table35[#All],4,FALSE)</f>
        <v>-</v>
      </c>
      <c r="O125" s="34" t="str">
        <f>VLOOKUP(Tabla3[[#This Row],[Site]],Table35[#All],5,FALSE)</f>
        <v>-</v>
      </c>
      <c r="P125" s="34" t="str">
        <f>VLOOKUP(Tabla3[[#This Row],[Site]],Table35[#All],6,FALSE)</f>
        <v>8, 15</v>
      </c>
      <c r="Q125" s="34" t="str">
        <f>VLOOKUP(Tabla3[[#This Row],[Site]],Table35[#All],8,FALSE)</f>
        <v>340</v>
      </c>
      <c r="R125"/>
    </row>
    <row r="126" spans="1:18" hidden="1" x14ac:dyDescent="0.25">
      <c r="A126" t="str">
        <f>+Tabla3[[#This Row],[Site]]&amp;Tabla3[[#This Row],[Split]]</f>
        <v>(AS) Koons Sterling Ford - Main Dealership (NO TOURS)3</v>
      </c>
      <c r="B126">
        <v>3</v>
      </c>
      <c r="C126">
        <v>1</v>
      </c>
      <c r="D126" t="s">
        <v>408</v>
      </c>
      <c r="E126" t="str">
        <f>VLOOKUP(Tabla3[[#This Row],[Site]],Table35[],10,FALSE)</f>
        <v>9:00 P.M.</v>
      </c>
      <c r="F126" t="str">
        <f>VLOOKUP(Tabla3[[#This Row],[Site]],Table35[],11,FALSE)</f>
        <v>ET</v>
      </c>
      <c r="G126" t="str">
        <f>VLOOKUP(Tabla3[[#This Row],[Site]],Table35[],12,FALSE)</f>
        <v>5:00 A.M.</v>
      </c>
      <c r="H126" t="str">
        <f>VLOOKUP(Tabla3[[#This Row],[Site]],Table35[],13,FALSE)</f>
        <v>10:00 A.M.</v>
      </c>
      <c r="I126" s="70" t="str">
        <f>HYPERLINK(VLOOKUP(Tabla3[[#This Row],[Site]],Table35[#All],9,FALSE))</f>
        <v>https://tools.sig.systems/site/details/348</v>
      </c>
      <c r="J126">
        <f>VLOOKUP(Tabla3[[#This Row],[Site]],Table35[],14,FALSE)</f>
        <v>0</v>
      </c>
      <c r="L126" s="34">
        <f>VLOOKUP(Tabla3[[#This Row],[Site]],Table35[#All],2,FALSE)</f>
        <v>19</v>
      </c>
      <c r="M126" s="34">
        <f>VLOOKUP(Tabla3[[#This Row],[Site]],Table35[#All],3,FALSE)</f>
        <v>3</v>
      </c>
      <c r="N126" s="34" t="str">
        <f>VLOOKUP(Tabla3[[#This Row],[Site]],Table35[#All],4,FALSE)</f>
        <v>-</v>
      </c>
      <c r="O126" s="34" t="str">
        <f>VLOOKUP(Tabla3[[#This Row],[Site]],Table35[#All],5,FALSE)</f>
        <v>4, 21</v>
      </c>
      <c r="P126" s="34" t="str">
        <f>VLOOKUP(Tabla3[[#This Row],[Site]],Table35[#All],6,FALSE)</f>
        <v>7, 8</v>
      </c>
      <c r="Q126" s="34" t="str">
        <f>VLOOKUP(Tabla3[[#This Row],[Site]],Table35[#All],8,FALSE)</f>
        <v>348</v>
      </c>
      <c r="R126"/>
    </row>
    <row r="127" spans="1:18" hidden="1" x14ac:dyDescent="0.25">
      <c r="A127" t="str">
        <f>+Tabla3[[#This Row],[Site]]&amp;Tabla3[[#This Row],[Split]]</f>
        <v>(AS) Koons Woodbridge Kia (NO TOURS)3</v>
      </c>
      <c r="B127">
        <v>3</v>
      </c>
      <c r="C127">
        <v>1</v>
      </c>
      <c r="D127" t="s">
        <v>407</v>
      </c>
      <c r="E127" t="str">
        <f>VLOOKUP(Tabla3[[#This Row],[Site]],Table35[],10,FALSE)</f>
        <v>9:00 P.M.</v>
      </c>
      <c r="F127" t="str">
        <f>VLOOKUP(Tabla3[[#This Row],[Site]],Table35[],11,FALSE)</f>
        <v>ET</v>
      </c>
      <c r="G127" t="str">
        <f>VLOOKUP(Tabla3[[#This Row],[Site]],Table35[],12,FALSE)</f>
        <v>5:00 A.M.</v>
      </c>
      <c r="H127" t="str">
        <f>VLOOKUP(Tabla3[[#This Row],[Site]],Table35[],13,FALSE)</f>
        <v>10:00 A.M.</v>
      </c>
      <c r="I127" s="70" t="str">
        <f>HYPERLINK(VLOOKUP(Tabla3[[#This Row],[Site]],Table35[#All],9,FALSE))</f>
        <v>https://tools.sig.systems/site/details/346</v>
      </c>
      <c r="J127" t="str">
        <f>VLOOKUP(Tabla3[[#This Row],[Site]],Table35[],14,FALSE)</f>
        <v>-</v>
      </c>
      <c r="L127" s="34" t="str">
        <f>VLOOKUP(Tabla3[[#This Row],[Site]],Table35[#All],2,FALSE)</f>
        <v>-</v>
      </c>
      <c r="M127" s="34">
        <f>VLOOKUP(Tabla3[[#This Row],[Site]],Table35[#All],3,FALSE)</f>
        <v>2</v>
      </c>
      <c r="N127" s="34" t="str">
        <f>VLOOKUP(Tabla3[[#This Row],[Site]],Table35[#All],4,FALSE)</f>
        <v>-</v>
      </c>
      <c r="O127" s="34" t="str">
        <f>VLOOKUP(Tabla3[[#This Row],[Site]],Table35[#All],5,FALSE)</f>
        <v>-</v>
      </c>
      <c r="P127" s="34">
        <f>VLOOKUP(Tabla3[[#This Row],[Site]],Table35[#All],6,FALSE)</f>
        <v>5</v>
      </c>
      <c r="Q127" s="34" t="str">
        <f>VLOOKUP(Tabla3[[#This Row],[Site]],Table35[#All],8,FALSE)</f>
        <v>346</v>
      </c>
      <c r="R127"/>
    </row>
    <row r="128" spans="1:18" hidden="1" x14ac:dyDescent="0.25">
      <c r="A128" t="str">
        <f>+Tabla3[[#This Row],[Site]]&amp;Tabla3[[#This Row],[Split]]</f>
        <v>(AS) Plaza Mercedes Benz West (NO TOURS)3</v>
      </c>
      <c r="B128">
        <v>3</v>
      </c>
      <c r="C128">
        <v>1</v>
      </c>
      <c r="D128" t="s">
        <v>396</v>
      </c>
      <c r="E128" t="str">
        <f>VLOOKUP(Tabla3[[#This Row],[Site]],Table35[],10,FALSE)</f>
        <v>10:00 P.M.</v>
      </c>
      <c r="F128" t="str">
        <f>VLOOKUP(Tabla3[[#This Row],[Site]],Table35[],11,FALSE)</f>
        <v>CT</v>
      </c>
      <c r="G128" t="str">
        <f>VLOOKUP(Tabla3[[#This Row],[Site]],Table35[],12,FALSE)</f>
        <v>6:00 A.M.</v>
      </c>
      <c r="H128" t="str">
        <f>VLOOKUP(Tabla3[[#This Row],[Site]],Table35[],13,FALSE)</f>
        <v>-</v>
      </c>
      <c r="I128" s="70" t="str">
        <f>HYPERLINK(VLOOKUP(Tabla3[[#This Row],[Site]],Table35[#All],9,FALSE))</f>
        <v>https://tools.sig.systems/site/details/349</v>
      </c>
      <c r="J128" t="str">
        <f>VLOOKUP(Tabla3[[#This Row],[Site]],Table35[],14,FALSE)</f>
        <v>-</v>
      </c>
      <c r="L128" s="34" t="str">
        <f>VLOOKUP(Tabla3[[#This Row],[Site]],Table35[#All],2,FALSE)</f>
        <v>-</v>
      </c>
      <c r="M128" s="34" t="str">
        <f>VLOOKUP(Tabla3[[#This Row],[Site]],Table35[#All],3,FALSE)</f>
        <v>1, 7</v>
      </c>
      <c r="N128" s="34" t="str">
        <f>VLOOKUP(Tabla3[[#This Row],[Site]],Table35[#All],4,FALSE)</f>
        <v>-</v>
      </c>
      <c r="O128" s="34">
        <f>VLOOKUP(Tabla3[[#This Row],[Site]],Table35[#All],5,FALSE)</f>
        <v>17</v>
      </c>
      <c r="P128" s="34" t="str">
        <f>VLOOKUP(Tabla3[[#This Row],[Site]],Table35[#All],6,FALSE)</f>
        <v>6, 21</v>
      </c>
      <c r="Q128" s="34" t="str">
        <f>VLOOKUP(Tabla3[[#This Row],[Site]],Table35[#All],8,FALSE)</f>
        <v>349</v>
      </c>
      <c r="R128"/>
    </row>
    <row r="129" spans="1:18" hidden="1" x14ac:dyDescent="0.25">
      <c r="A129" t="str">
        <f>+Tabla3[[#This Row],[Site]]&amp;Tabla3[[#This Row],[Split]]</f>
        <v>(DT) Charlotte3</v>
      </c>
      <c r="B129">
        <v>3</v>
      </c>
      <c r="C129">
        <v>1</v>
      </c>
      <c r="D129" t="s">
        <v>151</v>
      </c>
      <c r="E129" t="str">
        <f>VLOOKUP(Tabla3[[#This Row],[Site]],Table35[],10,FALSE)</f>
        <v>9:00 P.M.</v>
      </c>
      <c r="F129" t="str">
        <f>VLOOKUP(Tabla3[[#This Row],[Site]],Table35[],11,FALSE)</f>
        <v>ET</v>
      </c>
      <c r="G129" t="str">
        <f>VLOOKUP(Tabla3[[#This Row],[Site]],Table35[],12,FALSE)</f>
        <v>5:00 A.M.</v>
      </c>
      <c r="H129" t="str">
        <f>VLOOKUP(Tabla3[[#This Row],[Site]],Table35[],13,FALSE)</f>
        <v>-</v>
      </c>
      <c r="I129" s="70" t="str">
        <f>HYPERLINK(VLOOKUP(Tabla3[[#This Row],[Site]],Table35[#All],9,FALSE))</f>
        <v>https://tools.sig.systems/site/details/299</v>
      </c>
      <c r="J129">
        <f>VLOOKUP(Tabla3[[#This Row],[Site]],Table35[],14,FALSE)</f>
        <v>0</v>
      </c>
      <c r="L129" s="34" t="str">
        <f>VLOOKUP(Tabla3[[#This Row],[Site]],Table35[#All],2,FALSE)</f>
        <v>4, 25, 41</v>
      </c>
      <c r="M129" s="34" t="str">
        <f>VLOOKUP(Tabla3[[#This Row],[Site]],Table35[#All],3,FALSE)</f>
        <v>-</v>
      </c>
      <c r="N129" s="34" t="str">
        <f>VLOOKUP(Tabla3[[#This Row],[Site]],Table35[#All],4,FALSE)</f>
        <v>-</v>
      </c>
      <c r="O129" s="34" t="str">
        <f>VLOOKUP(Tabla3[[#This Row],[Site]],Table35[#All],5,FALSE)</f>
        <v xml:space="preserve">11, 32, 35 </v>
      </c>
      <c r="P129" s="34" t="str">
        <f>VLOOKUP(Tabla3[[#This Row],[Site]],Table35[#All],6,FALSE)</f>
        <v>6, 11, 18, 29, 34,  38, 39</v>
      </c>
      <c r="Q129" s="34" t="str">
        <f>VLOOKUP(Tabla3[[#This Row],[Site]],Table35[#All],8,FALSE)</f>
        <v>299</v>
      </c>
      <c r="R129"/>
    </row>
    <row r="130" spans="1:18" hidden="1" x14ac:dyDescent="0.25">
      <c r="A130" t="str">
        <f>+Tabla3[[#This Row],[Site]]&amp;Tabla3[[#This Row],[Split]]</f>
        <v>(KG) Big Star Hyundai Houston3</v>
      </c>
      <c r="B130">
        <v>3</v>
      </c>
      <c r="C130">
        <v>1</v>
      </c>
      <c r="D130" t="s">
        <v>129</v>
      </c>
      <c r="E130" t="str">
        <f>VLOOKUP(Tabla3[[#This Row],[Site]],Table35[],10,FALSE)</f>
        <v>10:00 P.M.</v>
      </c>
      <c r="F130" t="str">
        <f>VLOOKUP(Tabla3[[#This Row],[Site]],Table35[],11,FALSE)</f>
        <v>CT</v>
      </c>
      <c r="G130" t="str">
        <f>VLOOKUP(Tabla3[[#This Row],[Site]],Table35[],12,FALSE)</f>
        <v>6:00 A.M.</v>
      </c>
      <c r="H130" t="str">
        <f>VLOOKUP(Tabla3[[#This Row],[Site]],Table35[],13,FALSE)</f>
        <v>-</v>
      </c>
      <c r="I130" s="70" t="str">
        <f>HYPERLINK(VLOOKUP(Tabla3[[#This Row],[Site]],Table35[#All],9,FALSE))</f>
        <v>https://tools.sig.systems/site/details/287</v>
      </c>
      <c r="J130" t="str">
        <f>VLOOKUP(Tabla3[[#This Row],[Site]],Table35[],14,FALSE)</f>
        <v>https://www.google.com/maps/d/edit?hl=en&amp;mid=1jIRkMUnWNPuTgDjQgDP-f33LClT85NU&amp;ll=29.55731827236326%2C-95.1601644&amp;z=17</v>
      </c>
      <c r="L130" s="34" t="str">
        <f>VLOOKUP(Tabla3[[#This Row],[Site]],Table35[#All],2,FALSE)</f>
        <v>3, 12, 17</v>
      </c>
      <c r="M130" s="34" t="str">
        <f>VLOOKUP(Tabla3[[#This Row],[Site]],Table35[#All],3,FALSE)</f>
        <v>23, 35</v>
      </c>
      <c r="N130" s="34" t="str">
        <f>VLOOKUP(Tabla3[[#This Row],[Site]],Table35[#All],4,FALSE)</f>
        <v>-</v>
      </c>
      <c r="O130" s="34" t="str">
        <f>VLOOKUP(Tabla3[[#This Row],[Site]],Table35[#All],5,FALSE)</f>
        <v>1, 75</v>
      </c>
      <c r="P130" s="34" t="str">
        <f>VLOOKUP(Tabla3[[#This Row],[Site]],Table35[#All],6,FALSE)</f>
        <v xml:space="preserve">5, 11, 16, 20, 26, 30, 32, 34 </v>
      </c>
      <c r="Q130" s="34" t="str">
        <f>VLOOKUP(Tabla3[[#This Row],[Site]],Table35[#All],8,FALSE)</f>
        <v>287</v>
      </c>
      <c r="R130"/>
    </row>
    <row r="131" spans="1:18" hidden="1" x14ac:dyDescent="0.25">
      <c r="A131" t="str">
        <f>+Tabla3[[#This Row],[Site]]&amp;Tabla3[[#This Row],[Split]]</f>
        <v>(LT) Landers Kia of Little Rock3</v>
      </c>
      <c r="B131">
        <v>3</v>
      </c>
      <c r="C131">
        <v>1</v>
      </c>
      <c r="D131" t="s">
        <v>249</v>
      </c>
      <c r="E131" t="str">
        <f>VLOOKUP(Tabla3[[#This Row],[Site]],Table35[],10,FALSE)</f>
        <v>10:00 P.M.</v>
      </c>
      <c r="F131" t="str">
        <f>VLOOKUP(Tabla3[[#This Row],[Site]],Table35[],11,FALSE)</f>
        <v>CT</v>
      </c>
      <c r="G131" t="str">
        <f>VLOOKUP(Tabla3[[#This Row],[Site]],Table35[],12,FALSE)</f>
        <v>6:00 A.M.</v>
      </c>
      <c r="H131" t="str">
        <f>VLOOKUP(Tabla3[[#This Row],[Site]],Table35[],13,FALSE)</f>
        <v>-</v>
      </c>
      <c r="I131" s="70" t="str">
        <f>HYPERLINK(VLOOKUP(Tabla3[[#This Row],[Site]],Table35[#All],9,FALSE))</f>
        <v>https://tools.sig.systems/site/details/322</v>
      </c>
      <c r="J131" t="str">
        <f>VLOOKUP(Tabla3[[#This Row],[Site]],Table35[],14,FALSE)</f>
        <v>https://www.google.com/maps/d/u/1/edit?mid=1-zEzsc6U6nZom08edp0XAd3_HYFvAyk&amp;usp=sharing</v>
      </c>
      <c r="L131" s="34" t="str">
        <f>VLOOKUP(Tabla3[[#This Row],[Site]],Table35[#All],2,FALSE)</f>
        <v>5, 9, 33, 19</v>
      </c>
      <c r="M131" s="34" t="str">
        <f>VLOOKUP(Tabla3[[#This Row],[Site]],Table35[#All],3,FALSE)</f>
        <v>-</v>
      </c>
      <c r="N131" s="34" t="str">
        <f>VLOOKUP(Tabla3[[#This Row],[Site]],Table35[#All],4,FALSE)</f>
        <v>4, 10</v>
      </c>
      <c r="O131" s="34" t="str">
        <f>VLOOKUP(Tabla3[[#This Row],[Site]],Table35[#All],5,FALSE)</f>
        <v>1, 35</v>
      </c>
      <c r="P131" s="34" t="str">
        <f>VLOOKUP(Tabla3[[#This Row],[Site]],Table35[#All],6,FALSE)</f>
        <v>5, 9, 12, 14, 18, 26, 29</v>
      </c>
      <c r="Q131" s="34" t="str">
        <f>VLOOKUP(Tabla3[[#This Row],[Site]],Table35[#All],8,FALSE)</f>
        <v>322</v>
      </c>
      <c r="R131"/>
    </row>
    <row r="132" spans="1:18" hidden="1" x14ac:dyDescent="0.25">
      <c r="A132" t="str">
        <f>+Tabla3[[#This Row],[Site]]&amp;Tabla3[[#This Row],[Split]]</f>
        <v>(LT) Luther Burnsville Hyundai3</v>
      </c>
      <c r="B132">
        <v>3</v>
      </c>
      <c r="C132">
        <v>1</v>
      </c>
      <c r="D132" t="s">
        <v>284</v>
      </c>
      <c r="E132" t="str">
        <f>VLOOKUP(Tabla3[[#This Row],[Site]],Table35[],10,FALSE)</f>
        <v>10:00 P.M.</v>
      </c>
      <c r="F132" t="str">
        <f>VLOOKUP(Tabla3[[#This Row],[Site]],Table35[],11,FALSE)</f>
        <v>CT</v>
      </c>
      <c r="G132" t="str">
        <f>VLOOKUP(Tabla3[[#This Row],[Site]],Table35[],12,FALSE)</f>
        <v>6:00 A.M.</v>
      </c>
      <c r="H132" t="str">
        <f>VLOOKUP(Tabla3[[#This Row],[Site]],Table35[],13,FALSE)</f>
        <v>-</v>
      </c>
      <c r="I132" s="70" t="str">
        <f>HYPERLINK(VLOOKUP(Tabla3[[#This Row],[Site]],Table35[#All],9,FALSE))</f>
        <v>https://tools.sig.systems/site/details/307</v>
      </c>
      <c r="J132">
        <f>VLOOKUP(Tabla3[[#This Row],[Site]],Table35[],14,FALSE)</f>
        <v>0</v>
      </c>
      <c r="L132" s="34" t="str">
        <f>VLOOKUP(Tabla3[[#This Row],[Site]],Table35[#All],2,FALSE)</f>
        <v>-</v>
      </c>
      <c r="M132" s="34" t="str">
        <f>VLOOKUP(Tabla3[[#This Row],[Site]],Table35[#All],3,FALSE)</f>
        <v>6, 17</v>
      </c>
      <c r="N132" s="34" t="str">
        <f>VLOOKUP(Tabla3[[#This Row],[Site]],Table35[#All],4,FALSE)</f>
        <v>22, 21</v>
      </c>
      <c r="O132" s="34">
        <f>VLOOKUP(Tabla3[[#This Row],[Site]],Table35[#All],5,FALSE)</f>
        <v>7</v>
      </c>
      <c r="P132" s="34" t="str">
        <f>VLOOKUP(Tabla3[[#This Row],[Site]],Table35[#All],6,FALSE)</f>
        <v>2, 4, 16</v>
      </c>
      <c r="Q132" s="34" t="str">
        <f>VLOOKUP(Tabla3[[#This Row],[Site]],Table35[#All],8,FALSE)</f>
        <v>307</v>
      </c>
      <c r="R132"/>
    </row>
    <row r="133" spans="1:18" hidden="1" x14ac:dyDescent="0.25">
      <c r="A133" t="str">
        <f>+Tabla3[[#This Row],[Site]]&amp;Tabla3[[#This Row],[Split]]</f>
        <v>(LT) Luther North Country Ford3</v>
      </c>
      <c r="B133">
        <v>3</v>
      </c>
      <c r="C133">
        <v>1</v>
      </c>
      <c r="D133" t="s">
        <v>127</v>
      </c>
      <c r="E133" t="str">
        <f>VLOOKUP(Tabla3[[#This Row],[Site]],Table35[],10,FALSE)</f>
        <v>10:00 P.M.</v>
      </c>
      <c r="F133" t="str">
        <f>VLOOKUP(Tabla3[[#This Row],[Site]],Table35[],11,FALSE)</f>
        <v>CT</v>
      </c>
      <c r="G133" t="str">
        <f>VLOOKUP(Tabla3[[#This Row],[Site]],Table35[],12,FALSE)</f>
        <v>6:00 A.M.</v>
      </c>
      <c r="H133" t="str">
        <f>VLOOKUP(Tabla3[[#This Row],[Site]],Table35[],13,FALSE)</f>
        <v>-</v>
      </c>
      <c r="I133" s="70" t="str">
        <f>HYPERLINK(VLOOKUP(Tabla3[[#This Row],[Site]],Table35[#All],9,FALSE))</f>
        <v>https://tools.sig.systems/site/details/292</v>
      </c>
      <c r="J133">
        <f>VLOOKUP(Tabla3[[#This Row],[Site]],Table35[],14,FALSE)</f>
        <v>0</v>
      </c>
      <c r="L133" s="34" t="str">
        <f>VLOOKUP(Tabla3[[#This Row],[Site]],Table35[#All],2,FALSE)</f>
        <v>-</v>
      </c>
      <c r="M133" s="34" t="str">
        <f>VLOOKUP(Tabla3[[#This Row],[Site]],Table35[#All],3,FALSE)</f>
        <v>7, 14, 19</v>
      </c>
      <c r="N133" s="34" t="str">
        <f>VLOOKUP(Tabla3[[#This Row],[Site]],Table35[#All],4,FALSE)</f>
        <v>30, 31, 32</v>
      </c>
      <c r="O133" s="34" t="str">
        <f>VLOOKUP(Tabla3[[#This Row],[Site]],Table35[#All],5,FALSE)</f>
        <v>-</v>
      </c>
      <c r="P133" s="34" t="str">
        <f>VLOOKUP(Tabla3[[#This Row],[Site]],Table35[#All],6,FALSE)</f>
        <v>1, 4, 9, 13, 15, 16B, 25</v>
      </c>
      <c r="Q133" s="34" t="str">
        <f>VLOOKUP(Tabla3[[#This Row],[Site]],Table35[#All],8,FALSE)</f>
        <v>292</v>
      </c>
      <c r="R133"/>
    </row>
    <row r="134" spans="1:18" hidden="1" x14ac:dyDescent="0.25">
      <c r="A134" t="str">
        <f>+Tabla3[[#This Row],[Site]]&amp;Tabla3[[#This Row],[Split]]</f>
        <v>(LT) Luther St. Cloud Subaru3</v>
      </c>
      <c r="B134">
        <v>3</v>
      </c>
      <c r="C134">
        <v>1</v>
      </c>
      <c r="D134" t="s">
        <v>128</v>
      </c>
      <c r="E134" t="str">
        <f>VLOOKUP(Tabla3[[#This Row],[Site]],Table35[],10,FALSE)</f>
        <v>10:00 P.M.</v>
      </c>
      <c r="F134" t="str">
        <f>VLOOKUP(Tabla3[[#This Row],[Site]],Table35[],11,FALSE)</f>
        <v>CT</v>
      </c>
      <c r="G134" t="str">
        <f>VLOOKUP(Tabla3[[#This Row],[Site]],Table35[],12,FALSE)</f>
        <v>5:30 A.M.</v>
      </c>
      <c r="H134" t="str">
        <f>VLOOKUP(Tabla3[[#This Row],[Site]],Table35[],13,FALSE)</f>
        <v>-</v>
      </c>
      <c r="I134" s="70" t="str">
        <f>HYPERLINK(VLOOKUP(Tabla3[[#This Row],[Site]],Table35[#All],9,FALSE))</f>
        <v>https://tools.sig.systems/site/details/295</v>
      </c>
      <c r="J134">
        <f>VLOOKUP(Tabla3[[#This Row],[Site]],Table35[],14,FALSE)</f>
        <v>0</v>
      </c>
      <c r="L134" s="34" t="str">
        <f>VLOOKUP(Tabla3[[#This Row],[Site]],Table35[#All],2,FALSE)</f>
        <v>25, 31</v>
      </c>
      <c r="M134" s="34" t="str">
        <f>VLOOKUP(Tabla3[[#This Row],[Site]],Table35[#All],3,FALSE)</f>
        <v>9, 13, 20</v>
      </c>
      <c r="N134" s="34" t="str">
        <f>VLOOKUP(Tabla3[[#This Row],[Site]],Table35[#All],4,FALSE)</f>
        <v>38, 39, 40, 41</v>
      </c>
      <c r="O134" s="34">
        <f>VLOOKUP(Tabla3[[#This Row],[Site]],Table35[#All],5,FALSE)</f>
        <v>27</v>
      </c>
      <c r="P134" s="34" t="str">
        <f>VLOOKUP(Tabla3[[#This Row],[Site]],Table35[#All],6,FALSE)</f>
        <v>2, 6, 8, 11, 14, 19, 23, 26</v>
      </c>
      <c r="Q134" s="34" t="str">
        <f>VLOOKUP(Tabla3[[#This Row],[Site]],Table35[#All],8,FALSE)</f>
        <v>295</v>
      </c>
      <c r="R134"/>
    </row>
    <row r="135" spans="1:18" hidden="1" x14ac:dyDescent="0.25">
      <c r="A135" t="str">
        <f>+Tabla3[[#This Row],[Site]]&amp;Tabla3[[#This Row],[Split]]</f>
        <v>(ML) Joe Machens Hyundai3</v>
      </c>
      <c r="B135">
        <v>3</v>
      </c>
      <c r="C135">
        <v>1</v>
      </c>
      <c r="D135" t="s">
        <v>125</v>
      </c>
      <c r="E135" t="str">
        <f>VLOOKUP(Tabla3[[#This Row],[Site]],Table35[],10,FALSE)</f>
        <v>10:00 P.M.</v>
      </c>
      <c r="F135" t="str">
        <f>VLOOKUP(Tabla3[[#This Row],[Site]],Table35[],11,FALSE)</f>
        <v>CT</v>
      </c>
      <c r="G135" t="str">
        <f>VLOOKUP(Tabla3[[#This Row],[Site]],Table35[],12,FALSE)</f>
        <v>6:00 A.M.</v>
      </c>
      <c r="H135" t="str">
        <f>VLOOKUP(Tabla3[[#This Row],[Site]],Table35[],13,FALSE)</f>
        <v>-</v>
      </c>
      <c r="I135" s="70" t="str">
        <f>HYPERLINK(VLOOKUP(Tabla3[[#This Row],[Site]],Table35[#All],9,FALSE))</f>
        <v>https://tools.sig.systems/site/details/286</v>
      </c>
      <c r="J135" t="str">
        <f>VLOOKUP(Tabla3[[#This Row],[Site]],Table35[],14,FALSE)</f>
        <v>https://www.google.com/maps/d/viewer?hl=es&amp;mid=1C1oZdjH3dNvCvqdpIv_Lk0Yn1OCVn-4&amp;ll=38.965368114274455%2C-92.3405954&amp;z=15</v>
      </c>
      <c r="L135" s="34" t="str">
        <f>VLOOKUP(Tabla3[[#This Row],[Site]],Table35[#All],2,FALSE)</f>
        <v>-</v>
      </c>
      <c r="M135" s="34" t="str">
        <f>VLOOKUP(Tabla3[[#This Row],[Site]],Table35[#All],3,FALSE)</f>
        <v>3, 4, 14, 25</v>
      </c>
      <c r="N135" s="34" t="str">
        <f>VLOOKUP(Tabla3[[#This Row],[Site]],Table35[#All],4,FALSE)</f>
        <v>-</v>
      </c>
      <c r="O135" s="34">
        <f>VLOOKUP(Tabla3[[#This Row],[Site]],Table35[#All],5,FALSE)</f>
        <v>17</v>
      </c>
      <c r="P135" s="34" t="str">
        <f>VLOOKUP(Tabla3[[#This Row],[Site]],Table35[#All],6,FALSE)</f>
        <v>1, 11, 12, 13, 15</v>
      </c>
      <c r="Q135" s="34" t="str">
        <f>VLOOKUP(Tabla3[[#This Row],[Site]],Table35[#All],8,FALSE)</f>
        <v>286</v>
      </c>
      <c r="R135"/>
    </row>
    <row r="136" spans="1:18" hidden="1" x14ac:dyDescent="0.25">
      <c r="A136" t="str">
        <f>+Tabla3[[#This Row],[Site]]&amp;Tabla3[[#This Row],[Split]]</f>
        <v>(PE) BMW Service Center (NO TOURS)3</v>
      </c>
      <c r="B136">
        <v>3</v>
      </c>
      <c r="C136">
        <v>1</v>
      </c>
      <c r="D136" t="s">
        <v>39</v>
      </c>
      <c r="E136" t="str">
        <f>VLOOKUP(Tabla3[[#This Row],[Site]],Table35[],10,FALSE)</f>
        <v>8:00 P.M.</v>
      </c>
      <c r="F136" t="str">
        <f>VLOOKUP(Tabla3[[#This Row],[Site]],Table35[],11,FALSE)</f>
        <v>ET</v>
      </c>
      <c r="G136" t="str">
        <f>VLOOKUP(Tabla3[[#This Row],[Site]],Table35[],12,FALSE)</f>
        <v>5:00 A.M.</v>
      </c>
      <c r="H136" t="str">
        <f>VLOOKUP(Tabla3[[#This Row],[Site]],Table35[],13,FALSE)</f>
        <v>-</v>
      </c>
      <c r="I136" s="70" t="str">
        <f>HYPERLINK(VLOOKUP(Tabla3[[#This Row],[Site]],Table35[#All],9,FALSE))</f>
        <v>https://tools.sig.systems/site/details/184</v>
      </c>
      <c r="J136" t="str">
        <f>VLOOKUP(Tabla3[[#This Row],[Site]],Table35[],14,FALSE)</f>
        <v>https://www.google.com/maps/d/edit?hl=en&amp;mid=1UHmt7tH1ihTa85i0MfQIcTfVvIQg_vM&amp;ll=41.02423447529239%2C-73.63721502222738&amp;z=18</v>
      </c>
      <c r="L136" s="34">
        <f>VLOOKUP(Tabla3[[#This Row],[Site]],Table35[#All],2,FALSE)</f>
        <v>3</v>
      </c>
      <c r="M136" s="34" t="str">
        <f>VLOOKUP(Tabla3[[#This Row],[Site]],Table35[#All],3,FALSE)</f>
        <v>-</v>
      </c>
      <c r="N136" s="34" t="str">
        <f>VLOOKUP(Tabla3[[#This Row],[Site]],Table35[#All],4,FALSE)</f>
        <v>-</v>
      </c>
      <c r="O136" s="34" t="str">
        <f>VLOOKUP(Tabla3[[#This Row],[Site]],Table35[#All],5,FALSE)</f>
        <v>-</v>
      </c>
      <c r="P136" s="34" t="str">
        <f>VLOOKUP(Tabla3[[#This Row],[Site]],Table35[#All],6,FALSE)</f>
        <v xml:space="preserve">1, 2 </v>
      </c>
      <c r="Q136" s="34" t="str">
        <f>VLOOKUP(Tabla3[[#This Row],[Site]],Table35[#All],8,FALSE)</f>
        <v>184</v>
      </c>
      <c r="R136"/>
    </row>
    <row r="137" spans="1:18" hidden="1" x14ac:dyDescent="0.25">
      <c r="A137" t="str">
        <f>+Tabla3[[#This Row],[Site]]&amp;Tabla3[[#This Row],[Split]]</f>
        <v>(PE) JLR Darien (NO TOURS)3</v>
      </c>
      <c r="B137">
        <v>3</v>
      </c>
      <c r="C137">
        <v>1</v>
      </c>
      <c r="D137" t="s">
        <v>368</v>
      </c>
      <c r="E137" t="str">
        <f>VLOOKUP(Tabla3[[#This Row],[Site]],Table35[],10,FALSE)</f>
        <v>8:00 P.M.</v>
      </c>
      <c r="F137" t="str">
        <f>VLOOKUP(Tabla3[[#This Row],[Site]],Table35[],11,FALSE)</f>
        <v>ET</v>
      </c>
      <c r="G137" t="str">
        <f>VLOOKUP(Tabla3[[#This Row],[Site]],Table35[],12,FALSE)</f>
        <v>5:00 A.M.</v>
      </c>
      <c r="H137" t="str">
        <f>VLOOKUP(Tabla3[[#This Row],[Site]],Table35[],13,FALSE)</f>
        <v>-</v>
      </c>
      <c r="I137" s="70" t="str">
        <f>HYPERLINK(VLOOKUP(Tabla3[[#This Row],[Site]],Table35[#All],9,FALSE))</f>
        <v>https://tools.sig.systems/site/details/189</v>
      </c>
      <c r="J137" t="str">
        <f>VLOOKUP(Tabla3[[#This Row],[Site]],Table35[],14,FALSE)</f>
        <v>-</v>
      </c>
      <c r="L137" s="34" t="str">
        <f>VLOOKUP(Tabla3[[#This Row],[Site]],Table35[#All],2,FALSE)</f>
        <v>1, 13</v>
      </c>
      <c r="M137" s="34" t="str">
        <f>VLOOKUP(Tabla3[[#This Row],[Site]],Table35[#All],3,FALSE)</f>
        <v>-</v>
      </c>
      <c r="N137" s="34" t="str">
        <f>VLOOKUP(Tabla3[[#This Row],[Site]],Table35[#All],4,FALSE)</f>
        <v>-</v>
      </c>
      <c r="O137" s="34" t="str">
        <f>VLOOKUP(Tabla3[[#This Row],[Site]],Table35[#All],5,FALSE)</f>
        <v>-</v>
      </c>
      <c r="P137" s="34" t="str">
        <f>VLOOKUP(Tabla3[[#This Row],[Site]],Table35[#All],6,FALSE)</f>
        <v>-</v>
      </c>
      <c r="Q137" s="34" t="str">
        <f>VLOOKUP(Tabla3[[#This Row],[Site]],Table35[#All],8,FALSE)</f>
        <v>189</v>
      </c>
      <c r="R137"/>
    </row>
    <row r="138" spans="1:18" hidden="1" x14ac:dyDescent="0.25">
      <c r="A138" t="str">
        <f>+Tabla3[[#This Row],[Site]]&amp;Tabla3[[#This Row],[Split]]</f>
        <v>(PE) JLR Paramus (NO TOURS)3</v>
      </c>
      <c r="B138">
        <v>3</v>
      </c>
      <c r="C138">
        <v>1</v>
      </c>
      <c r="D138" t="s">
        <v>212</v>
      </c>
      <c r="E138" t="str">
        <f>VLOOKUP(Tabla3[[#This Row],[Site]],Table35[],10,FALSE)</f>
        <v>8:00 P.M.</v>
      </c>
      <c r="F138" t="str">
        <f>VLOOKUP(Tabla3[[#This Row],[Site]],Table35[],11,FALSE)</f>
        <v>ET</v>
      </c>
      <c r="G138" t="str">
        <f>VLOOKUP(Tabla3[[#This Row],[Site]],Table35[],12,FALSE)</f>
        <v>5:00 A.M.</v>
      </c>
      <c r="H138" t="str">
        <f>VLOOKUP(Tabla3[[#This Row],[Site]],Table35[],13,FALSE)</f>
        <v>-</v>
      </c>
      <c r="I138" s="70" t="str">
        <f>HYPERLINK(VLOOKUP(Tabla3[[#This Row],[Site]],Table35[#All],9,FALSE))</f>
        <v>https://tools.sig.systems/site/details/177</v>
      </c>
      <c r="J138">
        <f>VLOOKUP(Tabla3[[#This Row],[Site]],Table35[],14,FALSE)</f>
        <v>0</v>
      </c>
      <c r="L138" s="34" t="str">
        <f>VLOOKUP(Tabla3[[#This Row],[Site]],Table35[#All],2,FALSE)</f>
        <v>1, 17</v>
      </c>
      <c r="M138" s="34" t="str">
        <f>VLOOKUP(Tabla3[[#This Row],[Site]],Table35[#All],3,FALSE)</f>
        <v>-</v>
      </c>
      <c r="N138" s="34" t="str">
        <f>VLOOKUP(Tabla3[[#This Row],[Site]],Table35[#All],4,FALSE)</f>
        <v>-</v>
      </c>
      <c r="O138" s="34" t="str">
        <f>VLOOKUP(Tabla3[[#This Row],[Site]],Table35[#All],5,FALSE)</f>
        <v>-</v>
      </c>
      <c r="P138" s="34" t="str">
        <f>VLOOKUP(Tabla3[[#This Row],[Site]],Table35[#All],6,FALSE)</f>
        <v>1, 17</v>
      </c>
      <c r="Q138" s="34" t="str">
        <f>VLOOKUP(Tabla3[[#This Row],[Site]],Table35[#All],8,FALSE)</f>
        <v>177</v>
      </c>
      <c r="R138"/>
    </row>
    <row r="139" spans="1:18" hidden="1" x14ac:dyDescent="0.25">
      <c r="A139" t="str">
        <f>+Tabla3[[#This Row],[Site]]&amp;Tabla3[[#This Row],[Split]]</f>
        <v>(PE) Porsche Audi Fairfield (NO TOURS)3</v>
      </c>
      <c r="B139">
        <v>3</v>
      </c>
      <c r="C139">
        <v>1</v>
      </c>
      <c r="D139" t="s">
        <v>446</v>
      </c>
      <c r="E139" t="str">
        <f>VLOOKUP(Tabla3[[#This Row],[Site]],Table35[],10,FALSE)</f>
        <v>8:00 P.M.</v>
      </c>
      <c r="F139" t="str">
        <f>VLOOKUP(Tabla3[[#This Row],[Site]],Table35[],11,FALSE)</f>
        <v>ET</v>
      </c>
      <c r="G139" t="str">
        <f>VLOOKUP(Tabla3[[#This Row],[Site]],Table35[],12,FALSE)</f>
        <v>5:00 A.M.</v>
      </c>
      <c r="H139" t="str">
        <f>VLOOKUP(Tabla3[[#This Row],[Site]],Table35[],13,FALSE)</f>
        <v>-</v>
      </c>
      <c r="I139" s="70" t="str">
        <f>HYPERLINK(VLOOKUP(Tabla3[[#This Row],[Site]],Table35[#All],9,FALSE))</f>
        <v>https://tools.sig.systems/site/details/194</v>
      </c>
      <c r="J139" t="str">
        <f>VLOOKUP(Tabla3[[#This Row],[Site]],Table35[],14,FALSE)</f>
        <v>-</v>
      </c>
      <c r="L139" s="34" t="str">
        <f>VLOOKUP(Tabla3[[#This Row],[Site]],Table35[#All],2,FALSE)</f>
        <v>1, 18</v>
      </c>
      <c r="M139" s="34" t="str">
        <f>VLOOKUP(Tabla3[[#This Row],[Site]],Table35[#All],3,FALSE)</f>
        <v>-</v>
      </c>
      <c r="N139" s="34" t="str">
        <f>VLOOKUP(Tabla3[[#This Row],[Site]],Table35[#All],4,FALSE)</f>
        <v>-</v>
      </c>
      <c r="O139" s="34">
        <f>VLOOKUP(Tabla3[[#This Row],[Site]],Table35[#All],5,FALSE)</f>
        <v>20</v>
      </c>
      <c r="P139" s="34">
        <f>VLOOKUP(Tabla3[[#This Row],[Site]],Table35[#All],6,FALSE)</f>
        <v>15</v>
      </c>
      <c r="Q139" s="34">
        <f>VLOOKUP(Tabla3[[#This Row],[Site]],Table35[#All],8,FALSE)</f>
        <v>194</v>
      </c>
      <c r="R139"/>
    </row>
    <row r="140" spans="1:18" hidden="1" x14ac:dyDescent="0.25">
      <c r="A140" t="str">
        <f>+Tabla3[[#This Row],[Site]]&amp;Tabla3[[#This Row],[Split]]</f>
        <v>(TC) Lamborghini South Dade3</v>
      </c>
      <c r="B140">
        <v>3</v>
      </c>
      <c r="C140">
        <v>1</v>
      </c>
      <c r="D140" t="s">
        <v>237</v>
      </c>
      <c r="E140" t="str">
        <f>VLOOKUP(Tabla3[[#This Row],[Site]],Table35[],10,FALSE)</f>
        <v>9:00 P.M.</v>
      </c>
      <c r="F140" t="str">
        <f>VLOOKUP(Tabla3[[#This Row],[Site]],Table35[],11,FALSE)</f>
        <v>ET</v>
      </c>
      <c r="G140" t="str">
        <f>VLOOKUP(Tabla3[[#This Row],[Site]],Table35[],12,FALSE)</f>
        <v>5:00 A.M.</v>
      </c>
      <c r="H140" t="str">
        <f>VLOOKUP(Tabla3[[#This Row],[Site]],Table35[],13,FALSE)</f>
        <v>-</v>
      </c>
      <c r="I140" s="70" t="str">
        <f>HYPERLINK(VLOOKUP(Tabla3[[#This Row],[Site]],Table35[#All],9,FALSE))</f>
        <v>https://tools.sig.systems/site/details/313</v>
      </c>
      <c r="J140">
        <f>VLOOKUP(Tabla3[[#This Row],[Site]],Table35[],14,FALSE)</f>
        <v>0</v>
      </c>
      <c r="L140" s="34" t="str">
        <f>VLOOKUP(Tabla3[[#This Row],[Site]],Table35[#All],2,FALSE)</f>
        <v>-</v>
      </c>
      <c r="M140" s="34" t="str">
        <f>VLOOKUP(Tabla3[[#This Row],[Site]],Table35[#All],3,FALSE)</f>
        <v>9, 11</v>
      </c>
      <c r="N140" s="34" t="str">
        <f>VLOOKUP(Tabla3[[#This Row],[Site]],Table35[#All],4,FALSE)</f>
        <v>-</v>
      </c>
      <c r="O140" s="34" t="str">
        <f>VLOOKUP(Tabla3[[#This Row],[Site]],Table35[#All],5,FALSE)</f>
        <v>-</v>
      </c>
      <c r="P140" s="34" t="str">
        <f>VLOOKUP(Tabla3[[#This Row],[Site]],Table35[#All],6,FALSE)</f>
        <v>-</v>
      </c>
      <c r="Q140" s="34" t="str">
        <f>VLOOKUP(Tabla3[[#This Row],[Site]],Table35[#All],8,FALSE)</f>
        <v>313</v>
      </c>
      <c r="R140"/>
    </row>
    <row r="141" spans="1:18" hidden="1" x14ac:dyDescent="0.25">
      <c r="A141" t="str">
        <f>+Tabla3[[#This Row],[Site]]&amp;Tabla3[[#This Row],[Split]]</f>
        <v>Mario Residence3</v>
      </c>
      <c r="B141">
        <v>3</v>
      </c>
      <c r="C141">
        <v>1</v>
      </c>
      <c r="D141" t="s">
        <v>100</v>
      </c>
      <c r="E141" t="str">
        <f>VLOOKUP(Tabla3[[#This Row],[Site]],Table35[],10,FALSE)</f>
        <v>24H</v>
      </c>
      <c r="F141" t="str">
        <f>VLOOKUP(Tabla3[[#This Row],[Site]],Table35[],11,FALSE)</f>
        <v>ET</v>
      </c>
      <c r="G141" t="str">
        <f>VLOOKUP(Tabla3[[#This Row],[Site]],Table35[],12,FALSE)</f>
        <v>-</v>
      </c>
      <c r="H141" t="str">
        <f>VLOOKUP(Tabla3[[#This Row],[Site]],Table35[],13,FALSE)</f>
        <v>-</v>
      </c>
      <c r="I141" s="70" t="str">
        <f>HYPERLINK(VLOOKUP(Tabla3[[#This Row],[Site]],Table35[#All],9,FALSE))</f>
        <v>https://tools.sig.systems/site/details/148</v>
      </c>
      <c r="J141" t="str">
        <f>VLOOKUP(Tabla3[[#This Row],[Site]],Table35[],14,FALSE)</f>
        <v>https://www.google.com/maps/d/edit?hl=es&amp;mid=13OmECPqyeB7fXgZmEoM9cnG34HU_v5g&amp;ll=26.046837034777553%2C-80.38753458591658&amp;z=19</v>
      </c>
      <c r="L141" s="34" t="str">
        <f>VLOOKUP(Tabla3[[#This Row],[Site]],Table35[#All],2,FALSE)</f>
        <v>7, 8</v>
      </c>
      <c r="M141" s="34" t="str">
        <f>VLOOKUP(Tabla3[[#This Row],[Site]],Table35[#All],3,FALSE)</f>
        <v>7, 8</v>
      </c>
      <c r="N141" s="34" t="str">
        <f>VLOOKUP(Tabla3[[#This Row],[Site]],Table35[#All],4,FALSE)</f>
        <v>-</v>
      </c>
      <c r="O141" s="34" t="str">
        <f>VLOOKUP(Tabla3[[#This Row],[Site]],Table35[#All],5,FALSE)</f>
        <v>-</v>
      </c>
      <c r="P141" s="34" t="str">
        <f>VLOOKUP(Tabla3[[#This Row],[Site]],Table35[#All],6,FALSE)</f>
        <v>4,12,13</v>
      </c>
      <c r="Q141" s="34" t="str">
        <f>VLOOKUP(Tabla3[[#This Row],[Site]],Table35[#All],8,FALSE)</f>
        <v>148</v>
      </c>
      <c r="R141"/>
    </row>
    <row r="142" spans="1:18" hidden="1" x14ac:dyDescent="0.25">
      <c r="A142" t="str">
        <f>+Tabla3[[#This Row],[Site]]&amp;Tabla3[[#This Row],[Split]]</f>
        <v>(AS) 3281 Storage Lot (NO TOURS)3</v>
      </c>
      <c r="B142">
        <v>3</v>
      </c>
      <c r="C142">
        <v>2</v>
      </c>
      <c r="D142" t="s">
        <v>378</v>
      </c>
      <c r="E142" t="str">
        <f>VLOOKUP(Tabla3[[#This Row],[Site]],Table35[],10,FALSE)</f>
        <v>10:00 P.M.</v>
      </c>
      <c r="F142" t="str">
        <f>VLOOKUP(Tabla3[[#This Row],[Site]],Table35[],11,FALSE)</f>
        <v>CT</v>
      </c>
      <c r="G142" t="str">
        <f>VLOOKUP(Tabla3[[#This Row],[Site]],Table35[],12,FALSE)</f>
        <v>6:00 A.M.</v>
      </c>
      <c r="H142" t="str">
        <f>VLOOKUP(Tabla3[[#This Row],[Site]],Table35[],13,FALSE)</f>
        <v>-</v>
      </c>
      <c r="I142" s="70" t="str">
        <f>HYPERLINK(VLOOKUP(Tabla3[[#This Row],[Site]],Table35[#All],9,FALSE))</f>
        <v>https://tools.sig.systems/site/details/305</v>
      </c>
      <c r="J142" t="str">
        <f>VLOOKUP(Tabla3[[#This Row],[Site]],Table35[],14,FALSE)</f>
        <v>https://www.google.com/maps/d/edit?hl=es&amp;mid=1uPmsRMsXnp74hPFW2t-sp2totVWF_xY&amp;ll=32.83050137713022%2C-96.83197783061323&amp;z=17</v>
      </c>
      <c r="L142" s="34" t="str">
        <f>VLOOKUP(Tabla3[[#This Row],[Site]],Table35[#All],2,FALSE)</f>
        <v>-</v>
      </c>
      <c r="M142" s="34" t="str">
        <f>VLOOKUP(Tabla3[[#This Row],[Site]],Table35[#All],3,FALSE)</f>
        <v>2, 14</v>
      </c>
      <c r="N142" s="34" t="str">
        <f>VLOOKUP(Tabla3[[#This Row],[Site]],Table35[#All],4,FALSE)</f>
        <v>-</v>
      </c>
      <c r="O142" s="34" t="str">
        <f>VLOOKUP(Tabla3[[#This Row],[Site]],Table35[#All],5,FALSE)</f>
        <v>-</v>
      </c>
      <c r="P142" s="34" t="str">
        <f>VLOOKUP(Tabla3[[#This Row],[Site]],Table35[#All],6,FALSE)</f>
        <v>1, 3, 9, 10, 14</v>
      </c>
      <c r="Q142" s="34">
        <f>VLOOKUP(Tabla3[[#This Row],[Site]],Table35[#All],8,FALSE)</f>
        <v>305</v>
      </c>
      <c r="R142"/>
    </row>
    <row r="143" spans="1:18" hidden="1" x14ac:dyDescent="0.25">
      <c r="A143" t="str">
        <f>+Tabla3[[#This Row],[Site]]&amp;Tabla3[[#This Row],[Split]]</f>
        <v>(AS) Hare Chevrolet (NO TOURS)3</v>
      </c>
      <c r="B143">
        <v>3</v>
      </c>
      <c r="C143">
        <v>2</v>
      </c>
      <c r="D143" t="s">
        <v>379</v>
      </c>
      <c r="E143" t="str">
        <f>VLOOKUP(Tabla3[[#This Row],[Site]],Table35[],10,FALSE)</f>
        <v>9:00 P.M.</v>
      </c>
      <c r="F143" t="str">
        <f>VLOOKUP(Tabla3[[#This Row],[Site]],Table35[],11,FALSE)</f>
        <v>ET</v>
      </c>
      <c r="G143" t="str">
        <f>VLOOKUP(Tabla3[[#This Row],[Site]],Table35[],12,FALSE)</f>
        <v>5:00 A.M.</v>
      </c>
      <c r="H143" t="str">
        <f>VLOOKUP(Tabla3[[#This Row],[Site]],Table35[],13,FALSE)</f>
        <v>-</v>
      </c>
      <c r="I143" s="70" t="str">
        <f>HYPERLINK(VLOOKUP(Tabla3[[#This Row],[Site]],Table35[#All],9,FALSE))</f>
        <v>https://tools.sig.systems/site/details/301</v>
      </c>
      <c r="J143" t="str">
        <f>VLOOKUP(Tabla3[[#This Row],[Site]],Table35[],14,FALSE)</f>
        <v>https://www.google.com/maps/d/edit?mid=1hsX5GGrNcCQgAuzDCDz1OWgEkhsAc78&amp;usp=sharing</v>
      </c>
      <c r="L143" s="34" t="str">
        <f>VLOOKUP(Tabla3[[#This Row],[Site]],Table35[#All],2,FALSE)</f>
        <v>18, 24</v>
      </c>
      <c r="M143" s="34" t="str">
        <f>VLOOKUP(Tabla3[[#This Row],[Site]],Table35[#All],3,FALSE)</f>
        <v>2, 3</v>
      </c>
      <c r="N143" s="34" t="str">
        <f>VLOOKUP(Tabla3[[#This Row],[Site]],Table35[#All],4,FALSE)</f>
        <v>-</v>
      </c>
      <c r="O143" s="34">
        <f>VLOOKUP(Tabla3[[#This Row],[Site]],Table35[#All],5,FALSE)</f>
        <v>5</v>
      </c>
      <c r="P143" s="34" t="str">
        <f>VLOOKUP(Tabla3[[#This Row],[Site]],Table35[#All],6,FALSE)</f>
        <v>1, 5, 7, 8, 21, 29</v>
      </c>
      <c r="Q143" s="34" t="str">
        <f>VLOOKUP(Tabla3[[#This Row],[Site]],Table35[#All],8,FALSE)</f>
        <v>301</v>
      </c>
      <c r="R143"/>
    </row>
    <row r="144" spans="1:18" hidden="1" x14ac:dyDescent="0.25">
      <c r="A144" t="str">
        <f>+Tabla3[[#This Row],[Site]]&amp;Tabla3[[#This Row],[Split]]</f>
        <v>(AS) Koons Baltimore Ford - Main Dealership (NO TOURS)3</v>
      </c>
      <c r="B144">
        <v>3</v>
      </c>
      <c r="C144">
        <v>2</v>
      </c>
      <c r="D144" t="s">
        <v>357</v>
      </c>
      <c r="E144" t="str">
        <f>VLOOKUP(Tabla3[[#This Row],[Site]],Table35[],10,FALSE)</f>
        <v>9:00 P.M.</v>
      </c>
      <c r="F144" t="str">
        <f>VLOOKUP(Tabla3[[#This Row],[Site]],Table35[],11,FALSE)</f>
        <v>ET</v>
      </c>
      <c r="G144" t="str">
        <f>VLOOKUP(Tabla3[[#This Row],[Site]],Table35[],12,FALSE)</f>
        <v>5:00 A.M.</v>
      </c>
      <c r="H144" t="str">
        <f>VLOOKUP(Tabla3[[#This Row],[Site]],Table35[],13,FALSE)</f>
        <v>-</v>
      </c>
      <c r="I144" s="70" t="str">
        <f>HYPERLINK(VLOOKUP(Tabla3[[#This Row],[Site]],Table35[#All],9,FALSE))</f>
        <v>https://tools.sig.systems/site/details/335</v>
      </c>
      <c r="J144" t="str">
        <f>VLOOKUP(Tabla3[[#This Row],[Site]],Table35[],14,FALSE)</f>
        <v>-</v>
      </c>
      <c r="L144" s="34" t="str">
        <f>VLOOKUP(Tabla3[[#This Row],[Site]],Table35[#All],2,FALSE)</f>
        <v>21, 22, 24, 32, 45</v>
      </c>
      <c r="M144" s="34">
        <f>VLOOKUP(Tabla3[[#This Row],[Site]],Table35[#All],3,FALSE)</f>
        <v>1</v>
      </c>
      <c r="N144" s="34" t="str">
        <f>VLOOKUP(Tabla3[[#This Row],[Site]],Table35[#All],4,FALSE)</f>
        <v>-</v>
      </c>
      <c r="O144" s="34" t="str">
        <f>VLOOKUP(Tabla3[[#This Row],[Site]],Table35[#All],5,FALSE)</f>
        <v>1, 8</v>
      </c>
      <c r="P144" s="34" t="str">
        <f>VLOOKUP(Tabla3[[#This Row],[Site]],Table35[#All],6,FALSE)</f>
        <v>5, 28, 38</v>
      </c>
      <c r="Q144" s="34" t="str">
        <f>VLOOKUP(Tabla3[[#This Row],[Site]],Table35[#All],8,FALSE)</f>
        <v>335</v>
      </c>
      <c r="R144"/>
    </row>
    <row r="145" spans="1:18" hidden="1" x14ac:dyDescent="0.25">
      <c r="A145" t="str">
        <f>+Tabla3[[#This Row],[Site]]&amp;Tabla3[[#This Row],[Split]]</f>
        <v>(AS) Koons Chevrolet Buick GMC - Clarksville Remote Lot (NO TOURS)3</v>
      </c>
      <c r="B145">
        <v>3</v>
      </c>
      <c r="C145">
        <v>2</v>
      </c>
      <c r="D145" t="s">
        <v>415</v>
      </c>
      <c r="E145" t="str">
        <f>VLOOKUP(Tabla3[[#This Row],[Site]],Table35[],10,FALSE)</f>
        <v>9:00 P.M.</v>
      </c>
      <c r="F145" t="str">
        <f>VLOOKUP(Tabla3[[#This Row],[Site]],Table35[],11,FALSE)</f>
        <v>ET</v>
      </c>
      <c r="G145" t="str">
        <f>VLOOKUP(Tabla3[[#This Row],[Site]],Table35[],12,FALSE)</f>
        <v>5:00 A.M.</v>
      </c>
      <c r="H145" t="str">
        <f>VLOOKUP(Tabla3[[#This Row],[Site]],Table35[],13,FALSE)</f>
        <v>10:00 A.M.</v>
      </c>
      <c r="I145" s="70" t="str">
        <f>HYPERLINK(VLOOKUP(Tabla3[[#This Row],[Site]],Table35[#All],9,FALSE))</f>
        <v>https://tools.sig.systems/site/details/308</v>
      </c>
      <c r="J145" t="str">
        <f>VLOOKUP(Tabla3[[#This Row],[Site]],Table35[],14,FALSE)</f>
        <v>https://www.google.com/maps/d/edit?hl=es&amp;mid=11XB1lTSP7EcDCDvzypdUPWP6bWCNAEI&amp;ll=39.21145022420528%2C-76.94003711910554&amp;z=21</v>
      </c>
      <c r="L145" s="34" t="str">
        <f>VLOOKUP(Tabla3[[#This Row],[Site]],Table35[#All],2,FALSE)</f>
        <v>-</v>
      </c>
      <c r="M145" s="34" t="str">
        <f>VLOOKUP(Tabla3[[#This Row],[Site]],Table35[#All],3,FALSE)</f>
        <v>1, 5</v>
      </c>
      <c r="N145" s="34" t="str">
        <f>VLOOKUP(Tabla3[[#This Row],[Site]],Table35[#All],4,FALSE)</f>
        <v>-</v>
      </c>
      <c r="O145" s="34" t="str">
        <f>VLOOKUP(Tabla3[[#This Row],[Site]],Table35[#All],5,FALSE)</f>
        <v>-</v>
      </c>
      <c r="P145" s="34" t="str">
        <f>VLOOKUP(Tabla3[[#This Row],[Site]],Table35[#All],6,FALSE)</f>
        <v>14, 16</v>
      </c>
      <c r="Q145" s="34" t="str">
        <f>VLOOKUP(Tabla3[[#This Row],[Site]],Table35[#All],8,FALSE)</f>
        <v>308</v>
      </c>
      <c r="R145"/>
    </row>
    <row r="146" spans="1:18" hidden="1" x14ac:dyDescent="0.25">
      <c r="A146" t="str">
        <f>+Tabla3[[#This Row],[Site]]&amp;Tabla3[[#This Row],[Split]]</f>
        <v>(AS) Koons Chevrolet Buick GMC - Tysons Remote Lot (NO TOURS)3</v>
      </c>
      <c r="B146">
        <v>3</v>
      </c>
      <c r="C146">
        <v>2</v>
      </c>
      <c r="D146" t="s">
        <v>374</v>
      </c>
      <c r="E146" t="str">
        <f>VLOOKUP(Tabla3[[#This Row],[Site]],Table35[],10,FALSE)</f>
        <v>9:00 P.M.</v>
      </c>
      <c r="F146" t="str">
        <f>VLOOKUP(Tabla3[[#This Row],[Site]],Table35[],11,FALSE)</f>
        <v>ET</v>
      </c>
      <c r="G146" t="str">
        <f>VLOOKUP(Tabla3[[#This Row],[Site]],Table35[],12,FALSE)</f>
        <v>5:00 A.M.</v>
      </c>
      <c r="H146" t="str">
        <f>VLOOKUP(Tabla3[[#This Row],[Site]],Table35[],13,FALSE)</f>
        <v>-</v>
      </c>
      <c r="I146" s="70" t="str">
        <f>HYPERLINK(VLOOKUP(Tabla3[[#This Row],[Site]],Table35[#All],9,FALSE))</f>
        <v>https://tools.sig.systems/site/details/333</v>
      </c>
      <c r="J146" t="str">
        <f>VLOOKUP(Tabla3[[#This Row],[Site]],Table35[],14,FALSE)</f>
        <v>-</v>
      </c>
      <c r="L146" s="34" t="str">
        <f>VLOOKUP(Tabla3[[#This Row],[Site]],Table35[#All],2,FALSE)</f>
        <v>-</v>
      </c>
      <c r="M146" s="34">
        <f>VLOOKUP(Tabla3[[#This Row],[Site]],Table35[#All],3,FALSE)</f>
        <v>6</v>
      </c>
      <c r="N146" s="34" t="str">
        <f>VLOOKUP(Tabla3[[#This Row],[Site]],Table35[#All],4,FALSE)</f>
        <v>1, 2, 3</v>
      </c>
      <c r="O146" s="34" t="str">
        <f>VLOOKUP(Tabla3[[#This Row],[Site]],Table35[#All],5,FALSE)</f>
        <v>7, 10, 16, 29</v>
      </c>
      <c r="P146" s="34" t="str">
        <f>VLOOKUP(Tabla3[[#This Row],[Site]],Table35[#All],6,FALSE)</f>
        <v>14, 17, 30</v>
      </c>
      <c r="Q146" s="34" t="str">
        <f>VLOOKUP(Tabla3[[#This Row],[Site]],Table35[#All],8,FALSE)</f>
        <v>333</v>
      </c>
      <c r="R146"/>
    </row>
    <row r="147" spans="1:18" hidden="1" x14ac:dyDescent="0.25">
      <c r="A147" t="str">
        <f>+Tabla3[[#This Row],[Site]]&amp;Tabla3[[#This Row],[Split]]</f>
        <v>(AS) Koons Falls Church Ford (NO TOURS)3</v>
      </c>
      <c r="B147">
        <v>3</v>
      </c>
      <c r="C147">
        <v>2</v>
      </c>
      <c r="D147" t="s">
        <v>386</v>
      </c>
      <c r="E147" t="str">
        <f>VLOOKUP(Tabla3[[#This Row],[Site]],Table35[],10,FALSE)</f>
        <v>9:00 P.M.</v>
      </c>
      <c r="F147" t="str">
        <f>VLOOKUP(Tabla3[[#This Row],[Site]],Table35[],11,FALSE)</f>
        <v>ET</v>
      </c>
      <c r="G147" t="str">
        <f>VLOOKUP(Tabla3[[#This Row],[Site]],Table35[],12,FALSE)</f>
        <v>5:00 A.M.</v>
      </c>
      <c r="H147" t="str">
        <f>VLOOKUP(Tabla3[[#This Row],[Site]],Table35[],13,FALSE)</f>
        <v>10:00 A.M.</v>
      </c>
      <c r="I147" s="70" t="str">
        <f>HYPERLINK(VLOOKUP(Tabla3[[#This Row],[Site]],Table35[#All],9,FALSE))</f>
        <v>https://tools.sig.systems/site/details/345</v>
      </c>
      <c r="J147" t="str">
        <f>VLOOKUP(Tabla3[[#This Row],[Site]],Table35[],14,FALSE)</f>
        <v>-</v>
      </c>
      <c r="L147" s="34" t="str">
        <f>VLOOKUP(Tabla3[[#This Row],[Site]],Table35[#All],2,FALSE)</f>
        <v>-</v>
      </c>
      <c r="M147" s="34">
        <f>VLOOKUP(Tabla3[[#This Row],[Site]],Table35[#All],3,FALSE)</f>
        <v>1</v>
      </c>
      <c r="N147" s="34" t="str">
        <f>VLOOKUP(Tabla3[[#This Row],[Site]],Table35[#All],4,FALSE)</f>
        <v>-</v>
      </c>
      <c r="O147" s="34" t="str">
        <f>VLOOKUP(Tabla3[[#This Row],[Site]],Table35[#All],5,FALSE)</f>
        <v>-</v>
      </c>
      <c r="P147" s="34" t="str">
        <f>VLOOKUP(Tabla3[[#This Row],[Site]],Table35[#All],6,FALSE)</f>
        <v>-</v>
      </c>
      <c r="Q147" s="34" t="str">
        <f>VLOOKUP(Tabla3[[#This Row],[Site]],Table35[#All],8,FALSE)</f>
        <v>345</v>
      </c>
      <c r="R147"/>
    </row>
    <row r="148" spans="1:18" hidden="1" x14ac:dyDescent="0.25">
      <c r="A148" t="str">
        <f>+Tabla3[[#This Row],[Site]]&amp;Tabla3[[#This Row],[Split]]</f>
        <v>(AS) Koons Owings Mills Kia (NO TOURS)3</v>
      </c>
      <c r="B148">
        <v>3</v>
      </c>
      <c r="C148">
        <v>2</v>
      </c>
      <c r="D148" t="s">
        <v>416</v>
      </c>
      <c r="E148" t="str">
        <f>VLOOKUP(Tabla3[[#This Row],[Site]],Table35[],10,FALSE)</f>
        <v>9:00 P.M.</v>
      </c>
      <c r="F148" t="str">
        <f>VLOOKUP(Tabla3[[#This Row],[Site]],Table35[],11,FALSE)</f>
        <v>ET</v>
      </c>
      <c r="G148" t="str">
        <f>VLOOKUP(Tabla3[[#This Row],[Site]],Table35[],12,FALSE)</f>
        <v>5:00 A.M.</v>
      </c>
      <c r="H148" t="str">
        <f>VLOOKUP(Tabla3[[#This Row],[Site]],Table35[],13,FALSE)</f>
        <v>-</v>
      </c>
      <c r="I148" s="70" t="str">
        <f>HYPERLINK(VLOOKUP(Tabla3[[#This Row],[Site]],Table35[#All],9,FALSE))</f>
        <v>https://tools.sig.systems/site/details/336</v>
      </c>
      <c r="J148" t="str">
        <f>VLOOKUP(Tabla3[[#This Row],[Site]],Table35[],14,FALSE)</f>
        <v>-</v>
      </c>
      <c r="L148" s="34">
        <f>VLOOKUP(Tabla3[[#This Row],[Site]],Table35[#All],2,FALSE)</f>
        <v>12</v>
      </c>
      <c r="M148" s="34" t="str">
        <f>VLOOKUP(Tabla3[[#This Row],[Site]],Table35[#All],3,FALSE)</f>
        <v>2, 18</v>
      </c>
      <c r="N148" s="34" t="str">
        <f>VLOOKUP(Tabla3[[#This Row],[Site]],Table35[#All],4,FALSE)</f>
        <v>-</v>
      </c>
      <c r="O148" s="34" t="str">
        <f>VLOOKUP(Tabla3[[#This Row],[Site]],Table35[#All],5,FALSE)</f>
        <v>-</v>
      </c>
      <c r="P148" s="34" t="str">
        <f>VLOOKUP(Tabla3[[#This Row],[Site]],Table35[#All],6,FALSE)</f>
        <v>7, 14</v>
      </c>
      <c r="Q148" s="34" t="str">
        <f>VLOOKUP(Tabla3[[#This Row],[Site]],Table35[#All],8,FALSE)</f>
        <v>336</v>
      </c>
      <c r="R148"/>
    </row>
    <row r="149" spans="1:18" hidden="1" x14ac:dyDescent="0.25">
      <c r="A149" t="str">
        <f>+Tabla3[[#This Row],[Site]]&amp;Tabla3[[#This Row],[Split]]</f>
        <v>(AS) Koons Westminster Toyota (NO TOURS)3</v>
      </c>
      <c r="B149">
        <v>3</v>
      </c>
      <c r="C149">
        <v>2</v>
      </c>
      <c r="D149" t="s">
        <v>421</v>
      </c>
      <c r="E149" t="str">
        <f>VLOOKUP(Tabla3[[#This Row],[Site]],Table35[],10,FALSE)</f>
        <v>9:00 P.M.</v>
      </c>
      <c r="F149" t="str">
        <f>VLOOKUP(Tabla3[[#This Row],[Site]],Table35[],11,FALSE)</f>
        <v>ET</v>
      </c>
      <c r="G149" t="str">
        <f>VLOOKUP(Tabla3[[#This Row],[Site]],Table35[],12,FALSE)</f>
        <v>5:00 A.M.</v>
      </c>
      <c r="H149" t="str">
        <f>VLOOKUP(Tabla3[[#This Row],[Site]],Table35[],13,FALSE)</f>
        <v>-</v>
      </c>
      <c r="I149" s="70" t="str">
        <f>HYPERLINK(VLOOKUP(Tabla3[[#This Row],[Site]],Table35[#All],9,FALSE))</f>
        <v>https://tools.sig.systems/site/details/341</v>
      </c>
      <c r="J149" t="str">
        <f>VLOOKUP(Tabla3[[#This Row],[Site]],Table35[],14,FALSE)</f>
        <v>-</v>
      </c>
      <c r="L149" s="34" t="str">
        <f>VLOOKUP(Tabla3[[#This Row],[Site]],Table35[#All],2,FALSE)</f>
        <v>-</v>
      </c>
      <c r="M149" s="34" t="str">
        <f>VLOOKUP(Tabla3[[#This Row],[Site]],Table35[#All],3,FALSE)</f>
        <v>1, 10, 18, 25</v>
      </c>
      <c r="N149" s="34" t="str">
        <f>VLOOKUP(Tabla3[[#This Row],[Site]],Table35[#All],4,FALSE)</f>
        <v>-</v>
      </c>
      <c r="O149" s="34" t="str">
        <f>VLOOKUP(Tabla3[[#This Row],[Site]],Table35[#All],5,FALSE)</f>
        <v>-</v>
      </c>
      <c r="P149" s="34" t="str">
        <f>VLOOKUP(Tabla3[[#This Row],[Site]],Table35[#All],6,FALSE)</f>
        <v>8, 14</v>
      </c>
      <c r="Q149" s="34" t="str">
        <f>VLOOKUP(Tabla3[[#This Row],[Site]],Table35[#All],8,FALSE)</f>
        <v>341</v>
      </c>
      <c r="R149"/>
    </row>
    <row r="150" spans="1:18" hidden="1" x14ac:dyDescent="0.25">
      <c r="A150" t="str">
        <f>+Tabla3[[#This Row],[Site]]&amp;Tabla3[[#This Row],[Split]]</f>
        <v>(AS) Koons Woodbridge GMC (NO TOURS)3</v>
      </c>
      <c r="B150">
        <v>3</v>
      </c>
      <c r="C150">
        <v>2</v>
      </c>
      <c r="D150" t="s">
        <v>372</v>
      </c>
      <c r="E150" t="str">
        <f>VLOOKUP(Tabla3[[#This Row],[Site]],Table35[],10,FALSE)</f>
        <v>9:00 P.M.</v>
      </c>
      <c r="F150" t="str">
        <f>VLOOKUP(Tabla3[[#This Row],[Site]],Table35[],11,FALSE)</f>
        <v>ET</v>
      </c>
      <c r="G150" t="str">
        <f>VLOOKUP(Tabla3[[#This Row],[Site]],Table35[],12,FALSE)</f>
        <v>5:00 A.M.</v>
      </c>
      <c r="H150" t="str">
        <f>VLOOKUP(Tabla3[[#This Row],[Site]],Table35[],13,FALSE)</f>
        <v>10:00 A.M.</v>
      </c>
      <c r="I150" s="70" t="str">
        <f>HYPERLINK(VLOOKUP(Tabla3[[#This Row],[Site]],Table35[#All],9,FALSE))</f>
        <v>https://tools.sig.systems/site/details/343</v>
      </c>
      <c r="J150">
        <f>VLOOKUP(Tabla3[[#This Row],[Site]],Table35[],14,FALSE)</f>
        <v>0</v>
      </c>
      <c r="L150" s="34" t="str">
        <f>VLOOKUP(Tabla3[[#This Row],[Site]],Table35[#All],2,FALSE)</f>
        <v>-</v>
      </c>
      <c r="M150" s="34">
        <f>VLOOKUP(Tabla3[[#This Row],[Site]],Table35[#All],3,FALSE)</f>
        <v>1</v>
      </c>
      <c r="N150" s="34" t="str">
        <f>VLOOKUP(Tabla3[[#This Row],[Site]],Table35[#All],4,FALSE)</f>
        <v>-</v>
      </c>
      <c r="O150" s="34">
        <f>VLOOKUP(Tabla3[[#This Row],[Site]],Table35[#All],5,FALSE)</f>
        <v>11</v>
      </c>
      <c r="P150" s="34" t="str">
        <f>VLOOKUP(Tabla3[[#This Row],[Site]],Table35[#All],6,FALSE)</f>
        <v>2, 7</v>
      </c>
      <c r="Q150" s="34" t="str">
        <f>VLOOKUP(Tabla3[[#This Row],[Site]],Table35[#All],8,FALSE)</f>
        <v>343</v>
      </c>
      <c r="R150"/>
    </row>
    <row r="151" spans="1:18" hidden="1" x14ac:dyDescent="0.25">
      <c r="A151" t="str">
        <f>+Tabla3[[#This Row],[Site]]&amp;Tabla3[[#This Row],[Split]]</f>
        <v>(AS) Koons Woodbridge Hyundai (NO TOURS)3</v>
      </c>
      <c r="B151">
        <v>3</v>
      </c>
      <c r="C151">
        <v>2</v>
      </c>
      <c r="D151" t="s">
        <v>406</v>
      </c>
      <c r="E151" t="str">
        <f>VLOOKUP(Tabla3[[#This Row],[Site]],Table35[],10,FALSE)</f>
        <v>9:00 P.M.</v>
      </c>
      <c r="F151" t="str">
        <f>VLOOKUP(Tabla3[[#This Row],[Site]],Table35[],11,FALSE)</f>
        <v>ET</v>
      </c>
      <c r="G151" t="str">
        <f>VLOOKUP(Tabla3[[#This Row],[Site]],Table35[],12,FALSE)</f>
        <v>5:00 A.M.</v>
      </c>
      <c r="H151" t="str">
        <f>VLOOKUP(Tabla3[[#This Row],[Site]],Table35[],13,FALSE)</f>
        <v>8:00 A.M.</v>
      </c>
      <c r="I151" s="70" t="str">
        <f>HYPERLINK(VLOOKUP(Tabla3[[#This Row],[Site]],Table35[#All],9,FALSE))</f>
        <v>https://tools.sig.systems/site/details/347</v>
      </c>
      <c r="J151" t="str">
        <f>VLOOKUP(Tabla3[[#This Row],[Site]],Table35[],14,FALSE)</f>
        <v>-</v>
      </c>
      <c r="L151" s="34" t="str">
        <f>VLOOKUP(Tabla3[[#This Row],[Site]],Table35[#All],2,FALSE)</f>
        <v>-</v>
      </c>
      <c r="M151" s="34" t="str">
        <f>VLOOKUP(Tabla3[[#This Row],[Site]],Table35[#All],3,FALSE)</f>
        <v>1, 17</v>
      </c>
      <c r="N151" s="34" t="str">
        <f>VLOOKUP(Tabla3[[#This Row],[Site]],Table35[#All],4,FALSE)</f>
        <v>-</v>
      </c>
      <c r="O151" s="34" t="str">
        <f>VLOOKUP(Tabla3[[#This Row],[Site]],Table35[#All],5,FALSE)</f>
        <v>-</v>
      </c>
      <c r="P151" s="34" t="str">
        <f>VLOOKUP(Tabla3[[#This Row],[Site]],Table35[#All],6,FALSE)</f>
        <v>4, 14, 22</v>
      </c>
      <c r="Q151" s="34" t="str">
        <f>VLOOKUP(Tabla3[[#This Row],[Site]],Table35[#All],8,FALSE)</f>
        <v>347</v>
      </c>
      <c r="R151"/>
    </row>
    <row r="152" spans="1:18" hidden="1" x14ac:dyDescent="0.25">
      <c r="A152" t="str">
        <f>+Tabla3[[#This Row],[Site]]&amp;Tabla3[[#This Row],[Split]]</f>
        <v>(BRL) Shoemakersville3</v>
      </c>
      <c r="B152">
        <v>3</v>
      </c>
      <c r="C152">
        <v>2</v>
      </c>
      <c r="D152" t="s">
        <v>120</v>
      </c>
      <c r="E152" t="str">
        <f>VLOOKUP(Tabla3[[#This Row],[Site]],Table35[],10,FALSE)</f>
        <v>24H</v>
      </c>
      <c r="F152" t="str">
        <f>VLOOKUP(Tabla3[[#This Row],[Site]],Table35[],11,FALSE)</f>
        <v>ET</v>
      </c>
      <c r="G152" t="str">
        <f>VLOOKUP(Tabla3[[#This Row],[Site]],Table35[],12,FALSE)</f>
        <v>-</v>
      </c>
      <c r="H152" t="str">
        <f>VLOOKUP(Tabla3[[#This Row],[Site]],Table35[],13,FALSE)</f>
        <v>-</v>
      </c>
      <c r="I152" s="70" t="str">
        <f>HYPERLINK(VLOOKUP(Tabla3[[#This Row],[Site]],Table35[#All],9,FALSE))</f>
        <v>https://tools.sig.systems/site/details/302</v>
      </c>
      <c r="J152">
        <f>VLOOKUP(Tabla3[[#This Row],[Site]],Table35[],14,FALSE)</f>
        <v>0</v>
      </c>
      <c r="L152" s="34" t="str">
        <f>VLOOKUP(Tabla3[[#This Row],[Site]],Table35[#All],2,FALSE)</f>
        <v>-</v>
      </c>
      <c r="M152" s="34" t="str">
        <f>VLOOKUP(Tabla3[[#This Row],[Site]],Table35[#All],3,FALSE)</f>
        <v>8, 11</v>
      </c>
      <c r="N152" s="34" t="str">
        <f>VLOOKUP(Tabla3[[#This Row],[Site]],Table35[#All],4,FALSE)</f>
        <v>-</v>
      </c>
      <c r="O152" s="34" t="str">
        <f>VLOOKUP(Tabla3[[#This Row],[Site]],Table35[#All],5,FALSE)</f>
        <v>1, 6, 13A, 15, 18A</v>
      </c>
      <c r="P152" s="34" t="str">
        <f>VLOOKUP(Tabla3[[#This Row],[Site]],Table35[#All],6,FALSE)</f>
        <v>13B, 23</v>
      </c>
      <c r="Q152" s="34" t="str">
        <f>VLOOKUP(Tabla3[[#This Row],[Site]],Table35[#All],8,FALSE)</f>
        <v>302</v>
      </c>
      <c r="R152"/>
    </row>
    <row r="153" spans="1:18" hidden="1" x14ac:dyDescent="0.25">
      <c r="A153" t="str">
        <f>+Tabla3[[#This Row],[Site]]&amp;Tabla3[[#This Row],[Split]]</f>
        <v>(KG) Big Star Cadillac3</v>
      </c>
      <c r="B153">
        <v>3</v>
      </c>
      <c r="C153">
        <v>2</v>
      </c>
      <c r="D153" t="s">
        <v>240</v>
      </c>
      <c r="E153" t="str">
        <f>VLOOKUP(Tabla3[[#This Row],[Site]],Table35[],10,FALSE)</f>
        <v>10:00 P.M.</v>
      </c>
      <c r="F153" t="str">
        <f>VLOOKUP(Tabla3[[#This Row],[Site]],Table35[],11,FALSE)</f>
        <v>CT</v>
      </c>
      <c r="G153" t="str">
        <f>VLOOKUP(Tabla3[[#This Row],[Site]],Table35[],12,FALSE)</f>
        <v>6:00 A.M.</v>
      </c>
      <c r="H153" t="str">
        <f>VLOOKUP(Tabla3[[#This Row],[Site]],Table35[],13,FALSE)</f>
        <v>-</v>
      </c>
      <c r="I153" s="70" t="str">
        <f>HYPERLINK(VLOOKUP(Tabla3[[#This Row],[Site]],Table35[#All],9,FALSE))</f>
        <v>https://tools.sig.systems/site/details/316</v>
      </c>
      <c r="J153" t="str">
        <f>VLOOKUP(Tabla3[[#This Row],[Site]],Table35[],14,FALSE)</f>
        <v>https://www.google.com/maps/d/edit?mid=1jIRkMUnWNPuTgDjQgDP-f33LClT85NU&amp;usp=sharing</v>
      </c>
      <c r="L153" s="34" t="str">
        <f>VLOOKUP(Tabla3[[#This Row],[Site]],Table35[#All],2,FALSE)</f>
        <v>1, 4, 16</v>
      </c>
      <c r="M153" s="34" t="str">
        <f>VLOOKUP(Tabla3[[#This Row],[Site]],Table35[#All],3,FALSE)</f>
        <v>-</v>
      </c>
      <c r="N153" s="34" t="str">
        <f>VLOOKUP(Tabla3[[#This Row],[Site]],Table35[#All],4,FALSE)</f>
        <v>-</v>
      </c>
      <c r="O153" s="34" t="str">
        <f>VLOOKUP(Tabla3[[#This Row],[Site]],Table35[#All],5,FALSE)</f>
        <v>-</v>
      </c>
      <c r="P153" s="34" t="str">
        <f>VLOOKUP(Tabla3[[#This Row],[Site]],Table35[#All],6,FALSE)</f>
        <v>15, 16, 19, 20</v>
      </c>
      <c r="Q153" s="34" t="str">
        <f>VLOOKUP(Tabla3[[#This Row],[Site]],Table35[#All],8,FALSE)</f>
        <v>316</v>
      </c>
      <c r="R153"/>
    </row>
    <row r="154" spans="1:18" hidden="1" x14ac:dyDescent="0.25">
      <c r="A154" t="str">
        <f>+Tabla3[[#This Row],[Site]]&amp;Tabla3[[#This Row],[Split]]</f>
        <v>(KG) Ken Garff Kia of Avondale3</v>
      </c>
      <c r="B154">
        <v>3</v>
      </c>
      <c r="C154">
        <v>2</v>
      </c>
      <c r="D154" t="s">
        <v>300</v>
      </c>
      <c r="E154" t="str">
        <f>VLOOKUP(Tabla3[[#This Row],[Site]],Table35[],10,FALSE)</f>
        <v>12:00 A.M.</v>
      </c>
      <c r="F154" t="str">
        <f>VLOOKUP(Tabla3[[#This Row],[Site]],Table35[],11,FALSE)</f>
        <v>MST</v>
      </c>
      <c r="G154" t="str">
        <f>VLOOKUP(Tabla3[[#This Row],[Site]],Table35[],12,FALSE)</f>
        <v>8:00 A.M.</v>
      </c>
      <c r="H154" t="str">
        <f>VLOOKUP(Tabla3[[#This Row],[Site]],Table35[],13,FALSE)</f>
        <v>12:00 P.M.</v>
      </c>
      <c r="I154" s="70" t="str">
        <f>HYPERLINK(VLOOKUP(Tabla3[[#This Row],[Site]],Table35[#All],9,FALSE))</f>
        <v>https://tools.sig.systems/site/details/283</v>
      </c>
      <c r="J154" t="str">
        <f>VLOOKUP(Tabla3[[#This Row],[Site]],Table35[],14,FALSE)</f>
        <v>https://www.google.com/maps/d/viewer?mid=1bDs0QGFZwL3vEeGKxjVMk_j4azr0-lg&amp;ll=33.4593758581648%2C-112.28793780000001&amp;z=18</v>
      </c>
      <c r="L154" s="34" t="str">
        <f>VLOOKUP(Tabla3[[#This Row],[Site]],Table35[#All],2,FALSE)</f>
        <v>5, 19</v>
      </c>
      <c r="M154" s="34" t="str">
        <f>VLOOKUP(Tabla3[[#This Row],[Site]],Table35[#All],3,FALSE)</f>
        <v>-</v>
      </c>
      <c r="N154" s="34" t="str">
        <f>VLOOKUP(Tabla3[[#This Row],[Site]],Table35[#All],4,FALSE)</f>
        <v>-</v>
      </c>
      <c r="O154" s="34" t="str">
        <f>VLOOKUP(Tabla3[[#This Row],[Site]],Table35[#All],5,FALSE)</f>
        <v>3, 5</v>
      </c>
      <c r="P154" s="34" t="str">
        <f>VLOOKUP(Tabla3[[#This Row],[Site]],Table35[#All],6,FALSE)</f>
        <v>1, 6, 7, 12, 15, 17, 21</v>
      </c>
      <c r="Q154" s="34" t="str">
        <f>VLOOKUP(Tabla3[[#This Row],[Site]],Table35[#All],8,FALSE)</f>
        <v>283</v>
      </c>
      <c r="R154"/>
    </row>
    <row r="155" spans="1:18" hidden="1" x14ac:dyDescent="0.25">
      <c r="A155" t="str">
        <f>+Tabla3[[#This Row],[Site]]&amp;Tabla3[[#This Row],[Split]]</f>
        <v>(LT) Luther Bloomington Subaru - Acura3</v>
      </c>
      <c r="B155">
        <v>3</v>
      </c>
      <c r="C155">
        <v>2</v>
      </c>
      <c r="D155" t="s">
        <v>124</v>
      </c>
      <c r="E155" t="str">
        <f>VLOOKUP(Tabla3[[#This Row],[Site]],Table35[],10,FALSE)</f>
        <v>8:00 P.M.</v>
      </c>
      <c r="F155" t="str">
        <f>VLOOKUP(Tabla3[[#This Row],[Site]],Table35[],11,FALSE)</f>
        <v>CT</v>
      </c>
      <c r="G155" t="str">
        <f>VLOOKUP(Tabla3[[#This Row],[Site]],Table35[],12,FALSE)</f>
        <v>4:00 A.M.</v>
      </c>
      <c r="H155" t="str">
        <f>VLOOKUP(Tabla3[[#This Row],[Site]],Table35[],13,FALSE)</f>
        <v>-</v>
      </c>
      <c r="I155" s="70" t="str">
        <f>HYPERLINK(VLOOKUP(Tabla3[[#This Row],[Site]],Table35[#All],9,FALSE))</f>
        <v>https://tools.sig.systems/site/details/289</v>
      </c>
      <c r="J155">
        <f>VLOOKUP(Tabla3[[#This Row],[Site]],Table35[],14,FALSE)</f>
        <v>0</v>
      </c>
      <c r="L155" s="34">
        <f>VLOOKUP(Tabla3[[#This Row],[Site]],Table35[#All],2,FALSE)</f>
        <v>29</v>
      </c>
      <c r="M155" s="34" t="str">
        <f>VLOOKUP(Tabla3[[#This Row],[Site]],Table35[#All],3,FALSE)</f>
        <v>5, 8, 33</v>
      </c>
      <c r="N155" s="34" t="str">
        <f>VLOOKUP(Tabla3[[#This Row],[Site]],Table35[#All],4,FALSE)</f>
        <v>4, 7, 35</v>
      </c>
      <c r="O155" s="34" t="str">
        <f>VLOOKUP(Tabla3[[#This Row],[Site]],Table35[#All],5,FALSE)</f>
        <v>-</v>
      </c>
      <c r="P155" s="34" t="str">
        <f>VLOOKUP(Tabla3[[#This Row],[Site]],Table35[#All],6,FALSE)</f>
        <v xml:space="preserve">1, 2, 14, 24, 34  </v>
      </c>
      <c r="Q155" s="34" t="str">
        <f>VLOOKUP(Tabla3[[#This Row],[Site]],Table35[#All],8,FALSE)</f>
        <v>289</v>
      </c>
      <c r="R155"/>
    </row>
    <row r="156" spans="1:18" hidden="1" x14ac:dyDescent="0.25">
      <c r="A156" t="str">
        <f>+Tabla3[[#This Row],[Site]]&amp;Tabla3[[#This Row],[Split]]</f>
        <v>(LT) Luther Brookdale Honda (NO TOURS)3</v>
      </c>
      <c r="B156">
        <v>3</v>
      </c>
      <c r="C156">
        <v>2</v>
      </c>
      <c r="D156" t="s">
        <v>274</v>
      </c>
      <c r="E156" t="str">
        <f>VLOOKUP(Tabla3[[#This Row],[Site]],Table35[],10,FALSE)</f>
        <v>7:00 P.M.</v>
      </c>
      <c r="F156" t="str">
        <f>VLOOKUP(Tabla3[[#This Row],[Site]],Table35[],11,FALSE)</f>
        <v>CT</v>
      </c>
      <c r="G156" t="str">
        <f>VLOOKUP(Tabla3[[#This Row],[Site]],Table35[],12,FALSE)</f>
        <v>6:00 A.M.</v>
      </c>
      <c r="H156" t="str">
        <f>VLOOKUP(Tabla3[[#This Row],[Site]],Table35[],13,FALSE)</f>
        <v>-</v>
      </c>
      <c r="I156" s="70" t="str">
        <f>HYPERLINK(VLOOKUP(Tabla3[[#This Row],[Site]],Table35[#All],9,FALSE))</f>
        <v>https://tools.sig.systems/site/details/280</v>
      </c>
      <c r="J156" t="str">
        <f>VLOOKUP(Tabla3[[#This Row],[Site]],Table35[],14,FALSE)</f>
        <v>https://www.google.com/maps/d/viewer?mid=1ot0ILX76JMuvd9yMuqkb4_e0yH1n7TA&amp;ll=45.07815812965141%2C-93.33506855000002&amp;z=17</v>
      </c>
      <c r="L156" s="34" t="str">
        <f>VLOOKUP(Tabla3[[#This Row],[Site]],Table35[#All],2,FALSE)</f>
        <v>-</v>
      </c>
      <c r="M156" s="34" t="str">
        <f>VLOOKUP(Tabla3[[#This Row],[Site]],Table35[#All],3,FALSE)</f>
        <v>1, 21</v>
      </c>
      <c r="N156" s="34" t="str">
        <f>VLOOKUP(Tabla3[[#This Row],[Site]],Table35[#All],4,FALSE)</f>
        <v>38, 39, 40</v>
      </c>
      <c r="O156" s="34" t="str">
        <f>VLOOKUP(Tabla3[[#This Row],[Site]],Table35[#All],5,FALSE)</f>
        <v>2, 10, 19</v>
      </c>
      <c r="P156" s="34" t="str">
        <f>VLOOKUP(Tabla3[[#This Row],[Site]],Table35[#All],6,FALSE)</f>
        <v>4, 5, 7, 11, 13, 20, 24, 36</v>
      </c>
      <c r="Q156" s="34" t="str">
        <f>VLOOKUP(Tabla3[[#This Row],[Site]],Table35[#All],8,FALSE)</f>
        <v>280</v>
      </c>
      <c r="R156"/>
    </row>
    <row r="157" spans="1:18" hidden="1" x14ac:dyDescent="0.25">
      <c r="A157" t="str">
        <f>+Tabla3[[#This Row],[Site]]&amp;Tabla3[[#This Row],[Split]]</f>
        <v>(LT) Luther Genesis of Minneapolis3</v>
      </c>
      <c r="B157">
        <v>3</v>
      </c>
      <c r="C157">
        <v>2</v>
      </c>
      <c r="D157" t="s">
        <v>264</v>
      </c>
      <c r="E157" t="str">
        <f>VLOOKUP(Tabla3[[#This Row],[Site]],Table35[],10,FALSE)</f>
        <v>10:00 P.M.</v>
      </c>
      <c r="F157" t="str">
        <f>VLOOKUP(Tabla3[[#This Row],[Site]],Table35[],11,FALSE)</f>
        <v>CT</v>
      </c>
      <c r="G157" t="str">
        <f>VLOOKUP(Tabla3[[#This Row],[Site]],Table35[],12,FALSE)</f>
        <v>6:00 A.M.</v>
      </c>
      <c r="H157" t="str">
        <f>VLOOKUP(Tabla3[[#This Row],[Site]],Table35[],13,FALSE)</f>
        <v>-</v>
      </c>
      <c r="I157" s="70" t="str">
        <f>HYPERLINK(VLOOKUP(Tabla3[[#This Row],[Site]],Table35[#All],9,FALSE))</f>
        <v>https://tools.sig.systems/site/details/315</v>
      </c>
      <c r="J157">
        <f>VLOOKUP(Tabla3[[#This Row],[Site]],Table35[],14,FALSE)</f>
        <v>0</v>
      </c>
      <c r="L157" s="34" t="str">
        <f>VLOOKUP(Tabla3[[#This Row],[Site]],Table35[#All],2,FALSE)</f>
        <v>-</v>
      </c>
      <c r="M157" s="34" t="str">
        <f>VLOOKUP(Tabla3[[#This Row],[Site]],Table35[#All],3,FALSE)</f>
        <v>1,2,3,18</v>
      </c>
      <c r="N157" s="34" t="str">
        <f>VLOOKUP(Tabla3[[#This Row],[Site]],Table35[#All],4,FALSE)</f>
        <v>-</v>
      </c>
      <c r="O157" s="34" t="str">
        <f>VLOOKUP(Tabla3[[#This Row],[Site]],Table35[#All],5,FALSE)</f>
        <v>-</v>
      </c>
      <c r="P157" s="34" t="str">
        <f>VLOOKUP(Tabla3[[#This Row],[Site]],Table35[#All],6,FALSE)</f>
        <v>1,2,3,5,16,18</v>
      </c>
      <c r="Q157" s="34" t="str">
        <f>VLOOKUP(Tabla3[[#This Row],[Site]],Table35[#All],8,FALSE)</f>
        <v>315</v>
      </c>
      <c r="R157"/>
    </row>
    <row r="158" spans="1:18" hidden="1" x14ac:dyDescent="0.25">
      <c r="A158" t="str">
        <f>+Tabla3[[#This Row],[Site]]&amp;Tabla3[[#This Row],[Split]]</f>
        <v>(PE) JLR Englewood (NO TOURS)3</v>
      </c>
      <c r="B158">
        <v>3</v>
      </c>
      <c r="C158">
        <v>2</v>
      </c>
      <c r="D158" t="s">
        <v>218</v>
      </c>
      <c r="E158" t="str">
        <f>VLOOKUP(Tabla3[[#This Row],[Site]],Table35[],10,FALSE)</f>
        <v>8:00 P.M.</v>
      </c>
      <c r="F158" t="str">
        <f>VLOOKUP(Tabla3[[#This Row],[Site]],Table35[],11,FALSE)</f>
        <v>ET</v>
      </c>
      <c r="G158" t="str">
        <f>VLOOKUP(Tabla3[[#This Row],[Site]],Table35[],12,FALSE)</f>
        <v>5:00 A.M.</v>
      </c>
      <c r="H158" t="str">
        <f>VLOOKUP(Tabla3[[#This Row],[Site]],Table35[],13,FALSE)</f>
        <v>-</v>
      </c>
      <c r="I158" s="70" t="str">
        <f>HYPERLINK(VLOOKUP(Tabla3[[#This Row],[Site]],Table35[#All],9,FALSE))</f>
        <v>https://tools.sig.systems/site/details/178</v>
      </c>
      <c r="J158" t="str">
        <f>VLOOKUP(Tabla3[[#This Row],[Site]],Table35[],14,FALSE)</f>
        <v>https://www.google.com/maps/d/viewer?mid=1ubI2iKs1JyYXssuT4oLPnVvFnyLPi_s&amp;ll=40.878808846788026%2C-73.98560655&amp;z=17</v>
      </c>
      <c r="L158" s="34" t="str">
        <f>VLOOKUP(Tabla3[[#This Row],[Site]],Table35[#All],2,FALSE)</f>
        <v>1, 2</v>
      </c>
      <c r="M158" s="34" t="str">
        <f>VLOOKUP(Tabla3[[#This Row],[Site]],Table35[#All],3,FALSE)</f>
        <v>-</v>
      </c>
      <c r="N158" s="34" t="str">
        <f>VLOOKUP(Tabla3[[#This Row],[Site]],Table35[#All],4,FALSE)</f>
        <v>-</v>
      </c>
      <c r="O158" s="34" t="str">
        <f>VLOOKUP(Tabla3[[#This Row],[Site]],Table35[#All],5,FALSE)</f>
        <v>-</v>
      </c>
      <c r="P158" s="34" t="str">
        <f>VLOOKUP(Tabla3[[#This Row],[Site]],Table35[#All],6,FALSE)</f>
        <v>-</v>
      </c>
      <c r="Q158" s="34" t="str">
        <f>VLOOKUP(Tabla3[[#This Row],[Site]],Table35[#All],8,FALSE)</f>
        <v>178</v>
      </c>
      <c r="R158"/>
    </row>
    <row r="159" spans="1:18" hidden="1" x14ac:dyDescent="0.25">
      <c r="A159" t="str">
        <f>+Tabla3[[#This Row],[Site]]&amp;Tabla3[[#This Row],[Split]]</f>
        <v>(SCH) Schumacher of Delray I &amp; III3</v>
      </c>
      <c r="B159">
        <v>3</v>
      </c>
      <c r="C159">
        <v>2</v>
      </c>
      <c r="D159" t="s">
        <v>385</v>
      </c>
      <c r="E159" t="str">
        <f>VLOOKUP(Tabla3[[#This Row],[Site]],Table35[],10,FALSE)</f>
        <v>9:00 P.M.</v>
      </c>
      <c r="F159" t="str">
        <f>VLOOKUP(Tabla3[[#This Row],[Site]],Table35[],11,FALSE)</f>
        <v>ET</v>
      </c>
      <c r="G159" t="str">
        <f>VLOOKUP(Tabla3[[#This Row],[Site]],Table35[],12,FALSE)</f>
        <v>5:00 A.M.</v>
      </c>
      <c r="H159" t="str">
        <f>VLOOKUP(Tabla3[[#This Row],[Site]],Table35[],13,FALSE)</f>
        <v>11:00 A.M.</v>
      </c>
      <c r="I159" s="70" t="str">
        <f>HYPERLINK(VLOOKUP(Tabla3[[#This Row],[Site]],Table35[#All],9,FALSE))</f>
        <v>https://tools.sig.systems/site/details/159</v>
      </c>
      <c r="J159" t="str">
        <f>VLOOKUP(Tabla3[[#This Row],[Site]],Table35[],14,FALSE)</f>
        <v>https://www.google.com/maps/d/viewer?mid=1ZLGV-cDM9aCfovhmXHIAXgVOKts0dEI&amp;ll=26.438859950088858%2C-80.07968125000001&amp;z=16</v>
      </c>
      <c r="L159" s="34" t="str">
        <f>VLOOKUP(Tabla3[[#This Row],[Site]],Table35[#All],2,FALSE)</f>
        <v>11, 21, 22, 57, 69</v>
      </c>
      <c r="M159" s="34" t="str">
        <f>VLOOKUP(Tabla3[[#This Row],[Site]],Table35[#All],3,FALSE)</f>
        <v>2, 16, 46</v>
      </c>
      <c r="N159" s="34" t="str">
        <f>VLOOKUP(Tabla3[[#This Row],[Site]],Table35[#All],4,FALSE)</f>
        <v>-</v>
      </c>
      <c r="O159" s="34" t="str">
        <f>VLOOKUP(Tabla3[[#This Row],[Site]],Table35[#All],5,FALSE)</f>
        <v>-</v>
      </c>
      <c r="P159" s="34" t="str">
        <f>VLOOKUP(Tabla3[[#This Row],[Site]],Table35[#All],6,FALSE)</f>
        <v>24, 39</v>
      </c>
      <c r="Q159" s="34" t="str">
        <f>VLOOKUP(Tabla3[[#This Row],[Site]],Table35[#All],8,FALSE)</f>
        <v>159</v>
      </c>
      <c r="R159"/>
    </row>
    <row r="160" spans="1:18" hidden="1" x14ac:dyDescent="0.25">
      <c r="A160" t="str">
        <f>+Tabla3[[#This Row],[Site]]&amp;Tabla3[[#This Row],[Split]]</f>
        <v>(AS) Coggin Honda of Orlando (NO TOURS)3</v>
      </c>
      <c r="B160">
        <v>3</v>
      </c>
      <c r="C160">
        <v>3</v>
      </c>
      <c r="D160" t="s">
        <v>384</v>
      </c>
      <c r="E160" t="str">
        <f>VLOOKUP(Tabla3[[#This Row],[Site]],Table35[],10,FALSE)</f>
        <v>9:00 P.M.</v>
      </c>
      <c r="F160" t="str">
        <f>VLOOKUP(Tabla3[[#This Row],[Site]],Table35[],11,FALSE)</f>
        <v>ET</v>
      </c>
      <c r="G160" t="str">
        <f>VLOOKUP(Tabla3[[#This Row],[Site]],Table35[],12,FALSE)</f>
        <v>5:00 A.M.</v>
      </c>
      <c r="H160" t="str">
        <f>VLOOKUP(Tabla3[[#This Row],[Site]],Table35[],13,FALSE)</f>
        <v>11:00 A.M.</v>
      </c>
      <c r="I160" s="70" t="str">
        <f>HYPERLINK(VLOOKUP(Tabla3[[#This Row],[Site]],Table35[#All],9,FALSE))</f>
        <v>https://tools.sig.systems/site/details/324</v>
      </c>
      <c r="J160">
        <f>VLOOKUP(Tabla3[[#This Row],[Site]],Table35[],14,FALSE)</f>
        <v>0</v>
      </c>
      <c r="L160" s="34" t="str">
        <f>VLOOKUP(Tabla3[[#This Row],[Site]],Table35[#All],2,FALSE)</f>
        <v>2, 10, 12B, 14, 38</v>
      </c>
      <c r="M160" s="34" t="str">
        <f>VLOOKUP(Tabla3[[#This Row],[Site]],Table35[#All],3,FALSE)</f>
        <v>-</v>
      </c>
      <c r="N160" s="34" t="str">
        <f>VLOOKUP(Tabla3[[#This Row],[Site]],Table35[#All],4,FALSE)</f>
        <v>-</v>
      </c>
      <c r="O160" s="34" t="str">
        <f>VLOOKUP(Tabla3[[#This Row],[Site]],Table35[#All],5,FALSE)</f>
        <v>12, 31</v>
      </c>
      <c r="P160" s="34" t="str">
        <f>VLOOKUP(Tabla3[[#This Row],[Site]],Table35[#All],6,FALSE)</f>
        <v>12B, 26, 37, 19</v>
      </c>
      <c r="Q160" s="34" t="str">
        <f>VLOOKUP(Tabla3[[#This Row],[Site]],Table35[#All],8,FALSE)</f>
        <v>324</v>
      </c>
      <c r="R160"/>
    </row>
    <row r="161" spans="1:18" hidden="1" x14ac:dyDescent="0.25">
      <c r="A161" t="str">
        <f>+Tabla3[[#This Row],[Site]]&amp;Tabla3[[#This Row],[Split]]</f>
        <v>(AS) Hare Truck Center (NO TOURS)3</v>
      </c>
      <c r="B161">
        <v>3</v>
      </c>
      <c r="C161">
        <v>3</v>
      </c>
      <c r="D161" t="s">
        <v>380</v>
      </c>
      <c r="E161" t="str">
        <f>VLOOKUP(Tabla3[[#This Row],[Site]],Table35[],10,FALSE)</f>
        <v>9:00 P.M.</v>
      </c>
      <c r="F161" t="str">
        <f>VLOOKUP(Tabla3[[#This Row],[Site]],Table35[],11,FALSE)</f>
        <v>ET</v>
      </c>
      <c r="G161" t="str">
        <f>VLOOKUP(Tabla3[[#This Row],[Site]],Table35[],12,FALSE)</f>
        <v>5:00 A.M.</v>
      </c>
      <c r="H161" t="str">
        <f>VLOOKUP(Tabla3[[#This Row],[Site]],Table35[],13,FALSE)</f>
        <v>-</v>
      </c>
      <c r="I161" s="70" t="str">
        <f>HYPERLINK(VLOOKUP(Tabla3[[#This Row],[Site]],Table35[#All],9,FALSE))</f>
        <v>https://tools.sig.systems/site/details/300</v>
      </c>
      <c r="J161" t="str">
        <f>VLOOKUP(Tabla3[[#This Row],[Site]],Table35[],14,FALSE)</f>
        <v>https://www.google.com/maps/d/edit?mid=1hsX5GGrNcCQgAuzDCDz1OWgEkhsAc78&amp;usp=sharing</v>
      </c>
      <c r="L161" s="34" t="str">
        <f>VLOOKUP(Tabla3[[#This Row],[Site]],Table35[#All],2,FALSE)</f>
        <v>-</v>
      </c>
      <c r="M161" s="34" t="str">
        <f>VLOOKUP(Tabla3[[#This Row],[Site]],Table35[#All],3,FALSE)</f>
        <v>1, 5</v>
      </c>
      <c r="N161" s="34" t="str">
        <f>VLOOKUP(Tabla3[[#This Row],[Site]],Table35[#All],4,FALSE)</f>
        <v>-</v>
      </c>
      <c r="O161" s="34" t="str">
        <f>VLOOKUP(Tabla3[[#This Row],[Site]],Table35[#All],5,FALSE)</f>
        <v>-</v>
      </c>
      <c r="P161" s="34" t="str">
        <f>VLOOKUP(Tabla3[[#This Row],[Site]],Table35[#All],6,FALSE)</f>
        <v xml:space="preserve">2, 6, 10, 12, 17 </v>
      </c>
      <c r="Q161" s="34" t="str">
        <f>VLOOKUP(Tabla3[[#This Row],[Site]],Table35[#All],8,FALSE)</f>
        <v>300</v>
      </c>
      <c r="R161"/>
    </row>
    <row r="162" spans="1:18" hidden="1" x14ac:dyDescent="0.25">
      <c r="A162" t="str">
        <f>+Tabla3[[#This Row],[Site]]&amp;Tabla3[[#This Row],[Split]]</f>
        <v>(AS) Kahlo CDJR (NO TOURS)3</v>
      </c>
      <c r="B162">
        <v>3</v>
      </c>
      <c r="C162">
        <v>3</v>
      </c>
      <c r="D162" t="s">
        <v>381</v>
      </c>
      <c r="E162" t="str">
        <f>VLOOKUP(Tabla3[[#This Row],[Site]],Table35[],10,FALSE)</f>
        <v>9:00 P.M.</v>
      </c>
      <c r="F162" t="str">
        <f>VLOOKUP(Tabla3[[#This Row],[Site]],Table35[],11,FALSE)</f>
        <v>ET</v>
      </c>
      <c r="G162" t="str">
        <f>VLOOKUP(Tabla3[[#This Row],[Site]],Table35[],12,FALSE)</f>
        <v>5:00 A.M.</v>
      </c>
      <c r="H162" t="str">
        <f>VLOOKUP(Tabla3[[#This Row],[Site]],Table35[],13,FALSE)</f>
        <v>-</v>
      </c>
      <c r="I162" s="70" t="str">
        <f>HYPERLINK(VLOOKUP(Tabla3[[#This Row],[Site]],Table35[#All],9,FALSE))</f>
        <v>https://tools.sig.systems/site/details/282</v>
      </c>
      <c r="J162" t="str">
        <f>VLOOKUP(Tabla3[[#This Row],[Site]],Table35[],14,FALSE)</f>
        <v>https://www.google.com/maps/d/edit?mid=1hsX5GGrNcCQgAuzDCDz1OWgEkhsAc78&amp;usp=sharing</v>
      </c>
      <c r="L162" s="34" t="str">
        <f>VLOOKUP(Tabla3[[#This Row],[Site]],Table35[#All],2,FALSE)</f>
        <v>-</v>
      </c>
      <c r="M162" s="34" t="str">
        <f>VLOOKUP(Tabla3[[#This Row],[Site]],Table35[#All],3,FALSE)</f>
        <v>12, 25</v>
      </c>
      <c r="N162" s="34" t="str">
        <f>VLOOKUP(Tabla3[[#This Row],[Site]],Table35[#All],4,FALSE)</f>
        <v>15, 16</v>
      </c>
      <c r="O162" s="34">
        <f>VLOOKUP(Tabla3[[#This Row],[Site]],Table35[#All],5,FALSE)</f>
        <v>20</v>
      </c>
      <c r="P162" s="34" t="str">
        <f>VLOOKUP(Tabla3[[#This Row],[Site]],Table35[#All],6,FALSE)</f>
        <v>1, 2, 9, 22, 31, 57</v>
      </c>
      <c r="Q162" s="34" t="str">
        <f>VLOOKUP(Tabla3[[#This Row],[Site]],Table35[#All],8,FALSE)</f>
        <v>282</v>
      </c>
      <c r="R162"/>
    </row>
    <row r="163" spans="1:18" hidden="1" x14ac:dyDescent="0.25">
      <c r="A163" t="str">
        <f>+Tabla3[[#This Row],[Site]]&amp;Tabla3[[#This Row],[Split]]</f>
        <v>(AS) Koons Arlington Toyota - New Car (NO TOURS)3</v>
      </c>
      <c r="B163">
        <v>3</v>
      </c>
      <c r="C163">
        <v>3</v>
      </c>
      <c r="D163" t="s">
        <v>375</v>
      </c>
      <c r="E163" t="str">
        <f>VLOOKUP(Tabla3[[#This Row],[Site]],Table35[],10,FALSE)</f>
        <v>9:00 P.M.</v>
      </c>
      <c r="F163" t="str">
        <f>VLOOKUP(Tabla3[[#This Row],[Site]],Table35[],11,FALSE)</f>
        <v>ET</v>
      </c>
      <c r="G163" t="str">
        <f>VLOOKUP(Tabla3[[#This Row],[Site]],Table35[],12,FALSE)</f>
        <v>5:00 A.M.</v>
      </c>
      <c r="H163" t="str">
        <f>VLOOKUP(Tabla3[[#This Row],[Site]],Table35[],13,FALSE)</f>
        <v>10:00 A.M.</v>
      </c>
      <c r="I163" s="70" t="str">
        <f>HYPERLINK(VLOOKUP(Tabla3[[#This Row],[Site]],Table35[#All],9,FALSE))</f>
        <v>https://tools.sig.systems/site/details/334</v>
      </c>
      <c r="J163" t="str">
        <f>VLOOKUP(Tabla3[[#This Row],[Site]],Table35[],14,FALSE)</f>
        <v>-</v>
      </c>
      <c r="L163" s="34" t="str">
        <f>VLOOKUP(Tabla3[[#This Row],[Site]],Table35[#All],2,FALSE)</f>
        <v>-</v>
      </c>
      <c r="M163" s="34" t="str">
        <f>VLOOKUP(Tabla3[[#This Row],[Site]],Table35[#All],3,FALSE)</f>
        <v>1, 3, 12, 15, 17</v>
      </c>
      <c r="N163" s="34" t="str">
        <f>VLOOKUP(Tabla3[[#This Row],[Site]],Table35[#All],4,FALSE)</f>
        <v>-</v>
      </c>
      <c r="O163" s="34" t="str">
        <f>VLOOKUP(Tabla3[[#This Row],[Site]],Table35[#All],5,FALSE)</f>
        <v>-</v>
      </c>
      <c r="P163" s="34" t="str">
        <f>VLOOKUP(Tabla3[[#This Row],[Site]],Table35[#All],6,FALSE)</f>
        <v>2, 6, 18, 20</v>
      </c>
      <c r="Q163" s="34" t="str">
        <f>VLOOKUP(Tabla3[[#This Row],[Site]],Table35[#All],8,FALSE)</f>
        <v>334</v>
      </c>
      <c r="R163"/>
    </row>
    <row r="164" spans="1:18" hidden="1" x14ac:dyDescent="0.25">
      <c r="A164" t="str">
        <f>+Tabla3[[#This Row],[Site]]&amp;Tabla3[[#This Row],[Split]]</f>
        <v>(AS) Koons MB of Catonsville (NO TOURS)3</v>
      </c>
      <c r="B164">
        <v>3</v>
      </c>
      <c r="C164">
        <v>3</v>
      </c>
      <c r="D164" t="s">
        <v>236</v>
      </c>
      <c r="E164" t="str">
        <f>VLOOKUP(Tabla3[[#This Row],[Site]],Table35[],10,FALSE)</f>
        <v>9:00 P.M.</v>
      </c>
      <c r="F164" t="str">
        <f>VLOOKUP(Tabla3[[#This Row],[Site]],Table35[],11,FALSE)</f>
        <v>ET</v>
      </c>
      <c r="G164" t="str">
        <f>VLOOKUP(Tabla3[[#This Row],[Site]],Table35[],12,FALSE)</f>
        <v>5:00 A.M.</v>
      </c>
      <c r="H164" t="str">
        <f>VLOOKUP(Tabla3[[#This Row],[Site]],Table35[],13,FALSE)</f>
        <v>-</v>
      </c>
      <c r="I164" s="70" t="str">
        <f>HYPERLINK(VLOOKUP(Tabla3[[#This Row],[Site]],Table35[#All],9,FALSE))</f>
        <v>https://tools.sig.systems/site/details/303</v>
      </c>
      <c r="J164">
        <f>VLOOKUP(Tabla3[[#This Row],[Site]],Table35[],14,FALSE)</f>
        <v>0</v>
      </c>
      <c r="L164" s="34" t="str">
        <f>VLOOKUP(Tabla3[[#This Row],[Site]],Table35[#All],2,FALSE)</f>
        <v>-</v>
      </c>
      <c r="M164" s="34" t="str">
        <f>VLOOKUP(Tabla3[[#This Row],[Site]],Table35[#All],3,FALSE)</f>
        <v>15, 16, 17, 29</v>
      </c>
      <c r="N164" s="34">
        <f>VLOOKUP(Tabla3[[#This Row],[Site]],Table35[#All],4,FALSE)</f>
        <v>29</v>
      </c>
      <c r="O164" s="34">
        <f>VLOOKUP(Tabla3[[#This Row],[Site]],Table35[#All],5,FALSE)</f>
        <v>5</v>
      </c>
      <c r="P164" s="34" t="str">
        <f>VLOOKUP(Tabla3[[#This Row],[Site]],Table35[#All],6,FALSE)</f>
        <v>1, 7, 8, 12, 19, 32</v>
      </c>
      <c r="Q164" s="34" t="str">
        <f>VLOOKUP(Tabla3[[#This Row],[Site]],Table35[#All],8,FALSE)</f>
        <v>303</v>
      </c>
      <c r="R164"/>
    </row>
    <row r="165" spans="1:18" hidden="1" x14ac:dyDescent="0.25">
      <c r="A165" t="str">
        <f>+Tabla3[[#This Row],[Site]]&amp;Tabla3[[#This Row],[Split]]</f>
        <v>(AS) Koons Tysons Toyota - Main Dealership (NO TOURS)3</v>
      </c>
      <c r="B165">
        <v>3</v>
      </c>
      <c r="C165">
        <v>3</v>
      </c>
      <c r="D165" t="s">
        <v>431</v>
      </c>
      <c r="E165" t="str">
        <f>VLOOKUP(Tabla3[[#This Row],[Site]],Table35[],10,FALSE)</f>
        <v>9:00 P.M.</v>
      </c>
      <c r="F165" t="str">
        <f>VLOOKUP(Tabla3[[#This Row],[Site]],Table35[],11,FALSE)</f>
        <v>ET</v>
      </c>
      <c r="G165" t="str">
        <f>VLOOKUP(Tabla3[[#This Row],[Site]],Table35[],12,FALSE)</f>
        <v>5:00 A.M.</v>
      </c>
      <c r="H165" t="str">
        <f>VLOOKUP(Tabla3[[#This Row],[Site]],Table35[],13,FALSE)</f>
        <v>-</v>
      </c>
      <c r="I165" s="70" t="str">
        <f>HYPERLINK(VLOOKUP(Tabla3[[#This Row],[Site]],Table35[#All],9,FALSE))</f>
        <v>https://tools.sig.systems/site/details/344</v>
      </c>
      <c r="J165" t="str">
        <f>VLOOKUP(Tabla3[[#This Row],[Site]],Table35[],14,FALSE)</f>
        <v>-</v>
      </c>
      <c r="L165" s="34" t="str">
        <f>VLOOKUP(Tabla3[[#This Row],[Site]],Table35[#All],2,FALSE)</f>
        <v>-</v>
      </c>
      <c r="M165" s="34" t="str">
        <f>VLOOKUP(Tabla3[[#This Row],[Site]],Table35[#All],3,FALSE)</f>
        <v>1, 25</v>
      </c>
      <c r="N165" s="34" t="str">
        <f>VLOOKUP(Tabla3[[#This Row],[Site]],Table35[#All],4,FALSE)</f>
        <v>-</v>
      </c>
      <c r="O165" s="34" t="str">
        <f>VLOOKUP(Tabla3[[#This Row],[Site]],Table35[#All],5,FALSE)</f>
        <v>-</v>
      </c>
      <c r="P165" s="34" t="str">
        <f>VLOOKUP(Tabla3[[#This Row],[Site]],Table35[#All],6,FALSE)</f>
        <v>13, 22, 27</v>
      </c>
      <c r="Q165" s="34" t="str">
        <f>VLOOKUP(Tabla3[[#This Row],[Site]],Table35[#All],8,FALSE)</f>
        <v>344</v>
      </c>
      <c r="R165"/>
    </row>
    <row r="166" spans="1:18" hidden="1" x14ac:dyDescent="0.25">
      <c r="A166" t="str">
        <f>+Tabla3[[#This Row],[Site]]&amp;Tabla3[[#This Row],[Split]]</f>
        <v>(AS) Koons Volvo Cars White Marsh (NO TOURS)3</v>
      </c>
      <c r="B166">
        <v>3</v>
      </c>
      <c r="C166">
        <v>3</v>
      </c>
      <c r="D166" t="s">
        <v>376</v>
      </c>
      <c r="E166" t="str">
        <f>VLOOKUP(Tabla3[[#This Row],[Site]],Table35[],10,FALSE)</f>
        <v>9:00 P.M.</v>
      </c>
      <c r="F166" t="str">
        <f>VLOOKUP(Tabla3[[#This Row],[Site]],Table35[],11,FALSE)</f>
        <v>ET</v>
      </c>
      <c r="G166" t="str">
        <f>VLOOKUP(Tabla3[[#This Row],[Site]],Table35[],12,FALSE)</f>
        <v>5:00 A.M.</v>
      </c>
      <c r="H166" t="str">
        <f>VLOOKUP(Tabla3[[#This Row],[Site]],Table35[],13,FALSE)</f>
        <v>-</v>
      </c>
      <c r="I166" s="70" t="str">
        <f>HYPERLINK(VLOOKUP(Tabla3[[#This Row],[Site]],Table35[#All],9,FALSE))</f>
        <v>https://tools.sig.systems/site/details/338</v>
      </c>
      <c r="J166">
        <f>VLOOKUP(Tabla3[[#This Row],[Site]],Table35[],14,FALSE)</f>
        <v>0</v>
      </c>
      <c r="L166" s="34" t="str">
        <f>VLOOKUP(Tabla3[[#This Row],[Site]],Table35[#All],2,FALSE)</f>
        <v>-</v>
      </c>
      <c r="M166" s="34" t="str">
        <f>VLOOKUP(Tabla3[[#This Row],[Site]],Table35[#All],3,FALSE)</f>
        <v>5, 7, 9</v>
      </c>
      <c r="N166" s="34" t="str">
        <f>VLOOKUP(Tabla3[[#This Row],[Site]],Table35[#All],4,FALSE)</f>
        <v>-</v>
      </c>
      <c r="O166" s="34" t="str">
        <f>VLOOKUP(Tabla3[[#This Row],[Site]],Table35[#All],5,FALSE)</f>
        <v>-</v>
      </c>
      <c r="P166" s="34" t="str">
        <f>VLOOKUP(Tabla3[[#This Row],[Site]],Table35[#All],6,FALSE)</f>
        <v>6, 10, 1</v>
      </c>
      <c r="Q166" s="34" t="str">
        <f>VLOOKUP(Tabla3[[#This Row],[Site]],Table35[#All],8,FALSE)</f>
        <v>338</v>
      </c>
      <c r="R166"/>
    </row>
    <row r="167" spans="1:18" hidden="1" x14ac:dyDescent="0.25">
      <c r="A167" t="str">
        <f>+Tabla3[[#This Row],[Site]]&amp;Tabla3[[#This Row],[Split]]</f>
        <v>(AS) Koons White Marsh Chevrolet (NO TOURS)3</v>
      </c>
      <c r="B167">
        <v>3</v>
      </c>
      <c r="C167">
        <v>3</v>
      </c>
      <c r="D167" t="s">
        <v>389</v>
      </c>
      <c r="E167" t="str">
        <f>VLOOKUP(Tabla3[[#This Row],[Site]],Table35[],10,FALSE)</f>
        <v>9:00 P.M.</v>
      </c>
      <c r="F167" t="str">
        <f>VLOOKUP(Tabla3[[#This Row],[Site]],Table35[],11,FALSE)</f>
        <v>ET</v>
      </c>
      <c r="G167" t="str">
        <f>VLOOKUP(Tabla3[[#This Row],[Site]],Table35[],12,FALSE)</f>
        <v>5:00 A.M.</v>
      </c>
      <c r="H167" t="str">
        <f>VLOOKUP(Tabla3[[#This Row],[Site]],Table35[],13,FALSE)</f>
        <v>-</v>
      </c>
      <c r="I167" s="70" t="str">
        <f>HYPERLINK(VLOOKUP(Tabla3[[#This Row],[Site]],Table35[#All],9,FALSE))</f>
        <v>https://tools.sig.systems/site/details/339</v>
      </c>
      <c r="J167" t="str">
        <f>VLOOKUP(Tabla3[[#This Row],[Site]],Table35[],14,FALSE)</f>
        <v>-</v>
      </c>
      <c r="L167" s="34">
        <f>VLOOKUP(Tabla3[[#This Row],[Site]],Table35[#All],2,FALSE)</f>
        <v>25</v>
      </c>
      <c r="M167" s="34">
        <f>VLOOKUP(Tabla3[[#This Row],[Site]],Table35[#All],3,FALSE)</f>
        <v>10</v>
      </c>
      <c r="N167" s="34" t="str">
        <f>VLOOKUP(Tabla3[[#This Row],[Site]],Table35[#All],4,FALSE)</f>
        <v>-</v>
      </c>
      <c r="O167" s="34" t="str">
        <f>VLOOKUP(Tabla3[[#This Row],[Site]],Table35[#All],5,FALSE)</f>
        <v>-</v>
      </c>
      <c r="P167" s="34">
        <f>VLOOKUP(Tabla3[[#This Row],[Site]],Table35[#All],6,FALSE)</f>
        <v>12</v>
      </c>
      <c r="Q167" s="34" t="str">
        <f>VLOOKUP(Tabla3[[#This Row],[Site]],Table35[#All],8,FALSE)</f>
        <v>339</v>
      </c>
      <c r="R167"/>
    </row>
    <row r="168" spans="1:18" hidden="1" x14ac:dyDescent="0.25">
      <c r="A168" t="str">
        <f>+Tabla3[[#This Row],[Site]]&amp;Tabla3[[#This Row],[Split]]</f>
        <v>(AS) Koons Woodbridge Ford (NO TOURS)3</v>
      </c>
      <c r="B168">
        <v>3</v>
      </c>
      <c r="C168">
        <v>3</v>
      </c>
      <c r="D168" t="s">
        <v>373</v>
      </c>
      <c r="E168" t="str">
        <f>VLOOKUP(Tabla3[[#This Row],[Site]],Table35[],10,FALSE)</f>
        <v>9:00 P.M.</v>
      </c>
      <c r="F168" t="str">
        <f>VLOOKUP(Tabla3[[#This Row],[Site]],Table35[],11,FALSE)</f>
        <v>ET</v>
      </c>
      <c r="G168" t="str">
        <f>VLOOKUP(Tabla3[[#This Row],[Site]],Table35[],12,FALSE)</f>
        <v>5:00 A.M.</v>
      </c>
      <c r="H168" t="str">
        <f>VLOOKUP(Tabla3[[#This Row],[Site]],Table35[],13,FALSE)</f>
        <v>9:00 A.M.</v>
      </c>
      <c r="I168" s="70" t="str">
        <f>HYPERLINK(VLOOKUP(Tabla3[[#This Row],[Site]],Table35[#All],9,FALSE))</f>
        <v>https://tools.sig.systems/site/details/342</v>
      </c>
      <c r="J168">
        <f>VLOOKUP(Tabla3[[#This Row],[Site]],Table35[],14,FALSE)</f>
        <v>0</v>
      </c>
      <c r="L168" s="34" t="str">
        <f>VLOOKUP(Tabla3[[#This Row],[Site]],Table35[#All],2,FALSE)</f>
        <v>-</v>
      </c>
      <c r="M168" s="34" t="str">
        <f>VLOOKUP(Tabla3[[#This Row],[Site]],Table35[#All],3,FALSE)</f>
        <v>3, 24, 26, 27, 31, 36</v>
      </c>
      <c r="N168" s="34" t="str">
        <f>VLOOKUP(Tabla3[[#This Row],[Site]],Table35[#All],4,FALSE)</f>
        <v>-</v>
      </c>
      <c r="O168" s="34" t="str">
        <f>VLOOKUP(Tabla3[[#This Row],[Site]],Table35[#All],5,FALSE)</f>
        <v>-</v>
      </c>
      <c r="P168" s="34" t="str">
        <f>VLOOKUP(Tabla3[[#This Row],[Site]],Table35[#All],6,FALSE)</f>
        <v>13, 26, 29</v>
      </c>
      <c r="Q168" s="34" t="str">
        <f>VLOOKUP(Tabla3[[#This Row],[Site]],Table35[#All],8,FALSE)</f>
        <v>342</v>
      </c>
      <c r="R168"/>
    </row>
    <row r="169" spans="1:18" hidden="1" x14ac:dyDescent="0.25">
      <c r="A169" t="str">
        <f>+Tabla3[[#This Row],[Site]]&amp;Tabla3[[#This Row],[Split]]</f>
        <v>(AS) Larry H Miller CDJR Fiat (NO TOURS)3</v>
      </c>
      <c r="B169">
        <v>3</v>
      </c>
      <c r="C169">
        <v>3</v>
      </c>
      <c r="D169" t="s">
        <v>217</v>
      </c>
      <c r="E169" t="str">
        <f>VLOOKUP(Tabla3[[#This Row],[Site]],Table35[],10,FALSE)</f>
        <v>11:00 P.M.</v>
      </c>
      <c r="F169" t="str">
        <f>VLOOKUP(Tabla3[[#This Row],[Site]],Table35[],11,FALSE)</f>
        <v>MT</v>
      </c>
      <c r="G169" t="str">
        <f>VLOOKUP(Tabla3[[#This Row],[Site]],Table35[],12,FALSE)</f>
        <v>7:00 A.M.</v>
      </c>
      <c r="H169" t="str">
        <f>VLOOKUP(Tabla3[[#This Row],[Site]],Table35[],13,FALSE)</f>
        <v>-</v>
      </c>
      <c r="I169" s="70" t="str">
        <f>HYPERLINK(VLOOKUP(Tabla3[[#This Row],[Site]],Table35[#All],9,FALSE))</f>
        <v>https://tools.sig.systems/site/details/298</v>
      </c>
      <c r="J169">
        <f>VLOOKUP(Tabla3[[#This Row],[Site]],Table35[],14,FALSE)</f>
        <v>0</v>
      </c>
      <c r="L169" s="34" t="str">
        <f>VLOOKUP(Tabla3[[#This Row],[Site]],Table35[#All],2,FALSE)</f>
        <v>7, 11</v>
      </c>
      <c r="M169" s="34" t="str">
        <f>VLOOKUP(Tabla3[[#This Row],[Site]],Table35[#All],3,FALSE)</f>
        <v>2, 3</v>
      </c>
      <c r="N169" s="34" t="str">
        <f>VLOOKUP(Tabla3[[#This Row],[Site]],Table35[#All],4,FALSE)</f>
        <v>-</v>
      </c>
      <c r="O169" s="34" t="str">
        <f>VLOOKUP(Tabla3[[#This Row],[Site]],Table35[#All],5,FALSE)</f>
        <v>-</v>
      </c>
      <c r="P169" s="34" t="str">
        <f>VLOOKUP(Tabla3[[#This Row],[Site]],Table35[#All],6,FALSE)</f>
        <v xml:space="preserve">2, 6, 10, 15, 18 </v>
      </c>
      <c r="Q169" s="34" t="str">
        <f>VLOOKUP(Tabla3[[#This Row],[Site]],Table35[#All],8,FALSE)</f>
        <v>298</v>
      </c>
      <c r="R169"/>
    </row>
    <row r="170" spans="1:18" hidden="1" x14ac:dyDescent="0.25">
      <c r="A170" t="str">
        <f>+Tabla3[[#This Row],[Site]]&amp;Tabla3[[#This Row],[Split]]</f>
        <v>(AS) Plaza Collision ST Louis (NO TOURS)3</v>
      </c>
      <c r="B170">
        <v>3</v>
      </c>
      <c r="C170">
        <v>3</v>
      </c>
      <c r="D170" t="s">
        <v>436</v>
      </c>
      <c r="E170" t="str">
        <f>VLOOKUP(Tabla3[[#This Row],[Site]],Table35[],10,FALSE)</f>
        <v>10:00 P.M.</v>
      </c>
      <c r="F170" t="str">
        <f>VLOOKUP(Tabla3[[#This Row],[Site]],Table35[],11,FALSE)</f>
        <v>CT</v>
      </c>
      <c r="G170" t="str">
        <f>VLOOKUP(Tabla3[[#This Row],[Site]],Table35[],12,FALSE)</f>
        <v>6:00 A.M.</v>
      </c>
      <c r="H170" t="str">
        <f>VLOOKUP(Tabla3[[#This Row],[Site]],Table35[],13,FALSE)</f>
        <v>-</v>
      </c>
      <c r="I170" s="70" t="str">
        <f>HYPERLINK(VLOOKUP(Tabla3[[#This Row],[Site]],Table35[#All],9,FALSE))</f>
        <v>https://tools.sig.systems/site/details/350</v>
      </c>
      <c r="J170" t="str">
        <f>VLOOKUP(Tabla3[[#This Row],[Site]],Table35[],14,FALSE)</f>
        <v>-</v>
      </c>
      <c r="L170" s="34" t="str">
        <f>VLOOKUP(Tabla3[[#This Row],[Site]],Table35[#All],2,FALSE)</f>
        <v>2, 6</v>
      </c>
      <c r="M170" s="34">
        <f>VLOOKUP(Tabla3[[#This Row],[Site]],Table35[#All],3,FALSE)</f>
        <v>1</v>
      </c>
      <c r="N170" s="34" t="str">
        <f>VLOOKUP(Tabla3[[#This Row],[Site]],Table35[#All],4,FALSE)</f>
        <v>-</v>
      </c>
      <c r="O170" s="34" t="str">
        <f>VLOOKUP(Tabla3[[#This Row],[Site]],Table35[#All],5,FALSE)</f>
        <v>-</v>
      </c>
      <c r="P170" s="34">
        <f>VLOOKUP(Tabla3[[#This Row],[Site]],Table35[#All],6,FALSE)</f>
        <v>3</v>
      </c>
      <c r="Q170" s="34" t="str">
        <f>VLOOKUP(Tabla3[[#This Row],[Site]],Table35[#All],8,FALSE)</f>
        <v>350</v>
      </c>
      <c r="R170"/>
    </row>
    <row r="171" spans="1:18" hidden="1" x14ac:dyDescent="0.25">
      <c r="A171" t="str">
        <f>+Tabla3[[#This Row],[Site]]&amp;Tabla3[[#This Row],[Split]]</f>
        <v>(DT) Arlington3</v>
      </c>
      <c r="B171">
        <v>3</v>
      </c>
      <c r="C171">
        <v>3</v>
      </c>
      <c r="D171" t="s">
        <v>18</v>
      </c>
      <c r="E171" t="str">
        <f>VLOOKUP(Tabla3[[#This Row],[Site]],Table35[],10,FALSE)</f>
        <v>10:00 P.M.</v>
      </c>
      <c r="F171" t="str">
        <f>VLOOKUP(Tabla3[[#This Row],[Site]],Table35[],11,FALSE)</f>
        <v>CT</v>
      </c>
      <c r="G171" t="str">
        <f>VLOOKUP(Tabla3[[#This Row],[Site]],Table35[],12,FALSE)</f>
        <v>6:00 A.M.</v>
      </c>
      <c r="H171" t="str">
        <f>VLOOKUP(Tabla3[[#This Row],[Site]],Table35[],13,FALSE)</f>
        <v>-</v>
      </c>
      <c r="I171" s="70" t="str">
        <f>HYPERLINK(VLOOKUP(Tabla3[[#This Row],[Site]],Table35[#All],9,FALSE))</f>
        <v>https://tools.sig.systems/site/details/199</v>
      </c>
      <c r="J171" t="str">
        <f>VLOOKUP(Tabla3[[#This Row],[Site]],Table35[],14,FALSE)</f>
        <v>-</v>
      </c>
      <c r="L171" s="34" t="str">
        <f>VLOOKUP(Tabla3[[#This Row],[Site]],Table35[#All],2,FALSE)</f>
        <v>3,8</v>
      </c>
      <c r="M171" s="34" t="str">
        <f>VLOOKUP(Tabla3[[#This Row],[Site]],Table35[#All],3,FALSE)</f>
        <v>-</v>
      </c>
      <c r="N171" s="34" t="str">
        <f>VLOOKUP(Tabla3[[#This Row],[Site]],Table35[#All],4,FALSE)</f>
        <v>-</v>
      </c>
      <c r="O171" s="34" t="str">
        <f>VLOOKUP(Tabla3[[#This Row],[Site]],Table35[#All],5,FALSE)</f>
        <v>-</v>
      </c>
      <c r="P171" s="34" t="str">
        <f>VLOOKUP(Tabla3[[#This Row],[Site]],Table35[#All],6,FALSE)</f>
        <v>3, 8, 7</v>
      </c>
      <c r="Q171" s="34" t="str">
        <f>VLOOKUP(Tabla3[[#This Row],[Site]],Table35[#All],8,FALSE)</f>
        <v>199</v>
      </c>
      <c r="R171"/>
    </row>
    <row r="172" spans="1:18" hidden="1" x14ac:dyDescent="0.25">
      <c r="A172" t="str">
        <f>+Tabla3[[#This Row],[Site]]&amp;Tabla3[[#This Row],[Split]]</f>
        <v>(DT) Modesto3</v>
      </c>
      <c r="B172">
        <v>3</v>
      </c>
      <c r="C172">
        <v>3</v>
      </c>
      <c r="D172" t="s">
        <v>14</v>
      </c>
      <c r="E172" t="str">
        <f>VLOOKUP(Tabla3[[#This Row],[Site]],Table35[],10,FALSE)</f>
        <v>12:00 A.M.</v>
      </c>
      <c r="F172" t="str">
        <f>VLOOKUP(Tabla3[[#This Row],[Site]],Table35[],11,FALSE)</f>
        <v>PT</v>
      </c>
      <c r="G172" t="str">
        <f>VLOOKUP(Tabla3[[#This Row],[Site]],Table35[],12,FALSE)</f>
        <v>8:00 A.M.</v>
      </c>
      <c r="H172" t="str">
        <f>VLOOKUP(Tabla3[[#This Row],[Site]],Table35[],13,FALSE)</f>
        <v>-</v>
      </c>
      <c r="I172" s="70" t="str">
        <f>HYPERLINK(VLOOKUP(Tabla3[[#This Row],[Site]],Table35[#All],9,FALSE))</f>
        <v>https://tools.sig.systems/site/details/267</v>
      </c>
      <c r="J172">
        <f>VLOOKUP(Tabla3[[#This Row],[Site]],Table35[],14,FALSE)</f>
        <v>0</v>
      </c>
      <c r="L172" s="34">
        <f>VLOOKUP(Tabla3[[#This Row],[Site]],Table35[#All],2,FALSE)</f>
        <v>10</v>
      </c>
      <c r="M172" s="34" t="str">
        <f>VLOOKUP(Tabla3[[#This Row],[Site]],Table35[#All],3,FALSE)</f>
        <v>5, 6</v>
      </c>
      <c r="N172" s="34" t="str">
        <f>VLOOKUP(Tabla3[[#This Row],[Site]],Table35[#All],4,FALSE)</f>
        <v>-</v>
      </c>
      <c r="O172" s="34" t="str">
        <f>VLOOKUP(Tabla3[[#This Row],[Site]],Table35[#All],5,FALSE)</f>
        <v>-</v>
      </c>
      <c r="P172" s="34" t="str">
        <f>VLOOKUP(Tabla3[[#This Row],[Site]],Table35[#All],6,FALSE)</f>
        <v>2, 3, 5, 10</v>
      </c>
      <c r="Q172" s="34" t="str">
        <f>VLOOKUP(Tabla3[[#This Row],[Site]],Table35[#All],8,FALSE)</f>
        <v>267</v>
      </c>
      <c r="R172"/>
    </row>
    <row r="173" spans="1:18" hidden="1" x14ac:dyDescent="0.25">
      <c r="A173" t="str">
        <f>+Tabla3[[#This Row],[Site]]&amp;Tabla3[[#This Row],[Split]]</f>
        <v>(KG) Ken Garff Volkswagen of Gilbert3</v>
      </c>
      <c r="B173">
        <v>3</v>
      </c>
      <c r="C173">
        <v>3</v>
      </c>
      <c r="D173" t="s">
        <v>130</v>
      </c>
      <c r="E173" t="str">
        <f>VLOOKUP(Tabla3[[#This Row],[Site]],Table35[],10,FALSE)</f>
        <v>12:00 A.M.</v>
      </c>
      <c r="F173" t="str">
        <f>VLOOKUP(Tabla3[[#This Row],[Site]],Table35[],11,FALSE)</f>
        <v>MST</v>
      </c>
      <c r="G173" t="str">
        <f>VLOOKUP(Tabla3[[#This Row],[Site]],Table35[],12,FALSE)</f>
        <v>8:00 A.M.</v>
      </c>
      <c r="H173" t="str">
        <f>VLOOKUP(Tabla3[[#This Row],[Site]],Table35[],13,FALSE)</f>
        <v>12:00 P.M.</v>
      </c>
      <c r="I173" s="70" t="str">
        <f>HYPERLINK(VLOOKUP(Tabla3[[#This Row],[Site]],Table35[#All],9,FALSE))</f>
        <v>https://tools.sig.systems/site/details/284</v>
      </c>
      <c r="J173" t="str">
        <f>VLOOKUP(Tabla3[[#This Row],[Site]],Table35[],14,FALSE)</f>
        <v>https://www.google.com/maps/d/viewer?hl=es&amp;mid=19SU7XE9Cg8jhVFpEI21Vi9Zfgdih9Ds&amp;ll=33.29158262977276%2C-111.75783630000002&amp;z=17</v>
      </c>
      <c r="L173" s="34" t="str">
        <f>VLOOKUP(Tabla3[[#This Row],[Site]],Table35[#All],2,FALSE)</f>
        <v>4, 6</v>
      </c>
      <c r="M173" s="34" t="str">
        <f>VLOOKUP(Tabla3[[#This Row],[Site]],Table35[#All],3,FALSE)</f>
        <v>-</v>
      </c>
      <c r="N173" s="34" t="str">
        <f>VLOOKUP(Tabla3[[#This Row],[Site]],Table35[#All],4,FALSE)</f>
        <v>-</v>
      </c>
      <c r="O173" s="34" t="str">
        <f>VLOOKUP(Tabla3[[#This Row],[Site]],Table35[#All],5,FALSE)</f>
        <v>2, 14</v>
      </c>
      <c r="P173" s="34" t="str">
        <f>VLOOKUP(Tabla3[[#This Row],[Site]],Table35[#All],6,FALSE)</f>
        <v>1, 5, 8, 9, 17, 19, 21</v>
      </c>
      <c r="Q173" s="34" t="str">
        <f>VLOOKUP(Tabla3[[#This Row],[Site]],Table35[#All],8,FALSE)</f>
        <v>284</v>
      </c>
      <c r="R173"/>
    </row>
    <row r="174" spans="1:18" x14ac:dyDescent="0.25">
      <c r="A174" t="str">
        <f>+Tabla3[[#This Row],[Site]]&amp;Tabla3[[#This Row],[Split]]</f>
        <v>(LT) Luther Bloomington Hyundai (NO TOURS)3</v>
      </c>
      <c r="B174">
        <v>3</v>
      </c>
      <c r="C174">
        <v>3</v>
      </c>
      <c r="D174" t="s">
        <v>456</v>
      </c>
      <c r="E174" t="str">
        <f>VLOOKUP(Tabla3[[#This Row],[Site]],Table35[],10,FALSE)</f>
        <v>10:00 P.M.</v>
      </c>
      <c r="F174" t="str">
        <f>VLOOKUP(Tabla3[[#This Row],[Site]],Table35[],11,FALSE)</f>
        <v>CT</v>
      </c>
      <c r="G174" t="str">
        <f>VLOOKUP(Tabla3[[#This Row],[Site]],Table35[],12,FALSE)</f>
        <v>4:00 A.M.</v>
      </c>
      <c r="H174" t="str">
        <f>VLOOKUP(Tabla3[[#This Row],[Site]],Table35[],13,FALSE)</f>
        <v>-</v>
      </c>
      <c r="I174" s="70" t="str">
        <f>HYPERLINK(VLOOKUP(Tabla3[[#This Row],[Site]],Table35[#All],9,FALSE))</f>
        <v>https://tools.sig.systems/site/details/318</v>
      </c>
      <c r="J174">
        <f>VLOOKUP(Tabla3[[#This Row],[Site]],Table35[],14,FALSE)</f>
        <v>0</v>
      </c>
      <c r="L174" s="34" t="str">
        <f>VLOOKUP(Tabla3[[#This Row],[Site]],Table35[#All],2,FALSE)</f>
        <v>-</v>
      </c>
      <c r="M174" s="34" t="str">
        <f>VLOOKUP(Tabla3[[#This Row],[Site]],Table35[#All],3,FALSE)</f>
        <v>6, 9, 13</v>
      </c>
      <c r="N174" s="34" t="str">
        <f>VLOOKUP(Tabla3[[#This Row],[Site]],Table35[#All],4,FALSE)</f>
        <v>58, 59</v>
      </c>
      <c r="O174" s="34">
        <f>VLOOKUP(Tabla3[[#This Row],[Site]],Table35[#All],5,FALSE)</f>
        <v>10</v>
      </c>
      <c r="P174" s="34" t="str">
        <f>VLOOKUP(Tabla3[[#This Row],[Site]],Table35[#All],6,FALSE)</f>
        <v>11, 18</v>
      </c>
      <c r="Q174" s="34" t="str">
        <f>VLOOKUP(Tabla3[[#This Row],[Site]],Table35[#All],8,FALSE)</f>
        <v>318</v>
      </c>
      <c r="R174"/>
    </row>
    <row r="175" spans="1:18" hidden="1" x14ac:dyDescent="0.25">
      <c r="A175" t="str">
        <f>+Tabla3[[#This Row],[Site]]&amp;Tabla3[[#This Row],[Split]]</f>
        <v>(LT) Luther Brookdale Toyota3</v>
      </c>
      <c r="B175">
        <v>3</v>
      </c>
      <c r="C175">
        <v>3</v>
      </c>
      <c r="D175" t="s">
        <v>126</v>
      </c>
      <c r="E175" t="str">
        <f>VLOOKUP(Tabla3[[#This Row],[Site]],Table35[],10,FALSE)</f>
        <v>7:00 P.M.</v>
      </c>
      <c r="F175" t="str">
        <f>VLOOKUP(Tabla3[[#This Row],[Site]],Table35[],11,FALSE)</f>
        <v>CT</v>
      </c>
      <c r="G175" t="str">
        <f>VLOOKUP(Tabla3[[#This Row],[Site]],Table35[],12,FALSE)</f>
        <v>5:00 A.M.</v>
      </c>
      <c r="H175" t="str">
        <f>VLOOKUP(Tabla3[[#This Row],[Site]],Table35[],13,FALSE)</f>
        <v>-</v>
      </c>
      <c r="I175" s="70" t="str">
        <f>HYPERLINK(VLOOKUP(Tabla3[[#This Row],[Site]],Table35[#All],9,FALSE))</f>
        <v>https://tools.sig.systems/site/details/281</v>
      </c>
      <c r="J175" t="str">
        <f>VLOOKUP(Tabla3[[#This Row],[Site]],Table35[],14,FALSE)</f>
        <v>https://www.google.com/maps/d/viewer?mid=1ot0ILX76JMuvd9yMuqkb4_e0yH1n7TA&amp;ll=45.07815812965141%2C-93.33506855000002&amp;z=17</v>
      </c>
      <c r="L175" s="34" t="str">
        <f>VLOOKUP(Tabla3[[#This Row],[Site]],Table35[#All],2,FALSE)</f>
        <v>-</v>
      </c>
      <c r="M175" s="34" t="str">
        <f>VLOOKUP(Tabla3[[#This Row],[Site]],Table35[#All],3,FALSE)</f>
        <v>5, 7</v>
      </c>
      <c r="N175" s="34">
        <f>VLOOKUP(Tabla3[[#This Row],[Site]],Table35[#All],4,FALSE)</f>
        <v>29</v>
      </c>
      <c r="O175" s="34">
        <f>VLOOKUP(Tabla3[[#This Row],[Site]],Table35[#All],5,FALSE)</f>
        <v>20</v>
      </c>
      <c r="P175" s="34" t="str">
        <f>VLOOKUP(Tabla3[[#This Row],[Site]],Table35[#All],6,FALSE)</f>
        <v xml:space="preserve">1, 2, 4, 10, 18, 24, 25 </v>
      </c>
      <c r="Q175" s="34" t="str">
        <f>VLOOKUP(Tabla3[[#This Row],[Site]],Table35[#All],8,FALSE)</f>
        <v>281</v>
      </c>
      <c r="R175"/>
    </row>
    <row r="176" spans="1:18" hidden="1" x14ac:dyDescent="0.25">
      <c r="A176" t="str">
        <f>+Tabla3[[#This Row],[Site]]&amp;Tabla3[[#This Row],[Split]]</f>
        <v>(LT) Luther Hopkins Honda (NO TOURS)3</v>
      </c>
      <c r="B176">
        <v>3</v>
      </c>
      <c r="C176">
        <v>3</v>
      </c>
      <c r="D176" t="s">
        <v>306</v>
      </c>
      <c r="E176" t="str">
        <f>VLOOKUP(Tabla3[[#This Row],[Site]],Table35[],10,FALSE)</f>
        <v>8:00 P.M.</v>
      </c>
      <c r="F176" t="str">
        <f>VLOOKUP(Tabla3[[#This Row],[Site]],Table35[],11,FALSE)</f>
        <v>CT</v>
      </c>
      <c r="G176" t="str">
        <f>VLOOKUP(Tabla3[[#This Row],[Site]],Table35[],12,FALSE)</f>
        <v>6:00 A.M.</v>
      </c>
      <c r="H176" t="str">
        <f>VLOOKUP(Tabla3[[#This Row],[Site]],Table35[],13,FALSE)</f>
        <v>-</v>
      </c>
      <c r="I176" s="70" t="str">
        <f>HYPERLINK(VLOOKUP(Tabla3[[#This Row],[Site]],Table35[#All],9,FALSE))</f>
        <v>https://tools.sig.systems/site/details/288</v>
      </c>
      <c r="J176">
        <f>VLOOKUP(Tabla3[[#This Row],[Site]],Table35[],14,FALSE)</f>
        <v>0</v>
      </c>
      <c r="L176" s="34" t="str">
        <f>VLOOKUP(Tabla3[[#This Row],[Site]],Table35[#All],2,FALSE)</f>
        <v>-</v>
      </c>
      <c r="M176" s="34" t="str">
        <f>VLOOKUP(Tabla3[[#This Row],[Site]],Table35[#All],3,FALSE)</f>
        <v>9, 36</v>
      </c>
      <c r="N176" s="34" t="str">
        <f>VLOOKUP(Tabla3[[#This Row],[Site]],Table35[#All],4,FALSE)</f>
        <v>38, 39</v>
      </c>
      <c r="O176" s="34" t="str">
        <f>VLOOKUP(Tabla3[[#This Row],[Site]],Table35[#All],5,FALSE)</f>
        <v>3, 26</v>
      </c>
      <c r="P176" s="34" t="str">
        <f>VLOOKUP(Tabla3[[#This Row],[Site]],Table35[#All],6,FALSE)</f>
        <v>1, 4, 11, 18, 23, 25, 31</v>
      </c>
      <c r="Q176" s="34" t="str">
        <f>VLOOKUP(Tabla3[[#This Row],[Site]],Table35[#All],8,FALSE)</f>
        <v>288</v>
      </c>
      <c r="R176"/>
    </row>
    <row r="177" spans="1:18" hidden="1" x14ac:dyDescent="0.25">
      <c r="A177" t="str">
        <f>+Tabla3[[#This Row],[Site]]&amp;Tabla3[[#This Row],[Split]]</f>
        <v>(LT) Luther Landers Recon Center3</v>
      </c>
      <c r="B177">
        <v>3</v>
      </c>
      <c r="C177">
        <v>3</v>
      </c>
      <c r="D177" t="s">
        <v>255</v>
      </c>
      <c r="E177" t="str">
        <f>VLOOKUP(Tabla3[[#This Row],[Site]],Table35[],10,FALSE)</f>
        <v>10:00 P.M.</v>
      </c>
      <c r="F177" t="str">
        <f>VLOOKUP(Tabla3[[#This Row],[Site]],Table35[],11,FALSE)</f>
        <v>CT</v>
      </c>
      <c r="G177" t="str">
        <f>VLOOKUP(Tabla3[[#This Row],[Site]],Table35[],12,FALSE)</f>
        <v>6:00 A.M.</v>
      </c>
      <c r="H177" t="str">
        <f>VLOOKUP(Tabla3[[#This Row],[Site]],Table35[],13,FALSE)</f>
        <v>-</v>
      </c>
      <c r="I177" s="70" t="str">
        <f>HYPERLINK(VLOOKUP(Tabla3[[#This Row],[Site]],Table35[#All],9,FALSE))</f>
        <v>https://tools.sig.systems/site/details/323</v>
      </c>
      <c r="J177" t="str">
        <f>VLOOKUP(Tabla3[[#This Row],[Site]],Table35[],14,FALSE)</f>
        <v>https://www.google.com/maps/d/u/1/edit?mid=1-zEzsc6U6nZom08edp0XAd3_HYFvAyk&amp;usp=sharing</v>
      </c>
      <c r="L177" s="34" t="str">
        <f>VLOOKUP(Tabla3[[#This Row],[Site]],Table35[#All],2,FALSE)</f>
        <v>2, 4</v>
      </c>
      <c r="M177" s="34" t="str">
        <f>VLOOKUP(Tabla3[[#This Row],[Site]],Table35[#All],3,FALSE)</f>
        <v>-</v>
      </c>
      <c r="N177" s="34" t="str">
        <f>VLOOKUP(Tabla3[[#This Row],[Site]],Table35[#All],4,FALSE)</f>
        <v>-</v>
      </c>
      <c r="O177" s="34" t="str">
        <f>VLOOKUP(Tabla3[[#This Row],[Site]],Table35[#All],5,FALSE)</f>
        <v>-</v>
      </c>
      <c r="P177" s="34" t="str">
        <f>VLOOKUP(Tabla3[[#This Row],[Site]],Table35[#All],6,FALSE)</f>
        <v>3, 9, 11</v>
      </c>
      <c r="Q177" s="34" t="str">
        <f>VLOOKUP(Tabla3[[#This Row],[Site]],Table35[#All],8,FALSE)</f>
        <v>323</v>
      </c>
      <c r="R177"/>
    </row>
    <row r="178" spans="1:18" hidden="1" x14ac:dyDescent="0.25">
      <c r="A178" t="str">
        <f>+Tabla3[[#This Row],[Site]]&amp;Tabla3[[#This Row],[Split]]</f>
        <v>(PE) MB of Greenwich3</v>
      </c>
      <c r="B178">
        <v>3</v>
      </c>
      <c r="C178">
        <v>3</v>
      </c>
      <c r="D178" t="s">
        <v>121</v>
      </c>
      <c r="E178" t="str">
        <f>VLOOKUP(Tabla3[[#This Row],[Site]],Table35[],10,FALSE)</f>
        <v>8:00 P.M.</v>
      </c>
      <c r="F178" t="str">
        <f>VLOOKUP(Tabla3[[#This Row],[Site]],Table35[],11,FALSE)</f>
        <v>ET</v>
      </c>
      <c r="G178" t="str">
        <f>VLOOKUP(Tabla3[[#This Row],[Site]],Table35[],12,FALSE)</f>
        <v>5:00 A.M.</v>
      </c>
      <c r="H178" t="str">
        <f>VLOOKUP(Tabla3[[#This Row],[Site]],Table35[],13,FALSE)</f>
        <v>-</v>
      </c>
      <c r="I178" s="70" t="str">
        <f>HYPERLINK(VLOOKUP(Tabla3[[#This Row],[Site]],Table35[#All],9,FALSE))</f>
        <v>https://tools.sig.systems/site/details/188</v>
      </c>
      <c r="J178" t="str">
        <f>VLOOKUP(Tabla3[[#This Row],[Site]],Table35[],14,FALSE)</f>
        <v>https://www.google.com/maps/d/edit?hl=en&amp;mid=1UHmt7tH1ihTa85i0MfQIcTfVvIQg_vM&amp;ll=41.02423447529239%2C-73.63721502222738&amp;z=18</v>
      </c>
      <c r="L178" s="34" t="str">
        <f>VLOOKUP(Tabla3[[#This Row],[Site]],Table35[#All],2,FALSE)</f>
        <v>1, 2, 8</v>
      </c>
      <c r="M178" s="34" t="str">
        <f>VLOOKUP(Tabla3[[#This Row],[Site]],Table35[#All],3,FALSE)</f>
        <v>13, 14, 20, 26, 40</v>
      </c>
      <c r="N178" s="34" t="str">
        <f>VLOOKUP(Tabla3[[#This Row],[Site]],Table35[#All],4,FALSE)</f>
        <v>-</v>
      </c>
      <c r="O178" s="34" t="str">
        <f>VLOOKUP(Tabla3[[#This Row],[Site]],Table35[#All],5,FALSE)</f>
        <v>-</v>
      </c>
      <c r="P178" s="34">
        <f>VLOOKUP(Tabla3[[#This Row],[Site]],Table35[#All],6,FALSE)</f>
        <v>29</v>
      </c>
      <c r="Q178" s="34" t="str">
        <f>VLOOKUP(Tabla3[[#This Row],[Site]],Table35[#All],8,FALSE)</f>
        <v>188</v>
      </c>
      <c r="R178"/>
    </row>
    <row r="179" spans="1:18" hidden="1" x14ac:dyDescent="0.25">
      <c r="A179" t="str">
        <f>+Tabla3[[#This Row],[Site]]&amp;Tabla3[[#This Row],[Split]]</f>
        <v>(AS) 3281 Storage Lot (NO TOURS)4</v>
      </c>
      <c r="B179">
        <v>4</v>
      </c>
      <c r="C179">
        <v>1</v>
      </c>
      <c r="D179" t="s">
        <v>378</v>
      </c>
      <c r="E179" t="str">
        <f>VLOOKUP(Tabla3[[#This Row],[Site]],Table35[],10,FALSE)</f>
        <v>10:00 P.M.</v>
      </c>
      <c r="F179" t="str">
        <f>VLOOKUP(Tabla3[[#This Row],[Site]],Table35[],11,FALSE)</f>
        <v>CT</v>
      </c>
      <c r="G179" t="str">
        <f>VLOOKUP(Tabla3[[#This Row],[Site]],Table35[],12,FALSE)</f>
        <v>6:00 A.M.</v>
      </c>
      <c r="H179" t="str">
        <f>VLOOKUP(Tabla3[[#This Row],[Site]],Table35[],13,FALSE)</f>
        <v>-</v>
      </c>
      <c r="I179" s="70" t="str">
        <f>HYPERLINK(VLOOKUP(Tabla3[[#This Row],[Site]],Table35[#All],9,FALSE))</f>
        <v>https://tools.sig.systems/site/details/305</v>
      </c>
      <c r="J179" t="str">
        <f>VLOOKUP(Tabla3[[#This Row],[Site]],Table35[],14,FALSE)</f>
        <v>https://www.google.com/maps/d/edit?hl=es&amp;mid=1uPmsRMsXnp74hPFW2t-sp2totVWF_xY&amp;ll=32.83050137713022%2C-96.83197783061323&amp;z=17</v>
      </c>
      <c r="L179" s="34" t="str">
        <f>VLOOKUP(Tabla3[[#This Row],[Site]],Table35[#All],2,FALSE)</f>
        <v>-</v>
      </c>
      <c r="M179" s="34" t="str">
        <f>VLOOKUP(Tabla3[[#This Row],[Site]],Table35[#All],3,FALSE)</f>
        <v>2, 14</v>
      </c>
      <c r="N179" s="34" t="str">
        <f>VLOOKUP(Tabla3[[#This Row],[Site]],Table35[#All],4,FALSE)</f>
        <v>-</v>
      </c>
      <c r="O179" s="34" t="str">
        <f>VLOOKUP(Tabla3[[#This Row],[Site]],Table35[#All],5,FALSE)</f>
        <v>-</v>
      </c>
      <c r="P179" s="34" t="str">
        <f>VLOOKUP(Tabla3[[#This Row],[Site]],Table35[#All],6,FALSE)</f>
        <v>1, 3, 9, 10, 14</v>
      </c>
      <c r="Q179" s="34">
        <f>VLOOKUP(Tabla3[[#This Row],[Site]],Table35[#All],8,FALSE)</f>
        <v>305</v>
      </c>
      <c r="R179"/>
    </row>
    <row r="180" spans="1:18" hidden="1" x14ac:dyDescent="0.25">
      <c r="A180" t="str">
        <f>+Tabla3[[#This Row],[Site]]&amp;Tabla3[[#This Row],[Split]]</f>
        <v>(AS) Koons Chevrolet Buick GMC - Clarksville (NO TOURS)4</v>
      </c>
      <c r="B180">
        <v>4</v>
      </c>
      <c r="C180">
        <v>1</v>
      </c>
      <c r="D180" t="s">
        <v>382</v>
      </c>
      <c r="E180" t="str">
        <f>VLOOKUP(Tabla3[[#This Row],[Site]],Table35[],10,FALSE)</f>
        <v>9:00 P.M.</v>
      </c>
      <c r="F180" t="str">
        <f>VLOOKUP(Tabla3[[#This Row],[Site]],Table35[],11,FALSE)</f>
        <v>ET</v>
      </c>
      <c r="G180" t="str">
        <f>VLOOKUP(Tabla3[[#This Row],[Site]],Table35[],12,FALSE)</f>
        <v>5:00 A.M.</v>
      </c>
      <c r="H180" t="str">
        <f>VLOOKUP(Tabla3[[#This Row],[Site]],Table35[],13,FALSE)</f>
        <v>10:00 A.M.</v>
      </c>
      <c r="I180" s="70" t="str">
        <f>HYPERLINK(VLOOKUP(Tabla3[[#This Row],[Site]],Table35[#All],9,FALSE))</f>
        <v>https://tools.sig.systems/site/details/306</v>
      </c>
      <c r="J180" t="str">
        <f>VLOOKUP(Tabla3[[#This Row],[Site]],Table35[],14,FALSE)</f>
        <v>https://www.google.com/maps/d/edit?hl=es&amp;mid=11XB1lTSP7EcDCDvzypdUPWP6bWCNAEI&amp;ll=39.21145022420528%2C-76.94003711910554&amp;z=17</v>
      </c>
      <c r="L180" s="34" t="str">
        <f>VLOOKUP(Tabla3[[#This Row],[Site]],Table35[#All],2,FALSE)</f>
        <v>-</v>
      </c>
      <c r="M180" s="34" t="str">
        <f>VLOOKUP(Tabla3[[#This Row],[Site]],Table35[#All],3,FALSE)</f>
        <v>1, 22, 26, 28, 29</v>
      </c>
      <c r="N180" s="34" t="str">
        <f>VLOOKUP(Tabla3[[#This Row],[Site]],Table35[#All],4,FALSE)</f>
        <v>-</v>
      </c>
      <c r="O180" s="34" t="str">
        <f>VLOOKUP(Tabla3[[#This Row],[Site]],Table35[#All],5,FALSE)</f>
        <v>-</v>
      </c>
      <c r="P180" s="34" t="str">
        <f>VLOOKUP(Tabla3[[#This Row],[Site]],Table35[#All],6,FALSE)</f>
        <v>3, 11, 15, 23</v>
      </c>
      <c r="Q180" s="34" t="str">
        <f>VLOOKUP(Tabla3[[#This Row],[Site]],Table35[#All],8,FALSE)</f>
        <v>306</v>
      </c>
      <c r="R180"/>
    </row>
    <row r="181" spans="1:18" hidden="1" x14ac:dyDescent="0.25">
      <c r="A181" t="str">
        <f>+Tabla3[[#This Row],[Site]]&amp;Tabla3[[#This Row],[Split]]</f>
        <v>(AS) Koons Annapolis Toyota (NO TOURS)4</v>
      </c>
      <c r="B181">
        <v>4</v>
      </c>
      <c r="C181">
        <v>1</v>
      </c>
      <c r="D181" t="s">
        <v>447</v>
      </c>
      <c r="E181" t="str">
        <f>VLOOKUP(Tabla3[[#This Row],[Site]],Table35[],10,FALSE)</f>
        <v>9:00 P.M.</v>
      </c>
      <c r="F181" t="str">
        <f>VLOOKUP(Tabla3[[#This Row],[Site]],Table35[],11,FALSE)</f>
        <v>ET</v>
      </c>
      <c r="G181" t="str">
        <f>VLOOKUP(Tabla3[[#This Row],[Site]],Table35[],12,FALSE)</f>
        <v>5:00 A.M.</v>
      </c>
      <c r="H181">
        <f>VLOOKUP(Tabla3[[#This Row],[Site]],Table35[],13,FALSE)</f>
        <v>0</v>
      </c>
      <c r="I181" s="70" t="str">
        <f>HYPERLINK(VLOOKUP(Tabla3[[#This Row],[Site]],Table35[#All],9,FALSE))</f>
        <v>https://tools.sig.systems/site/details/337</v>
      </c>
      <c r="J181" t="str">
        <f>VLOOKUP(Tabla3[[#This Row],[Site]],Table35[],14,FALSE)</f>
        <v>-</v>
      </c>
      <c r="L181" s="34">
        <f>VLOOKUP(Tabla3[[#This Row],[Site]],Table35[#All],2,FALSE)</f>
        <v>6</v>
      </c>
      <c r="M181" s="34" t="str">
        <f>VLOOKUP(Tabla3[[#This Row],[Site]],Table35[#All],3,FALSE)</f>
        <v>1, 6, 21</v>
      </c>
      <c r="N181" s="34" t="str">
        <f>VLOOKUP(Tabla3[[#This Row],[Site]],Table35[#All],4,FALSE)</f>
        <v>-</v>
      </c>
      <c r="O181" s="34" t="str">
        <f>VLOOKUP(Tabla3[[#This Row],[Site]],Table35[#All],5,FALSE)</f>
        <v>-</v>
      </c>
      <c r="P181" s="34" t="str">
        <f>VLOOKUP(Tabla3[[#This Row],[Site]],Table35[#All],6,FALSE)</f>
        <v>3, 5, 7, 19</v>
      </c>
      <c r="Q181" s="34" t="str">
        <f>VLOOKUP(Tabla3[[#This Row],[Site]],Table35[#All],8,FALSE)</f>
        <v>337</v>
      </c>
      <c r="R181"/>
    </row>
    <row r="182" spans="1:18" hidden="1" x14ac:dyDescent="0.25">
      <c r="A182" t="str">
        <f>+Tabla3[[#This Row],[Site]]&amp;Tabla3[[#This Row],[Split]]</f>
        <v>(AS) Koons Tysons Toyota - Main Dealership (NO TOURS)4</v>
      </c>
      <c r="B182">
        <v>4</v>
      </c>
      <c r="C182">
        <v>1</v>
      </c>
      <c r="D182" t="s">
        <v>431</v>
      </c>
      <c r="E182" t="str">
        <f>VLOOKUP(Tabla3[[#This Row],[Site]],Table35[],10,FALSE)</f>
        <v>9:00 P.M.</v>
      </c>
      <c r="F182" t="str">
        <f>VLOOKUP(Tabla3[[#This Row],[Site]],Table35[],11,FALSE)</f>
        <v>ET</v>
      </c>
      <c r="G182" t="str">
        <f>VLOOKUP(Tabla3[[#This Row],[Site]],Table35[],12,FALSE)</f>
        <v>5:00 A.M.</v>
      </c>
      <c r="H182" t="str">
        <f>VLOOKUP(Tabla3[[#This Row],[Site]],Table35[],13,FALSE)</f>
        <v>-</v>
      </c>
      <c r="I182" s="70" t="str">
        <f>HYPERLINK(VLOOKUP(Tabla3[[#This Row],[Site]],Table35[#All],9,FALSE))</f>
        <v>https://tools.sig.systems/site/details/344</v>
      </c>
      <c r="J182" t="str">
        <f>VLOOKUP(Tabla3[[#This Row],[Site]],Table35[],14,FALSE)</f>
        <v>-</v>
      </c>
      <c r="L182" s="34" t="str">
        <f>VLOOKUP(Tabla3[[#This Row],[Site]],Table35[#All],2,FALSE)</f>
        <v>-</v>
      </c>
      <c r="M182" s="34" t="str">
        <f>VLOOKUP(Tabla3[[#This Row],[Site]],Table35[#All],3,FALSE)</f>
        <v>1, 25</v>
      </c>
      <c r="N182" s="34" t="str">
        <f>VLOOKUP(Tabla3[[#This Row],[Site]],Table35[#All],4,FALSE)</f>
        <v>-</v>
      </c>
      <c r="O182" s="34" t="str">
        <f>VLOOKUP(Tabla3[[#This Row],[Site]],Table35[#All],5,FALSE)</f>
        <v>-</v>
      </c>
      <c r="P182" s="34" t="str">
        <f>VLOOKUP(Tabla3[[#This Row],[Site]],Table35[#All],6,FALSE)</f>
        <v>13, 22, 27</v>
      </c>
      <c r="Q182" s="34" t="str">
        <f>VLOOKUP(Tabla3[[#This Row],[Site]],Table35[#All],8,FALSE)</f>
        <v>344</v>
      </c>
      <c r="R182"/>
    </row>
    <row r="183" spans="1:18" hidden="1" x14ac:dyDescent="0.25">
      <c r="A183" t="str">
        <f>+Tabla3[[#This Row],[Site]]&amp;Tabla3[[#This Row],[Split]]</f>
        <v>(AS) Koons Woodbridge Kia (NO TOURS)4</v>
      </c>
      <c r="B183">
        <v>4</v>
      </c>
      <c r="C183">
        <v>1</v>
      </c>
      <c r="D183" t="s">
        <v>407</v>
      </c>
      <c r="E183" t="str">
        <f>VLOOKUP(Tabla3[[#This Row],[Site]],Table35[],10,FALSE)</f>
        <v>9:00 P.M.</v>
      </c>
      <c r="F183" t="str">
        <f>VLOOKUP(Tabla3[[#This Row],[Site]],Table35[],11,FALSE)</f>
        <v>ET</v>
      </c>
      <c r="G183" t="str">
        <f>VLOOKUP(Tabla3[[#This Row],[Site]],Table35[],12,FALSE)</f>
        <v>5:00 A.M.</v>
      </c>
      <c r="H183" t="str">
        <f>VLOOKUP(Tabla3[[#This Row],[Site]],Table35[],13,FALSE)</f>
        <v>10:00 A.M.</v>
      </c>
      <c r="I183" s="70" t="str">
        <f>HYPERLINK(VLOOKUP(Tabla3[[#This Row],[Site]],Table35[#All],9,FALSE))</f>
        <v>https://tools.sig.systems/site/details/346</v>
      </c>
      <c r="J183" t="str">
        <f>VLOOKUP(Tabla3[[#This Row],[Site]],Table35[],14,FALSE)</f>
        <v>-</v>
      </c>
      <c r="L183" s="34" t="str">
        <f>VLOOKUP(Tabla3[[#This Row],[Site]],Table35[#All],2,FALSE)</f>
        <v>-</v>
      </c>
      <c r="M183" s="34">
        <f>VLOOKUP(Tabla3[[#This Row],[Site]],Table35[#All],3,FALSE)</f>
        <v>2</v>
      </c>
      <c r="N183" s="34" t="str">
        <f>VLOOKUP(Tabla3[[#This Row],[Site]],Table35[#All],4,FALSE)</f>
        <v>-</v>
      </c>
      <c r="O183" s="34" t="str">
        <f>VLOOKUP(Tabla3[[#This Row],[Site]],Table35[#All],5,FALSE)</f>
        <v>-</v>
      </c>
      <c r="P183" s="34">
        <f>VLOOKUP(Tabla3[[#This Row],[Site]],Table35[#All],6,FALSE)</f>
        <v>5</v>
      </c>
      <c r="Q183" s="34" t="str">
        <f>VLOOKUP(Tabla3[[#This Row],[Site]],Table35[#All],8,FALSE)</f>
        <v>346</v>
      </c>
      <c r="R183"/>
    </row>
    <row r="184" spans="1:18" hidden="1" x14ac:dyDescent="0.25">
      <c r="A184" t="str">
        <f>+Tabla3[[#This Row],[Site]]&amp;Tabla3[[#This Row],[Split]]</f>
        <v>(AS) Plaza Mercedes Benz West (NO TOURS)4</v>
      </c>
      <c r="B184">
        <v>4</v>
      </c>
      <c r="C184">
        <v>1</v>
      </c>
      <c r="D184" t="s">
        <v>396</v>
      </c>
      <c r="E184" t="str">
        <f>VLOOKUP(Tabla3[[#This Row],[Site]],Table35[],10,FALSE)</f>
        <v>10:00 P.M.</v>
      </c>
      <c r="F184" t="str">
        <f>VLOOKUP(Tabla3[[#This Row],[Site]],Table35[],11,FALSE)</f>
        <v>CT</v>
      </c>
      <c r="G184" t="str">
        <f>VLOOKUP(Tabla3[[#This Row],[Site]],Table35[],12,FALSE)</f>
        <v>6:00 A.M.</v>
      </c>
      <c r="H184" t="str">
        <f>VLOOKUP(Tabla3[[#This Row],[Site]],Table35[],13,FALSE)</f>
        <v>-</v>
      </c>
      <c r="I184" s="70" t="str">
        <f>HYPERLINK(VLOOKUP(Tabla3[[#This Row],[Site]],Table35[#All],9,FALSE))</f>
        <v>https://tools.sig.systems/site/details/349</v>
      </c>
      <c r="J184" t="str">
        <f>VLOOKUP(Tabla3[[#This Row],[Site]],Table35[],14,FALSE)</f>
        <v>-</v>
      </c>
      <c r="L184" s="34" t="str">
        <f>VLOOKUP(Tabla3[[#This Row],[Site]],Table35[#All],2,FALSE)</f>
        <v>-</v>
      </c>
      <c r="M184" s="34" t="str">
        <f>VLOOKUP(Tabla3[[#This Row],[Site]],Table35[#All],3,FALSE)</f>
        <v>1, 7</v>
      </c>
      <c r="N184" s="34" t="str">
        <f>VLOOKUP(Tabla3[[#This Row],[Site]],Table35[#All],4,FALSE)</f>
        <v>-</v>
      </c>
      <c r="O184" s="34">
        <f>VLOOKUP(Tabla3[[#This Row],[Site]],Table35[#All],5,FALSE)</f>
        <v>17</v>
      </c>
      <c r="P184" s="34" t="str">
        <f>VLOOKUP(Tabla3[[#This Row],[Site]],Table35[#All],6,FALSE)</f>
        <v>6, 21</v>
      </c>
      <c r="Q184" s="34" t="str">
        <f>VLOOKUP(Tabla3[[#This Row],[Site]],Table35[#All],8,FALSE)</f>
        <v>349</v>
      </c>
      <c r="R184"/>
    </row>
    <row r="185" spans="1:18" hidden="1" x14ac:dyDescent="0.25">
      <c r="A185" t="str">
        <f>+Tabla3[[#This Row],[Site]]&amp;Tabla3[[#This Row],[Split]]</f>
        <v>(DT) Charlotte4</v>
      </c>
      <c r="B185">
        <v>4</v>
      </c>
      <c r="C185">
        <v>1</v>
      </c>
      <c r="D185" t="s">
        <v>151</v>
      </c>
      <c r="E185" t="str">
        <f>VLOOKUP(Tabla3[[#This Row],[Site]],Table35[],10,FALSE)</f>
        <v>9:00 P.M.</v>
      </c>
      <c r="F185" t="str">
        <f>VLOOKUP(Tabla3[[#This Row],[Site]],Table35[],11,FALSE)</f>
        <v>ET</v>
      </c>
      <c r="G185" t="str">
        <f>VLOOKUP(Tabla3[[#This Row],[Site]],Table35[],12,FALSE)</f>
        <v>5:00 A.M.</v>
      </c>
      <c r="H185" t="str">
        <f>VLOOKUP(Tabla3[[#This Row],[Site]],Table35[],13,FALSE)</f>
        <v>-</v>
      </c>
      <c r="I185" s="70" t="str">
        <f>HYPERLINK(VLOOKUP(Tabla3[[#This Row],[Site]],Table35[#All],9,FALSE))</f>
        <v>https://tools.sig.systems/site/details/299</v>
      </c>
      <c r="J185">
        <f>VLOOKUP(Tabla3[[#This Row],[Site]],Table35[],14,FALSE)</f>
        <v>0</v>
      </c>
      <c r="L185" s="34" t="str">
        <f>VLOOKUP(Tabla3[[#This Row],[Site]],Table35[#All],2,FALSE)</f>
        <v>4, 25, 41</v>
      </c>
      <c r="M185" s="34" t="str">
        <f>VLOOKUP(Tabla3[[#This Row],[Site]],Table35[#All],3,FALSE)</f>
        <v>-</v>
      </c>
      <c r="N185" s="34" t="str">
        <f>VLOOKUP(Tabla3[[#This Row],[Site]],Table35[#All],4,FALSE)</f>
        <v>-</v>
      </c>
      <c r="O185" s="34" t="str">
        <f>VLOOKUP(Tabla3[[#This Row],[Site]],Table35[#All],5,FALSE)</f>
        <v xml:space="preserve">11, 32, 35 </v>
      </c>
      <c r="P185" s="34" t="str">
        <f>VLOOKUP(Tabla3[[#This Row],[Site]],Table35[#All],6,FALSE)</f>
        <v>6, 11, 18, 29, 34,  38, 39</v>
      </c>
      <c r="Q185" s="34" t="str">
        <f>VLOOKUP(Tabla3[[#This Row],[Site]],Table35[#All],8,FALSE)</f>
        <v>299</v>
      </c>
      <c r="R185"/>
    </row>
    <row r="186" spans="1:18" hidden="1" x14ac:dyDescent="0.25">
      <c r="A186" t="str">
        <f>+Tabla3[[#This Row],[Site]]&amp;Tabla3[[#This Row],[Split]]</f>
        <v>(KG) Big Star Hyundai Houston4</v>
      </c>
      <c r="B186">
        <v>4</v>
      </c>
      <c r="C186">
        <v>1</v>
      </c>
      <c r="D186" t="s">
        <v>129</v>
      </c>
      <c r="E186" t="str">
        <f>VLOOKUP(Tabla3[[#This Row],[Site]],Table35[],10,FALSE)</f>
        <v>10:00 P.M.</v>
      </c>
      <c r="F186" t="str">
        <f>VLOOKUP(Tabla3[[#This Row],[Site]],Table35[],11,FALSE)</f>
        <v>CT</v>
      </c>
      <c r="G186" t="str">
        <f>VLOOKUP(Tabla3[[#This Row],[Site]],Table35[],12,FALSE)</f>
        <v>6:00 A.M.</v>
      </c>
      <c r="H186" t="str">
        <f>VLOOKUP(Tabla3[[#This Row],[Site]],Table35[],13,FALSE)</f>
        <v>-</v>
      </c>
      <c r="I186" s="70" t="str">
        <f>HYPERLINK(VLOOKUP(Tabla3[[#This Row],[Site]],Table35[#All],9,FALSE))</f>
        <v>https://tools.sig.systems/site/details/287</v>
      </c>
      <c r="J186" t="str">
        <f>VLOOKUP(Tabla3[[#This Row],[Site]],Table35[],14,FALSE)</f>
        <v>https://www.google.com/maps/d/edit?hl=en&amp;mid=1jIRkMUnWNPuTgDjQgDP-f33LClT85NU&amp;ll=29.55731827236326%2C-95.1601644&amp;z=17</v>
      </c>
      <c r="L186" s="34" t="str">
        <f>VLOOKUP(Tabla3[[#This Row],[Site]],Table35[#All],2,FALSE)</f>
        <v>3, 12, 17</v>
      </c>
      <c r="M186" s="34" t="str">
        <f>VLOOKUP(Tabla3[[#This Row],[Site]],Table35[#All],3,FALSE)</f>
        <v>23, 35</v>
      </c>
      <c r="N186" s="34" t="str">
        <f>VLOOKUP(Tabla3[[#This Row],[Site]],Table35[#All],4,FALSE)</f>
        <v>-</v>
      </c>
      <c r="O186" s="34" t="str">
        <f>VLOOKUP(Tabla3[[#This Row],[Site]],Table35[#All],5,FALSE)</f>
        <v>1, 75</v>
      </c>
      <c r="P186" s="34" t="str">
        <f>VLOOKUP(Tabla3[[#This Row],[Site]],Table35[#All],6,FALSE)</f>
        <v xml:space="preserve">5, 11, 16, 20, 26, 30, 32, 34 </v>
      </c>
      <c r="Q186" s="34" t="str">
        <f>VLOOKUP(Tabla3[[#This Row],[Site]],Table35[#All],8,FALSE)</f>
        <v>287</v>
      </c>
      <c r="R186"/>
    </row>
    <row r="187" spans="1:18" hidden="1" x14ac:dyDescent="0.25">
      <c r="A187" t="str">
        <f>+Tabla3[[#This Row],[Site]]&amp;Tabla3[[#This Row],[Split]]</f>
        <v>(LT) Luther Brookdale Toyota4</v>
      </c>
      <c r="B187">
        <v>4</v>
      </c>
      <c r="C187">
        <v>1</v>
      </c>
      <c r="D187" t="s">
        <v>126</v>
      </c>
      <c r="E187" t="str">
        <f>VLOOKUP(Tabla3[[#This Row],[Site]],Table35[],10,FALSE)</f>
        <v>7:00 P.M.</v>
      </c>
      <c r="F187" t="str">
        <f>VLOOKUP(Tabla3[[#This Row],[Site]],Table35[],11,FALSE)</f>
        <v>CT</v>
      </c>
      <c r="G187" t="str">
        <f>VLOOKUP(Tabla3[[#This Row],[Site]],Table35[],12,FALSE)</f>
        <v>5:00 A.M.</v>
      </c>
      <c r="H187" t="str">
        <f>VLOOKUP(Tabla3[[#This Row],[Site]],Table35[],13,FALSE)</f>
        <v>-</v>
      </c>
      <c r="I187" s="70" t="str">
        <f>HYPERLINK(VLOOKUP(Tabla3[[#This Row],[Site]],Table35[#All],9,FALSE))</f>
        <v>https://tools.sig.systems/site/details/281</v>
      </c>
      <c r="J187" t="str">
        <f>VLOOKUP(Tabla3[[#This Row],[Site]],Table35[],14,FALSE)</f>
        <v>https://www.google.com/maps/d/viewer?mid=1ot0ILX76JMuvd9yMuqkb4_e0yH1n7TA&amp;ll=45.07815812965141%2C-93.33506855000002&amp;z=17</v>
      </c>
      <c r="L187" s="34" t="str">
        <f>VLOOKUP(Tabla3[[#This Row],[Site]],Table35[#All],2,FALSE)</f>
        <v>-</v>
      </c>
      <c r="M187" s="34" t="str">
        <f>VLOOKUP(Tabla3[[#This Row],[Site]],Table35[#All],3,FALSE)</f>
        <v>5, 7</v>
      </c>
      <c r="N187" s="34">
        <f>VLOOKUP(Tabla3[[#This Row],[Site]],Table35[#All],4,FALSE)</f>
        <v>29</v>
      </c>
      <c r="O187" s="34">
        <f>VLOOKUP(Tabla3[[#This Row],[Site]],Table35[#All],5,FALSE)</f>
        <v>20</v>
      </c>
      <c r="P187" s="34" t="str">
        <f>VLOOKUP(Tabla3[[#This Row],[Site]],Table35[#All],6,FALSE)</f>
        <v xml:space="preserve">1, 2, 4, 10, 18, 24, 25 </v>
      </c>
      <c r="Q187" s="34" t="str">
        <f>VLOOKUP(Tabla3[[#This Row],[Site]],Table35[#All],8,FALSE)</f>
        <v>281</v>
      </c>
      <c r="R187"/>
    </row>
    <row r="188" spans="1:18" hidden="1" x14ac:dyDescent="0.25">
      <c r="A188" t="str">
        <f>+Tabla3[[#This Row],[Site]]&amp;Tabla3[[#This Row],[Split]]</f>
        <v>(LT) Luther Burnsville Hyundai4</v>
      </c>
      <c r="B188">
        <v>4</v>
      </c>
      <c r="C188">
        <v>1</v>
      </c>
      <c r="D188" t="s">
        <v>284</v>
      </c>
      <c r="E188" t="str">
        <f>VLOOKUP(Tabla3[[#This Row],[Site]],Table35[],10,FALSE)</f>
        <v>10:00 P.M.</v>
      </c>
      <c r="F188" t="str">
        <f>VLOOKUP(Tabla3[[#This Row],[Site]],Table35[],11,FALSE)</f>
        <v>CT</v>
      </c>
      <c r="G188" t="str">
        <f>VLOOKUP(Tabla3[[#This Row],[Site]],Table35[],12,FALSE)</f>
        <v>6:00 A.M.</v>
      </c>
      <c r="H188" t="str">
        <f>VLOOKUP(Tabla3[[#This Row],[Site]],Table35[],13,FALSE)</f>
        <v>-</v>
      </c>
      <c r="I188" s="70" t="str">
        <f>HYPERLINK(VLOOKUP(Tabla3[[#This Row],[Site]],Table35[#All],9,FALSE))</f>
        <v>https://tools.sig.systems/site/details/307</v>
      </c>
      <c r="J188">
        <f>VLOOKUP(Tabla3[[#This Row],[Site]],Table35[],14,FALSE)</f>
        <v>0</v>
      </c>
      <c r="L188" s="34" t="str">
        <f>VLOOKUP(Tabla3[[#This Row],[Site]],Table35[#All],2,FALSE)</f>
        <v>-</v>
      </c>
      <c r="M188" s="34" t="str">
        <f>VLOOKUP(Tabla3[[#This Row],[Site]],Table35[#All],3,FALSE)</f>
        <v>6, 17</v>
      </c>
      <c r="N188" s="34" t="str">
        <f>VLOOKUP(Tabla3[[#This Row],[Site]],Table35[#All],4,FALSE)</f>
        <v>22, 21</v>
      </c>
      <c r="O188" s="34">
        <f>VLOOKUP(Tabla3[[#This Row],[Site]],Table35[#All],5,FALSE)</f>
        <v>7</v>
      </c>
      <c r="P188" s="34" t="str">
        <f>VLOOKUP(Tabla3[[#This Row],[Site]],Table35[#All],6,FALSE)</f>
        <v>2, 4, 16</v>
      </c>
      <c r="Q188" s="34" t="str">
        <f>VLOOKUP(Tabla3[[#This Row],[Site]],Table35[#All],8,FALSE)</f>
        <v>307</v>
      </c>
      <c r="R188"/>
    </row>
    <row r="189" spans="1:18" hidden="1" x14ac:dyDescent="0.25">
      <c r="A189" t="str">
        <f>+Tabla3[[#This Row],[Site]]&amp;Tabla3[[#This Row],[Split]]</f>
        <v>(LT) Luther St. Cloud Subaru4</v>
      </c>
      <c r="B189">
        <v>4</v>
      </c>
      <c r="C189">
        <v>1</v>
      </c>
      <c r="D189" t="s">
        <v>128</v>
      </c>
      <c r="E189" t="str">
        <f>VLOOKUP(Tabla3[[#This Row],[Site]],Table35[],10,FALSE)</f>
        <v>10:00 P.M.</v>
      </c>
      <c r="F189" t="str">
        <f>VLOOKUP(Tabla3[[#This Row],[Site]],Table35[],11,FALSE)</f>
        <v>CT</v>
      </c>
      <c r="G189" t="str">
        <f>VLOOKUP(Tabla3[[#This Row],[Site]],Table35[],12,FALSE)</f>
        <v>5:30 A.M.</v>
      </c>
      <c r="H189" t="str">
        <f>VLOOKUP(Tabla3[[#This Row],[Site]],Table35[],13,FALSE)</f>
        <v>-</v>
      </c>
      <c r="I189" s="70" t="str">
        <f>HYPERLINK(VLOOKUP(Tabla3[[#This Row],[Site]],Table35[#All],9,FALSE))</f>
        <v>https://tools.sig.systems/site/details/295</v>
      </c>
      <c r="J189">
        <f>VLOOKUP(Tabla3[[#This Row],[Site]],Table35[],14,FALSE)</f>
        <v>0</v>
      </c>
      <c r="L189" s="34" t="str">
        <f>VLOOKUP(Tabla3[[#This Row],[Site]],Table35[#All],2,FALSE)</f>
        <v>25, 31</v>
      </c>
      <c r="M189" s="34" t="str">
        <f>VLOOKUP(Tabla3[[#This Row],[Site]],Table35[#All],3,FALSE)</f>
        <v>9, 13, 20</v>
      </c>
      <c r="N189" s="34" t="str">
        <f>VLOOKUP(Tabla3[[#This Row],[Site]],Table35[#All],4,FALSE)</f>
        <v>38, 39, 40, 41</v>
      </c>
      <c r="O189" s="34">
        <f>VLOOKUP(Tabla3[[#This Row],[Site]],Table35[#All],5,FALSE)</f>
        <v>27</v>
      </c>
      <c r="P189" s="34" t="str">
        <f>VLOOKUP(Tabla3[[#This Row],[Site]],Table35[#All],6,FALSE)</f>
        <v>2, 6, 8, 11, 14, 19, 23, 26</v>
      </c>
      <c r="Q189" s="34" t="str">
        <f>VLOOKUP(Tabla3[[#This Row],[Site]],Table35[#All],8,FALSE)</f>
        <v>295</v>
      </c>
      <c r="R189"/>
    </row>
    <row r="190" spans="1:18" hidden="1" x14ac:dyDescent="0.25">
      <c r="A190" t="str">
        <f>+Tabla3[[#This Row],[Site]]&amp;Tabla3[[#This Row],[Split]]</f>
        <v>(ML) Joe Machens Hyundai4</v>
      </c>
      <c r="B190">
        <v>4</v>
      </c>
      <c r="C190">
        <v>1</v>
      </c>
      <c r="D190" t="s">
        <v>125</v>
      </c>
      <c r="E190" t="str">
        <f>VLOOKUP(Tabla3[[#This Row],[Site]],Table35[],10,FALSE)</f>
        <v>10:00 P.M.</v>
      </c>
      <c r="F190" t="str">
        <f>VLOOKUP(Tabla3[[#This Row],[Site]],Table35[],11,FALSE)</f>
        <v>CT</v>
      </c>
      <c r="G190" t="str">
        <f>VLOOKUP(Tabla3[[#This Row],[Site]],Table35[],12,FALSE)</f>
        <v>6:00 A.M.</v>
      </c>
      <c r="H190" t="str">
        <f>VLOOKUP(Tabla3[[#This Row],[Site]],Table35[],13,FALSE)</f>
        <v>-</v>
      </c>
      <c r="I190" s="70" t="str">
        <f>HYPERLINK(VLOOKUP(Tabla3[[#This Row],[Site]],Table35[#All],9,FALSE))</f>
        <v>https://tools.sig.systems/site/details/286</v>
      </c>
      <c r="J190" t="str">
        <f>VLOOKUP(Tabla3[[#This Row],[Site]],Table35[],14,FALSE)</f>
        <v>https://www.google.com/maps/d/viewer?hl=es&amp;mid=1C1oZdjH3dNvCvqdpIv_Lk0Yn1OCVn-4&amp;ll=38.965368114274455%2C-92.3405954&amp;z=15</v>
      </c>
      <c r="L190" s="34" t="str">
        <f>VLOOKUP(Tabla3[[#This Row],[Site]],Table35[#All],2,FALSE)</f>
        <v>-</v>
      </c>
      <c r="M190" s="34" t="str">
        <f>VLOOKUP(Tabla3[[#This Row],[Site]],Table35[#All],3,FALSE)</f>
        <v>3, 4, 14, 25</v>
      </c>
      <c r="N190" s="34" t="str">
        <f>VLOOKUP(Tabla3[[#This Row],[Site]],Table35[#All],4,FALSE)</f>
        <v>-</v>
      </c>
      <c r="O190" s="34">
        <f>VLOOKUP(Tabla3[[#This Row],[Site]],Table35[#All],5,FALSE)</f>
        <v>17</v>
      </c>
      <c r="P190" s="34" t="str">
        <f>VLOOKUP(Tabla3[[#This Row],[Site]],Table35[#All],6,FALSE)</f>
        <v>1, 11, 12, 13, 15</v>
      </c>
      <c r="Q190" s="34" t="str">
        <f>VLOOKUP(Tabla3[[#This Row],[Site]],Table35[#All],8,FALSE)</f>
        <v>286</v>
      </c>
      <c r="R190"/>
    </row>
    <row r="191" spans="1:18" hidden="1" x14ac:dyDescent="0.25">
      <c r="A191" t="str">
        <f>+Tabla3[[#This Row],[Site]]&amp;Tabla3[[#This Row],[Split]]</f>
        <v>(PE) BMW Service Center (NO TOURS)4</v>
      </c>
      <c r="B191">
        <v>4</v>
      </c>
      <c r="C191">
        <v>1</v>
      </c>
      <c r="D191" t="s">
        <v>39</v>
      </c>
      <c r="E191" t="str">
        <f>VLOOKUP(Tabla3[[#This Row],[Site]],Table35[],10,FALSE)</f>
        <v>8:00 P.M.</v>
      </c>
      <c r="F191" t="str">
        <f>VLOOKUP(Tabla3[[#This Row],[Site]],Table35[],11,FALSE)</f>
        <v>ET</v>
      </c>
      <c r="G191" t="str">
        <f>VLOOKUP(Tabla3[[#This Row],[Site]],Table35[],12,FALSE)</f>
        <v>5:00 A.M.</v>
      </c>
      <c r="H191" t="str">
        <f>VLOOKUP(Tabla3[[#This Row],[Site]],Table35[],13,FALSE)</f>
        <v>-</v>
      </c>
      <c r="I191" s="70" t="str">
        <f>HYPERLINK(VLOOKUP(Tabla3[[#This Row],[Site]],Table35[#All],9,FALSE))</f>
        <v>https://tools.sig.systems/site/details/184</v>
      </c>
      <c r="J191" t="str">
        <f>VLOOKUP(Tabla3[[#This Row],[Site]],Table35[],14,FALSE)</f>
        <v>https://www.google.com/maps/d/edit?hl=en&amp;mid=1UHmt7tH1ihTa85i0MfQIcTfVvIQg_vM&amp;ll=41.02423447529239%2C-73.63721502222738&amp;z=18</v>
      </c>
      <c r="L191" s="34">
        <f>VLOOKUP(Tabla3[[#This Row],[Site]],Table35[#All],2,FALSE)</f>
        <v>3</v>
      </c>
      <c r="M191" s="34" t="str">
        <f>VLOOKUP(Tabla3[[#This Row],[Site]],Table35[#All],3,FALSE)</f>
        <v>-</v>
      </c>
      <c r="N191" s="34" t="str">
        <f>VLOOKUP(Tabla3[[#This Row],[Site]],Table35[#All],4,FALSE)</f>
        <v>-</v>
      </c>
      <c r="O191" s="34" t="str">
        <f>VLOOKUP(Tabla3[[#This Row],[Site]],Table35[#All],5,FALSE)</f>
        <v>-</v>
      </c>
      <c r="P191" s="34" t="str">
        <f>VLOOKUP(Tabla3[[#This Row],[Site]],Table35[#All],6,FALSE)</f>
        <v xml:space="preserve">1, 2 </v>
      </c>
      <c r="Q191" s="34" t="str">
        <f>VLOOKUP(Tabla3[[#This Row],[Site]],Table35[#All],8,FALSE)</f>
        <v>184</v>
      </c>
      <c r="R191"/>
    </row>
    <row r="192" spans="1:18" hidden="1" x14ac:dyDescent="0.25">
      <c r="A192" t="str">
        <f>+Tabla3[[#This Row],[Site]]&amp;Tabla3[[#This Row],[Split]]</f>
        <v>(PE) Porsche Audi Fairfield (NO TOURS)4</v>
      </c>
      <c r="B192">
        <v>4</v>
      </c>
      <c r="C192">
        <v>1</v>
      </c>
      <c r="D192" t="s">
        <v>446</v>
      </c>
      <c r="E192" t="str">
        <f>VLOOKUP(Tabla3[[#This Row],[Site]],Table35[],10,FALSE)</f>
        <v>8:00 P.M.</v>
      </c>
      <c r="F192" t="str">
        <f>VLOOKUP(Tabla3[[#This Row],[Site]],Table35[],11,FALSE)</f>
        <v>ET</v>
      </c>
      <c r="G192" t="str">
        <f>VLOOKUP(Tabla3[[#This Row],[Site]],Table35[],12,FALSE)</f>
        <v>5:00 A.M.</v>
      </c>
      <c r="H192" t="str">
        <f>VLOOKUP(Tabla3[[#This Row],[Site]],Table35[],13,FALSE)</f>
        <v>-</v>
      </c>
      <c r="I192" s="70" t="str">
        <f>HYPERLINK(VLOOKUP(Tabla3[[#This Row],[Site]],Table35[#All],9,FALSE))</f>
        <v>https://tools.sig.systems/site/details/194</v>
      </c>
      <c r="J192" t="str">
        <f>VLOOKUP(Tabla3[[#This Row],[Site]],Table35[],14,FALSE)</f>
        <v>-</v>
      </c>
      <c r="L192" s="34" t="str">
        <f>VLOOKUP(Tabla3[[#This Row],[Site]],Table35[#All],2,FALSE)</f>
        <v>1, 18</v>
      </c>
      <c r="M192" s="34" t="str">
        <f>VLOOKUP(Tabla3[[#This Row],[Site]],Table35[#All],3,FALSE)</f>
        <v>-</v>
      </c>
      <c r="N192" s="34" t="str">
        <f>VLOOKUP(Tabla3[[#This Row],[Site]],Table35[#All],4,FALSE)</f>
        <v>-</v>
      </c>
      <c r="O192" s="34">
        <f>VLOOKUP(Tabla3[[#This Row],[Site]],Table35[#All],5,FALSE)</f>
        <v>20</v>
      </c>
      <c r="P192" s="34">
        <f>VLOOKUP(Tabla3[[#This Row],[Site]],Table35[#All],6,FALSE)</f>
        <v>15</v>
      </c>
      <c r="Q192" s="34">
        <f>VLOOKUP(Tabla3[[#This Row],[Site]],Table35[#All],8,FALSE)</f>
        <v>194</v>
      </c>
      <c r="R192"/>
    </row>
    <row r="193" spans="1:18" hidden="1" x14ac:dyDescent="0.25">
      <c r="A193" t="str">
        <f>+Tabla3[[#This Row],[Site]]&amp;Tabla3[[#This Row],[Split]]</f>
        <v>(TC) Lamborghini South Dade4</v>
      </c>
      <c r="B193">
        <v>4</v>
      </c>
      <c r="C193">
        <v>1</v>
      </c>
      <c r="D193" t="s">
        <v>237</v>
      </c>
      <c r="E193" t="str">
        <f>VLOOKUP(Tabla3[[#This Row],[Site]],Table35[],10,FALSE)</f>
        <v>9:00 P.M.</v>
      </c>
      <c r="F193" t="str">
        <f>VLOOKUP(Tabla3[[#This Row],[Site]],Table35[],11,FALSE)</f>
        <v>ET</v>
      </c>
      <c r="G193" t="str">
        <f>VLOOKUP(Tabla3[[#This Row],[Site]],Table35[],12,FALSE)</f>
        <v>5:00 A.M.</v>
      </c>
      <c r="H193" t="str">
        <f>VLOOKUP(Tabla3[[#This Row],[Site]],Table35[],13,FALSE)</f>
        <v>-</v>
      </c>
      <c r="I193" s="70" t="str">
        <f>HYPERLINK(VLOOKUP(Tabla3[[#This Row],[Site]],Table35[#All],9,FALSE))</f>
        <v>https://tools.sig.systems/site/details/313</v>
      </c>
      <c r="J193">
        <f>VLOOKUP(Tabla3[[#This Row],[Site]],Table35[],14,FALSE)</f>
        <v>0</v>
      </c>
      <c r="L193" s="34" t="str">
        <f>VLOOKUP(Tabla3[[#This Row],[Site]],Table35[#All],2,FALSE)</f>
        <v>-</v>
      </c>
      <c r="M193" s="34" t="str">
        <f>VLOOKUP(Tabla3[[#This Row],[Site]],Table35[#All],3,FALSE)</f>
        <v>9, 11</v>
      </c>
      <c r="N193" s="34" t="str">
        <f>VLOOKUP(Tabla3[[#This Row],[Site]],Table35[#All],4,FALSE)</f>
        <v>-</v>
      </c>
      <c r="O193" s="34" t="str">
        <f>VLOOKUP(Tabla3[[#This Row],[Site]],Table35[#All],5,FALSE)</f>
        <v>-</v>
      </c>
      <c r="P193" s="34" t="str">
        <f>VLOOKUP(Tabla3[[#This Row],[Site]],Table35[#All],6,FALSE)</f>
        <v>-</v>
      </c>
      <c r="Q193" s="34" t="str">
        <f>VLOOKUP(Tabla3[[#This Row],[Site]],Table35[#All],8,FALSE)</f>
        <v>313</v>
      </c>
      <c r="R193"/>
    </row>
    <row r="194" spans="1:18" hidden="1" x14ac:dyDescent="0.25">
      <c r="A194" t="str">
        <f>+Tabla3[[#This Row],[Site]]&amp;Tabla3[[#This Row],[Split]]</f>
        <v>(AS) Coggin BMW Ft. Pierce (NO TOURS)4</v>
      </c>
      <c r="B194">
        <v>4</v>
      </c>
      <c r="C194">
        <v>2</v>
      </c>
      <c r="D194" t="s">
        <v>122</v>
      </c>
      <c r="E194" t="str">
        <f>VLOOKUP(Tabla3[[#This Row],[Site]],Table35[],10,FALSE)</f>
        <v>9:00 P.M.</v>
      </c>
      <c r="F194" t="str">
        <f>VLOOKUP(Tabla3[[#This Row],[Site]],Table35[],11,FALSE)</f>
        <v>ET</v>
      </c>
      <c r="G194" t="str">
        <f>VLOOKUP(Tabla3[[#This Row],[Site]],Table35[],12,FALSE)</f>
        <v>5:00 A.M.</v>
      </c>
      <c r="H194" t="str">
        <f>VLOOKUP(Tabla3[[#This Row],[Site]],Table35[],13,FALSE)</f>
        <v>-</v>
      </c>
      <c r="I194" s="70" t="str">
        <f>HYPERLINK(VLOOKUP(Tabla3[[#This Row],[Site]],Table35[#All],9,FALSE))</f>
        <v>https://tools.sig.systems/site/details/119</v>
      </c>
      <c r="J194" t="str">
        <f>VLOOKUP(Tabla3[[#This Row],[Site]],Table35[],14,FALSE)</f>
        <v>https://www.google.com/maps/d/viewer?mid=1AyViBuyeq7iwDua1SVudJ2A1BYi3IBA&amp;ll=27.38181516363982%2C-80.32568845000002&amp;z=18</v>
      </c>
      <c r="L194" s="34" t="str">
        <f>VLOOKUP(Tabla3[[#This Row],[Site]],Table35[#All],2,FALSE)</f>
        <v>3, 10, 13</v>
      </c>
      <c r="M194" s="34" t="str">
        <f>VLOOKUP(Tabla3[[#This Row],[Site]],Table35[#All],3,FALSE)</f>
        <v>-</v>
      </c>
      <c r="N194" s="34" t="str">
        <f>VLOOKUP(Tabla3[[#This Row],[Site]],Table35[#All],4,FALSE)</f>
        <v>-</v>
      </c>
      <c r="O194" s="34">
        <f>VLOOKUP(Tabla3[[#This Row],[Site]],Table35[#All],5,FALSE)</f>
        <v>2</v>
      </c>
      <c r="P194" s="34" t="str">
        <f>VLOOKUP(Tabla3[[#This Row],[Site]],Table35[#All],6,FALSE)</f>
        <v>1, 20, 27</v>
      </c>
      <c r="Q194" s="34" t="str">
        <f>VLOOKUP(Tabla3[[#This Row],[Site]],Table35[#All],8,FALSE)</f>
        <v>119</v>
      </c>
      <c r="R194"/>
    </row>
    <row r="195" spans="1:18" hidden="1" x14ac:dyDescent="0.25">
      <c r="A195" t="str">
        <f>+Tabla3[[#This Row],[Site]]&amp;Tabla3[[#This Row],[Split]]</f>
        <v>(AS) Hare Chevrolet (NO TOURS)4</v>
      </c>
      <c r="B195">
        <v>4</v>
      </c>
      <c r="C195">
        <v>2</v>
      </c>
      <c r="D195" t="s">
        <v>379</v>
      </c>
      <c r="E195" t="str">
        <f>VLOOKUP(Tabla3[[#This Row],[Site]],Table35[],10,FALSE)</f>
        <v>9:00 P.M.</v>
      </c>
      <c r="F195" t="str">
        <f>VLOOKUP(Tabla3[[#This Row],[Site]],Table35[],11,FALSE)</f>
        <v>ET</v>
      </c>
      <c r="G195" t="str">
        <f>VLOOKUP(Tabla3[[#This Row],[Site]],Table35[],12,FALSE)</f>
        <v>5:00 A.M.</v>
      </c>
      <c r="H195" t="str">
        <f>VLOOKUP(Tabla3[[#This Row],[Site]],Table35[],13,FALSE)</f>
        <v>-</v>
      </c>
      <c r="I195" s="70" t="str">
        <f>HYPERLINK(VLOOKUP(Tabla3[[#This Row],[Site]],Table35[#All],9,FALSE))</f>
        <v>https://tools.sig.systems/site/details/301</v>
      </c>
      <c r="J195" t="str">
        <f>VLOOKUP(Tabla3[[#This Row],[Site]],Table35[],14,FALSE)</f>
        <v>https://www.google.com/maps/d/edit?mid=1hsX5GGrNcCQgAuzDCDz1OWgEkhsAc78&amp;usp=sharing</v>
      </c>
      <c r="L195" s="34" t="str">
        <f>VLOOKUP(Tabla3[[#This Row],[Site]],Table35[#All],2,FALSE)</f>
        <v>18, 24</v>
      </c>
      <c r="M195" s="34" t="str">
        <f>VLOOKUP(Tabla3[[#This Row],[Site]],Table35[#All],3,FALSE)</f>
        <v>2, 3</v>
      </c>
      <c r="N195" s="34" t="str">
        <f>VLOOKUP(Tabla3[[#This Row],[Site]],Table35[#All],4,FALSE)</f>
        <v>-</v>
      </c>
      <c r="O195" s="34">
        <f>VLOOKUP(Tabla3[[#This Row],[Site]],Table35[#All],5,FALSE)</f>
        <v>5</v>
      </c>
      <c r="P195" s="34" t="str">
        <f>VLOOKUP(Tabla3[[#This Row],[Site]],Table35[#All],6,FALSE)</f>
        <v>1, 5, 7, 8, 21, 29</v>
      </c>
      <c r="Q195" s="34" t="str">
        <f>VLOOKUP(Tabla3[[#This Row],[Site]],Table35[#All],8,FALSE)</f>
        <v>301</v>
      </c>
      <c r="R195"/>
    </row>
    <row r="196" spans="1:18" hidden="1" x14ac:dyDescent="0.25">
      <c r="A196" t="str">
        <f>+Tabla3[[#This Row],[Site]]&amp;Tabla3[[#This Row],[Split]]</f>
        <v>(AS) Koons Chevrolet Buick GMC - Clarksville Remote Lot (NO TOURS)4</v>
      </c>
      <c r="B196">
        <v>4</v>
      </c>
      <c r="C196">
        <v>2</v>
      </c>
      <c r="D196" t="s">
        <v>415</v>
      </c>
      <c r="E196" t="str">
        <f>VLOOKUP(Tabla3[[#This Row],[Site]],Table35[],10,FALSE)</f>
        <v>9:00 P.M.</v>
      </c>
      <c r="F196" t="str">
        <f>VLOOKUP(Tabla3[[#This Row],[Site]],Table35[],11,FALSE)</f>
        <v>ET</v>
      </c>
      <c r="G196" t="str">
        <f>VLOOKUP(Tabla3[[#This Row],[Site]],Table35[],12,FALSE)</f>
        <v>5:00 A.M.</v>
      </c>
      <c r="H196" t="str">
        <f>VLOOKUP(Tabla3[[#This Row],[Site]],Table35[],13,FALSE)</f>
        <v>10:00 A.M.</v>
      </c>
      <c r="I196" s="70" t="str">
        <f>HYPERLINK(VLOOKUP(Tabla3[[#This Row],[Site]],Table35[#All],9,FALSE))</f>
        <v>https://tools.sig.systems/site/details/308</v>
      </c>
      <c r="J196" t="str">
        <f>VLOOKUP(Tabla3[[#This Row],[Site]],Table35[],14,FALSE)</f>
        <v>https://www.google.com/maps/d/edit?hl=es&amp;mid=11XB1lTSP7EcDCDvzypdUPWP6bWCNAEI&amp;ll=39.21145022420528%2C-76.94003711910554&amp;z=21</v>
      </c>
      <c r="L196" s="34" t="str">
        <f>VLOOKUP(Tabla3[[#This Row],[Site]],Table35[#All],2,FALSE)</f>
        <v>-</v>
      </c>
      <c r="M196" s="34" t="str">
        <f>VLOOKUP(Tabla3[[#This Row],[Site]],Table35[#All],3,FALSE)</f>
        <v>1, 5</v>
      </c>
      <c r="N196" s="34" t="str">
        <f>VLOOKUP(Tabla3[[#This Row],[Site]],Table35[#All],4,FALSE)</f>
        <v>-</v>
      </c>
      <c r="O196" s="34" t="str">
        <f>VLOOKUP(Tabla3[[#This Row],[Site]],Table35[#All],5,FALSE)</f>
        <v>-</v>
      </c>
      <c r="P196" s="34" t="str">
        <f>VLOOKUP(Tabla3[[#This Row],[Site]],Table35[#All],6,FALSE)</f>
        <v>14, 16</v>
      </c>
      <c r="Q196" s="34" t="str">
        <f>VLOOKUP(Tabla3[[#This Row],[Site]],Table35[#All],8,FALSE)</f>
        <v>308</v>
      </c>
      <c r="R196"/>
    </row>
    <row r="197" spans="1:18" hidden="1" x14ac:dyDescent="0.25">
      <c r="A197" t="str">
        <f>+Tabla3[[#This Row],[Site]]&amp;Tabla3[[#This Row],[Split]]</f>
        <v>(AS) Koons Chevrolet Buick GMC - Tysons (NO TOURS)4</v>
      </c>
      <c r="B197">
        <v>4</v>
      </c>
      <c r="C197">
        <v>2</v>
      </c>
      <c r="D197" t="s">
        <v>377</v>
      </c>
      <c r="E197" t="str">
        <f>VLOOKUP(Tabla3[[#This Row],[Site]],Table35[],10,FALSE)</f>
        <v>9:00 P.M.</v>
      </c>
      <c r="F197" t="str">
        <f>VLOOKUP(Tabla3[[#This Row],[Site]],Table35[],11,FALSE)</f>
        <v>ET</v>
      </c>
      <c r="G197" t="str">
        <f>VLOOKUP(Tabla3[[#This Row],[Site]],Table35[],12,FALSE)</f>
        <v>5:00 A.M.</v>
      </c>
      <c r="H197" t="str">
        <f>VLOOKUP(Tabla3[[#This Row],[Site]],Table35[],13,FALSE)</f>
        <v>10:00 A.M.</v>
      </c>
      <c r="I197" s="70" t="str">
        <f>HYPERLINK(VLOOKUP(Tabla3[[#This Row],[Site]],Table35[#All],9,FALSE))</f>
        <v>https://tools.sig.systems/site/details/352</v>
      </c>
      <c r="J197" t="str">
        <f>VLOOKUP(Tabla3[[#This Row],[Site]],Table35[],14,FALSE)</f>
        <v>-</v>
      </c>
      <c r="L197" s="34" t="str">
        <f>VLOOKUP(Tabla3[[#This Row],[Site]],Table35[#All],2,FALSE)</f>
        <v>-</v>
      </c>
      <c r="M197" s="34" t="str">
        <f>VLOOKUP(Tabla3[[#This Row],[Site]],Table35[#All],3,FALSE)</f>
        <v>3, 6</v>
      </c>
      <c r="N197" s="34" t="str">
        <f>VLOOKUP(Tabla3[[#This Row],[Site]],Table35[#All],4,FALSE)</f>
        <v>-</v>
      </c>
      <c r="O197" s="34">
        <f>VLOOKUP(Tabla3[[#This Row],[Site]],Table35[#All],5,FALSE)</f>
        <v>4</v>
      </c>
      <c r="P197" s="34" t="str">
        <f>VLOOKUP(Tabla3[[#This Row],[Site]],Table35[#All],6,FALSE)</f>
        <v xml:space="preserve">2, 9, 17 </v>
      </c>
      <c r="Q197" s="34" t="str">
        <f>VLOOKUP(Tabla3[[#This Row],[Site]],Table35[#All],8,FALSE)</f>
        <v>352</v>
      </c>
      <c r="R197"/>
    </row>
    <row r="198" spans="1:18" hidden="1" x14ac:dyDescent="0.25">
      <c r="A198" t="str">
        <f>+Tabla3[[#This Row],[Site]]&amp;Tabla3[[#This Row],[Split]]</f>
        <v>(AS) Koons Falls Church Ford (NO TOURS)4</v>
      </c>
      <c r="B198">
        <v>4</v>
      </c>
      <c r="C198">
        <v>2</v>
      </c>
      <c r="D198" t="s">
        <v>386</v>
      </c>
      <c r="E198" t="str">
        <f>VLOOKUP(Tabla3[[#This Row],[Site]],Table35[],10,FALSE)</f>
        <v>9:00 P.M.</v>
      </c>
      <c r="F198" t="str">
        <f>VLOOKUP(Tabla3[[#This Row],[Site]],Table35[],11,FALSE)</f>
        <v>ET</v>
      </c>
      <c r="G198" t="str">
        <f>VLOOKUP(Tabla3[[#This Row],[Site]],Table35[],12,FALSE)</f>
        <v>5:00 A.M.</v>
      </c>
      <c r="H198" t="str">
        <f>VLOOKUP(Tabla3[[#This Row],[Site]],Table35[],13,FALSE)</f>
        <v>10:00 A.M.</v>
      </c>
      <c r="I198" s="70" t="str">
        <f>HYPERLINK(VLOOKUP(Tabla3[[#This Row],[Site]],Table35[#All],9,FALSE))</f>
        <v>https://tools.sig.systems/site/details/345</v>
      </c>
      <c r="J198" t="str">
        <f>VLOOKUP(Tabla3[[#This Row],[Site]],Table35[],14,FALSE)</f>
        <v>-</v>
      </c>
      <c r="L198" s="34" t="str">
        <f>VLOOKUP(Tabla3[[#This Row],[Site]],Table35[#All],2,FALSE)</f>
        <v>-</v>
      </c>
      <c r="M198" s="34">
        <f>VLOOKUP(Tabla3[[#This Row],[Site]],Table35[#All],3,FALSE)</f>
        <v>1</v>
      </c>
      <c r="N198" s="34" t="str">
        <f>VLOOKUP(Tabla3[[#This Row],[Site]],Table35[#All],4,FALSE)</f>
        <v>-</v>
      </c>
      <c r="O198" s="34" t="str">
        <f>VLOOKUP(Tabla3[[#This Row],[Site]],Table35[#All],5,FALSE)</f>
        <v>-</v>
      </c>
      <c r="P198" s="34" t="str">
        <f>VLOOKUP(Tabla3[[#This Row],[Site]],Table35[#All],6,FALSE)</f>
        <v>-</v>
      </c>
      <c r="Q198" s="34" t="str">
        <f>VLOOKUP(Tabla3[[#This Row],[Site]],Table35[#All],8,FALSE)</f>
        <v>345</v>
      </c>
      <c r="R198"/>
    </row>
    <row r="199" spans="1:18" hidden="1" x14ac:dyDescent="0.25">
      <c r="A199" t="str">
        <f>+Tabla3[[#This Row],[Site]]&amp;Tabla3[[#This Row],[Split]]</f>
        <v>(AS) Koons Owings Mills Kia (NO TOURS)4</v>
      </c>
      <c r="B199">
        <v>4</v>
      </c>
      <c r="C199">
        <v>2</v>
      </c>
      <c r="D199" t="s">
        <v>416</v>
      </c>
      <c r="E199" t="str">
        <f>VLOOKUP(Tabla3[[#This Row],[Site]],Table35[],10,FALSE)</f>
        <v>9:00 P.M.</v>
      </c>
      <c r="F199" t="str">
        <f>VLOOKUP(Tabla3[[#This Row],[Site]],Table35[],11,FALSE)</f>
        <v>ET</v>
      </c>
      <c r="G199" t="str">
        <f>VLOOKUP(Tabla3[[#This Row],[Site]],Table35[],12,FALSE)</f>
        <v>5:00 A.M.</v>
      </c>
      <c r="H199" t="str">
        <f>VLOOKUP(Tabla3[[#This Row],[Site]],Table35[],13,FALSE)</f>
        <v>-</v>
      </c>
      <c r="I199" s="70" t="str">
        <f>HYPERLINK(VLOOKUP(Tabla3[[#This Row],[Site]],Table35[#All],9,FALSE))</f>
        <v>https://tools.sig.systems/site/details/336</v>
      </c>
      <c r="J199" t="str">
        <f>VLOOKUP(Tabla3[[#This Row],[Site]],Table35[],14,FALSE)</f>
        <v>-</v>
      </c>
      <c r="L199" s="34">
        <f>VLOOKUP(Tabla3[[#This Row],[Site]],Table35[#All],2,FALSE)</f>
        <v>12</v>
      </c>
      <c r="M199" s="34" t="str">
        <f>VLOOKUP(Tabla3[[#This Row],[Site]],Table35[#All],3,FALSE)</f>
        <v>2, 18</v>
      </c>
      <c r="N199" s="34" t="str">
        <f>VLOOKUP(Tabla3[[#This Row],[Site]],Table35[#All],4,FALSE)</f>
        <v>-</v>
      </c>
      <c r="O199" s="34" t="str">
        <f>VLOOKUP(Tabla3[[#This Row],[Site]],Table35[#All],5,FALSE)</f>
        <v>-</v>
      </c>
      <c r="P199" s="34" t="str">
        <f>VLOOKUP(Tabla3[[#This Row],[Site]],Table35[#All],6,FALSE)</f>
        <v>7, 14</v>
      </c>
      <c r="Q199" s="34" t="str">
        <f>VLOOKUP(Tabla3[[#This Row],[Site]],Table35[#All],8,FALSE)</f>
        <v>336</v>
      </c>
      <c r="R199"/>
    </row>
    <row r="200" spans="1:18" hidden="1" x14ac:dyDescent="0.25">
      <c r="A200" t="str">
        <f>+Tabla3[[#This Row],[Site]]&amp;Tabla3[[#This Row],[Split]]</f>
        <v>(AS) Koons Westminster Toyota (NO TOURS)4</v>
      </c>
      <c r="B200">
        <v>4</v>
      </c>
      <c r="C200">
        <v>2</v>
      </c>
      <c r="D200" t="s">
        <v>421</v>
      </c>
      <c r="E200" t="str">
        <f>VLOOKUP(Tabla3[[#This Row],[Site]],Table35[],10,FALSE)</f>
        <v>9:00 P.M.</v>
      </c>
      <c r="F200" t="str">
        <f>VLOOKUP(Tabla3[[#This Row],[Site]],Table35[],11,FALSE)</f>
        <v>ET</v>
      </c>
      <c r="G200" t="str">
        <f>VLOOKUP(Tabla3[[#This Row],[Site]],Table35[],12,FALSE)</f>
        <v>5:00 A.M.</v>
      </c>
      <c r="H200" t="str">
        <f>VLOOKUP(Tabla3[[#This Row],[Site]],Table35[],13,FALSE)</f>
        <v>-</v>
      </c>
      <c r="I200" s="70" t="str">
        <f>HYPERLINK(VLOOKUP(Tabla3[[#This Row],[Site]],Table35[#All],9,FALSE))</f>
        <v>https://tools.sig.systems/site/details/341</v>
      </c>
      <c r="J200" t="str">
        <f>VLOOKUP(Tabla3[[#This Row],[Site]],Table35[],14,FALSE)</f>
        <v>-</v>
      </c>
      <c r="L200" s="34" t="str">
        <f>VLOOKUP(Tabla3[[#This Row],[Site]],Table35[#All],2,FALSE)</f>
        <v>-</v>
      </c>
      <c r="M200" s="34" t="str">
        <f>VLOOKUP(Tabla3[[#This Row],[Site]],Table35[#All],3,FALSE)</f>
        <v>1, 10, 18, 25</v>
      </c>
      <c r="N200" s="34" t="str">
        <f>VLOOKUP(Tabla3[[#This Row],[Site]],Table35[#All],4,FALSE)</f>
        <v>-</v>
      </c>
      <c r="O200" s="34" t="str">
        <f>VLOOKUP(Tabla3[[#This Row],[Site]],Table35[#All],5,FALSE)</f>
        <v>-</v>
      </c>
      <c r="P200" s="34" t="str">
        <f>VLOOKUP(Tabla3[[#This Row],[Site]],Table35[#All],6,FALSE)</f>
        <v>8, 14</v>
      </c>
      <c r="Q200" s="34" t="str">
        <f>VLOOKUP(Tabla3[[#This Row],[Site]],Table35[#All],8,FALSE)</f>
        <v>341</v>
      </c>
      <c r="R200"/>
    </row>
    <row r="201" spans="1:18" hidden="1" x14ac:dyDescent="0.25">
      <c r="A201" t="str">
        <f>+Tabla3[[#This Row],[Site]]&amp;Tabla3[[#This Row],[Split]]</f>
        <v>(AS) Koons Woodbridge GMC (NO TOURS)4</v>
      </c>
      <c r="B201">
        <v>4</v>
      </c>
      <c r="C201">
        <v>2</v>
      </c>
      <c r="D201" t="s">
        <v>372</v>
      </c>
      <c r="E201" t="str">
        <f>VLOOKUP(Tabla3[[#This Row],[Site]],Table35[],10,FALSE)</f>
        <v>9:00 P.M.</v>
      </c>
      <c r="F201" t="str">
        <f>VLOOKUP(Tabla3[[#This Row],[Site]],Table35[],11,FALSE)</f>
        <v>ET</v>
      </c>
      <c r="G201" t="str">
        <f>VLOOKUP(Tabla3[[#This Row],[Site]],Table35[],12,FALSE)</f>
        <v>5:00 A.M.</v>
      </c>
      <c r="H201" t="str">
        <f>VLOOKUP(Tabla3[[#This Row],[Site]],Table35[],13,FALSE)</f>
        <v>10:00 A.M.</v>
      </c>
      <c r="I201" s="70" t="str">
        <f>HYPERLINK(VLOOKUP(Tabla3[[#This Row],[Site]],Table35[#All],9,FALSE))</f>
        <v>https://tools.sig.systems/site/details/343</v>
      </c>
      <c r="J201">
        <f>VLOOKUP(Tabla3[[#This Row],[Site]],Table35[],14,FALSE)</f>
        <v>0</v>
      </c>
      <c r="L201" s="34" t="str">
        <f>VLOOKUP(Tabla3[[#This Row],[Site]],Table35[#All],2,FALSE)</f>
        <v>-</v>
      </c>
      <c r="M201" s="34">
        <f>VLOOKUP(Tabla3[[#This Row],[Site]],Table35[#All],3,FALSE)</f>
        <v>1</v>
      </c>
      <c r="N201" s="34" t="str">
        <f>VLOOKUP(Tabla3[[#This Row],[Site]],Table35[#All],4,FALSE)</f>
        <v>-</v>
      </c>
      <c r="O201" s="34">
        <f>VLOOKUP(Tabla3[[#This Row],[Site]],Table35[#All],5,FALSE)</f>
        <v>11</v>
      </c>
      <c r="P201" s="34" t="str">
        <f>VLOOKUP(Tabla3[[#This Row],[Site]],Table35[#All],6,FALSE)</f>
        <v>2, 7</v>
      </c>
      <c r="Q201" s="34" t="str">
        <f>VLOOKUP(Tabla3[[#This Row],[Site]],Table35[#All],8,FALSE)</f>
        <v>343</v>
      </c>
      <c r="R201"/>
    </row>
    <row r="202" spans="1:18" hidden="1" x14ac:dyDescent="0.25">
      <c r="A202" t="str">
        <f>+Tabla3[[#This Row],[Site]]&amp;Tabla3[[#This Row],[Split]]</f>
        <v>(AS) Koons Woodbridge Hyundai (NO TOURS)4</v>
      </c>
      <c r="B202">
        <v>4</v>
      </c>
      <c r="C202">
        <v>2</v>
      </c>
      <c r="D202" t="s">
        <v>406</v>
      </c>
      <c r="E202" t="str">
        <f>VLOOKUP(Tabla3[[#This Row],[Site]],Table35[],10,FALSE)</f>
        <v>9:00 P.M.</v>
      </c>
      <c r="F202" t="str">
        <f>VLOOKUP(Tabla3[[#This Row],[Site]],Table35[],11,FALSE)</f>
        <v>ET</v>
      </c>
      <c r="G202" t="str">
        <f>VLOOKUP(Tabla3[[#This Row],[Site]],Table35[],12,FALSE)</f>
        <v>5:00 A.M.</v>
      </c>
      <c r="H202" t="str">
        <f>VLOOKUP(Tabla3[[#This Row],[Site]],Table35[],13,FALSE)</f>
        <v>8:00 A.M.</v>
      </c>
      <c r="I202" s="70" t="str">
        <f>HYPERLINK(VLOOKUP(Tabla3[[#This Row],[Site]],Table35[#All],9,FALSE))</f>
        <v>https://tools.sig.systems/site/details/347</v>
      </c>
      <c r="J202" t="str">
        <f>VLOOKUP(Tabla3[[#This Row],[Site]],Table35[],14,FALSE)</f>
        <v>-</v>
      </c>
      <c r="L202" s="34" t="str">
        <f>VLOOKUP(Tabla3[[#This Row],[Site]],Table35[#All],2,FALSE)</f>
        <v>-</v>
      </c>
      <c r="M202" s="34" t="str">
        <f>VLOOKUP(Tabla3[[#This Row],[Site]],Table35[#All],3,FALSE)</f>
        <v>1, 17</v>
      </c>
      <c r="N202" s="34" t="str">
        <f>VLOOKUP(Tabla3[[#This Row],[Site]],Table35[#All],4,FALSE)</f>
        <v>-</v>
      </c>
      <c r="O202" s="34" t="str">
        <f>VLOOKUP(Tabla3[[#This Row],[Site]],Table35[#All],5,FALSE)</f>
        <v>-</v>
      </c>
      <c r="P202" s="34" t="str">
        <f>VLOOKUP(Tabla3[[#This Row],[Site]],Table35[#All],6,FALSE)</f>
        <v>4, 14, 22</v>
      </c>
      <c r="Q202" s="34" t="str">
        <f>VLOOKUP(Tabla3[[#This Row],[Site]],Table35[#All],8,FALSE)</f>
        <v>347</v>
      </c>
      <c r="R202"/>
    </row>
    <row r="203" spans="1:18" hidden="1" x14ac:dyDescent="0.25">
      <c r="A203" t="str">
        <f>+Tabla3[[#This Row],[Site]]&amp;Tabla3[[#This Row],[Split]]</f>
        <v>(BRL) Shoemakersville4</v>
      </c>
      <c r="B203">
        <v>4</v>
      </c>
      <c r="C203">
        <v>2</v>
      </c>
      <c r="D203" t="s">
        <v>120</v>
      </c>
      <c r="E203" t="str">
        <f>VLOOKUP(Tabla3[[#This Row],[Site]],Table35[],10,FALSE)</f>
        <v>24H</v>
      </c>
      <c r="F203" t="str">
        <f>VLOOKUP(Tabla3[[#This Row],[Site]],Table35[],11,FALSE)</f>
        <v>ET</v>
      </c>
      <c r="G203" t="str">
        <f>VLOOKUP(Tabla3[[#This Row],[Site]],Table35[],12,FALSE)</f>
        <v>-</v>
      </c>
      <c r="H203" t="str">
        <f>VLOOKUP(Tabla3[[#This Row],[Site]],Table35[],13,FALSE)</f>
        <v>-</v>
      </c>
      <c r="I203" s="70" t="str">
        <f>HYPERLINK(VLOOKUP(Tabla3[[#This Row],[Site]],Table35[#All],9,FALSE))</f>
        <v>https://tools.sig.systems/site/details/302</v>
      </c>
      <c r="J203">
        <f>VLOOKUP(Tabla3[[#This Row],[Site]],Table35[],14,FALSE)</f>
        <v>0</v>
      </c>
      <c r="L203" s="34" t="str">
        <f>VLOOKUP(Tabla3[[#This Row],[Site]],Table35[#All],2,FALSE)</f>
        <v>-</v>
      </c>
      <c r="M203" s="34" t="str">
        <f>VLOOKUP(Tabla3[[#This Row],[Site]],Table35[#All],3,FALSE)</f>
        <v>8, 11</v>
      </c>
      <c r="N203" s="34" t="str">
        <f>VLOOKUP(Tabla3[[#This Row],[Site]],Table35[#All],4,FALSE)</f>
        <v>-</v>
      </c>
      <c r="O203" s="34" t="str">
        <f>VLOOKUP(Tabla3[[#This Row],[Site]],Table35[#All],5,FALSE)</f>
        <v>1, 6, 13A, 15, 18A</v>
      </c>
      <c r="P203" s="34" t="str">
        <f>VLOOKUP(Tabla3[[#This Row],[Site]],Table35[#All],6,FALSE)</f>
        <v>13B, 23</v>
      </c>
      <c r="Q203" s="34" t="str">
        <f>VLOOKUP(Tabla3[[#This Row],[Site]],Table35[#All],8,FALSE)</f>
        <v>302</v>
      </c>
      <c r="R203"/>
    </row>
    <row r="204" spans="1:18" hidden="1" x14ac:dyDescent="0.25">
      <c r="A204" t="str">
        <f>+Tabla3[[#This Row],[Site]]&amp;Tabla3[[#This Row],[Split]]</f>
        <v>(KG) Big Star Cadillac4</v>
      </c>
      <c r="B204">
        <v>4</v>
      </c>
      <c r="C204">
        <v>2</v>
      </c>
      <c r="D204" t="s">
        <v>240</v>
      </c>
      <c r="E204" t="str">
        <f>VLOOKUP(Tabla3[[#This Row],[Site]],Table35[],10,FALSE)</f>
        <v>10:00 P.M.</v>
      </c>
      <c r="F204" t="str">
        <f>VLOOKUP(Tabla3[[#This Row],[Site]],Table35[],11,FALSE)</f>
        <v>CT</v>
      </c>
      <c r="G204" t="str">
        <f>VLOOKUP(Tabla3[[#This Row],[Site]],Table35[],12,FALSE)</f>
        <v>6:00 A.M.</v>
      </c>
      <c r="H204" t="str">
        <f>VLOOKUP(Tabla3[[#This Row],[Site]],Table35[],13,FALSE)</f>
        <v>-</v>
      </c>
      <c r="I204" s="70" t="str">
        <f>HYPERLINK(VLOOKUP(Tabla3[[#This Row],[Site]],Table35[#All],9,FALSE))</f>
        <v>https://tools.sig.systems/site/details/316</v>
      </c>
      <c r="J204" t="str">
        <f>VLOOKUP(Tabla3[[#This Row],[Site]],Table35[],14,FALSE)</f>
        <v>https://www.google.com/maps/d/edit?mid=1jIRkMUnWNPuTgDjQgDP-f33LClT85NU&amp;usp=sharing</v>
      </c>
      <c r="L204" s="34" t="str">
        <f>VLOOKUP(Tabla3[[#This Row],[Site]],Table35[#All],2,FALSE)</f>
        <v>1, 4, 16</v>
      </c>
      <c r="M204" s="34" t="str">
        <f>VLOOKUP(Tabla3[[#This Row],[Site]],Table35[#All],3,FALSE)</f>
        <v>-</v>
      </c>
      <c r="N204" s="34" t="str">
        <f>VLOOKUP(Tabla3[[#This Row],[Site]],Table35[#All],4,FALSE)</f>
        <v>-</v>
      </c>
      <c r="O204" s="34" t="str">
        <f>VLOOKUP(Tabla3[[#This Row],[Site]],Table35[#All],5,FALSE)</f>
        <v>-</v>
      </c>
      <c r="P204" s="34" t="str">
        <f>VLOOKUP(Tabla3[[#This Row],[Site]],Table35[#All],6,FALSE)</f>
        <v>15, 16, 19, 20</v>
      </c>
      <c r="Q204" s="34" t="str">
        <f>VLOOKUP(Tabla3[[#This Row],[Site]],Table35[#All],8,FALSE)</f>
        <v>316</v>
      </c>
      <c r="R204"/>
    </row>
    <row r="205" spans="1:18" hidden="1" x14ac:dyDescent="0.25">
      <c r="A205" t="str">
        <f>+Tabla3[[#This Row],[Site]]&amp;Tabla3[[#This Row],[Split]]</f>
        <v>(KG) Ken Garff Kia of Avondale4</v>
      </c>
      <c r="B205">
        <v>4</v>
      </c>
      <c r="C205">
        <v>2</v>
      </c>
      <c r="D205" t="s">
        <v>300</v>
      </c>
      <c r="E205" t="str">
        <f>VLOOKUP(Tabla3[[#This Row],[Site]],Table35[],10,FALSE)</f>
        <v>12:00 A.M.</v>
      </c>
      <c r="F205" t="str">
        <f>VLOOKUP(Tabla3[[#This Row],[Site]],Table35[],11,FALSE)</f>
        <v>MST</v>
      </c>
      <c r="G205" t="str">
        <f>VLOOKUP(Tabla3[[#This Row],[Site]],Table35[],12,FALSE)</f>
        <v>8:00 A.M.</v>
      </c>
      <c r="H205" t="str">
        <f>VLOOKUP(Tabla3[[#This Row],[Site]],Table35[],13,FALSE)</f>
        <v>12:00 P.M.</v>
      </c>
      <c r="I205" s="70" t="str">
        <f>HYPERLINK(VLOOKUP(Tabla3[[#This Row],[Site]],Table35[#All],9,FALSE))</f>
        <v>https://tools.sig.systems/site/details/283</v>
      </c>
      <c r="J205" t="str">
        <f>VLOOKUP(Tabla3[[#This Row],[Site]],Table35[],14,FALSE)</f>
        <v>https://www.google.com/maps/d/viewer?mid=1bDs0QGFZwL3vEeGKxjVMk_j4azr0-lg&amp;ll=33.4593758581648%2C-112.28793780000001&amp;z=18</v>
      </c>
      <c r="L205" s="34" t="str">
        <f>VLOOKUP(Tabla3[[#This Row],[Site]],Table35[#All],2,FALSE)</f>
        <v>5, 19</v>
      </c>
      <c r="M205" s="34" t="str">
        <f>VLOOKUP(Tabla3[[#This Row],[Site]],Table35[#All],3,FALSE)</f>
        <v>-</v>
      </c>
      <c r="N205" s="34" t="str">
        <f>VLOOKUP(Tabla3[[#This Row],[Site]],Table35[#All],4,FALSE)</f>
        <v>-</v>
      </c>
      <c r="O205" s="34" t="str">
        <f>VLOOKUP(Tabla3[[#This Row],[Site]],Table35[#All],5,FALSE)</f>
        <v>3, 5</v>
      </c>
      <c r="P205" s="34" t="str">
        <f>VLOOKUP(Tabla3[[#This Row],[Site]],Table35[#All],6,FALSE)</f>
        <v>1, 6, 7, 12, 15, 17, 21</v>
      </c>
      <c r="Q205" s="34" t="str">
        <f>VLOOKUP(Tabla3[[#This Row],[Site]],Table35[#All],8,FALSE)</f>
        <v>283</v>
      </c>
      <c r="R205"/>
    </row>
    <row r="206" spans="1:18" hidden="1" x14ac:dyDescent="0.25">
      <c r="A206" t="str">
        <f>+Tabla3[[#This Row],[Site]]&amp;Tabla3[[#This Row],[Split]]</f>
        <v>(LT) Luther Brookdale Honda (NO TOURS)4</v>
      </c>
      <c r="B206">
        <v>4</v>
      </c>
      <c r="C206">
        <v>2</v>
      </c>
      <c r="D206" t="s">
        <v>274</v>
      </c>
      <c r="E206" t="str">
        <f>VLOOKUP(Tabla3[[#This Row],[Site]],Table35[],10,FALSE)</f>
        <v>7:00 P.M.</v>
      </c>
      <c r="F206" t="str">
        <f>VLOOKUP(Tabla3[[#This Row],[Site]],Table35[],11,FALSE)</f>
        <v>CT</v>
      </c>
      <c r="G206" t="str">
        <f>VLOOKUP(Tabla3[[#This Row],[Site]],Table35[],12,FALSE)</f>
        <v>6:00 A.M.</v>
      </c>
      <c r="H206" t="str">
        <f>VLOOKUP(Tabla3[[#This Row],[Site]],Table35[],13,FALSE)</f>
        <v>-</v>
      </c>
      <c r="I206" s="70" t="str">
        <f>HYPERLINK(VLOOKUP(Tabla3[[#This Row],[Site]],Table35[#All],9,FALSE))</f>
        <v>https://tools.sig.systems/site/details/280</v>
      </c>
      <c r="J206" t="str">
        <f>VLOOKUP(Tabla3[[#This Row],[Site]],Table35[],14,FALSE)</f>
        <v>https://www.google.com/maps/d/viewer?mid=1ot0ILX76JMuvd9yMuqkb4_e0yH1n7TA&amp;ll=45.07815812965141%2C-93.33506855000002&amp;z=17</v>
      </c>
      <c r="L206" s="34" t="str">
        <f>VLOOKUP(Tabla3[[#This Row],[Site]],Table35[#All],2,FALSE)</f>
        <v>-</v>
      </c>
      <c r="M206" s="34" t="str">
        <f>VLOOKUP(Tabla3[[#This Row],[Site]],Table35[#All],3,FALSE)</f>
        <v>1, 21</v>
      </c>
      <c r="N206" s="34" t="str">
        <f>VLOOKUP(Tabla3[[#This Row],[Site]],Table35[#All],4,FALSE)</f>
        <v>38, 39, 40</v>
      </c>
      <c r="O206" s="34" t="str">
        <f>VLOOKUP(Tabla3[[#This Row],[Site]],Table35[#All],5,FALSE)</f>
        <v>2, 10, 19</v>
      </c>
      <c r="P206" s="34" t="str">
        <f>VLOOKUP(Tabla3[[#This Row],[Site]],Table35[#All],6,FALSE)</f>
        <v>4, 5, 7, 11, 13, 20, 24, 36</v>
      </c>
      <c r="Q206" s="34" t="str">
        <f>VLOOKUP(Tabla3[[#This Row],[Site]],Table35[#All],8,FALSE)</f>
        <v>280</v>
      </c>
      <c r="R206"/>
    </row>
    <row r="207" spans="1:18" hidden="1" x14ac:dyDescent="0.25">
      <c r="A207" t="str">
        <f>+Tabla3[[#This Row],[Site]]&amp;Tabla3[[#This Row],[Split]]</f>
        <v>(LT) Luther Genesis of Minneapolis4</v>
      </c>
      <c r="B207">
        <v>4</v>
      </c>
      <c r="C207">
        <v>2</v>
      </c>
      <c r="D207" t="s">
        <v>264</v>
      </c>
      <c r="E207" t="str">
        <f>VLOOKUP(Tabla3[[#This Row],[Site]],Table35[],10,FALSE)</f>
        <v>10:00 P.M.</v>
      </c>
      <c r="F207" t="str">
        <f>VLOOKUP(Tabla3[[#This Row],[Site]],Table35[],11,FALSE)</f>
        <v>CT</v>
      </c>
      <c r="G207" t="str">
        <f>VLOOKUP(Tabla3[[#This Row],[Site]],Table35[],12,FALSE)</f>
        <v>6:00 A.M.</v>
      </c>
      <c r="H207" t="str">
        <f>VLOOKUP(Tabla3[[#This Row],[Site]],Table35[],13,FALSE)</f>
        <v>-</v>
      </c>
      <c r="I207" s="70" t="str">
        <f>HYPERLINK(VLOOKUP(Tabla3[[#This Row],[Site]],Table35[#All],9,FALSE))</f>
        <v>https://tools.sig.systems/site/details/315</v>
      </c>
      <c r="J207">
        <f>VLOOKUP(Tabla3[[#This Row],[Site]],Table35[],14,FALSE)</f>
        <v>0</v>
      </c>
      <c r="L207" s="34" t="str">
        <f>VLOOKUP(Tabla3[[#This Row],[Site]],Table35[#All],2,FALSE)</f>
        <v>-</v>
      </c>
      <c r="M207" s="34" t="str">
        <f>VLOOKUP(Tabla3[[#This Row],[Site]],Table35[#All],3,FALSE)</f>
        <v>1,2,3,18</v>
      </c>
      <c r="N207" s="34" t="str">
        <f>VLOOKUP(Tabla3[[#This Row],[Site]],Table35[#All],4,FALSE)</f>
        <v>-</v>
      </c>
      <c r="O207" s="34" t="str">
        <f>VLOOKUP(Tabla3[[#This Row],[Site]],Table35[#All],5,FALSE)</f>
        <v>-</v>
      </c>
      <c r="P207" s="34" t="str">
        <f>VLOOKUP(Tabla3[[#This Row],[Site]],Table35[#All],6,FALSE)</f>
        <v>1,2,3,5,16,18</v>
      </c>
      <c r="Q207" s="34" t="str">
        <f>VLOOKUP(Tabla3[[#This Row],[Site]],Table35[#All],8,FALSE)</f>
        <v>315</v>
      </c>
      <c r="R207"/>
    </row>
    <row r="208" spans="1:18" hidden="1" x14ac:dyDescent="0.25">
      <c r="A208" t="str">
        <f>+Tabla3[[#This Row],[Site]]&amp;Tabla3[[#This Row],[Split]]</f>
        <v>(PE) JLR Englewood (NO TOURS)4</v>
      </c>
      <c r="B208">
        <v>4</v>
      </c>
      <c r="C208">
        <v>2</v>
      </c>
      <c r="D208" t="s">
        <v>218</v>
      </c>
      <c r="E208" t="str">
        <f>VLOOKUP(Tabla3[[#This Row],[Site]],Table35[],10,FALSE)</f>
        <v>8:00 P.M.</v>
      </c>
      <c r="F208" t="str">
        <f>VLOOKUP(Tabla3[[#This Row],[Site]],Table35[],11,FALSE)</f>
        <v>ET</v>
      </c>
      <c r="G208" t="str">
        <f>VLOOKUP(Tabla3[[#This Row],[Site]],Table35[],12,FALSE)</f>
        <v>5:00 A.M.</v>
      </c>
      <c r="H208" t="str">
        <f>VLOOKUP(Tabla3[[#This Row],[Site]],Table35[],13,FALSE)</f>
        <v>-</v>
      </c>
      <c r="I208" s="70" t="str">
        <f>HYPERLINK(VLOOKUP(Tabla3[[#This Row],[Site]],Table35[#All],9,FALSE))</f>
        <v>https://tools.sig.systems/site/details/178</v>
      </c>
      <c r="J208" t="str">
        <f>VLOOKUP(Tabla3[[#This Row],[Site]],Table35[],14,FALSE)</f>
        <v>https://www.google.com/maps/d/viewer?mid=1ubI2iKs1JyYXssuT4oLPnVvFnyLPi_s&amp;ll=40.878808846788026%2C-73.98560655&amp;z=17</v>
      </c>
      <c r="L208" s="34" t="str">
        <f>VLOOKUP(Tabla3[[#This Row],[Site]],Table35[#All],2,FALSE)</f>
        <v>1, 2</v>
      </c>
      <c r="M208" s="34" t="str">
        <f>VLOOKUP(Tabla3[[#This Row],[Site]],Table35[#All],3,FALSE)</f>
        <v>-</v>
      </c>
      <c r="N208" s="34" t="str">
        <f>VLOOKUP(Tabla3[[#This Row],[Site]],Table35[#All],4,FALSE)</f>
        <v>-</v>
      </c>
      <c r="O208" s="34" t="str">
        <f>VLOOKUP(Tabla3[[#This Row],[Site]],Table35[#All],5,FALSE)</f>
        <v>-</v>
      </c>
      <c r="P208" s="34" t="str">
        <f>VLOOKUP(Tabla3[[#This Row],[Site]],Table35[#All],6,FALSE)</f>
        <v>-</v>
      </c>
      <c r="Q208" s="34" t="str">
        <f>VLOOKUP(Tabla3[[#This Row],[Site]],Table35[#All],8,FALSE)</f>
        <v>178</v>
      </c>
      <c r="R208"/>
    </row>
    <row r="209" spans="1:18" hidden="1" x14ac:dyDescent="0.25">
      <c r="A209" t="str">
        <f>+Tabla3[[#This Row],[Site]]&amp;Tabla3[[#This Row],[Split]]</f>
        <v>(PE) JLR Paramus (NO TOURS)4</v>
      </c>
      <c r="B209">
        <v>4</v>
      </c>
      <c r="C209">
        <v>2</v>
      </c>
      <c r="D209" t="s">
        <v>212</v>
      </c>
      <c r="E209" t="str">
        <f>VLOOKUP(Tabla3[[#This Row],[Site]],Table35[],10,FALSE)</f>
        <v>8:00 P.M.</v>
      </c>
      <c r="F209" t="str">
        <f>VLOOKUP(Tabla3[[#This Row],[Site]],Table35[],11,FALSE)</f>
        <v>ET</v>
      </c>
      <c r="G209" t="str">
        <f>VLOOKUP(Tabla3[[#This Row],[Site]],Table35[],12,FALSE)</f>
        <v>5:00 A.M.</v>
      </c>
      <c r="H209" t="str">
        <f>VLOOKUP(Tabla3[[#This Row],[Site]],Table35[],13,FALSE)</f>
        <v>-</v>
      </c>
      <c r="I209" s="70" t="str">
        <f>HYPERLINK(VLOOKUP(Tabla3[[#This Row],[Site]],Table35[#All],9,FALSE))</f>
        <v>https://tools.sig.systems/site/details/177</v>
      </c>
      <c r="J209">
        <f>VLOOKUP(Tabla3[[#This Row],[Site]],Table35[],14,FALSE)</f>
        <v>0</v>
      </c>
      <c r="L209" s="34" t="str">
        <f>VLOOKUP(Tabla3[[#This Row],[Site]],Table35[#All],2,FALSE)</f>
        <v>1, 17</v>
      </c>
      <c r="M209" s="34" t="str">
        <f>VLOOKUP(Tabla3[[#This Row],[Site]],Table35[#All],3,FALSE)</f>
        <v>-</v>
      </c>
      <c r="N209" s="34" t="str">
        <f>VLOOKUP(Tabla3[[#This Row],[Site]],Table35[#All],4,FALSE)</f>
        <v>-</v>
      </c>
      <c r="O209" s="34" t="str">
        <f>VLOOKUP(Tabla3[[#This Row],[Site]],Table35[#All],5,FALSE)</f>
        <v>-</v>
      </c>
      <c r="P209" s="34" t="str">
        <f>VLOOKUP(Tabla3[[#This Row],[Site]],Table35[#All],6,FALSE)</f>
        <v>1, 17</v>
      </c>
      <c r="Q209" s="34" t="str">
        <f>VLOOKUP(Tabla3[[#This Row],[Site]],Table35[#All],8,FALSE)</f>
        <v>177</v>
      </c>
      <c r="R209"/>
    </row>
    <row r="210" spans="1:18" hidden="1" x14ac:dyDescent="0.25">
      <c r="A210" t="str">
        <f>+Tabla3[[#This Row],[Site]]&amp;Tabla3[[#This Row],[Split]]</f>
        <v>(AS) Coggin Collision Center of Kissimmee (NO TOURS)4</v>
      </c>
      <c r="B210">
        <v>4</v>
      </c>
      <c r="C210">
        <v>3</v>
      </c>
      <c r="D210" t="s">
        <v>288</v>
      </c>
      <c r="E210" t="str">
        <f>VLOOKUP(Tabla3[[#This Row],[Site]],Table35[],10,FALSE)</f>
        <v>9:00 P.M.</v>
      </c>
      <c r="F210" t="str">
        <f>VLOOKUP(Tabla3[[#This Row],[Site]],Table35[],11,FALSE)</f>
        <v>ET</v>
      </c>
      <c r="G210" t="str">
        <f>VLOOKUP(Tabla3[[#This Row],[Site]],Table35[],12,FALSE)</f>
        <v>5:00 A.M.</v>
      </c>
      <c r="H210" t="str">
        <f>VLOOKUP(Tabla3[[#This Row],[Site]],Table35[],13,FALSE)</f>
        <v>-</v>
      </c>
      <c r="I210" s="70" t="str">
        <f>HYPERLINK(VLOOKUP(Tabla3[[#This Row],[Site]],Table35[#All],9,FALSE))</f>
        <v>https://tools.sig.systems/site/details/331</v>
      </c>
      <c r="J210">
        <f>VLOOKUP(Tabla3[[#This Row],[Site]],Table35[],14,FALSE)</f>
        <v>0</v>
      </c>
      <c r="L210" s="34" t="str">
        <f>VLOOKUP(Tabla3[[#This Row],[Site]],Table35[#All],2,FALSE)</f>
        <v>1, 12</v>
      </c>
      <c r="M210" s="34" t="str">
        <f>VLOOKUP(Tabla3[[#This Row],[Site]],Table35[#All],3,FALSE)</f>
        <v>-</v>
      </c>
      <c r="N210" s="34" t="str">
        <f>VLOOKUP(Tabla3[[#This Row],[Site]],Table35[#All],4,FALSE)</f>
        <v>-</v>
      </c>
      <c r="O210" s="34" t="str">
        <f>VLOOKUP(Tabla3[[#This Row],[Site]],Table35[#All],5,FALSE)</f>
        <v>-</v>
      </c>
      <c r="P210" s="34" t="str">
        <f>VLOOKUP(Tabla3[[#This Row],[Site]],Table35[#All],6,FALSE)</f>
        <v>2, 7, 9</v>
      </c>
      <c r="Q210" s="34" t="str">
        <f>VLOOKUP(Tabla3[[#This Row],[Site]],Table35[#All],8,FALSE)</f>
        <v>331</v>
      </c>
      <c r="R210"/>
    </row>
    <row r="211" spans="1:18" hidden="1" x14ac:dyDescent="0.25">
      <c r="A211" t="str">
        <f>+Tabla3[[#This Row],[Site]]&amp;Tabla3[[#This Row],[Split]]</f>
        <v>(AS) Hare Truck Center (NO TOURS)4</v>
      </c>
      <c r="B211">
        <v>4</v>
      </c>
      <c r="C211">
        <v>3</v>
      </c>
      <c r="D211" t="s">
        <v>380</v>
      </c>
      <c r="E211" t="str">
        <f>VLOOKUP(Tabla3[[#This Row],[Site]],Table35[],10,FALSE)</f>
        <v>9:00 P.M.</v>
      </c>
      <c r="F211" t="str">
        <f>VLOOKUP(Tabla3[[#This Row],[Site]],Table35[],11,FALSE)</f>
        <v>ET</v>
      </c>
      <c r="G211" t="str">
        <f>VLOOKUP(Tabla3[[#This Row],[Site]],Table35[],12,FALSE)</f>
        <v>5:00 A.M.</v>
      </c>
      <c r="H211" t="str">
        <f>VLOOKUP(Tabla3[[#This Row],[Site]],Table35[],13,FALSE)</f>
        <v>-</v>
      </c>
      <c r="I211" s="70" t="str">
        <f>HYPERLINK(VLOOKUP(Tabla3[[#This Row],[Site]],Table35[#All],9,FALSE))</f>
        <v>https://tools.sig.systems/site/details/300</v>
      </c>
      <c r="J211" t="str">
        <f>VLOOKUP(Tabla3[[#This Row],[Site]],Table35[],14,FALSE)</f>
        <v>https://www.google.com/maps/d/edit?mid=1hsX5GGrNcCQgAuzDCDz1OWgEkhsAc78&amp;usp=sharing</v>
      </c>
      <c r="L211" s="34" t="str">
        <f>VLOOKUP(Tabla3[[#This Row],[Site]],Table35[#All],2,FALSE)</f>
        <v>-</v>
      </c>
      <c r="M211" s="34" t="str">
        <f>VLOOKUP(Tabla3[[#This Row],[Site]],Table35[#All],3,FALSE)</f>
        <v>1, 5</v>
      </c>
      <c r="N211" s="34" t="str">
        <f>VLOOKUP(Tabla3[[#This Row],[Site]],Table35[#All],4,FALSE)</f>
        <v>-</v>
      </c>
      <c r="O211" s="34" t="str">
        <f>VLOOKUP(Tabla3[[#This Row],[Site]],Table35[#All],5,FALSE)</f>
        <v>-</v>
      </c>
      <c r="P211" s="34" t="str">
        <f>VLOOKUP(Tabla3[[#This Row],[Site]],Table35[#All],6,FALSE)</f>
        <v xml:space="preserve">2, 6, 10, 12, 17 </v>
      </c>
      <c r="Q211" s="34" t="str">
        <f>VLOOKUP(Tabla3[[#This Row],[Site]],Table35[#All],8,FALSE)</f>
        <v>300</v>
      </c>
      <c r="R211"/>
    </row>
    <row r="212" spans="1:18" hidden="1" x14ac:dyDescent="0.25">
      <c r="A212" t="str">
        <f>+Tabla3[[#This Row],[Site]]&amp;Tabla3[[#This Row],[Split]]</f>
        <v>(AS) Koons MB of Catonsville (NO TOURS)4</v>
      </c>
      <c r="B212">
        <v>4</v>
      </c>
      <c r="C212">
        <v>3</v>
      </c>
      <c r="D212" t="s">
        <v>236</v>
      </c>
      <c r="E212" t="str">
        <f>VLOOKUP(Tabla3[[#This Row],[Site]],Table35[],10,FALSE)</f>
        <v>9:00 P.M.</v>
      </c>
      <c r="F212" t="str">
        <f>VLOOKUP(Tabla3[[#This Row],[Site]],Table35[],11,FALSE)</f>
        <v>ET</v>
      </c>
      <c r="G212" t="str">
        <f>VLOOKUP(Tabla3[[#This Row],[Site]],Table35[],12,FALSE)</f>
        <v>5:00 A.M.</v>
      </c>
      <c r="H212" t="str">
        <f>VLOOKUP(Tabla3[[#This Row],[Site]],Table35[],13,FALSE)</f>
        <v>-</v>
      </c>
      <c r="I212" s="70" t="str">
        <f>HYPERLINK(VLOOKUP(Tabla3[[#This Row],[Site]],Table35[#All],9,FALSE))</f>
        <v>https://tools.sig.systems/site/details/303</v>
      </c>
      <c r="J212">
        <f>VLOOKUP(Tabla3[[#This Row],[Site]],Table35[],14,FALSE)</f>
        <v>0</v>
      </c>
      <c r="L212" s="34" t="str">
        <f>VLOOKUP(Tabla3[[#This Row],[Site]],Table35[#All],2,FALSE)</f>
        <v>-</v>
      </c>
      <c r="M212" s="34" t="str">
        <f>VLOOKUP(Tabla3[[#This Row],[Site]],Table35[#All],3,FALSE)</f>
        <v>15, 16, 17, 29</v>
      </c>
      <c r="N212" s="34">
        <f>VLOOKUP(Tabla3[[#This Row],[Site]],Table35[#All],4,FALSE)</f>
        <v>29</v>
      </c>
      <c r="O212" s="34">
        <f>VLOOKUP(Tabla3[[#This Row],[Site]],Table35[#All],5,FALSE)</f>
        <v>5</v>
      </c>
      <c r="P212" s="34" t="str">
        <f>VLOOKUP(Tabla3[[#This Row],[Site]],Table35[#All],6,FALSE)</f>
        <v>1, 7, 8, 12, 19, 32</v>
      </c>
      <c r="Q212" s="34" t="str">
        <f>VLOOKUP(Tabla3[[#This Row],[Site]],Table35[#All],8,FALSE)</f>
        <v>303</v>
      </c>
      <c r="R212"/>
    </row>
    <row r="213" spans="1:18" hidden="1" x14ac:dyDescent="0.25">
      <c r="A213" t="str">
        <f>+Tabla3[[#This Row],[Site]]&amp;Tabla3[[#This Row],[Split]]</f>
        <v>(AS) Koons Sterling Ford - Main Dealership (NO TOURS)4</v>
      </c>
      <c r="B213">
        <v>4</v>
      </c>
      <c r="C213">
        <v>3</v>
      </c>
      <c r="D213" t="s">
        <v>408</v>
      </c>
      <c r="E213" t="str">
        <f>VLOOKUP(Tabla3[[#This Row],[Site]],Table35[],10,FALSE)</f>
        <v>9:00 P.M.</v>
      </c>
      <c r="F213" t="str">
        <f>VLOOKUP(Tabla3[[#This Row],[Site]],Table35[],11,FALSE)</f>
        <v>ET</v>
      </c>
      <c r="G213" t="str">
        <f>VLOOKUP(Tabla3[[#This Row],[Site]],Table35[],12,FALSE)</f>
        <v>5:00 A.M.</v>
      </c>
      <c r="H213" t="str">
        <f>VLOOKUP(Tabla3[[#This Row],[Site]],Table35[],13,FALSE)</f>
        <v>10:00 A.M.</v>
      </c>
      <c r="I213" s="70" t="str">
        <f>HYPERLINK(VLOOKUP(Tabla3[[#This Row],[Site]],Table35[#All],9,FALSE))</f>
        <v>https://tools.sig.systems/site/details/348</v>
      </c>
      <c r="J213">
        <f>VLOOKUP(Tabla3[[#This Row],[Site]],Table35[],14,FALSE)</f>
        <v>0</v>
      </c>
      <c r="L213" s="34">
        <f>VLOOKUP(Tabla3[[#This Row],[Site]],Table35[#All],2,FALSE)</f>
        <v>19</v>
      </c>
      <c r="M213" s="34">
        <f>VLOOKUP(Tabla3[[#This Row],[Site]],Table35[#All],3,FALSE)</f>
        <v>3</v>
      </c>
      <c r="N213" s="34" t="str">
        <f>VLOOKUP(Tabla3[[#This Row],[Site]],Table35[#All],4,FALSE)</f>
        <v>-</v>
      </c>
      <c r="O213" s="34" t="str">
        <f>VLOOKUP(Tabla3[[#This Row],[Site]],Table35[#All],5,FALSE)</f>
        <v>4, 21</v>
      </c>
      <c r="P213" s="34" t="str">
        <f>VLOOKUP(Tabla3[[#This Row],[Site]],Table35[#All],6,FALSE)</f>
        <v>7, 8</v>
      </c>
      <c r="Q213" s="34" t="str">
        <f>VLOOKUP(Tabla3[[#This Row],[Site]],Table35[#All],8,FALSE)</f>
        <v>348</v>
      </c>
      <c r="R213"/>
    </row>
    <row r="214" spans="1:18" hidden="1" x14ac:dyDescent="0.25">
      <c r="A214" t="str">
        <f>+Tabla3[[#This Row],[Site]]&amp;Tabla3[[#This Row],[Split]]</f>
        <v>(AS) Koons White Marsh Chevrolet (NO TOURS)4</v>
      </c>
      <c r="B214">
        <v>4</v>
      </c>
      <c r="C214">
        <v>3</v>
      </c>
      <c r="D214" t="s">
        <v>389</v>
      </c>
      <c r="E214" t="str">
        <f>VLOOKUP(Tabla3[[#This Row],[Site]],Table35[],10,FALSE)</f>
        <v>9:00 P.M.</v>
      </c>
      <c r="F214" t="str">
        <f>VLOOKUP(Tabla3[[#This Row],[Site]],Table35[],11,FALSE)</f>
        <v>ET</v>
      </c>
      <c r="G214" t="str">
        <f>VLOOKUP(Tabla3[[#This Row],[Site]],Table35[],12,FALSE)</f>
        <v>5:00 A.M.</v>
      </c>
      <c r="H214" t="str">
        <f>VLOOKUP(Tabla3[[#This Row],[Site]],Table35[],13,FALSE)</f>
        <v>-</v>
      </c>
      <c r="I214" s="70" t="str">
        <f>HYPERLINK(VLOOKUP(Tabla3[[#This Row],[Site]],Table35[#All],9,FALSE))</f>
        <v>https://tools.sig.systems/site/details/339</v>
      </c>
      <c r="J214" t="str">
        <f>VLOOKUP(Tabla3[[#This Row],[Site]],Table35[],14,FALSE)</f>
        <v>-</v>
      </c>
      <c r="L214" s="34">
        <f>VLOOKUP(Tabla3[[#This Row],[Site]],Table35[#All],2,FALSE)</f>
        <v>25</v>
      </c>
      <c r="M214" s="34">
        <f>VLOOKUP(Tabla3[[#This Row],[Site]],Table35[#All],3,FALSE)</f>
        <v>10</v>
      </c>
      <c r="N214" s="34" t="str">
        <f>VLOOKUP(Tabla3[[#This Row],[Site]],Table35[#All],4,FALSE)</f>
        <v>-</v>
      </c>
      <c r="O214" s="34" t="str">
        <f>VLOOKUP(Tabla3[[#This Row],[Site]],Table35[#All],5,FALSE)</f>
        <v>-</v>
      </c>
      <c r="P214" s="34">
        <f>VLOOKUP(Tabla3[[#This Row],[Site]],Table35[#All],6,FALSE)</f>
        <v>12</v>
      </c>
      <c r="Q214" s="34" t="str">
        <f>VLOOKUP(Tabla3[[#This Row],[Site]],Table35[#All],8,FALSE)</f>
        <v>339</v>
      </c>
      <c r="R214"/>
    </row>
    <row r="215" spans="1:18" hidden="1" x14ac:dyDescent="0.25">
      <c r="A215" t="str">
        <f>+Tabla3[[#This Row],[Site]]&amp;Tabla3[[#This Row],[Split]]</f>
        <v>(AS) Koons Woodbridge Ford (NO TOURS)4</v>
      </c>
      <c r="B215">
        <v>4</v>
      </c>
      <c r="C215">
        <v>3</v>
      </c>
      <c r="D215" t="s">
        <v>373</v>
      </c>
      <c r="E215" t="str">
        <f>VLOOKUP(Tabla3[[#This Row],[Site]],Table35[],10,FALSE)</f>
        <v>9:00 P.M.</v>
      </c>
      <c r="F215" t="str">
        <f>VLOOKUP(Tabla3[[#This Row],[Site]],Table35[],11,FALSE)</f>
        <v>ET</v>
      </c>
      <c r="G215" t="str">
        <f>VLOOKUP(Tabla3[[#This Row],[Site]],Table35[],12,FALSE)</f>
        <v>5:00 A.M.</v>
      </c>
      <c r="H215" t="str">
        <f>VLOOKUP(Tabla3[[#This Row],[Site]],Table35[],13,FALSE)</f>
        <v>9:00 A.M.</v>
      </c>
      <c r="I215" s="70" t="str">
        <f>HYPERLINK(VLOOKUP(Tabla3[[#This Row],[Site]],Table35[#All],9,FALSE))</f>
        <v>https://tools.sig.systems/site/details/342</v>
      </c>
      <c r="J215">
        <f>VLOOKUP(Tabla3[[#This Row],[Site]],Table35[],14,FALSE)</f>
        <v>0</v>
      </c>
      <c r="L215" s="34" t="str">
        <f>VLOOKUP(Tabla3[[#This Row],[Site]],Table35[#All],2,FALSE)</f>
        <v>-</v>
      </c>
      <c r="M215" s="34" t="str">
        <f>VLOOKUP(Tabla3[[#This Row],[Site]],Table35[#All],3,FALSE)</f>
        <v>3, 24, 26, 27, 31, 36</v>
      </c>
      <c r="N215" s="34" t="str">
        <f>VLOOKUP(Tabla3[[#This Row],[Site]],Table35[#All],4,FALSE)</f>
        <v>-</v>
      </c>
      <c r="O215" s="34" t="str">
        <f>VLOOKUP(Tabla3[[#This Row],[Site]],Table35[#All],5,FALSE)</f>
        <v>-</v>
      </c>
      <c r="P215" s="34" t="str">
        <f>VLOOKUP(Tabla3[[#This Row],[Site]],Table35[#All],6,FALSE)</f>
        <v>13, 26, 29</v>
      </c>
      <c r="Q215" s="34" t="str">
        <f>VLOOKUP(Tabla3[[#This Row],[Site]],Table35[#All],8,FALSE)</f>
        <v>342</v>
      </c>
      <c r="R215"/>
    </row>
    <row r="216" spans="1:18" hidden="1" x14ac:dyDescent="0.25">
      <c r="A216" t="str">
        <f>+Tabla3[[#This Row],[Site]]&amp;Tabla3[[#This Row],[Split]]</f>
        <v>(AS) Larry H Miller CDJR Fiat (NO TOURS)4</v>
      </c>
      <c r="B216">
        <v>4</v>
      </c>
      <c r="C216">
        <v>3</v>
      </c>
      <c r="D216" t="s">
        <v>217</v>
      </c>
      <c r="E216" t="str">
        <f>VLOOKUP(Tabla3[[#This Row],[Site]],Table35[],10,FALSE)</f>
        <v>11:00 P.M.</v>
      </c>
      <c r="F216" t="str">
        <f>VLOOKUP(Tabla3[[#This Row],[Site]],Table35[],11,FALSE)</f>
        <v>MT</v>
      </c>
      <c r="G216" t="str">
        <f>VLOOKUP(Tabla3[[#This Row],[Site]],Table35[],12,FALSE)</f>
        <v>7:00 A.M.</v>
      </c>
      <c r="H216" t="str">
        <f>VLOOKUP(Tabla3[[#This Row],[Site]],Table35[],13,FALSE)</f>
        <v>-</v>
      </c>
      <c r="I216" s="70" t="str">
        <f>HYPERLINK(VLOOKUP(Tabla3[[#This Row],[Site]],Table35[#All],9,FALSE))</f>
        <v>https://tools.sig.systems/site/details/298</v>
      </c>
      <c r="J216">
        <f>VLOOKUP(Tabla3[[#This Row],[Site]],Table35[],14,FALSE)</f>
        <v>0</v>
      </c>
      <c r="L216" s="34" t="str">
        <f>VLOOKUP(Tabla3[[#This Row],[Site]],Table35[#All],2,FALSE)</f>
        <v>7, 11</v>
      </c>
      <c r="M216" s="34" t="str">
        <f>VLOOKUP(Tabla3[[#This Row],[Site]],Table35[#All],3,FALSE)</f>
        <v>2, 3</v>
      </c>
      <c r="N216" s="34" t="str">
        <f>VLOOKUP(Tabla3[[#This Row],[Site]],Table35[#All],4,FALSE)</f>
        <v>-</v>
      </c>
      <c r="O216" s="34" t="str">
        <f>VLOOKUP(Tabla3[[#This Row],[Site]],Table35[#All],5,FALSE)</f>
        <v>-</v>
      </c>
      <c r="P216" s="34" t="str">
        <f>VLOOKUP(Tabla3[[#This Row],[Site]],Table35[#All],6,FALSE)</f>
        <v xml:space="preserve">2, 6, 10, 15, 18 </v>
      </c>
      <c r="Q216" s="34" t="str">
        <f>VLOOKUP(Tabla3[[#This Row],[Site]],Table35[#All],8,FALSE)</f>
        <v>298</v>
      </c>
      <c r="R216"/>
    </row>
    <row r="217" spans="1:18" hidden="1" x14ac:dyDescent="0.25">
      <c r="A217" t="str">
        <f>+Tabla3[[#This Row],[Site]]&amp;Tabla3[[#This Row],[Split]]</f>
        <v>(AS) Plaza Collision ST Louis (NO TOURS)4</v>
      </c>
      <c r="B217">
        <v>4</v>
      </c>
      <c r="C217">
        <v>3</v>
      </c>
      <c r="D217" t="s">
        <v>436</v>
      </c>
      <c r="E217" t="str">
        <f>VLOOKUP(Tabla3[[#This Row],[Site]],Table35[],10,FALSE)</f>
        <v>10:00 P.M.</v>
      </c>
      <c r="F217" t="str">
        <f>VLOOKUP(Tabla3[[#This Row],[Site]],Table35[],11,FALSE)</f>
        <v>CT</v>
      </c>
      <c r="G217" t="str">
        <f>VLOOKUP(Tabla3[[#This Row],[Site]],Table35[],12,FALSE)</f>
        <v>6:00 A.M.</v>
      </c>
      <c r="H217" t="str">
        <f>VLOOKUP(Tabla3[[#This Row],[Site]],Table35[],13,FALSE)</f>
        <v>-</v>
      </c>
      <c r="I217" s="70" t="str">
        <f>HYPERLINK(VLOOKUP(Tabla3[[#This Row],[Site]],Table35[#All],9,FALSE))</f>
        <v>https://tools.sig.systems/site/details/350</v>
      </c>
      <c r="J217" t="str">
        <f>VLOOKUP(Tabla3[[#This Row],[Site]],Table35[],14,FALSE)</f>
        <v>-</v>
      </c>
      <c r="L217" s="34" t="str">
        <f>VLOOKUP(Tabla3[[#This Row],[Site]],Table35[#All],2,FALSE)</f>
        <v>2, 6</v>
      </c>
      <c r="M217" s="34">
        <f>VLOOKUP(Tabla3[[#This Row],[Site]],Table35[#All],3,FALSE)</f>
        <v>1</v>
      </c>
      <c r="N217" s="34" t="str">
        <f>VLOOKUP(Tabla3[[#This Row],[Site]],Table35[#All],4,FALSE)</f>
        <v>-</v>
      </c>
      <c r="O217" s="34" t="str">
        <f>VLOOKUP(Tabla3[[#This Row],[Site]],Table35[#All],5,FALSE)</f>
        <v>-</v>
      </c>
      <c r="P217" s="34">
        <f>VLOOKUP(Tabla3[[#This Row],[Site]],Table35[#All],6,FALSE)</f>
        <v>3</v>
      </c>
      <c r="Q217" s="34" t="str">
        <f>VLOOKUP(Tabla3[[#This Row],[Site]],Table35[#All],8,FALSE)</f>
        <v>350</v>
      </c>
      <c r="R217"/>
    </row>
    <row r="218" spans="1:18" hidden="1" x14ac:dyDescent="0.25">
      <c r="A218" t="str">
        <f>+Tabla3[[#This Row],[Site]]&amp;Tabla3[[#This Row],[Split]]</f>
        <v>(DT) Arlington4</v>
      </c>
      <c r="B218">
        <v>4</v>
      </c>
      <c r="C218">
        <v>3</v>
      </c>
      <c r="D218" t="s">
        <v>18</v>
      </c>
      <c r="E218" t="str">
        <f>VLOOKUP(Tabla3[[#This Row],[Site]],Table35[],10,FALSE)</f>
        <v>10:00 P.M.</v>
      </c>
      <c r="F218" t="str">
        <f>VLOOKUP(Tabla3[[#This Row],[Site]],Table35[],11,FALSE)</f>
        <v>CT</v>
      </c>
      <c r="G218" t="str">
        <f>VLOOKUP(Tabla3[[#This Row],[Site]],Table35[],12,FALSE)</f>
        <v>6:00 A.M.</v>
      </c>
      <c r="H218" t="str">
        <f>VLOOKUP(Tabla3[[#This Row],[Site]],Table35[],13,FALSE)</f>
        <v>-</v>
      </c>
      <c r="I218" s="70" t="str">
        <f>HYPERLINK(VLOOKUP(Tabla3[[#This Row],[Site]],Table35[#All],9,FALSE))</f>
        <v>https://tools.sig.systems/site/details/199</v>
      </c>
      <c r="J218" t="str">
        <f>VLOOKUP(Tabla3[[#This Row],[Site]],Table35[],14,FALSE)</f>
        <v>-</v>
      </c>
      <c r="L218" s="34" t="str">
        <f>VLOOKUP(Tabla3[[#This Row],[Site]],Table35[#All],2,FALSE)</f>
        <v>3,8</v>
      </c>
      <c r="M218" s="34" t="str">
        <f>VLOOKUP(Tabla3[[#This Row],[Site]],Table35[#All],3,FALSE)</f>
        <v>-</v>
      </c>
      <c r="N218" s="34" t="str">
        <f>VLOOKUP(Tabla3[[#This Row],[Site]],Table35[#All],4,FALSE)</f>
        <v>-</v>
      </c>
      <c r="O218" s="34" t="str">
        <f>VLOOKUP(Tabla3[[#This Row],[Site]],Table35[#All],5,FALSE)</f>
        <v>-</v>
      </c>
      <c r="P218" s="34" t="str">
        <f>VLOOKUP(Tabla3[[#This Row],[Site]],Table35[#All],6,FALSE)</f>
        <v>3, 8, 7</v>
      </c>
      <c r="Q218" s="34" t="str">
        <f>VLOOKUP(Tabla3[[#This Row],[Site]],Table35[#All],8,FALSE)</f>
        <v>199</v>
      </c>
      <c r="R218"/>
    </row>
    <row r="219" spans="1:18" hidden="1" x14ac:dyDescent="0.25">
      <c r="A219" t="str">
        <f>+Tabla3[[#This Row],[Site]]&amp;Tabla3[[#This Row],[Split]]</f>
        <v>(KG) Ken Garff Volkswagen of Gilbert4</v>
      </c>
      <c r="B219">
        <v>4</v>
      </c>
      <c r="C219">
        <v>3</v>
      </c>
      <c r="D219" t="s">
        <v>130</v>
      </c>
      <c r="E219" t="str">
        <f>VLOOKUP(Tabla3[[#This Row],[Site]],Table35[],10,FALSE)</f>
        <v>12:00 A.M.</v>
      </c>
      <c r="F219" t="str">
        <f>VLOOKUP(Tabla3[[#This Row],[Site]],Table35[],11,FALSE)</f>
        <v>MST</v>
      </c>
      <c r="G219" t="str">
        <f>VLOOKUP(Tabla3[[#This Row],[Site]],Table35[],12,FALSE)</f>
        <v>8:00 A.M.</v>
      </c>
      <c r="H219" t="str">
        <f>VLOOKUP(Tabla3[[#This Row],[Site]],Table35[],13,FALSE)</f>
        <v>12:00 P.M.</v>
      </c>
      <c r="I219" s="70" t="str">
        <f>HYPERLINK(VLOOKUP(Tabla3[[#This Row],[Site]],Table35[#All],9,FALSE))</f>
        <v>https://tools.sig.systems/site/details/284</v>
      </c>
      <c r="J219" t="str">
        <f>VLOOKUP(Tabla3[[#This Row],[Site]],Table35[],14,FALSE)</f>
        <v>https://www.google.com/maps/d/viewer?hl=es&amp;mid=19SU7XE9Cg8jhVFpEI21Vi9Zfgdih9Ds&amp;ll=33.29158262977276%2C-111.75783630000002&amp;z=17</v>
      </c>
      <c r="L219" s="34" t="str">
        <f>VLOOKUP(Tabla3[[#This Row],[Site]],Table35[#All],2,FALSE)</f>
        <v>4, 6</v>
      </c>
      <c r="M219" s="34" t="str">
        <f>VLOOKUP(Tabla3[[#This Row],[Site]],Table35[#All],3,FALSE)</f>
        <v>-</v>
      </c>
      <c r="N219" s="34" t="str">
        <f>VLOOKUP(Tabla3[[#This Row],[Site]],Table35[#All],4,FALSE)</f>
        <v>-</v>
      </c>
      <c r="O219" s="34" t="str">
        <f>VLOOKUP(Tabla3[[#This Row],[Site]],Table35[#All],5,FALSE)</f>
        <v>2, 14</v>
      </c>
      <c r="P219" s="34" t="str">
        <f>VLOOKUP(Tabla3[[#This Row],[Site]],Table35[#All],6,FALSE)</f>
        <v>1, 5, 8, 9, 17, 19, 21</v>
      </c>
      <c r="Q219" s="34" t="str">
        <f>VLOOKUP(Tabla3[[#This Row],[Site]],Table35[#All],8,FALSE)</f>
        <v>284</v>
      </c>
      <c r="R219"/>
    </row>
    <row r="220" spans="1:18" x14ac:dyDescent="0.25">
      <c r="A220" t="str">
        <f>+Tabla3[[#This Row],[Site]]&amp;Tabla3[[#This Row],[Split]]</f>
        <v>(LT) Luther Bloomington Hyundai (NO TOURS)4</v>
      </c>
      <c r="B220">
        <v>4</v>
      </c>
      <c r="C220">
        <v>3</v>
      </c>
      <c r="D220" t="s">
        <v>456</v>
      </c>
      <c r="E220" t="str">
        <f>VLOOKUP(Tabla3[[#This Row],[Site]],Table35[],10,FALSE)</f>
        <v>10:00 P.M.</v>
      </c>
      <c r="F220" t="str">
        <f>VLOOKUP(Tabla3[[#This Row],[Site]],Table35[],11,FALSE)</f>
        <v>CT</v>
      </c>
      <c r="G220" t="str">
        <f>VLOOKUP(Tabla3[[#This Row],[Site]],Table35[],12,FALSE)</f>
        <v>4:00 A.M.</v>
      </c>
      <c r="H220" t="str">
        <f>VLOOKUP(Tabla3[[#This Row],[Site]],Table35[],13,FALSE)</f>
        <v>-</v>
      </c>
      <c r="I220" s="70" t="str">
        <f>HYPERLINK(VLOOKUP(Tabla3[[#This Row],[Site]],Table35[#All],9,FALSE))</f>
        <v>https://tools.sig.systems/site/details/318</v>
      </c>
      <c r="J220">
        <f>VLOOKUP(Tabla3[[#This Row],[Site]],Table35[],14,FALSE)</f>
        <v>0</v>
      </c>
      <c r="L220" s="34" t="str">
        <f>VLOOKUP(Tabla3[[#This Row],[Site]],Table35[#All],2,FALSE)</f>
        <v>-</v>
      </c>
      <c r="M220" s="34" t="str">
        <f>VLOOKUP(Tabla3[[#This Row],[Site]],Table35[#All],3,FALSE)</f>
        <v>6, 9, 13</v>
      </c>
      <c r="N220" s="34" t="str">
        <f>VLOOKUP(Tabla3[[#This Row],[Site]],Table35[#All],4,FALSE)</f>
        <v>58, 59</v>
      </c>
      <c r="O220" s="34">
        <f>VLOOKUP(Tabla3[[#This Row],[Site]],Table35[#All],5,FALSE)</f>
        <v>10</v>
      </c>
      <c r="P220" s="34" t="str">
        <f>VLOOKUP(Tabla3[[#This Row],[Site]],Table35[#All],6,FALSE)</f>
        <v>11, 18</v>
      </c>
      <c r="Q220" s="34" t="str">
        <f>VLOOKUP(Tabla3[[#This Row],[Site]],Table35[#All],8,FALSE)</f>
        <v>318</v>
      </c>
      <c r="R220"/>
    </row>
    <row r="221" spans="1:18" hidden="1" x14ac:dyDescent="0.25">
      <c r="A221" t="str">
        <f>+Tabla3[[#This Row],[Site]]&amp;Tabla3[[#This Row],[Split]]</f>
        <v>(LT) Luther Hopkins Honda (NO TOURS)4</v>
      </c>
      <c r="B221">
        <v>4</v>
      </c>
      <c r="C221">
        <v>4</v>
      </c>
      <c r="D221" t="s">
        <v>306</v>
      </c>
      <c r="E221" t="str">
        <f>VLOOKUP(Tabla3[[#This Row],[Site]],Table35[],10,FALSE)</f>
        <v>8:00 P.M.</v>
      </c>
      <c r="F221" t="str">
        <f>VLOOKUP(Tabla3[[#This Row],[Site]],Table35[],11,FALSE)</f>
        <v>CT</v>
      </c>
      <c r="G221" t="str">
        <f>VLOOKUP(Tabla3[[#This Row],[Site]],Table35[],12,FALSE)</f>
        <v>6:00 A.M.</v>
      </c>
      <c r="H221" t="str">
        <f>VLOOKUP(Tabla3[[#This Row],[Site]],Table35[],13,FALSE)</f>
        <v>-</v>
      </c>
      <c r="I221" s="70" t="str">
        <f>HYPERLINK(VLOOKUP(Tabla3[[#This Row],[Site]],Table35[#All],9,FALSE))</f>
        <v>https://tools.sig.systems/site/details/288</v>
      </c>
      <c r="J221">
        <f>VLOOKUP(Tabla3[[#This Row],[Site]],Table35[],14,FALSE)</f>
        <v>0</v>
      </c>
      <c r="L221" s="34" t="str">
        <f>VLOOKUP(Tabla3[[#This Row],[Site]],Table35[#All],2,FALSE)</f>
        <v>-</v>
      </c>
      <c r="M221" s="34" t="str">
        <f>VLOOKUP(Tabla3[[#This Row],[Site]],Table35[#All],3,FALSE)</f>
        <v>9, 36</v>
      </c>
      <c r="N221" s="34" t="str">
        <f>VLOOKUP(Tabla3[[#This Row],[Site]],Table35[#All],4,FALSE)</f>
        <v>38, 39</v>
      </c>
      <c r="O221" s="34" t="str">
        <f>VLOOKUP(Tabla3[[#This Row],[Site]],Table35[#All],5,FALSE)</f>
        <v>3, 26</v>
      </c>
      <c r="P221" s="34" t="str">
        <f>VLOOKUP(Tabla3[[#This Row],[Site]],Table35[#All],6,FALSE)</f>
        <v>1, 4, 11, 18, 23, 25, 31</v>
      </c>
      <c r="Q221" s="34" t="str">
        <f>VLOOKUP(Tabla3[[#This Row],[Site]],Table35[#All],8,FALSE)</f>
        <v>288</v>
      </c>
      <c r="R221"/>
    </row>
    <row r="222" spans="1:18" hidden="1" x14ac:dyDescent="0.25">
      <c r="A222" t="str">
        <f>+Tabla3[[#This Row],[Site]]&amp;Tabla3[[#This Row],[Split]]</f>
        <v>(LT) Luther Landers Recon Center4</v>
      </c>
      <c r="B222">
        <v>4</v>
      </c>
      <c r="C222">
        <v>3</v>
      </c>
      <c r="D222" t="s">
        <v>255</v>
      </c>
      <c r="E222" t="str">
        <f>VLOOKUP(Tabla3[[#This Row],[Site]],Table35[],10,FALSE)</f>
        <v>10:00 P.M.</v>
      </c>
      <c r="F222" t="str">
        <f>VLOOKUP(Tabla3[[#This Row],[Site]],Table35[],11,FALSE)</f>
        <v>CT</v>
      </c>
      <c r="G222" t="str">
        <f>VLOOKUP(Tabla3[[#This Row],[Site]],Table35[],12,FALSE)</f>
        <v>6:00 A.M.</v>
      </c>
      <c r="H222" t="str">
        <f>VLOOKUP(Tabla3[[#This Row],[Site]],Table35[],13,FALSE)</f>
        <v>-</v>
      </c>
      <c r="I222" s="70" t="str">
        <f>HYPERLINK(VLOOKUP(Tabla3[[#This Row],[Site]],Table35[#All],9,FALSE))</f>
        <v>https://tools.sig.systems/site/details/323</v>
      </c>
      <c r="J222" t="str">
        <f>VLOOKUP(Tabla3[[#This Row],[Site]],Table35[],14,FALSE)</f>
        <v>https://www.google.com/maps/d/u/1/edit?mid=1-zEzsc6U6nZom08edp0XAd3_HYFvAyk&amp;usp=sharing</v>
      </c>
      <c r="L222" s="34" t="str">
        <f>VLOOKUP(Tabla3[[#This Row],[Site]],Table35[#All],2,FALSE)</f>
        <v>2, 4</v>
      </c>
      <c r="M222" s="34" t="str">
        <f>VLOOKUP(Tabla3[[#This Row],[Site]],Table35[#All],3,FALSE)</f>
        <v>-</v>
      </c>
      <c r="N222" s="34" t="str">
        <f>VLOOKUP(Tabla3[[#This Row],[Site]],Table35[#All],4,FALSE)</f>
        <v>-</v>
      </c>
      <c r="O222" s="34" t="str">
        <f>VLOOKUP(Tabla3[[#This Row],[Site]],Table35[#All],5,FALSE)</f>
        <v>-</v>
      </c>
      <c r="P222" s="34" t="str">
        <f>VLOOKUP(Tabla3[[#This Row],[Site]],Table35[#All],6,FALSE)</f>
        <v>3, 9, 11</v>
      </c>
      <c r="Q222" s="34" t="str">
        <f>VLOOKUP(Tabla3[[#This Row],[Site]],Table35[#All],8,FALSE)</f>
        <v>323</v>
      </c>
      <c r="R222"/>
    </row>
    <row r="223" spans="1:18" hidden="1" x14ac:dyDescent="0.25">
      <c r="A223" t="str">
        <f>+Tabla3[[#This Row],[Site]]&amp;Tabla3[[#This Row],[Split]]</f>
        <v>(PE) JLR Darien (NO TOURS)4</v>
      </c>
      <c r="B223">
        <v>4</v>
      </c>
      <c r="C223">
        <v>3</v>
      </c>
      <c r="D223" t="s">
        <v>368</v>
      </c>
      <c r="E223" t="str">
        <f>VLOOKUP(Tabla3[[#This Row],[Site]],Table35[],10,FALSE)</f>
        <v>8:00 P.M.</v>
      </c>
      <c r="F223" t="str">
        <f>VLOOKUP(Tabla3[[#This Row],[Site]],Table35[],11,FALSE)</f>
        <v>ET</v>
      </c>
      <c r="G223" t="str">
        <f>VLOOKUP(Tabla3[[#This Row],[Site]],Table35[],12,FALSE)</f>
        <v>5:00 A.M.</v>
      </c>
      <c r="H223" t="str">
        <f>VLOOKUP(Tabla3[[#This Row],[Site]],Table35[],13,FALSE)</f>
        <v>-</v>
      </c>
      <c r="I223" s="70" t="str">
        <f>HYPERLINK(VLOOKUP(Tabla3[[#This Row],[Site]],Table35[#All],9,FALSE))</f>
        <v>https://tools.sig.systems/site/details/189</v>
      </c>
      <c r="J223" t="str">
        <f>VLOOKUP(Tabla3[[#This Row],[Site]],Table35[],14,FALSE)</f>
        <v>-</v>
      </c>
      <c r="L223" s="34" t="str">
        <f>VLOOKUP(Tabla3[[#This Row],[Site]],Table35[#All],2,FALSE)</f>
        <v>1, 13</v>
      </c>
      <c r="M223" s="34" t="str">
        <f>VLOOKUP(Tabla3[[#This Row],[Site]],Table35[#All],3,FALSE)</f>
        <v>-</v>
      </c>
      <c r="N223" s="34" t="str">
        <f>VLOOKUP(Tabla3[[#This Row],[Site]],Table35[#All],4,FALSE)</f>
        <v>-</v>
      </c>
      <c r="O223" s="34" t="str">
        <f>VLOOKUP(Tabla3[[#This Row],[Site]],Table35[#All],5,FALSE)</f>
        <v>-</v>
      </c>
      <c r="P223" s="34" t="str">
        <f>VLOOKUP(Tabla3[[#This Row],[Site]],Table35[#All],6,FALSE)</f>
        <v>-</v>
      </c>
      <c r="Q223" s="34" t="str">
        <f>VLOOKUP(Tabla3[[#This Row],[Site]],Table35[#All],8,FALSE)</f>
        <v>189</v>
      </c>
      <c r="R223"/>
    </row>
    <row r="224" spans="1:18" hidden="1" x14ac:dyDescent="0.25">
      <c r="A224" t="str">
        <f>+Tabla3[[#This Row],[Site]]&amp;Tabla3[[#This Row],[Split]]</f>
        <v>(PE) MB of Greenwich4</v>
      </c>
      <c r="B224">
        <v>4</v>
      </c>
      <c r="C224">
        <v>3</v>
      </c>
      <c r="D224" t="s">
        <v>121</v>
      </c>
      <c r="E224" t="str">
        <f>VLOOKUP(Tabla3[[#This Row],[Site]],Table35[],10,FALSE)</f>
        <v>8:00 P.M.</v>
      </c>
      <c r="F224" t="str">
        <f>VLOOKUP(Tabla3[[#This Row],[Site]],Table35[],11,FALSE)</f>
        <v>ET</v>
      </c>
      <c r="G224" t="str">
        <f>VLOOKUP(Tabla3[[#This Row],[Site]],Table35[],12,FALSE)</f>
        <v>5:00 A.M.</v>
      </c>
      <c r="H224" t="str">
        <f>VLOOKUP(Tabla3[[#This Row],[Site]],Table35[],13,FALSE)</f>
        <v>-</v>
      </c>
      <c r="I224" s="70" t="str">
        <f>HYPERLINK(VLOOKUP(Tabla3[[#This Row],[Site]],Table35[#All],9,FALSE))</f>
        <v>https://tools.sig.systems/site/details/188</v>
      </c>
      <c r="J224" t="str">
        <f>VLOOKUP(Tabla3[[#This Row],[Site]],Table35[],14,FALSE)</f>
        <v>https://www.google.com/maps/d/edit?hl=en&amp;mid=1UHmt7tH1ihTa85i0MfQIcTfVvIQg_vM&amp;ll=41.02423447529239%2C-73.63721502222738&amp;z=18</v>
      </c>
      <c r="L224" s="34" t="str">
        <f>VLOOKUP(Tabla3[[#This Row],[Site]],Table35[#All],2,FALSE)</f>
        <v>1, 2, 8</v>
      </c>
      <c r="M224" s="34" t="str">
        <f>VLOOKUP(Tabla3[[#This Row],[Site]],Table35[#All],3,FALSE)</f>
        <v>13, 14, 20, 26, 40</v>
      </c>
      <c r="N224" s="34" t="str">
        <f>VLOOKUP(Tabla3[[#This Row],[Site]],Table35[#All],4,FALSE)</f>
        <v>-</v>
      </c>
      <c r="O224" s="34" t="str">
        <f>VLOOKUP(Tabla3[[#This Row],[Site]],Table35[#All],5,FALSE)</f>
        <v>-</v>
      </c>
      <c r="P224" s="34">
        <f>VLOOKUP(Tabla3[[#This Row],[Site]],Table35[#All],6,FALSE)</f>
        <v>29</v>
      </c>
      <c r="Q224" s="34" t="str">
        <f>VLOOKUP(Tabla3[[#This Row],[Site]],Table35[#All],8,FALSE)</f>
        <v>188</v>
      </c>
      <c r="R224"/>
    </row>
    <row r="225" spans="1:18" hidden="1" x14ac:dyDescent="0.25">
      <c r="A225" t="str">
        <f>+Tabla3[[#This Row],[Site]]&amp;Tabla3[[#This Row],[Split]]</f>
        <v>Mario Residence4</v>
      </c>
      <c r="B225">
        <v>4</v>
      </c>
      <c r="C225">
        <v>3</v>
      </c>
      <c r="D225" t="s">
        <v>100</v>
      </c>
      <c r="E225" t="str">
        <f>VLOOKUP(Tabla3[[#This Row],[Site]],Table35[],10,FALSE)</f>
        <v>24H</v>
      </c>
      <c r="F225" t="str">
        <f>VLOOKUP(Tabla3[[#This Row],[Site]],Table35[],11,FALSE)</f>
        <v>ET</v>
      </c>
      <c r="G225" t="str">
        <f>VLOOKUP(Tabla3[[#This Row],[Site]],Table35[],12,FALSE)</f>
        <v>-</v>
      </c>
      <c r="H225" t="str">
        <f>VLOOKUP(Tabla3[[#This Row],[Site]],Table35[],13,FALSE)</f>
        <v>-</v>
      </c>
      <c r="I225" s="70" t="str">
        <f>HYPERLINK(VLOOKUP(Tabla3[[#This Row],[Site]],Table35[#All],9,FALSE))</f>
        <v>https://tools.sig.systems/site/details/148</v>
      </c>
      <c r="J225" t="str">
        <f>VLOOKUP(Tabla3[[#This Row],[Site]],Table35[],14,FALSE)</f>
        <v>https://www.google.com/maps/d/edit?hl=es&amp;mid=13OmECPqyeB7fXgZmEoM9cnG34HU_v5g&amp;ll=26.046837034777553%2C-80.38753458591658&amp;z=19</v>
      </c>
      <c r="L225" s="34" t="str">
        <f>VLOOKUP(Tabla3[[#This Row],[Site]],Table35[#All],2,FALSE)</f>
        <v>7, 8</v>
      </c>
      <c r="M225" s="34" t="str">
        <f>VLOOKUP(Tabla3[[#This Row],[Site]],Table35[#All],3,FALSE)</f>
        <v>7, 8</v>
      </c>
      <c r="N225" s="34" t="str">
        <f>VLOOKUP(Tabla3[[#This Row],[Site]],Table35[#All],4,FALSE)</f>
        <v>-</v>
      </c>
      <c r="O225" s="34" t="str">
        <f>VLOOKUP(Tabla3[[#This Row],[Site]],Table35[#All],5,FALSE)</f>
        <v>-</v>
      </c>
      <c r="P225" s="34" t="str">
        <f>VLOOKUP(Tabla3[[#This Row],[Site]],Table35[#All],6,FALSE)</f>
        <v>4,12,13</v>
      </c>
      <c r="Q225" s="34" t="str">
        <f>VLOOKUP(Tabla3[[#This Row],[Site]],Table35[#All],8,FALSE)</f>
        <v>148</v>
      </c>
      <c r="R225"/>
    </row>
    <row r="226" spans="1:18" hidden="1" x14ac:dyDescent="0.25">
      <c r="A226" t="str">
        <f>+Tabla3[[#This Row],[Site]]&amp;Tabla3[[#This Row],[Split]]</f>
        <v>(AS) Coggin Honda of Orlando (NO TOURS)4</v>
      </c>
      <c r="B226">
        <v>4</v>
      </c>
      <c r="C226">
        <v>4</v>
      </c>
      <c r="D226" t="s">
        <v>384</v>
      </c>
      <c r="E226" t="str">
        <f>VLOOKUP(Tabla3[[#This Row],[Site]],Table35[],10,FALSE)</f>
        <v>9:00 P.M.</v>
      </c>
      <c r="F226" t="str">
        <f>VLOOKUP(Tabla3[[#This Row],[Site]],Table35[],11,FALSE)</f>
        <v>ET</v>
      </c>
      <c r="G226" t="str">
        <f>VLOOKUP(Tabla3[[#This Row],[Site]],Table35[],12,FALSE)</f>
        <v>5:00 A.M.</v>
      </c>
      <c r="H226" t="str">
        <f>VLOOKUP(Tabla3[[#This Row],[Site]],Table35[],13,FALSE)</f>
        <v>11:00 A.M.</v>
      </c>
      <c r="I226" s="70" t="str">
        <f>HYPERLINK(VLOOKUP(Tabla3[[#This Row],[Site]],Table35[#All],9,FALSE))</f>
        <v>https://tools.sig.systems/site/details/324</v>
      </c>
      <c r="J226">
        <f>VLOOKUP(Tabla3[[#This Row],[Site]],Table35[],14,FALSE)</f>
        <v>0</v>
      </c>
      <c r="L226" s="34" t="str">
        <f>VLOOKUP(Tabla3[[#This Row],[Site]],Table35[#All],2,FALSE)</f>
        <v>2, 10, 12B, 14, 38</v>
      </c>
      <c r="M226" s="34" t="str">
        <f>VLOOKUP(Tabla3[[#This Row],[Site]],Table35[#All],3,FALSE)</f>
        <v>-</v>
      </c>
      <c r="N226" s="34" t="str">
        <f>VLOOKUP(Tabla3[[#This Row],[Site]],Table35[#All],4,FALSE)</f>
        <v>-</v>
      </c>
      <c r="O226" s="34" t="str">
        <f>VLOOKUP(Tabla3[[#This Row],[Site]],Table35[#All],5,FALSE)</f>
        <v>12, 31</v>
      </c>
      <c r="P226" s="34" t="str">
        <f>VLOOKUP(Tabla3[[#This Row],[Site]],Table35[#All],6,FALSE)</f>
        <v>12B, 26, 37, 19</v>
      </c>
      <c r="Q226" s="34" t="str">
        <f>VLOOKUP(Tabla3[[#This Row],[Site]],Table35[#All],8,FALSE)</f>
        <v>324</v>
      </c>
      <c r="R226"/>
    </row>
    <row r="227" spans="1:18" hidden="1" x14ac:dyDescent="0.25">
      <c r="A227" t="str">
        <f>+Tabla3[[#This Row],[Site]]&amp;Tabla3[[#This Row],[Split]]</f>
        <v>(AS) Kahlo CDJR (NO TOURS)4</v>
      </c>
      <c r="B227">
        <v>4</v>
      </c>
      <c r="C227">
        <v>4</v>
      </c>
      <c r="D227" t="s">
        <v>381</v>
      </c>
      <c r="E227" t="str">
        <f>VLOOKUP(Tabla3[[#This Row],[Site]],Table35[],10,FALSE)</f>
        <v>9:00 P.M.</v>
      </c>
      <c r="F227" t="str">
        <f>VLOOKUP(Tabla3[[#This Row],[Site]],Table35[],11,FALSE)</f>
        <v>ET</v>
      </c>
      <c r="G227" t="str">
        <f>VLOOKUP(Tabla3[[#This Row],[Site]],Table35[],12,FALSE)</f>
        <v>5:00 A.M.</v>
      </c>
      <c r="H227" t="str">
        <f>VLOOKUP(Tabla3[[#This Row],[Site]],Table35[],13,FALSE)</f>
        <v>-</v>
      </c>
      <c r="I227" s="70" t="str">
        <f>HYPERLINK(VLOOKUP(Tabla3[[#This Row],[Site]],Table35[#All],9,FALSE))</f>
        <v>https://tools.sig.systems/site/details/282</v>
      </c>
      <c r="J227" t="str">
        <f>VLOOKUP(Tabla3[[#This Row],[Site]],Table35[],14,FALSE)</f>
        <v>https://www.google.com/maps/d/edit?mid=1hsX5GGrNcCQgAuzDCDz1OWgEkhsAc78&amp;usp=sharing</v>
      </c>
      <c r="L227" s="34" t="str">
        <f>VLOOKUP(Tabla3[[#This Row],[Site]],Table35[#All],2,FALSE)</f>
        <v>-</v>
      </c>
      <c r="M227" s="34" t="str">
        <f>VLOOKUP(Tabla3[[#This Row],[Site]],Table35[#All],3,FALSE)</f>
        <v>12, 25</v>
      </c>
      <c r="N227" s="34" t="str">
        <f>VLOOKUP(Tabla3[[#This Row],[Site]],Table35[#All],4,FALSE)</f>
        <v>15, 16</v>
      </c>
      <c r="O227" s="34">
        <f>VLOOKUP(Tabla3[[#This Row],[Site]],Table35[#All],5,FALSE)</f>
        <v>20</v>
      </c>
      <c r="P227" s="34" t="str">
        <f>VLOOKUP(Tabla3[[#This Row],[Site]],Table35[#All],6,FALSE)</f>
        <v>1, 2, 9, 22, 31, 57</v>
      </c>
      <c r="Q227" s="34" t="str">
        <f>VLOOKUP(Tabla3[[#This Row],[Site]],Table35[#All],8,FALSE)</f>
        <v>282</v>
      </c>
      <c r="R227"/>
    </row>
    <row r="228" spans="1:18" hidden="1" x14ac:dyDescent="0.25">
      <c r="A228" t="str">
        <f>+Tabla3[[#This Row],[Site]]&amp;Tabla3[[#This Row],[Split]]</f>
        <v>(AS) Koons Arlington Toyota - New Car (NO TOURS)4</v>
      </c>
      <c r="B228">
        <v>4</v>
      </c>
      <c r="C228">
        <v>4</v>
      </c>
      <c r="D228" t="s">
        <v>375</v>
      </c>
      <c r="E228" t="str">
        <f>VLOOKUP(Tabla3[[#This Row],[Site]],Table35[],10,FALSE)</f>
        <v>9:00 P.M.</v>
      </c>
      <c r="F228" t="str">
        <f>VLOOKUP(Tabla3[[#This Row],[Site]],Table35[],11,FALSE)</f>
        <v>ET</v>
      </c>
      <c r="G228" t="str">
        <f>VLOOKUP(Tabla3[[#This Row],[Site]],Table35[],12,FALSE)</f>
        <v>5:00 A.M.</v>
      </c>
      <c r="H228" t="str">
        <f>VLOOKUP(Tabla3[[#This Row],[Site]],Table35[],13,FALSE)</f>
        <v>10:00 A.M.</v>
      </c>
      <c r="I228" s="70" t="str">
        <f>HYPERLINK(VLOOKUP(Tabla3[[#This Row],[Site]],Table35[#All],9,FALSE))</f>
        <v>https://tools.sig.systems/site/details/334</v>
      </c>
      <c r="J228" t="str">
        <f>VLOOKUP(Tabla3[[#This Row],[Site]],Table35[],14,FALSE)</f>
        <v>-</v>
      </c>
      <c r="L228" s="34" t="str">
        <f>VLOOKUP(Tabla3[[#This Row],[Site]],Table35[#All],2,FALSE)</f>
        <v>-</v>
      </c>
      <c r="M228" s="34" t="str">
        <f>VLOOKUP(Tabla3[[#This Row],[Site]],Table35[#All],3,FALSE)</f>
        <v>1, 3, 12, 15, 17</v>
      </c>
      <c r="N228" s="34" t="str">
        <f>VLOOKUP(Tabla3[[#This Row],[Site]],Table35[#All],4,FALSE)</f>
        <v>-</v>
      </c>
      <c r="O228" s="34" t="str">
        <f>VLOOKUP(Tabla3[[#This Row],[Site]],Table35[#All],5,FALSE)</f>
        <v>-</v>
      </c>
      <c r="P228" s="34" t="str">
        <f>VLOOKUP(Tabla3[[#This Row],[Site]],Table35[#All],6,FALSE)</f>
        <v>2, 6, 18, 20</v>
      </c>
      <c r="Q228" s="34" t="str">
        <f>VLOOKUP(Tabla3[[#This Row],[Site]],Table35[#All],8,FALSE)</f>
        <v>334</v>
      </c>
      <c r="R228"/>
    </row>
    <row r="229" spans="1:18" hidden="1" x14ac:dyDescent="0.25">
      <c r="A229" t="str">
        <f>+Tabla3[[#This Row],[Site]]&amp;Tabla3[[#This Row],[Split]]</f>
        <v>(AS) Koons Baltimore Ford - Main Dealership (NO TOURS)4</v>
      </c>
      <c r="B229">
        <v>4</v>
      </c>
      <c r="C229">
        <v>4</v>
      </c>
      <c r="D229" t="s">
        <v>357</v>
      </c>
      <c r="E229" t="str">
        <f>VLOOKUP(Tabla3[[#This Row],[Site]],Table35[],10,FALSE)</f>
        <v>9:00 P.M.</v>
      </c>
      <c r="F229" t="str">
        <f>VLOOKUP(Tabla3[[#This Row],[Site]],Table35[],11,FALSE)</f>
        <v>ET</v>
      </c>
      <c r="G229" t="str">
        <f>VLOOKUP(Tabla3[[#This Row],[Site]],Table35[],12,FALSE)</f>
        <v>5:00 A.M.</v>
      </c>
      <c r="H229" t="str">
        <f>VLOOKUP(Tabla3[[#This Row],[Site]],Table35[],13,FALSE)</f>
        <v>-</v>
      </c>
      <c r="I229" s="70" t="str">
        <f>HYPERLINK(VLOOKUP(Tabla3[[#This Row],[Site]],Table35[#All],9,FALSE))</f>
        <v>https://tools.sig.systems/site/details/335</v>
      </c>
      <c r="J229" t="str">
        <f>VLOOKUP(Tabla3[[#This Row],[Site]],Table35[],14,FALSE)</f>
        <v>-</v>
      </c>
      <c r="L229" s="34" t="str">
        <f>VLOOKUP(Tabla3[[#This Row],[Site]],Table35[#All],2,FALSE)</f>
        <v>21, 22, 24, 32, 45</v>
      </c>
      <c r="M229" s="34">
        <f>VLOOKUP(Tabla3[[#This Row],[Site]],Table35[#All],3,FALSE)</f>
        <v>1</v>
      </c>
      <c r="N229" s="34" t="str">
        <f>VLOOKUP(Tabla3[[#This Row],[Site]],Table35[#All],4,FALSE)</f>
        <v>-</v>
      </c>
      <c r="O229" s="34" t="str">
        <f>VLOOKUP(Tabla3[[#This Row],[Site]],Table35[#All],5,FALSE)</f>
        <v>1, 8</v>
      </c>
      <c r="P229" s="34" t="str">
        <f>VLOOKUP(Tabla3[[#This Row],[Site]],Table35[#All],6,FALSE)</f>
        <v>5, 28, 38</v>
      </c>
      <c r="Q229" s="34" t="str">
        <f>VLOOKUP(Tabla3[[#This Row],[Site]],Table35[#All],8,FALSE)</f>
        <v>335</v>
      </c>
      <c r="R229"/>
    </row>
    <row r="230" spans="1:18" hidden="1" x14ac:dyDescent="0.25">
      <c r="A230" t="str">
        <f>+Tabla3[[#This Row],[Site]]&amp;Tabla3[[#This Row],[Split]]</f>
        <v>(AS) Koons Chevrolet Buick GMC - Tysons Remote Lot (NO TOURS)4</v>
      </c>
      <c r="B230">
        <v>4</v>
      </c>
      <c r="C230">
        <v>4</v>
      </c>
      <c r="D230" t="s">
        <v>374</v>
      </c>
      <c r="E230" t="str">
        <f>VLOOKUP(Tabla3[[#This Row],[Site]],Table35[],10,FALSE)</f>
        <v>9:00 P.M.</v>
      </c>
      <c r="F230" t="str">
        <f>VLOOKUP(Tabla3[[#This Row],[Site]],Table35[],11,FALSE)</f>
        <v>ET</v>
      </c>
      <c r="G230" t="str">
        <f>VLOOKUP(Tabla3[[#This Row],[Site]],Table35[],12,FALSE)</f>
        <v>5:00 A.M.</v>
      </c>
      <c r="H230" t="str">
        <f>VLOOKUP(Tabla3[[#This Row],[Site]],Table35[],13,FALSE)</f>
        <v>-</v>
      </c>
      <c r="I230" s="70" t="str">
        <f>HYPERLINK(VLOOKUP(Tabla3[[#This Row],[Site]],Table35[#All],9,FALSE))</f>
        <v>https://tools.sig.systems/site/details/333</v>
      </c>
      <c r="J230" t="str">
        <f>VLOOKUP(Tabla3[[#This Row],[Site]],Table35[],14,FALSE)</f>
        <v>-</v>
      </c>
      <c r="L230" s="34" t="str">
        <f>VLOOKUP(Tabla3[[#This Row],[Site]],Table35[#All],2,FALSE)</f>
        <v>-</v>
      </c>
      <c r="M230" s="34">
        <f>VLOOKUP(Tabla3[[#This Row],[Site]],Table35[#All],3,FALSE)</f>
        <v>6</v>
      </c>
      <c r="N230" s="34" t="str">
        <f>VLOOKUP(Tabla3[[#This Row],[Site]],Table35[#All],4,FALSE)</f>
        <v>1, 2, 3</v>
      </c>
      <c r="O230" s="34" t="str">
        <f>VLOOKUP(Tabla3[[#This Row],[Site]],Table35[#All],5,FALSE)</f>
        <v>7, 10, 16, 29</v>
      </c>
      <c r="P230" s="34" t="str">
        <f>VLOOKUP(Tabla3[[#This Row],[Site]],Table35[#All],6,FALSE)</f>
        <v>14, 17, 30</v>
      </c>
      <c r="Q230" s="34" t="str">
        <f>VLOOKUP(Tabla3[[#This Row],[Site]],Table35[#All],8,FALSE)</f>
        <v>333</v>
      </c>
      <c r="R230"/>
    </row>
    <row r="231" spans="1:18" hidden="1" x14ac:dyDescent="0.25">
      <c r="A231" t="str">
        <f>+Tabla3[[#This Row],[Site]]&amp;Tabla3[[#This Row],[Split]]</f>
        <v>(AS) Koons Easton Toyota - Main Dealership (NO TOURS)4</v>
      </c>
      <c r="B231">
        <v>4</v>
      </c>
      <c r="C231">
        <v>4</v>
      </c>
      <c r="D231" t="s">
        <v>426</v>
      </c>
      <c r="E231" t="str">
        <f>VLOOKUP(Tabla3[[#This Row],[Site]],Table35[],10,FALSE)</f>
        <v>9:00 P.M.</v>
      </c>
      <c r="F231" t="str">
        <f>VLOOKUP(Tabla3[[#This Row],[Site]],Table35[],11,FALSE)</f>
        <v>ET</v>
      </c>
      <c r="G231" t="str">
        <f>VLOOKUP(Tabla3[[#This Row],[Site]],Table35[],12,FALSE)</f>
        <v>5:00 A.M.</v>
      </c>
      <c r="H231" t="str">
        <f>VLOOKUP(Tabla3[[#This Row],[Site]],Table35[],13,FALSE)</f>
        <v>-</v>
      </c>
      <c r="I231" s="70" t="str">
        <f>HYPERLINK(VLOOKUP(Tabla3[[#This Row],[Site]],Table35[#All],9,FALSE))</f>
        <v>https://tools.sig.systems/site/details/340</v>
      </c>
      <c r="J231" t="str">
        <f>VLOOKUP(Tabla3[[#This Row],[Site]],Table35[],14,FALSE)</f>
        <v>-</v>
      </c>
      <c r="L231" s="34" t="str">
        <f>VLOOKUP(Tabla3[[#This Row],[Site]],Table35[#All],2,FALSE)</f>
        <v>-</v>
      </c>
      <c r="M231" s="34" t="str">
        <f>VLOOKUP(Tabla3[[#This Row],[Site]],Table35[#All],3,FALSE)</f>
        <v>4, 5</v>
      </c>
      <c r="N231" s="34" t="str">
        <f>VLOOKUP(Tabla3[[#This Row],[Site]],Table35[#All],4,FALSE)</f>
        <v>-</v>
      </c>
      <c r="O231" s="34" t="str">
        <f>VLOOKUP(Tabla3[[#This Row],[Site]],Table35[#All],5,FALSE)</f>
        <v>-</v>
      </c>
      <c r="P231" s="34" t="str">
        <f>VLOOKUP(Tabla3[[#This Row],[Site]],Table35[#All],6,FALSE)</f>
        <v>8, 15</v>
      </c>
      <c r="Q231" s="34" t="str">
        <f>VLOOKUP(Tabla3[[#This Row],[Site]],Table35[#All],8,FALSE)</f>
        <v>340</v>
      </c>
      <c r="R231"/>
    </row>
    <row r="232" spans="1:18" hidden="1" x14ac:dyDescent="0.25">
      <c r="A232" t="str">
        <f>+Tabla3[[#This Row],[Site]]&amp;Tabla3[[#This Row],[Split]]</f>
        <v>(AS) Koons Volvo Cars White Marsh (NO TOURS)4</v>
      </c>
      <c r="B232">
        <v>4</v>
      </c>
      <c r="C232">
        <v>4</v>
      </c>
      <c r="D232" t="s">
        <v>376</v>
      </c>
      <c r="E232" t="str">
        <f>VLOOKUP(Tabla3[[#This Row],[Site]],Table35[],10,FALSE)</f>
        <v>9:00 P.M.</v>
      </c>
      <c r="F232" t="str">
        <f>VLOOKUP(Tabla3[[#This Row],[Site]],Table35[],11,FALSE)</f>
        <v>ET</v>
      </c>
      <c r="G232" t="str">
        <f>VLOOKUP(Tabla3[[#This Row],[Site]],Table35[],12,FALSE)</f>
        <v>5:00 A.M.</v>
      </c>
      <c r="H232" t="str">
        <f>VLOOKUP(Tabla3[[#This Row],[Site]],Table35[],13,FALSE)</f>
        <v>-</v>
      </c>
      <c r="I232" s="70" t="str">
        <f>HYPERLINK(VLOOKUP(Tabla3[[#This Row],[Site]],Table35[#All],9,FALSE))</f>
        <v>https://tools.sig.systems/site/details/338</v>
      </c>
      <c r="J232">
        <f>VLOOKUP(Tabla3[[#This Row],[Site]],Table35[],14,FALSE)</f>
        <v>0</v>
      </c>
      <c r="L232" s="34" t="str">
        <f>VLOOKUP(Tabla3[[#This Row],[Site]],Table35[#All],2,FALSE)</f>
        <v>-</v>
      </c>
      <c r="M232" s="34" t="str">
        <f>VLOOKUP(Tabla3[[#This Row],[Site]],Table35[#All],3,FALSE)</f>
        <v>5, 7, 9</v>
      </c>
      <c r="N232" s="34" t="str">
        <f>VLOOKUP(Tabla3[[#This Row],[Site]],Table35[#All],4,FALSE)</f>
        <v>-</v>
      </c>
      <c r="O232" s="34" t="str">
        <f>VLOOKUP(Tabla3[[#This Row],[Site]],Table35[#All],5,FALSE)</f>
        <v>-</v>
      </c>
      <c r="P232" s="34" t="str">
        <f>VLOOKUP(Tabla3[[#This Row],[Site]],Table35[#All],6,FALSE)</f>
        <v>6, 10, 1</v>
      </c>
      <c r="Q232" s="34" t="str">
        <f>VLOOKUP(Tabla3[[#This Row],[Site]],Table35[#All],8,FALSE)</f>
        <v>338</v>
      </c>
      <c r="R232"/>
    </row>
    <row r="233" spans="1:18" hidden="1" x14ac:dyDescent="0.25">
      <c r="A233" t="str">
        <f>+Tabla3[[#This Row],[Site]]&amp;Tabla3[[#This Row],[Split]]</f>
        <v>(DT) Modesto4</v>
      </c>
      <c r="B233">
        <v>4</v>
      </c>
      <c r="C233">
        <v>4</v>
      </c>
      <c r="D233" t="s">
        <v>14</v>
      </c>
      <c r="E233" t="str">
        <f>VLOOKUP(Tabla3[[#This Row],[Site]],Table35[],10,FALSE)</f>
        <v>12:00 A.M.</v>
      </c>
      <c r="F233" t="str">
        <f>VLOOKUP(Tabla3[[#This Row],[Site]],Table35[],11,FALSE)</f>
        <v>PT</v>
      </c>
      <c r="G233" t="str">
        <f>VLOOKUP(Tabla3[[#This Row],[Site]],Table35[],12,FALSE)</f>
        <v>8:00 A.M.</v>
      </c>
      <c r="H233" t="str">
        <f>VLOOKUP(Tabla3[[#This Row],[Site]],Table35[],13,FALSE)</f>
        <v>-</v>
      </c>
      <c r="I233" s="70" t="str">
        <f>HYPERLINK(VLOOKUP(Tabla3[[#This Row],[Site]],Table35[#All],9,FALSE))</f>
        <v>https://tools.sig.systems/site/details/267</v>
      </c>
      <c r="J233">
        <f>VLOOKUP(Tabla3[[#This Row],[Site]],Table35[],14,FALSE)</f>
        <v>0</v>
      </c>
      <c r="L233" s="34">
        <f>VLOOKUP(Tabla3[[#This Row],[Site]],Table35[#All],2,FALSE)</f>
        <v>10</v>
      </c>
      <c r="M233" s="34" t="str">
        <f>VLOOKUP(Tabla3[[#This Row],[Site]],Table35[#All],3,FALSE)</f>
        <v>5, 6</v>
      </c>
      <c r="N233" s="34" t="str">
        <f>VLOOKUP(Tabla3[[#This Row],[Site]],Table35[#All],4,FALSE)</f>
        <v>-</v>
      </c>
      <c r="O233" s="34" t="str">
        <f>VLOOKUP(Tabla3[[#This Row],[Site]],Table35[#All],5,FALSE)</f>
        <v>-</v>
      </c>
      <c r="P233" s="34" t="str">
        <f>VLOOKUP(Tabla3[[#This Row],[Site]],Table35[#All],6,FALSE)</f>
        <v>2, 3, 5, 10</v>
      </c>
      <c r="Q233" s="34" t="str">
        <f>VLOOKUP(Tabla3[[#This Row],[Site]],Table35[#All],8,FALSE)</f>
        <v>267</v>
      </c>
      <c r="R233"/>
    </row>
    <row r="234" spans="1:18" hidden="1" x14ac:dyDescent="0.25">
      <c r="A234" t="str">
        <f>+Tabla3[[#This Row],[Site]]&amp;Tabla3[[#This Row],[Split]]</f>
        <v>(LT) Landers Kia of Little Rock4</v>
      </c>
      <c r="B234">
        <v>4</v>
      </c>
      <c r="C234">
        <v>4</v>
      </c>
      <c r="D234" t="s">
        <v>249</v>
      </c>
      <c r="E234" t="str">
        <f>VLOOKUP(Tabla3[[#This Row],[Site]],Table35[],10,FALSE)</f>
        <v>10:00 P.M.</v>
      </c>
      <c r="F234" t="str">
        <f>VLOOKUP(Tabla3[[#This Row],[Site]],Table35[],11,FALSE)</f>
        <v>CT</v>
      </c>
      <c r="G234" t="str">
        <f>VLOOKUP(Tabla3[[#This Row],[Site]],Table35[],12,FALSE)</f>
        <v>6:00 A.M.</v>
      </c>
      <c r="H234" t="str">
        <f>VLOOKUP(Tabla3[[#This Row],[Site]],Table35[],13,FALSE)</f>
        <v>-</v>
      </c>
      <c r="I234" s="70" t="str">
        <f>HYPERLINK(VLOOKUP(Tabla3[[#This Row],[Site]],Table35[#All],9,FALSE))</f>
        <v>https://tools.sig.systems/site/details/322</v>
      </c>
      <c r="J234" t="str">
        <f>VLOOKUP(Tabla3[[#This Row],[Site]],Table35[],14,FALSE)</f>
        <v>https://www.google.com/maps/d/u/1/edit?mid=1-zEzsc6U6nZom08edp0XAd3_HYFvAyk&amp;usp=sharing</v>
      </c>
      <c r="L234" s="34" t="str">
        <f>VLOOKUP(Tabla3[[#This Row],[Site]],Table35[#All],2,FALSE)</f>
        <v>5, 9, 33, 19</v>
      </c>
      <c r="M234" s="34" t="str">
        <f>VLOOKUP(Tabla3[[#This Row],[Site]],Table35[#All],3,FALSE)</f>
        <v>-</v>
      </c>
      <c r="N234" s="34" t="str">
        <f>VLOOKUP(Tabla3[[#This Row],[Site]],Table35[#All],4,FALSE)</f>
        <v>4, 10</v>
      </c>
      <c r="O234" s="34" t="str">
        <f>VLOOKUP(Tabla3[[#This Row],[Site]],Table35[#All],5,FALSE)</f>
        <v>1, 35</v>
      </c>
      <c r="P234" s="34" t="str">
        <f>VLOOKUP(Tabla3[[#This Row],[Site]],Table35[#All],6,FALSE)</f>
        <v>5, 9, 12, 14, 18, 26, 29</v>
      </c>
      <c r="Q234" s="34" t="str">
        <f>VLOOKUP(Tabla3[[#This Row],[Site]],Table35[#All],8,FALSE)</f>
        <v>322</v>
      </c>
      <c r="R234"/>
    </row>
    <row r="235" spans="1:18" hidden="1" x14ac:dyDescent="0.25">
      <c r="A235" t="str">
        <f>+Tabla3[[#This Row],[Site]]&amp;Tabla3[[#This Row],[Split]]</f>
        <v>(LT) Luther Bloomington Subaru - Acura4</v>
      </c>
      <c r="B235">
        <v>4</v>
      </c>
      <c r="C235">
        <v>4</v>
      </c>
      <c r="D235" t="s">
        <v>124</v>
      </c>
      <c r="E235" t="str">
        <f>VLOOKUP(Tabla3[[#This Row],[Site]],Table35[],10,FALSE)</f>
        <v>8:00 P.M.</v>
      </c>
      <c r="F235" t="str">
        <f>VLOOKUP(Tabla3[[#This Row],[Site]],Table35[],11,FALSE)</f>
        <v>CT</v>
      </c>
      <c r="G235" t="str">
        <f>VLOOKUP(Tabla3[[#This Row],[Site]],Table35[],12,FALSE)</f>
        <v>4:00 A.M.</v>
      </c>
      <c r="H235" t="str">
        <f>VLOOKUP(Tabla3[[#This Row],[Site]],Table35[],13,FALSE)</f>
        <v>-</v>
      </c>
      <c r="I235" s="70" t="str">
        <f>HYPERLINK(VLOOKUP(Tabla3[[#This Row],[Site]],Table35[#All],9,FALSE))</f>
        <v>https://tools.sig.systems/site/details/289</v>
      </c>
      <c r="J235">
        <f>VLOOKUP(Tabla3[[#This Row],[Site]],Table35[],14,FALSE)</f>
        <v>0</v>
      </c>
      <c r="L235" s="34">
        <f>VLOOKUP(Tabla3[[#This Row],[Site]],Table35[#All],2,FALSE)</f>
        <v>29</v>
      </c>
      <c r="M235" s="34" t="str">
        <f>VLOOKUP(Tabla3[[#This Row],[Site]],Table35[#All],3,FALSE)</f>
        <v>5, 8, 33</v>
      </c>
      <c r="N235" s="34" t="str">
        <f>VLOOKUP(Tabla3[[#This Row],[Site]],Table35[#All],4,FALSE)</f>
        <v>4, 7, 35</v>
      </c>
      <c r="O235" s="34" t="str">
        <f>VLOOKUP(Tabla3[[#This Row],[Site]],Table35[#All],5,FALSE)</f>
        <v>-</v>
      </c>
      <c r="P235" s="34" t="str">
        <f>VLOOKUP(Tabla3[[#This Row],[Site]],Table35[#All],6,FALSE)</f>
        <v xml:space="preserve">1, 2, 14, 24, 34  </v>
      </c>
      <c r="Q235" s="34" t="str">
        <f>VLOOKUP(Tabla3[[#This Row],[Site]],Table35[#All],8,FALSE)</f>
        <v>289</v>
      </c>
      <c r="R235"/>
    </row>
    <row r="236" spans="1:18" hidden="1" x14ac:dyDescent="0.25">
      <c r="A236" t="str">
        <f>+Tabla3[[#This Row],[Site]]&amp;Tabla3[[#This Row],[Split]]</f>
        <v>(LT) Luther North Country Ford4</v>
      </c>
      <c r="B236">
        <v>4</v>
      </c>
      <c r="C236">
        <v>4</v>
      </c>
      <c r="D236" t="s">
        <v>127</v>
      </c>
      <c r="E236" t="str">
        <f>VLOOKUP(Tabla3[[#This Row],[Site]],Table35[],10,FALSE)</f>
        <v>10:00 P.M.</v>
      </c>
      <c r="F236" t="str">
        <f>VLOOKUP(Tabla3[[#This Row],[Site]],Table35[],11,FALSE)</f>
        <v>CT</v>
      </c>
      <c r="G236" t="str">
        <f>VLOOKUP(Tabla3[[#This Row],[Site]],Table35[],12,FALSE)</f>
        <v>6:00 A.M.</v>
      </c>
      <c r="H236" t="str">
        <f>VLOOKUP(Tabla3[[#This Row],[Site]],Table35[],13,FALSE)</f>
        <v>-</v>
      </c>
      <c r="I236" s="70" t="str">
        <f>HYPERLINK(VLOOKUP(Tabla3[[#This Row],[Site]],Table35[#All],9,FALSE))</f>
        <v>https://tools.sig.systems/site/details/292</v>
      </c>
      <c r="J236">
        <f>VLOOKUP(Tabla3[[#This Row],[Site]],Table35[],14,FALSE)</f>
        <v>0</v>
      </c>
      <c r="L236" s="34" t="str">
        <f>VLOOKUP(Tabla3[[#This Row],[Site]],Table35[#All],2,FALSE)</f>
        <v>-</v>
      </c>
      <c r="M236" s="34" t="str">
        <f>VLOOKUP(Tabla3[[#This Row],[Site]],Table35[#All],3,FALSE)</f>
        <v>7, 14, 19</v>
      </c>
      <c r="N236" s="34" t="str">
        <f>VLOOKUP(Tabla3[[#This Row],[Site]],Table35[#All],4,FALSE)</f>
        <v>30, 31, 32</v>
      </c>
      <c r="O236" s="34" t="str">
        <f>VLOOKUP(Tabla3[[#This Row],[Site]],Table35[#All],5,FALSE)</f>
        <v>-</v>
      </c>
      <c r="P236" s="34" t="str">
        <f>VLOOKUP(Tabla3[[#This Row],[Site]],Table35[#All],6,FALSE)</f>
        <v>1, 4, 9, 13, 15, 16B, 25</v>
      </c>
      <c r="Q236" s="34" t="str">
        <f>VLOOKUP(Tabla3[[#This Row],[Site]],Table35[#All],8,FALSE)</f>
        <v>292</v>
      </c>
      <c r="R236"/>
    </row>
    <row r="237" spans="1:18" hidden="1" x14ac:dyDescent="0.25">
      <c r="A237" t="str">
        <f>+Tabla3[[#This Row],[Site]]&amp;Tabla3[[#This Row],[Split]]</f>
        <v>(SCH) Schumacher of Delray I &amp; III4</v>
      </c>
      <c r="B237">
        <v>4</v>
      </c>
      <c r="C237">
        <v>4</v>
      </c>
      <c r="D237" t="s">
        <v>385</v>
      </c>
      <c r="E237" t="str">
        <f>VLOOKUP(Tabla3[[#This Row],[Site]],Table35[],10,FALSE)</f>
        <v>9:00 P.M.</v>
      </c>
      <c r="F237" t="str">
        <f>VLOOKUP(Tabla3[[#This Row],[Site]],Table35[],11,FALSE)</f>
        <v>ET</v>
      </c>
      <c r="G237" t="str">
        <f>VLOOKUP(Tabla3[[#This Row],[Site]],Table35[],12,FALSE)</f>
        <v>5:00 A.M.</v>
      </c>
      <c r="H237" t="str">
        <f>VLOOKUP(Tabla3[[#This Row],[Site]],Table35[],13,FALSE)</f>
        <v>11:00 A.M.</v>
      </c>
      <c r="I237" s="70" t="str">
        <f>HYPERLINK(VLOOKUP(Tabla3[[#This Row],[Site]],Table35[#All],9,FALSE))</f>
        <v>https://tools.sig.systems/site/details/159</v>
      </c>
      <c r="J237" t="str">
        <f>VLOOKUP(Tabla3[[#This Row],[Site]],Table35[],14,FALSE)</f>
        <v>https://www.google.com/maps/d/viewer?mid=1ZLGV-cDM9aCfovhmXHIAXgVOKts0dEI&amp;ll=26.438859950088858%2C-80.07968125000001&amp;z=16</v>
      </c>
      <c r="L237" s="34" t="str">
        <f>VLOOKUP(Tabla3[[#This Row],[Site]],Table35[#All],2,FALSE)</f>
        <v>11, 21, 22, 57, 69</v>
      </c>
      <c r="M237" s="34" t="str">
        <f>VLOOKUP(Tabla3[[#This Row],[Site]],Table35[#All],3,FALSE)</f>
        <v>2, 16, 46</v>
      </c>
      <c r="N237" s="34" t="str">
        <f>VLOOKUP(Tabla3[[#This Row],[Site]],Table35[#All],4,FALSE)</f>
        <v>-</v>
      </c>
      <c r="O237" s="34" t="str">
        <f>VLOOKUP(Tabla3[[#This Row],[Site]],Table35[#All],5,FALSE)</f>
        <v>-</v>
      </c>
      <c r="P237" s="34" t="str">
        <f>VLOOKUP(Tabla3[[#This Row],[Site]],Table35[#All],6,FALSE)</f>
        <v>24, 39</v>
      </c>
      <c r="Q237" s="34" t="str">
        <f>VLOOKUP(Tabla3[[#This Row],[Site]],Table35[#All],8,FALSE)</f>
        <v>159</v>
      </c>
      <c r="R237"/>
    </row>
    <row r="238" spans="1:18" hidden="1" x14ac:dyDescent="0.25">
      <c r="A238" t="str">
        <f>+Tabla3[[#This Row],[Site]]&amp;Tabla3[[#This Row],[Split]]</f>
        <v>(AS) Koons Chevrolet Buick GMC - Clarksville (NO TOURS)5</v>
      </c>
      <c r="B238">
        <v>5</v>
      </c>
      <c r="C238">
        <v>1</v>
      </c>
      <c r="D238" t="s">
        <v>382</v>
      </c>
      <c r="E238" t="str">
        <f>VLOOKUP(Tabla3[[#This Row],[Site]],Table35[],10,FALSE)</f>
        <v>9:00 P.M.</v>
      </c>
      <c r="F238" t="str">
        <f>VLOOKUP(Tabla3[[#This Row],[Site]],Table35[],11,FALSE)</f>
        <v>ET</v>
      </c>
      <c r="G238" t="str">
        <f>VLOOKUP(Tabla3[[#This Row],[Site]],Table35[],12,FALSE)</f>
        <v>5:00 A.M.</v>
      </c>
      <c r="H238" t="str">
        <f>VLOOKUP(Tabla3[[#This Row],[Site]],Table35[],13,FALSE)</f>
        <v>10:00 A.M.</v>
      </c>
      <c r="I238" s="70" t="str">
        <f>HYPERLINK(VLOOKUP(Tabla3[[#This Row],[Site]],Table35[#All],9,FALSE))</f>
        <v>https://tools.sig.systems/site/details/306</v>
      </c>
      <c r="J238" t="str">
        <f>VLOOKUP(Tabla3[[#This Row],[Site]],Table35[],14,FALSE)</f>
        <v>https://www.google.com/maps/d/edit?hl=es&amp;mid=11XB1lTSP7EcDCDvzypdUPWP6bWCNAEI&amp;ll=39.21145022420528%2C-76.94003711910554&amp;z=17</v>
      </c>
      <c r="L238" s="34" t="str">
        <f>VLOOKUP(Tabla3[[#This Row],[Site]],Table35[#All],2,FALSE)</f>
        <v>-</v>
      </c>
      <c r="M238" s="34" t="str">
        <f>VLOOKUP(Tabla3[[#This Row],[Site]],Table35[#All],3,FALSE)</f>
        <v>1, 22, 26, 28, 29</v>
      </c>
      <c r="N238" s="34" t="str">
        <f>VLOOKUP(Tabla3[[#This Row],[Site]],Table35[#All],4,FALSE)</f>
        <v>-</v>
      </c>
      <c r="O238" s="34" t="str">
        <f>VLOOKUP(Tabla3[[#This Row],[Site]],Table35[#All],5,FALSE)</f>
        <v>-</v>
      </c>
      <c r="P238" s="34" t="str">
        <f>VLOOKUP(Tabla3[[#This Row],[Site]],Table35[#All],6,FALSE)</f>
        <v>3, 11, 15, 23</v>
      </c>
      <c r="Q238" s="34" t="str">
        <f>VLOOKUP(Tabla3[[#This Row],[Site]],Table35[#All],8,FALSE)</f>
        <v>306</v>
      </c>
      <c r="R238"/>
    </row>
    <row r="239" spans="1:18" hidden="1" x14ac:dyDescent="0.25">
      <c r="A239" t="str">
        <f>+Tabla3[[#This Row],[Site]]&amp;Tabla3[[#This Row],[Split]]</f>
        <v>(AS) Koons Sterling Ford - Main Dealership (NO TOURS)5</v>
      </c>
      <c r="B239">
        <v>5</v>
      </c>
      <c r="C239">
        <v>1</v>
      </c>
      <c r="D239" t="s">
        <v>408</v>
      </c>
      <c r="E239" t="str">
        <f>VLOOKUP(Tabla3[[#This Row],[Site]],Table35[],10,FALSE)</f>
        <v>9:00 P.M.</v>
      </c>
      <c r="F239" t="str">
        <f>VLOOKUP(Tabla3[[#This Row],[Site]],Table35[],11,FALSE)</f>
        <v>ET</v>
      </c>
      <c r="G239" t="str">
        <f>VLOOKUP(Tabla3[[#This Row],[Site]],Table35[],12,FALSE)</f>
        <v>5:00 A.M.</v>
      </c>
      <c r="H239" t="str">
        <f>VLOOKUP(Tabla3[[#This Row],[Site]],Table35[],13,FALSE)</f>
        <v>10:00 A.M.</v>
      </c>
      <c r="I239" s="70" t="str">
        <f>HYPERLINK(VLOOKUP(Tabla3[[#This Row],[Site]],Table35[#All],9,FALSE))</f>
        <v>https://tools.sig.systems/site/details/348</v>
      </c>
      <c r="J239">
        <f>VLOOKUP(Tabla3[[#This Row],[Site]],Table35[],14,FALSE)</f>
        <v>0</v>
      </c>
      <c r="L239" s="34">
        <f>VLOOKUP(Tabla3[[#This Row],[Site]],Table35[#All],2,FALSE)</f>
        <v>19</v>
      </c>
      <c r="M239" s="34">
        <f>VLOOKUP(Tabla3[[#This Row],[Site]],Table35[#All],3,FALSE)</f>
        <v>3</v>
      </c>
      <c r="N239" s="34" t="str">
        <f>VLOOKUP(Tabla3[[#This Row],[Site]],Table35[#All],4,FALSE)</f>
        <v>-</v>
      </c>
      <c r="O239" s="34" t="str">
        <f>VLOOKUP(Tabla3[[#This Row],[Site]],Table35[#All],5,FALSE)</f>
        <v>4, 21</v>
      </c>
      <c r="P239" s="34" t="str">
        <f>VLOOKUP(Tabla3[[#This Row],[Site]],Table35[#All],6,FALSE)</f>
        <v>7, 8</v>
      </c>
      <c r="Q239" s="34" t="str">
        <f>VLOOKUP(Tabla3[[#This Row],[Site]],Table35[#All],8,FALSE)</f>
        <v>348</v>
      </c>
      <c r="R239"/>
    </row>
    <row r="240" spans="1:18" hidden="1" x14ac:dyDescent="0.25">
      <c r="A240" t="str">
        <f>+Tabla3[[#This Row],[Site]]&amp;Tabla3[[#This Row],[Split]]</f>
        <v>(AS) Koons Annapolis Toyota (NO TOURS)5</v>
      </c>
      <c r="B240">
        <v>5</v>
      </c>
      <c r="C240">
        <v>1</v>
      </c>
      <c r="D240" t="s">
        <v>447</v>
      </c>
      <c r="E240" t="str">
        <f>VLOOKUP(Tabla3[[#This Row],[Site]],Table35[],10,FALSE)</f>
        <v>9:00 P.M.</v>
      </c>
      <c r="F240" t="str">
        <f>VLOOKUP(Tabla3[[#This Row],[Site]],Table35[],11,FALSE)</f>
        <v>ET</v>
      </c>
      <c r="G240" t="str">
        <f>VLOOKUP(Tabla3[[#This Row],[Site]],Table35[],12,FALSE)</f>
        <v>5:00 A.M.</v>
      </c>
      <c r="H240">
        <f>VLOOKUP(Tabla3[[#This Row],[Site]],Table35[],13,FALSE)</f>
        <v>0</v>
      </c>
      <c r="I240" s="70" t="str">
        <f>HYPERLINK(VLOOKUP(Tabla3[[#This Row],[Site]],Table35[#All],9,FALSE))</f>
        <v>https://tools.sig.systems/site/details/337</v>
      </c>
      <c r="J240" t="str">
        <f>VLOOKUP(Tabla3[[#This Row],[Site]],Table35[],14,FALSE)</f>
        <v>-</v>
      </c>
      <c r="L240" s="34">
        <f>VLOOKUP(Tabla3[[#This Row],[Site]],Table35[#All],2,FALSE)</f>
        <v>6</v>
      </c>
      <c r="M240" s="34" t="str">
        <f>VLOOKUP(Tabla3[[#This Row],[Site]],Table35[#All],3,FALSE)</f>
        <v>1, 6, 21</v>
      </c>
      <c r="N240" s="34" t="str">
        <f>VLOOKUP(Tabla3[[#This Row],[Site]],Table35[#All],4,FALSE)</f>
        <v>-</v>
      </c>
      <c r="O240" s="34" t="str">
        <f>VLOOKUP(Tabla3[[#This Row],[Site]],Table35[#All],5,FALSE)</f>
        <v>-</v>
      </c>
      <c r="P240" s="34" t="str">
        <f>VLOOKUP(Tabla3[[#This Row],[Site]],Table35[#All],6,FALSE)</f>
        <v>3, 5, 7, 19</v>
      </c>
      <c r="Q240" s="34" t="str">
        <f>VLOOKUP(Tabla3[[#This Row],[Site]],Table35[#All],8,FALSE)</f>
        <v>337</v>
      </c>
      <c r="R240"/>
    </row>
    <row r="241" spans="1:18" hidden="1" x14ac:dyDescent="0.25">
      <c r="A241" t="str">
        <f>+Tabla3[[#This Row],[Site]]&amp;Tabla3[[#This Row],[Split]]</f>
        <v>(AS) Plaza Mercedes Benz West (NO TOURS)5</v>
      </c>
      <c r="B241">
        <v>5</v>
      </c>
      <c r="C241">
        <v>1</v>
      </c>
      <c r="D241" t="s">
        <v>396</v>
      </c>
      <c r="E241" t="str">
        <f>VLOOKUP(Tabla3[[#This Row],[Site]],Table35[],10,FALSE)</f>
        <v>10:00 P.M.</v>
      </c>
      <c r="F241" t="str">
        <f>VLOOKUP(Tabla3[[#This Row],[Site]],Table35[],11,FALSE)</f>
        <v>CT</v>
      </c>
      <c r="G241" t="str">
        <f>VLOOKUP(Tabla3[[#This Row],[Site]],Table35[],12,FALSE)</f>
        <v>6:00 A.M.</v>
      </c>
      <c r="H241" t="str">
        <f>VLOOKUP(Tabla3[[#This Row],[Site]],Table35[],13,FALSE)</f>
        <v>-</v>
      </c>
      <c r="I241" s="70" t="str">
        <f>HYPERLINK(VLOOKUP(Tabla3[[#This Row],[Site]],Table35[#All],9,FALSE))</f>
        <v>https://tools.sig.systems/site/details/349</v>
      </c>
      <c r="J241" t="str">
        <f>VLOOKUP(Tabla3[[#This Row],[Site]],Table35[],14,FALSE)</f>
        <v>-</v>
      </c>
      <c r="L241" s="34" t="str">
        <f>VLOOKUP(Tabla3[[#This Row],[Site]],Table35[#All],2,FALSE)</f>
        <v>-</v>
      </c>
      <c r="M241" s="34" t="str">
        <f>VLOOKUP(Tabla3[[#This Row],[Site]],Table35[#All],3,FALSE)</f>
        <v>1, 7</v>
      </c>
      <c r="N241" s="34" t="str">
        <f>VLOOKUP(Tabla3[[#This Row],[Site]],Table35[#All],4,FALSE)</f>
        <v>-</v>
      </c>
      <c r="O241" s="34">
        <f>VLOOKUP(Tabla3[[#This Row],[Site]],Table35[#All],5,FALSE)</f>
        <v>17</v>
      </c>
      <c r="P241" s="34" t="str">
        <f>VLOOKUP(Tabla3[[#This Row],[Site]],Table35[#All],6,FALSE)</f>
        <v>6, 21</v>
      </c>
      <c r="Q241" s="34" t="str">
        <f>VLOOKUP(Tabla3[[#This Row],[Site]],Table35[#All],8,FALSE)</f>
        <v>349</v>
      </c>
      <c r="R241"/>
    </row>
    <row r="242" spans="1:18" hidden="1" x14ac:dyDescent="0.25">
      <c r="A242" t="str">
        <f>+Tabla3[[#This Row],[Site]]&amp;Tabla3[[#This Row],[Split]]</f>
        <v>(DT) Charlotte5</v>
      </c>
      <c r="B242">
        <v>5</v>
      </c>
      <c r="C242">
        <v>1</v>
      </c>
      <c r="D242" t="s">
        <v>151</v>
      </c>
      <c r="E242" t="str">
        <f>VLOOKUP(Tabla3[[#This Row],[Site]],Table35[],10,FALSE)</f>
        <v>9:00 P.M.</v>
      </c>
      <c r="F242" t="str">
        <f>VLOOKUP(Tabla3[[#This Row],[Site]],Table35[],11,FALSE)</f>
        <v>ET</v>
      </c>
      <c r="G242" t="str">
        <f>VLOOKUP(Tabla3[[#This Row],[Site]],Table35[],12,FALSE)</f>
        <v>5:00 A.M.</v>
      </c>
      <c r="H242" t="str">
        <f>VLOOKUP(Tabla3[[#This Row],[Site]],Table35[],13,FALSE)</f>
        <v>-</v>
      </c>
      <c r="I242" s="70" t="str">
        <f>HYPERLINK(VLOOKUP(Tabla3[[#This Row],[Site]],Table35[#All],9,FALSE))</f>
        <v>https://tools.sig.systems/site/details/299</v>
      </c>
      <c r="J242">
        <f>VLOOKUP(Tabla3[[#This Row],[Site]],Table35[],14,FALSE)</f>
        <v>0</v>
      </c>
      <c r="L242" s="34" t="str">
        <f>VLOOKUP(Tabla3[[#This Row],[Site]],Table35[#All],2,FALSE)</f>
        <v>4, 25, 41</v>
      </c>
      <c r="M242" s="34" t="str">
        <f>VLOOKUP(Tabla3[[#This Row],[Site]],Table35[#All],3,FALSE)</f>
        <v>-</v>
      </c>
      <c r="N242" s="34" t="str">
        <f>VLOOKUP(Tabla3[[#This Row],[Site]],Table35[#All],4,FALSE)</f>
        <v>-</v>
      </c>
      <c r="O242" s="34" t="str">
        <f>VLOOKUP(Tabla3[[#This Row],[Site]],Table35[#All],5,FALSE)</f>
        <v xml:space="preserve">11, 32, 35 </v>
      </c>
      <c r="P242" s="34" t="str">
        <f>VLOOKUP(Tabla3[[#This Row],[Site]],Table35[#All],6,FALSE)</f>
        <v>6, 11, 18, 29, 34,  38, 39</v>
      </c>
      <c r="Q242" s="34" t="str">
        <f>VLOOKUP(Tabla3[[#This Row],[Site]],Table35[#All],8,FALSE)</f>
        <v>299</v>
      </c>
      <c r="R242"/>
    </row>
    <row r="243" spans="1:18" hidden="1" x14ac:dyDescent="0.25">
      <c r="A243" t="str">
        <f>+Tabla3[[#This Row],[Site]]&amp;Tabla3[[#This Row],[Split]]</f>
        <v>(KG) Big Star Hyundai Houston5</v>
      </c>
      <c r="B243">
        <v>5</v>
      </c>
      <c r="C243">
        <v>1</v>
      </c>
      <c r="D243" t="s">
        <v>129</v>
      </c>
      <c r="E243" t="str">
        <f>VLOOKUP(Tabla3[[#This Row],[Site]],Table35[],10,FALSE)</f>
        <v>10:00 P.M.</v>
      </c>
      <c r="F243" t="str">
        <f>VLOOKUP(Tabla3[[#This Row],[Site]],Table35[],11,FALSE)</f>
        <v>CT</v>
      </c>
      <c r="G243" t="str">
        <f>VLOOKUP(Tabla3[[#This Row],[Site]],Table35[],12,FALSE)</f>
        <v>6:00 A.M.</v>
      </c>
      <c r="H243" t="str">
        <f>VLOOKUP(Tabla3[[#This Row],[Site]],Table35[],13,FALSE)</f>
        <v>-</v>
      </c>
      <c r="I243" s="70" t="str">
        <f>HYPERLINK(VLOOKUP(Tabla3[[#This Row],[Site]],Table35[#All],9,FALSE))</f>
        <v>https://tools.sig.systems/site/details/287</v>
      </c>
      <c r="J243" t="str">
        <f>VLOOKUP(Tabla3[[#This Row],[Site]],Table35[],14,FALSE)</f>
        <v>https://www.google.com/maps/d/edit?hl=en&amp;mid=1jIRkMUnWNPuTgDjQgDP-f33LClT85NU&amp;ll=29.55731827236326%2C-95.1601644&amp;z=17</v>
      </c>
      <c r="L243" s="34" t="str">
        <f>VLOOKUP(Tabla3[[#This Row],[Site]],Table35[#All],2,FALSE)</f>
        <v>3, 12, 17</v>
      </c>
      <c r="M243" s="34" t="str">
        <f>VLOOKUP(Tabla3[[#This Row],[Site]],Table35[#All],3,FALSE)</f>
        <v>23, 35</v>
      </c>
      <c r="N243" s="34" t="str">
        <f>VLOOKUP(Tabla3[[#This Row],[Site]],Table35[#All],4,FALSE)</f>
        <v>-</v>
      </c>
      <c r="O243" s="34" t="str">
        <f>VLOOKUP(Tabla3[[#This Row],[Site]],Table35[#All],5,FALSE)</f>
        <v>1, 75</v>
      </c>
      <c r="P243" s="34" t="str">
        <f>VLOOKUP(Tabla3[[#This Row],[Site]],Table35[#All],6,FALSE)</f>
        <v xml:space="preserve">5, 11, 16, 20, 26, 30, 32, 34 </v>
      </c>
      <c r="Q243" s="34" t="str">
        <f>VLOOKUP(Tabla3[[#This Row],[Site]],Table35[#All],8,FALSE)</f>
        <v>287</v>
      </c>
      <c r="R243"/>
    </row>
    <row r="244" spans="1:18" hidden="1" x14ac:dyDescent="0.25">
      <c r="A244" t="str">
        <f>+Tabla3[[#This Row],[Site]]&amp;Tabla3[[#This Row],[Split]]</f>
        <v>(LT) Luther Brookdale Toyota5</v>
      </c>
      <c r="B244">
        <v>5</v>
      </c>
      <c r="C244">
        <v>1</v>
      </c>
      <c r="D244" t="s">
        <v>126</v>
      </c>
      <c r="E244" t="str">
        <f>VLOOKUP(Tabla3[[#This Row],[Site]],Table35[],10,FALSE)</f>
        <v>7:00 P.M.</v>
      </c>
      <c r="F244" t="str">
        <f>VLOOKUP(Tabla3[[#This Row],[Site]],Table35[],11,FALSE)</f>
        <v>CT</v>
      </c>
      <c r="G244" t="str">
        <f>VLOOKUP(Tabla3[[#This Row],[Site]],Table35[],12,FALSE)</f>
        <v>5:00 A.M.</v>
      </c>
      <c r="H244" t="str">
        <f>VLOOKUP(Tabla3[[#This Row],[Site]],Table35[],13,FALSE)</f>
        <v>-</v>
      </c>
      <c r="I244" s="70" t="str">
        <f>HYPERLINK(VLOOKUP(Tabla3[[#This Row],[Site]],Table35[#All],9,FALSE))</f>
        <v>https://tools.sig.systems/site/details/281</v>
      </c>
      <c r="J244" t="str">
        <f>VLOOKUP(Tabla3[[#This Row],[Site]],Table35[],14,FALSE)</f>
        <v>https://www.google.com/maps/d/viewer?mid=1ot0ILX76JMuvd9yMuqkb4_e0yH1n7TA&amp;ll=45.07815812965141%2C-93.33506855000002&amp;z=17</v>
      </c>
      <c r="L244" s="34" t="str">
        <f>VLOOKUP(Tabla3[[#This Row],[Site]],Table35[#All],2,FALSE)</f>
        <v>-</v>
      </c>
      <c r="M244" s="34" t="str">
        <f>VLOOKUP(Tabla3[[#This Row],[Site]],Table35[#All],3,FALSE)</f>
        <v>5, 7</v>
      </c>
      <c r="N244" s="34">
        <f>VLOOKUP(Tabla3[[#This Row],[Site]],Table35[#All],4,FALSE)</f>
        <v>29</v>
      </c>
      <c r="O244" s="34">
        <f>VLOOKUP(Tabla3[[#This Row],[Site]],Table35[#All],5,FALSE)</f>
        <v>20</v>
      </c>
      <c r="P244" s="34" t="str">
        <f>VLOOKUP(Tabla3[[#This Row],[Site]],Table35[#All],6,FALSE)</f>
        <v xml:space="preserve">1, 2, 4, 10, 18, 24, 25 </v>
      </c>
      <c r="Q244" s="34" t="str">
        <f>VLOOKUP(Tabla3[[#This Row],[Site]],Table35[#All],8,FALSE)</f>
        <v>281</v>
      </c>
      <c r="R244"/>
    </row>
    <row r="245" spans="1:18" hidden="1" x14ac:dyDescent="0.25">
      <c r="A245" t="str">
        <f>+Tabla3[[#This Row],[Site]]&amp;Tabla3[[#This Row],[Split]]</f>
        <v>(LT) Luther Burnsville Hyundai5</v>
      </c>
      <c r="B245">
        <v>5</v>
      </c>
      <c r="C245">
        <v>1</v>
      </c>
      <c r="D245" t="s">
        <v>284</v>
      </c>
      <c r="E245" t="str">
        <f>VLOOKUP(Tabla3[[#This Row],[Site]],Table35[],10,FALSE)</f>
        <v>10:00 P.M.</v>
      </c>
      <c r="F245" t="str">
        <f>VLOOKUP(Tabla3[[#This Row],[Site]],Table35[],11,FALSE)</f>
        <v>CT</v>
      </c>
      <c r="G245" t="str">
        <f>VLOOKUP(Tabla3[[#This Row],[Site]],Table35[],12,FALSE)</f>
        <v>6:00 A.M.</v>
      </c>
      <c r="H245" t="str">
        <f>VLOOKUP(Tabla3[[#This Row],[Site]],Table35[],13,FALSE)</f>
        <v>-</v>
      </c>
      <c r="I245" s="70" t="str">
        <f>HYPERLINK(VLOOKUP(Tabla3[[#This Row],[Site]],Table35[#All],9,FALSE))</f>
        <v>https://tools.sig.systems/site/details/307</v>
      </c>
      <c r="J245">
        <f>VLOOKUP(Tabla3[[#This Row],[Site]],Table35[],14,FALSE)</f>
        <v>0</v>
      </c>
      <c r="L245" s="34" t="str">
        <f>VLOOKUP(Tabla3[[#This Row],[Site]],Table35[#All],2,FALSE)</f>
        <v>-</v>
      </c>
      <c r="M245" s="34" t="str">
        <f>VLOOKUP(Tabla3[[#This Row],[Site]],Table35[#All],3,FALSE)</f>
        <v>6, 17</v>
      </c>
      <c r="N245" s="34" t="str">
        <f>VLOOKUP(Tabla3[[#This Row],[Site]],Table35[#All],4,FALSE)</f>
        <v>22, 21</v>
      </c>
      <c r="O245" s="34">
        <f>VLOOKUP(Tabla3[[#This Row],[Site]],Table35[#All],5,FALSE)</f>
        <v>7</v>
      </c>
      <c r="P245" s="34" t="str">
        <f>VLOOKUP(Tabla3[[#This Row],[Site]],Table35[#All],6,FALSE)</f>
        <v>2, 4, 16</v>
      </c>
      <c r="Q245" s="34" t="str">
        <f>VLOOKUP(Tabla3[[#This Row],[Site]],Table35[#All],8,FALSE)</f>
        <v>307</v>
      </c>
      <c r="R245"/>
    </row>
    <row r="246" spans="1:18" hidden="1" x14ac:dyDescent="0.25">
      <c r="A246" t="str">
        <f>+Tabla3[[#This Row],[Site]]&amp;Tabla3[[#This Row],[Split]]</f>
        <v>(ML) Joe Machens Hyundai5</v>
      </c>
      <c r="B246">
        <v>5</v>
      </c>
      <c r="C246">
        <v>1</v>
      </c>
      <c r="D246" t="s">
        <v>125</v>
      </c>
      <c r="E246" t="str">
        <f>VLOOKUP(Tabla3[[#This Row],[Site]],Table35[],10,FALSE)</f>
        <v>10:00 P.M.</v>
      </c>
      <c r="F246" t="str">
        <f>VLOOKUP(Tabla3[[#This Row],[Site]],Table35[],11,FALSE)</f>
        <v>CT</v>
      </c>
      <c r="G246" t="str">
        <f>VLOOKUP(Tabla3[[#This Row],[Site]],Table35[],12,FALSE)</f>
        <v>6:00 A.M.</v>
      </c>
      <c r="H246" t="str">
        <f>VLOOKUP(Tabla3[[#This Row],[Site]],Table35[],13,FALSE)</f>
        <v>-</v>
      </c>
      <c r="I246" s="70" t="str">
        <f>HYPERLINK(VLOOKUP(Tabla3[[#This Row],[Site]],Table35[#All],9,FALSE))</f>
        <v>https://tools.sig.systems/site/details/286</v>
      </c>
      <c r="J246" t="str">
        <f>VLOOKUP(Tabla3[[#This Row],[Site]],Table35[],14,FALSE)</f>
        <v>https://www.google.com/maps/d/viewer?hl=es&amp;mid=1C1oZdjH3dNvCvqdpIv_Lk0Yn1OCVn-4&amp;ll=38.965368114274455%2C-92.3405954&amp;z=15</v>
      </c>
      <c r="L246" s="34" t="str">
        <f>VLOOKUP(Tabla3[[#This Row],[Site]],Table35[#All],2,FALSE)</f>
        <v>-</v>
      </c>
      <c r="M246" s="34" t="str">
        <f>VLOOKUP(Tabla3[[#This Row],[Site]],Table35[#All],3,FALSE)</f>
        <v>3, 4, 14, 25</v>
      </c>
      <c r="N246" s="34" t="str">
        <f>VLOOKUP(Tabla3[[#This Row],[Site]],Table35[#All],4,FALSE)</f>
        <v>-</v>
      </c>
      <c r="O246" s="34">
        <f>VLOOKUP(Tabla3[[#This Row],[Site]],Table35[#All],5,FALSE)</f>
        <v>17</v>
      </c>
      <c r="P246" s="34" t="str">
        <f>VLOOKUP(Tabla3[[#This Row],[Site]],Table35[#All],6,FALSE)</f>
        <v>1, 11, 12, 13, 15</v>
      </c>
      <c r="Q246" s="34" t="str">
        <f>VLOOKUP(Tabla3[[#This Row],[Site]],Table35[#All],8,FALSE)</f>
        <v>286</v>
      </c>
      <c r="R246"/>
    </row>
    <row r="247" spans="1:18" hidden="1" x14ac:dyDescent="0.25">
      <c r="A247" t="str">
        <f>+Tabla3[[#This Row],[Site]]&amp;Tabla3[[#This Row],[Split]]</f>
        <v>(PE) BMW Service Center (NO TOURS)5</v>
      </c>
      <c r="B247">
        <v>5</v>
      </c>
      <c r="C247">
        <v>1</v>
      </c>
      <c r="D247" t="s">
        <v>39</v>
      </c>
      <c r="E247" t="str">
        <f>VLOOKUP(Tabla3[[#This Row],[Site]],Table35[],10,FALSE)</f>
        <v>8:00 P.M.</v>
      </c>
      <c r="F247" t="str">
        <f>VLOOKUP(Tabla3[[#This Row],[Site]],Table35[],11,FALSE)</f>
        <v>ET</v>
      </c>
      <c r="G247" t="str">
        <f>VLOOKUP(Tabla3[[#This Row],[Site]],Table35[],12,FALSE)</f>
        <v>5:00 A.M.</v>
      </c>
      <c r="H247" t="str">
        <f>VLOOKUP(Tabla3[[#This Row],[Site]],Table35[],13,FALSE)</f>
        <v>-</v>
      </c>
      <c r="I247" s="70" t="str">
        <f>HYPERLINK(VLOOKUP(Tabla3[[#This Row],[Site]],Table35[#All],9,FALSE))</f>
        <v>https://tools.sig.systems/site/details/184</v>
      </c>
      <c r="J247" t="str">
        <f>VLOOKUP(Tabla3[[#This Row],[Site]],Table35[],14,FALSE)</f>
        <v>https://www.google.com/maps/d/edit?hl=en&amp;mid=1UHmt7tH1ihTa85i0MfQIcTfVvIQg_vM&amp;ll=41.02423447529239%2C-73.63721502222738&amp;z=18</v>
      </c>
      <c r="L247" s="34">
        <f>VLOOKUP(Tabla3[[#This Row],[Site]],Table35[#All],2,FALSE)</f>
        <v>3</v>
      </c>
      <c r="M247" s="34" t="str">
        <f>VLOOKUP(Tabla3[[#This Row],[Site]],Table35[#All],3,FALSE)</f>
        <v>-</v>
      </c>
      <c r="N247" s="34" t="str">
        <f>VLOOKUP(Tabla3[[#This Row],[Site]],Table35[#All],4,FALSE)</f>
        <v>-</v>
      </c>
      <c r="O247" s="34" t="str">
        <f>VLOOKUP(Tabla3[[#This Row],[Site]],Table35[#All],5,FALSE)</f>
        <v>-</v>
      </c>
      <c r="P247" s="34" t="str">
        <f>VLOOKUP(Tabla3[[#This Row],[Site]],Table35[#All],6,FALSE)</f>
        <v xml:space="preserve">1, 2 </v>
      </c>
      <c r="Q247" s="34" t="str">
        <f>VLOOKUP(Tabla3[[#This Row],[Site]],Table35[#All],8,FALSE)</f>
        <v>184</v>
      </c>
      <c r="R247"/>
    </row>
    <row r="248" spans="1:18" hidden="1" x14ac:dyDescent="0.25">
      <c r="A248" t="str">
        <f>+Tabla3[[#This Row],[Site]]&amp;Tabla3[[#This Row],[Split]]</f>
        <v>(PE) JLR Darien (NO TOURS)5</v>
      </c>
      <c r="B248">
        <v>5</v>
      </c>
      <c r="C248">
        <v>1</v>
      </c>
      <c r="D248" t="s">
        <v>368</v>
      </c>
      <c r="E248" t="str">
        <f>VLOOKUP(Tabla3[[#This Row],[Site]],Table35[],10,FALSE)</f>
        <v>8:00 P.M.</v>
      </c>
      <c r="F248" t="str">
        <f>VLOOKUP(Tabla3[[#This Row],[Site]],Table35[],11,FALSE)</f>
        <v>ET</v>
      </c>
      <c r="G248" t="str">
        <f>VLOOKUP(Tabla3[[#This Row],[Site]],Table35[],12,FALSE)</f>
        <v>5:00 A.M.</v>
      </c>
      <c r="H248" t="str">
        <f>VLOOKUP(Tabla3[[#This Row],[Site]],Table35[],13,FALSE)</f>
        <v>-</v>
      </c>
      <c r="I248" s="70" t="str">
        <f>HYPERLINK(VLOOKUP(Tabla3[[#This Row],[Site]],Table35[#All],9,FALSE))</f>
        <v>https://tools.sig.systems/site/details/189</v>
      </c>
      <c r="J248" t="str">
        <f>VLOOKUP(Tabla3[[#This Row],[Site]],Table35[],14,FALSE)</f>
        <v>-</v>
      </c>
      <c r="L248" s="34" t="str">
        <f>VLOOKUP(Tabla3[[#This Row],[Site]],Table35[#All],2,FALSE)</f>
        <v>1, 13</v>
      </c>
      <c r="M248" s="34" t="str">
        <f>VLOOKUP(Tabla3[[#This Row],[Site]],Table35[#All],3,FALSE)</f>
        <v>-</v>
      </c>
      <c r="N248" s="34" t="str">
        <f>VLOOKUP(Tabla3[[#This Row],[Site]],Table35[#All],4,FALSE)</f>
        <v>-</v>
      </c>
      <c r="O248" s="34" t="str">
        <f>VLOOKUP(Tabla3[[#This Row],[Site]],Table35[#All],5,FALSE)</f>
        <v>-</v>
      </c>
      <c r="P248" s="34" t="str">
        <f>VLOOKUP(Tabla3[[#This Row],[Site]],Table35[#All],6,FALSE)</f>
        <v>-</v>
      </c>
      <c r="Q248" s="34" t="str">
        <f>VLOOKUP(Tabla3[[#This Row],[Site]],Table35[#All],8,FALSE)</f>
        <v>189</v>
      </c>
      <c r="R248"/>
    </row>
    <row r="249" spans="1:18" hidden="1" x14ac:dyDescent="0.25">
      <c r="A249" t="str">
        <f>+Tabla3[[#This Row],[Site]]&amp;Tabla3[[#This Row],[Split]]</f>
        <v>(AS) Coggin BMW Ft. Pierce (NO TOURS)5</v>
      </c>
      <c r="B249">
        <v>5</v>
      </c>
      <c r="C249">
        <v>2</v>
      </c>
      <c r="D249" t="s">
        <v>122</v>
      </c>
      <c r="E249" t="str">
        <f>VLOOKUP(Tabla3[[#This Row],[Site]],Table35[],10,FALSE)</f>
        <v>9:00 P.M.</v>
      </c>
      <c r="F249" t="str">
        <f>VLOOKUP(Tabla3[[#This Row],[Site]],Table35[],11,FALSE)</f>
        <v>ET</v>
      </c>
      <c r="G249" t="str">
        <f>VLOOKUP(Tabla3[[#This Row],[Site]],Table35[],12,FALSE)</f>
        <v>5:00 A.M.</v>
      </c>
      <c r="H249" t="str">
        <f>VLOOKUP(Tabla3[[#This Row],[Site]],Table35[],13,FALSE)</f>
        <v>-</v>
      </c>
      <c r="I249" s="70" t="str">
        <f>HYPERLINK(VLOOKUP(Tabla3[[#This Row],[Site]],Table35[#All],9,FALSE))</f>
        <v>https://tools.sig.systems/site/details/119</v>
      </c>
      <c r="J249" t="str">
        <f>VLOOKUP(Tabla3[[#This Row],[Site]],Table35[],14,FALSE)</f>
        <v>https://www.google.com/maps/d/viewer?mid=1AyViBuyeq7iwDua1SVudJ2A1BYi3IBA&amp;ll=27.38181516363982%2C-80.32568845000002&amp;z=18</v>
      </c>
      <c r="L249" s="34" t="str">
        <f>VLOOKUP(Tabla3[[#This Row],[Site]],Table35[#All],2,FALSE)</f>
        <v>3, 10, 13</v>
      </c>
      <c r="M249" s="34" t="str">
        <f>VLOOKUP(Tabla3[[#This Row],[Site]],Table35[#All],3,FALSE)</f>
        <v>-</v>
      </c>
      <c r="N249" s="34" t="str">
        <f>VLOOKUP(Tabla3[[#This Row],[Site]],Table35[#All],4,FALSE)</f>
        <v>-</v>
      </c>
      <c r="O249" s="34">
        <f>VLOOKUP(Tabla3[[#This Row],[Site]],Table35[#All],5,FALSE)</f>
        <v>2</v>
      </c>
      <c r="P249" s="34" t="str">
        <f>VLOOKUP(Tabla3[[#This Row],[Site]],Table35[#All],6,FALSE)</f>
        <v>1, 20, 27</v>
      </c>
      <c r="Q249" s="34" t="str">
        <f>VLOOKUP(Tabla3[[#This Row],[Site]],Table35[#All],8,FALSE)</f>
        <v>119</v>
      </c>
      <c r="R249"/>
    </row>
    <row r="250" spans="1:18" hidden="1" x14ac:dyDescent="0.25">
      <c r="A250" t="str">
        <f>+Tabla3[[#This Row],[Site]]&amp;Tabla3[[#This Row],[Split]]</f>
        <v>(AS) Coggin Collision Center of Kissimmee (NO TOURS)5</v>
      </c>
      <c r="B250">
        <v>5</v>
      </c>
      <c r="C250">
        <v>2</v>
      </c>
      <c r="D250" t="s">
        <v>288</v>
      </c>
      <c r="E250" t="str">
        <f>VLOOKUP(Tabla3[[#This Row],[Site]],Table35[],10,FALSE)</f>
        <v>9:00 P.M.</v>
      </c>
      <c r="F250" t="str">
        <f>VLOOKUP(Tabla3[[#This Row],[Site]],Table35[],11,FALSE)</f>
        <v>ET</v>
      </c>
      <c r="G250" t="str">
        <f>VLOOKUP(Tabla3[[#This Row],[Site]],Table35[],12,FALSE)</f>
        <v>5:00 A.M.</v>
      </c>
      <c r="H250" t="str">
        <f>VLOOKUP(Tabla3[[#This Row],[Site]],Table35[],13,FALSE)</f>
        <v>-</v>
      </c>
      <c r="I250" s="70" t="str">
        <f>HYPERLINK(VLOOKUP(Tabla3[[#This Row],[Site]],Table35[#All],9,FALSE))</f>
        <v>https://tools.sig.systems/site/details/331</v>
      </c>
      <c r="J250">
        <f>VLOOKUP(Tabla3[[#This Row],[Site]],Table35[],14,FALSE)</f>
        <v>0</v>
      </c>
      <c r="L250" s="34" t="str">
        <f>VLOOKUP(Tabla3[[#This Row],[Site]],Table35[#All],2,FALSE)</f>
        <v>1, 12</v>
      </c>
      <c r="M250" s="34" t="str">
        <f>VLOOKUP(Tabla3[[#This Row],[Site]],Table35[#All],3,FALSE)</f>
        <v>-</v>
      </c>
      <c r="N250" s="34" t="str">
        <f>VLOOKUP(Tabla3[[#This Row],[Site]],Table35[#All],4,FALSE)</f>
        <v>-</v>
      </c>
      <c r="O250" s="34" t="str">
        <f>VLOOKUP(Tabla3[[#This Row],[Site]],Table35[#All],5,FALSE)</f>
        <v>-</v>
      </c>
      <c r="P250" s="34" t="str">
        <f>VLOOKUP(Tabla3[[#This Row],[Site]],Table35[#All],6,FALSE)</f>
        <v>2, 7, 9</v>
      </c>
      <c r="Q250" s="34" t="str">
        <f>VLOOKUP(Tabla3[[#This Row],[Site]],Table35[#All],8,FALSE)</f>
        <v>331</v>
      </c>
      <c r="R250"/>
    </row>
    <row r="251" spans="1:18" hidden="1" x14ac:dyDescent="0.25">
      <c r="A251" t="str">
        <f>+Tabla3[[#This Row],[Site]]&amp;Tabla3[[#This Row],[Split]]</f>
        <v>(AS) Koons Chevrolet Buick GMC - Clarksville Remote Lot (NO TOURS)5</v>
      </c>
      <c r="B251">
        <v>5</v>
      </c>
      <c r="C251">
        <v>2</v>
      </c>
      <c r="D251" t="s">
        <v>415</v>
      </c>
      <c r="E251" t="str">
        <f>VLOOKUP(Tabla3[[#This Row],[Site]],Table35[],10,FALSE)</f>
        <v>9:00 P.M.</v>
      </c>
      <c r="F251" t="str">
        <f>VLOOKUP(Tabla3[[#This Row],[Site]],Table35[],11,FALSE)</f>
        <v>ET</v>
      </c>
      <c r="G251" t="str">
        <f>VLOOKUP(Tabla3[[#This Row],[Site]],Table35[],12,FALSE)</f>
        <v>5:00 A.M.</v>
      </c>
      <c r="H251" t="str">
        <f>VLOOKUP(Tabla3[[#This Row],[Site]],Table35[],13,FALSE)</f>
        <v>10:00 A.M.</v>
      </c>
      <c r="I251" s="70" t="str">
        <f>HYPERLINK(VLOOKUP(Tabla3[[#This Row],[Site]],Table35[#All],9,FALSE))</f>
        <v>https://tools.sig.systems/site/details/308</v>
      </c>
      <c r="J251" t="str">
        <f>VLOOKUP(Tabla3[[#This Row],[Site]],Table35[],14,FALSE)</f>
        <v>https://www.google.com/maps/d/edit?hl=es&amp;mid=11XB1lTSP7EcDCDvzypdUPWP6bWCNAEI&amp;ll=39.21145022420528%2C-76.94003711910554&amp;z=21</v>
      </c>
      <c r="L251" s="34" t="str">
        <f>VLOOKUP(Tabla3[[#This Row],[Site]],Table35[#All],2,FALSE)</f>
        <v>-</v>
      </c>
      <c r="M251" s="34" t="str">
        <f>VLOOKUP(Tabla3[[#This Row],[Site]],Table35[#All],3,FALSE)</f>
        <v>1, 5</v>
      </c>
      <c r="N251" s="34" t="str">
        <f>VLOOKUP(Tabla3[[#This Row],[Site]],Table35[#All],4,FALSE)</f>
        <v>-</v>
      </c>
      <c r="O251" s="34" t="str">
        <f>VLOOKUP(Tabla3[[#This Row],[Site]],Table35[#All],5,FALSE)</f>
        <v>-</v>
      </c>
      <c r="P251" s="34" t="str">
        <f>VLOOKUP(Tabla3[[#This Row],[Site]],Table35[#All],6,FALSE)</f>
        <v>14, 16</v>
      </c>
      <c r="Q251" s="34" t="str">
        <f>VLOOKUP(Tabla3[[#This Row],[Site]],Table35[#All],8,FALSE)</f>
        <v>308</v>
      </c>
      <c r="R251"/>
    </row>
    <row r="252" spans="1:18" hidden="1" x14ac:dyDescent="0.25">
      <c r="A252" t="str">
        <f>+Tabla3[[#This Row],[Site]]&amp;Tabla3[[#This Row],[Split]]</f>
        <v>(AS) Koons Chevrolet Buick GMC - Tysons (NO TOURS)5</v>
      </c>
      <c r="B252">
        <v>5</v>
      </c>
      <c r="C252">
        <v>2</v>
      </c>
      <c r="D252" t="s">
        <v>377</v>
      </c>
      <c r="E252" t="str">
        <f>VLOOKUP(Tabla3[[#This Row],[Site]],Table35[],10,FALSE)</f>
        <v>9:00 P.M.</v>
      </c>
      <c r="F252" t="str">
        <f>VLOOKUP(Tabla3[[#This Row],[Site]],Table35[],11,FALSE)</f>
        <v>ET</v>
      </c>
      <c r="G252" t="str">
        <f>VLOOKUP(Tabla3[[#This Row],[Site]],Table35[],12,FALSE)</f>
        <v>5:00 A.M.</v>
      </c>
      <c r="H252" t="str">
        <f>VLOOKUP(Tabla3[[#This Row],[Site]],Table35[],13,FALSE)</f>
        <v>10:00 A.M.</v>
      </c>
      <c r="I252" s="70" t="str">
        <f>HYPERLINK(VLOOKUP(Tabla3[[#This Row],[Site]],Table35[#All],9,FALSE))</f>
        <v>https://tools.sig.systems/site/details/352</v>
      </c>
      <c r="J252" t="str">
        <f>VLOOKUP(Tabla3[[#This Row],[Site]],Table35[],14,FALSE)</f>
        <v>-</v>
      </c>
      <c r="L252" s="34" t="str">
        <f>VLOOKUP(Tabla3[[#This Row],[Site]],Table35[#All],2,FALSE)</f>
        <v>-</v>
      </c>
      <c r="M252" s="34" t="str">
        <f>VLOOKUP(Tabla3[[#This Row],[Site]],Table35[#All],3,FALSE)</f>
        <v>3, 6</v>
      </c>
      <c r="N252" s="34" t="str">
        <f>VLOOKUP(Tabla3[[#This Row],[Site]],Table35[#All],4,FALSE)</f>
        <v>-</v>
      </c>
      <c r="O252" s="34">
        <f>VLOOKUP(Tabla3[[#This Row],[Site]],Table35[#All],5,FALSE)</f>
        <v>4</v>
      </c>
      <c r="P252" s="34" t="str">
        <f>VLOOKUP(Tabla3[[#This Row],[Site]],Table35[#All],6,FALSE)</f>
        <v xml:space="preserve">2, 9, 17 </v>
      </c>
      <c r="Q252" s="34" t="str">
        <f>VLOOKUP(Tabla3[[#This Row],[Site]],Table35[#All],8,FALSE)</f>
        <v>352</v>
      </c>
      <c r="R252"/>
    </row>
    <row r="253" spans="1:18" hidden="1" x14ac:dyDescent="0.25">
      <c r="A253" t="str">
        <f>+Tabla3[[#This Row],[Site]]&amp;Tabla3[[#This Row],[Split]]</f>
        <v>(AS) Koons Falls Church Ford (NO TOURS)5</v>
      </c>
      <c r="B253">
        <v>5</v>
      </c>
      <c r="C253">
        <v>2</v>
      </c>
      <c r="D253" t="s">
        <v>386</v>
      </c>
      <c r="E253" t="str">
        <f>VLOOKUP(Tabla3[[#This Row],[Site]],Table35[],10,FALSE)</f>
        <v>9:00 P.M.</v>
      </c>
      <c r="F253" t="str">
        <f>VLOOKUP(Tabla3[[#This Row],[Site]],Table35[],11,FALSE)</f>
        <v>ET</v>
      </c>
      <c r="G253" t="str">
        <f>VLOOKUP(Tabla3[[#This Row],[Site]],Table35[],12,FALSE)</f>
        <v>5:00 A.M.</v>
      </c>
      <c r="H253" t="str">
        <f>VLOOKUP(Tabla3[[#This Row],[Site]],Table35[],13,FALSE)</f>
        <v>10:00 A.M.</v>
      </c>
      <c r="I253" s="70" t="str">
        <f>HYPERLINK(VLOOKUP(Tabla3[[#This Row],[Site]],Table35[#All],9,FALSE))</f>
        <v>https://tools.sig.systems/site/details/345</v>
      </c>
      <c r="J253" t="str">
        <f>VLOOKUP(Tabla3[[#This Row],[Site]],Table35[],14,FALSE)</f>
        <v>-</v>
      </c>
      <c r="L253" s="34" t="str">
        <f>VLOOKUP(Tabla3[[#This Row],[Site]],Table35[#All],2,FALSE)</f>
        <v>-</v>
      </c>
      <c r="M253" s="34">
        <f>VLOOKUP(Tabla3[[#This Row],[Site]],Table35[#All],3,FALSE)</f>
        <v>1</v>
      </c>
      <c r="N253" s="34" t="str">
        <f>VLOOKUP(Tabla3[[#This Row],[Site]],Table35[#All],4,FALSE)</f>
        <v>-</v>
      </c>
      <c r="O253" s="34" t="str">
        <f>VLOOKUP(Tabla3[[#This Row],[Site]],Table35[#All],5,FALSE)</f>
        <v>-</v>
      </c>
      <c r="P253" s="34" t="str">
        <f>VLOOKUP(Tabla3[[#This Row],[Site]],Table35[#All],6,FALSE)</f>
        <v>-</v>
      </c>
      <c r="Q253" s="34" t="str">
        <f>VLOOKUP(Tabla3[[#This Row],[Site]],Table35[#All],8,FALSE)</f>
        <v>345</v>
      </c>
      <c r="R253"/>
    </row>
    <row r="254" spans="1:18" hidden="1" x14ac:dyDescent="0.25">
      <c r="A254" t="str">
        <f>+Tabla3[[#This Row],[Site]]&amp;Tabla3[[#This Row],[Split]]</f>
        <v>(AS) Koons Owings Mills Kia (NO TOURS)5</v>
      </c>
      <c r="B254">
        <v>5</v>
      </c>
      <c r="C254">
        <v>2</v>
      </c>
      <c r="D254" t="s">
        <v>416</v>
      </c>
      <c r="E254" t="str">
        <f>VLOOKUP(Tabla3[[#This Row],[Site]],Table35[],10,FALSE)</f>
        <v>9:00 P.M.</v>
      </c>
      <c r="F254" t="str">
        <f>VLOOKUP(Tabla3[[#This Row],[Site]],Table35[],11,FALSE)</f>
        <v>ET</v>
      </c>
      <c r="G254" t="str">
        <f>VLOOKUP(Tabla3[[#This Row],[Site]],Table35[],12,FALSE)</f>
        <v>5:00 A.M.</v>
      </c>
      <c r="H254" t="str">
        <f>VLOOKUP(Tabla3[[#This Row],[Site]],Table35[],13,FALSE)</f>
        <v>-</v>
      </c>
      <c r="I254" s="70" t="str">
        <f>HYPERLINK(VLOOKUP(Tabla3[[#This Row],[Site]],Table35[#All],9,FALSE))</f>
        <v>https://tools.sig.systems/site/details/336</v>
      </c>
      <c r="J254" t="str">
        <f>VLOOKUP(Tabla3[[#This Row],[Site]],Table35[],14,FALSE)</f>
        <v>-</v>
      </c>
      <c r="L254" s="34">
        <f>VLOOKUP(Tabla3[[#This Row],[Site]],Table35[#All],2,FALSE)</f>
        <v>12</v>
      </c>
      <c r="M254" s="34" t="str">
        <f>VLOOKUP(Tabla3[[#This Row],[Site]],Table35[#All],3,FALSE)</f>
        <v>2, 18</v>
      </c>
      <c r="N254" s="34" t="str">
        <f>VLOOKUP(Tabla3[[#This Row],[Site]],Table35[#All],4,FALSE)</f>
        <v>-</v>
      </c>
      <c r="O254" s="34" t="str">
        <f>VLOOKUP(Tabla3[[#This Row],[Site]],Table35[#All],5,FALSE)</f>
        <v>-</v>
      </c>
      <c r="P254" s="34" t="str">
        <f>VLOOKUP(Tabla3[[#This Row],[Site]],Table35[#All],6,FALSE)</f>
        <v>7, 14</v>
      </c>
      <c r="Q254" s="34" t="str">
        <f>VLOOKUP(Tabla3[[#This Row],[Site]],Table35[#All],8,FALSE)</f>
        <v>336</v>
      </c>
      <c r="R254"/>
    </row>
    <row r="255" spans="1:18" hidden="1" x14ac:dyDescent="0.25">
      <c r="A255" t="str">
        <f>+Tabla3[[#This Row],[Site]]&amp;Tabla3[[#This Row],[Split]]</f>
        <v>(AS) Koons Westminster Toyota (NO TOURS)5</v>
      </c>
      <c r="B255">
        <v>5</v>
      </c>
      <c r="C255">
        <v>2</v>
      </c>
      <c r="D255" t="s">
        <v>421</v>
      </c>
      <c r="E255" t="str">
        <f>VLOOKUP(Tabla3[[#This Row],[Site]],Table35[],10,FALSE)</f>
        <v>9:00 P.M.</v>
      </c>
      <c r="F255" t="str">
        <f>VLOOKUP(Tabla3[[#This Row],[Site]],Table35[],11,FALSE)</f>
        <v>ET</v>
      </c>
      <c r="G255" t="str">
        <f>VLOOKUP(Tabla3[[#This Row],[Site]],Table35[],12,FALSE)</f>
        <v>5:00 A.M.</v>
      </c>
      <c r="H255" t="str">
        <f>VLOOKUP(Tabla3[[#This Row],[Site]],Table35[],13,FALSE)</f>
        <v>-</v>
      </c>
      <c r="I255" s="70" t="str">
        <f>HYPERLINK(VLOOKUP(Tabla3[[#This Row],[Site]],Table35[#All],9,FALSE))</f>
        <v>https://tools.sig.systems/site/details/341</v>
      </c>
      <c r="J255" t="str">
        <f>VLOOKUP(Tabla3[[#This Row],[Site]],Table35[],14,FALSE)</f>
        <v>-</v>
      </c>
      <c r="L255" s="34" t="str">
        <f>VLOOKUP(Tabla3[[#This Row],[Site]],Table35[#All],2,FALSE)</f>
        <v>-</v>
      </c>
      <c r="M255" s="34" t="str">
        <f>VLOOKUP(Tabla3[[#This Row],[Site]],Table35[#All],3,FALSE)</f>
        <v>1, 10, 18, 25</v>
      </c>
      <c r="N255" s="34" t="str">
        <f>VLOOKUP(Tabla3[[#This Row],[Site]],Table35[#All],4,FALSE)</f>
        <v>-</v>
      </c>
      <c r="O255" s="34" t="str">
        <f>VLOOKUP(Tabla3[[#This Row],[Site]],Table35[#All],5,FALSE)</f>
        <v>-</v>
      </c>
      <c r="P255" s="34" t="str">
        <f>VLOOKUP(Tabla3[[#This Row],[Site]],Table35[#All],6,FALSE)</f>
        <v>8, 14</v>
      </c>
      <c r="Q255" s="34" t="str">
        <f>VLOOKUP(Tabla3[[#This Row],[Site]],Table35[#All],8,FALSE)</f>
        <v>341</v>
      </c>
      <c r="R255"/>
    </row>
    <row r="256" spans="1:18" hidden="1" x14ac:dyDescent="0.25">
      <c r="A256" t="str">
        <f>+Tabla3[[#This Row],[Site]]&amp;Tabla3[[#This Row],[Split]]</f>
        <v>(AS) Koons Woodbridge GMC (NO TOURS)5</v>
      </c>
      <c r="B256">
        <v>5</v>
      </c>
      <c r="C256">
        <v>2</v>
      </c>
      <c r="D256" t="s">
        <v>372</v>
      </c>
      <c r="E256" t="str">
        <f>VLOOKUP(Tabla3[[#This Row],[Site]],Table35[],10,FALSE)</f>
        <v>9:00 P.M.</v>
      </c>
      <c r="F256" t="str">
        <f>VLOOKUP(Tabla3[[#This Row],[Site]],Table35[],11,FALSE)</f>
        <v>ET</v>
      </c>
      <c r="G256" t="str">
        <f>VLOOKUP(Tabla3[[#This Row],[Site]],Table35[],12,FALSE)</f>
        <v>5:00 A.M.</v>
      </c>
      <c r="H256" t="str">
        <f>VLOOKUP(Tabla3[[#This Row],[Site]],Table35[],13,FALSE)</f>
        <v>10:00 A.M.</v>
      </c>
      <c r="I256" s="70" t="str">
        <f>HYPERLINK(VLOOKUP(Tabla3[[#This Row],[Site]],Table35[#All],9,FALSE))</f>
        <v>https://tools.sig.systems/site/details/343</v>
      </c>
      <c r="J256">
        <f>VLOOKUP(Tabla3[[#This Row],[Site]],Table35[],14,FALSE)</f>
        <v>0</v>
      </c>
      <c r="L256" s="34" t="str">
        <f>VLOOKUP(Tabla3[[#This Row],[Site]],Table35[#All],2,FALSE)</f>
        <v>-</v>
      </c>
      <c r="M256" s="34">
        <f>VLOOKUP(Tabla3[[#This Row],[Site]],Table35[#All],3,FALSE)</f>
        <v>1</v>
      </c>
      <c r="N256" s="34" t="str">
        <f>VLOOKUP(Tabla3[[#This Row],[Site]],Table35[#All],4,FALSE)</f>
        <v>-</v>
      </c>
      <c r="O256" s="34">
        <f>VLOOKUP(Tabla3[[#This Row],[Site]],Table35[#All],5,FALSE)</f>
        <v>11</v>
      </c>
      <c r="P256" s="34" t="str">
        <f>VLOOKUP(Tabla3[[#This Row],[Site]],Table35[#All],6,FALSE)</f>
        <v>2, 7</v>
      </c>
      <c r="Q256" s="34" t="str">
        <f>VLOOKUP(Tabla3[[#This Row],[Site]],Table35[#All],8,FALSE)</f>
        <v>343</v>
      </c>
      <c r="R256"/>
    </row>
    <row r="257" spans="1:18" hidden="1" x14ac:dyDescent="0.25">
      <c r="A257" t="str">
        <f>+Tabla3[[#This Row],[Site]]&amp;Tabla3[[#This Row],[Split]]</f>
        <v>(KG) Big Star Cadillac5</v>
      </c>
      <c r="B257">
        <v>5</v>
      </c>
      <c r="C257">
        <v>2</v>
      </c>
      <c r="D257" t="s">
        <v>240</v>
      </c>
      <c r="E257" t="str">
        <f>VLOOKUP(Tabla3[[#This Row],[Site]],Table35[],10,FALSE)</f>
        <v>10:00 P.M.</v>
      </c>
      <c r="F257" t="str">
        <f>VLOOKUP(Tabla3[[#This Row],[Site]],Table35[],11,FALSE)</f>
        <v>CT</v>
      </c>
      <c r="G257" t="str">
        <f>VLOOKUP(Tabla3[[#This Row],[Site]],Table35[],12,FALSE)</f>
        <v>6:00 A.M.</v>
      </c>
      <c r="H257" t="str">
        <f>VLOOKUP(Tabla3[[#This Row],[Site]],Table35[],13,FALSE)</f>
        <v>-</v>
      </c>
      <c r="I257" s="70" t="str">
        <f>HYPERLINK(VLOOKUP(Tabla3[[#This Row],[Site]],Table35[#All],9,FALSE))</f>
        <v>https://tools.sig.systems/site/details/316</v>
      </c>
      <c r="J257" t="str">
        <f>VLOOKUP(Tabla3[[#This Row],[Site]],Table35[],14,FALSE)</f>
        <v>https://www.google.com/maps/d/edit?mid=1jIRkMUnWNPuTgDjQgDP-f33LClT85NU&amp;usp=sharing</v>
      </c>
      <c r="L257" s="34" t="str">
        <f>VLOOKUP(Tabla3[[#This Row],[Site]],Table35[#All],2,FALSE)</f>
        <v>1, 4, 16</v>
      </c>
      <c r="M257" s="34" t="str">
        <f>VLOOKUP(Tabla3[[#This Row],[Site]],Table35[#All],3,FALSE)</f>
        <v>-</v>
      </c>
      <c r="N257" s="34" t="str">
        <f>VLOOKUP(Tabla3[[#This Row],[Site]],Table35[#All],4,FALSE)</f>
        <v>-</v>
      </c>
      <c r="O257" s="34" t="str">
        <f>VLOOKUP(Tabla3[[#This Row],[Site]],Table35[#All],5,FALSE)</f>
        <v>-</v>
      </c>
      <c r="P257" s="34" t="str">
        <f>VLOOKUP(Tabla3[[#This Row],[Site]],Table35[#All],6,FALSE)</f>
        <v>15, 16, 19, 20</v>
      </c>
      <c r="Q257" s="34" t="str">
        <f>VLOOKUP(Tabla3[[#This Row],[Site]],Table35[#All],8,FALSE)</f>
        <v>316</v>
      </c>
      <c r="R257"/>
    </row>
    <row r="258" spans="1:18" hidden="1" x14ac:dyDescent="0.25">
      <c r="A258" t="str">
        <f>+Tabla3[[#This Row],[Site]]&amp;Tabla3[[#This Row],[Split]]</f>
        <v>(KG) Ken Garff Kia of Avondale5</v>
      </c>
      <c r="B258">
        <v>5</v>
      </c>
      <c r="C258">
        <v>2</v>
      </c>
      <c r="D258" t="s">
        <v>300</v>
      </c>
      <c r="E258" t="str">
        <f>VLOOKUP(Tabla3[[#This Row],[Site]],Table35[],10,FALSE)</f>
        <v>12:00 A.M.</v>
      </c>
      <c r="F258" t="str">
        <f>VLOOKUP(Tabla3[[#This Row],[Site]],Table35[],11,FALSE)</f>
        <v>MST</v>
      </c>
      <c r="G258" t="str">
        <f>VLOOKUP(Tabla3[[#This Row],[Site]],Table35[],12,FALSE)</f>
        <v>8:00 A.M.</v>
      </c>
      <c r="H258" t="str">
        <f>VLOOKUP(Tabla3[[#This Row],[Site]],Table35[],13,FALSE)</f>
        <v>12:00 P.M.</v>
      </c>
      <c r="I258" s="70" t="str">
        <f>HYPERLINK(VLOOKUP(Tabla3[[#This Row],[Site]],Table35[#All],9,FALSE))</f>
        <v>https://tools.sig.systems/site/details/283</v>
      </c>
      <c r="J258" t="str">
        <f>VLOOKUP(Tabla3[[#This Row],[Site]],Table35[],14,FALSE)</f>
        <v>https://www.google.com/maps/d/viewer?mid=1bDs0QGFZwL3vEeGKxjVMk_j4azr0-lg&amp;ll=33.4593758581648%2C-112.28793780000001&amp;z=18</v>
      </c>
      <c r="L258" s="34" t="str">
        <f>VLOOKUP(Tabla3[[#This Row],[Site]],Table35[#All],2,FALSE)</f>
        <v>5, 19</v>
      </c>
      <c r="M258" s="34" t="str">
        <f>VLOOKUP(Tabla3[[#This Row],[Site]],Table35[#All],3,FALSE)</f>
        <v>-</v>
      </c>
      <c r="N258" s="34" t="str">
        <f>VLOOKUP(Tabla3[[#This Row],[Site]],Table35[#All],4,FALSE)</f>
        <v>-</v>
      </c>
      <c r="O258" s="34" t="str">
        <f>VLOOKUP(Tabla3[[#This Row],[Site]],Table35[#All],5,FALSE)</f>
        <v>3, 5</v>
      </c>
      <c r="P258" s="34" t="str">
        <f>VLOOKUP(Tabla3[[#This Row],[Site]],Table35[#All],6,FALSE)</f>
        <v>1, 6, 7, 12, 15, 17, 21</v>
      </c>
      <c r="Q258" s="34" t="str">
        <f>VLOOKUP(Tabla3[[#This Row],[Site]],Table35[#All],8,FALSE)</f>
        <v>283</v>
      </c>
      <c r="R258"/>
    </row>
    <row r="259" spans="1:18" hidden="1" x14ac:dyDescent="0.25">
      <c r="A259" t="str">
        <f>+Tabla3[[#This Row],[Site]]&amp;Tabla3[[#This Row],[Split]]</f>
        <v>(LT) Luther Brookdale Honda (NO TOURS)5</v>
      </c>
      <c r="B259">
        <v>5</v>
      </c>
      <c r="C259">
        <v>2</v>
      </c>
      <c r="D259" t="s">
        <v>274</v>
      </c>
      <c r="E259" t="str">
        <f>VLOOKUP(Tabla3[[#This Row],[Site]],Table35[],10,FALSE)</f>
        <v>7:00 P.M.</v>
      </c>
      <c r="F259" t="str">
        <f>VLOOKUP(Tabla3[[#This Row],[Site]],Table35[],11,FALSE)</f>
        <v>CT</v>
      </c>
      <c r="G259" t="str">
        <f>VLOOKUP(Tabla3[[#This Row],[Site]],Table35[],12,FALSE)</f>
        <v>6:00 A.M.</v>
      </c>
      <c r="H259" t="str">
        <f>VLOOKUP(Tabla3[[#This Row],[Site]],Table35[],13,FALSE)</f>
        <v>-</v>
      </c>
      <c r="I259" s="70" t="str">
        <f>HYPERLINK(VLOOKUP(Tabla3[[#This Row],[Site]],Table35[#All],9,FALSE))</f>
        <v>https://tools.sig.systems/site/details/280</v>
      </c>
      <c r="J259" t="str">
        <f>VLOOKUP(Tabla3[[#This Row],[Site]],Table35[],14,FALSE)</f>
        <v>https://www.google.com/maps/d/viewer?mid=1ot0ILX76JMuvd9yMuqkb4_e0yH1n7TA&amp;ll=45.07815812965141%2C-93.33506855000002&amp;z=17</v>
      </c>
      <c r="L259" s="34" t="str">
        <f>VLOOKUP(Tabla3[[#This Row],[Site]],Table35[#All],2,FALSE)</f>
        <v>-</v>
      </c>
      <c r="M259" s="34" t="str">
        <f>VLOOKUP(Tabla3[[#This Row],[Site]],Table35[#All],3,FALSE)</f>
        <v>1, 21</v>
      </c>
      <c r="N259" s="34" t="str">
        <f>VLOOKUP(Tabla3[[#This Row],[Site]],Table35[#All],4,FALSE)</f>
        <v>38, 39, 40</v>
      </c>
      <c r="O259" s="34" t="str">
        <f>VLOOKUP(Tabla3[[#This Row],[Site]],Table35[#All],5,FALSE)</f>
        <v>2, 10, 19</v>
      </c>
      <c r="P259" s="34" t="str">
        <f>VLOOKUP(Tabla3[[#This Row],[Site]],Table35[#All],6,FALSE)</f>
        <v>4, 5, 7, 11, 13, 20, 24, 36</v>
      </c>
      <c r="Q259" s="34" t="str">
        <f>VLOOKUP(Tabla3[[#This Row],[Site]],Table35[#All],8,FALSE)</f>
        <v>280</v>
      </c>
      <c r="R259"/>
    </row>
    <row r="260" spans="1:18" hidden="1" x14ac:dyDescent="0.25">
      <c r="A260" t="str">
        <f>+Tabla3[[#This Row],[Site]]&amp;Tabla3[[#This Row],[Split]]</f>
        <v>(LT) Luther Genesis of Minneapolis5</v>
      </c>
      <c r="B260">
        <v>5</v>
      </c>
      <c r="C260">
        <v>2</v>
      </c>
      <c r="D260" t="s">
        <v>264</v>
      </c>
      <c r="E260" t="str">
        <f>VLOOKUP(Tabla3[[#This Row],[Site]],Table35[],10,FALSE)</f>
        <v>10:00 P.M.</v>
      </c>
      <c r="F260" t="str">
        <f>VLOOKUP(Tabla3[[#This Row],[Site]],Table35[],11,FALSE)</f>
        <v>CT</v>
      </c>
      <c r="G260" t="str">
        <f>VLOOKUP(Tabla3[[#This Row],[Site]],Table35[],12,FALSE)</f>
        <v>6:00 A.M.</v>
      </c>
      <c r="H260" t="str">
        <f>VLOOKUP(Tabla3[[#This Row],[Site]],Table35[],13,FALSE)</f>
        <v>-</v>
      </c>
      <c r="I260" s="70" t="str">
        <f>HYPERLINK(VLOOKUP(Tabla3[[#This Row],[Site]],Table35[#All],9,FALSE))</f>
        <v>https://tools.sig.systems/site/details/315</v>
      </c>
      <c r="J260">
        <f>VLOOKUP(Tabla3[[#This Row],[Site]],Table35[],14,FALSE)</f>
        <v>0</v>
      </c>
      <c r="L260" s="34" t="str">
        <f>VLOOKUP(Tabla3[[#This Row],[Site]],Table35[#All],2,FALSE)</f>
        <v>-</v>
      </c>
      <c r="M260" s="34" t="str">
        <f>VLOOKUP(Tabla3[[#This Row],[Site]],Table35[#All],3,FALSE)</f>
        <v>1,2,3,18</v>
      </c>
      <c r="N260" s="34" t="str">
        <f>VLOOKUP(Tabla3[[#This Row],[Site]],Table35[#All],4,FALSE)</f>
        <v>-</v>
      </c>
      <c r="O260" s="34" t="str">
        <f>VLOOKUP(Tabla3[[#This Row],[Site]],Table35[#All],5,FALSE)</f>
        <v>-</v>
      </c>
      <c r="P260" s="34" t="str">
        <f>VLOOKUP(Tabla3[[#This Row],[Site]],Table35[#All],6,FALSE)</f>
        <v>1,2,3,5,16,18</v>
      </c>
      <c r="Q260" s="34" t="str">
        <f>VLOOKUP(Tabla3[[#This Row],[Site]],Table35[#All],8,FALSE)</f>
        <v>315</v>
      </c>
      <c r="R260"/>
    </row>
    <row r="261" spans="1:18" hidden="1" x14ac:dyDescent="0.25">
      <c r="A261" t="str">
        <f>+Tabla3[[#This Row],[Site]]&amp;Tabla3[[#This Row],[Split]]</f>
        <v>(PE) JLR Paramus (NO TOURS)5</v>
      </c>
      <c r="B261">
        <v>5</v>
      </c>
      <c r="C261">
        <v>2</v>
      </c>
      <c r="D261" t="s">
        <v>212</v>
      </c>
      <c r="E261" t="str">
        <f>VLOOKUP(Tabla3[[#This Row],[Site]],Table35[],10,FALSE)</f>
        <v>8:00 P.M.</v>
      </c>
      <c r="F261" t="str">
        <f>VLOOKUP(Tabla3[[#This Row],[Site]],Table35[],11,FALSE)</f>
        <v>ET</v>
      </c>
      <c r="G261" t="str">
        <f>VLOOKUP(Tabla3[[#This Row],[Site]],Table35[],12,FALSE)</f>
        <v>5:00 A.M.</v>
      </c>
      <c r="H261" t="str">
        <f>VLOOKUP(Tabla3[[#This Row],[Site]],Table35[],13,FALSE)</f>
        <v>-</v>
      </c>
      <c r="I261" s="70" t="str">
        <f>HYPERLINK(VLOOKUP(Tabla3[[#This Row],[Site]],Table35[#All],9,FALSE))</f>
        <v>https://tools.sig.systems/site/details/177</v>
      </c>
      <c r="J261">
        <f>VLOOKUP(Tabla3[[#This Row],[Site]],Table35[],14,FALSE)</f>
        <v>0</v>
      </c>
      <c r="L261" s="34" t="str">
        <f>VLOOKUP(Tabla3[[#This Row],[Site]],Table35[#All],2,FALSE)</f>
        <v>1, 17</v>
      </c>
      <c r="M261" s="34" t="str">
        <f>VLOOKUP(Tabla3[[#This Row],[Site]],Table35[#All],3,FALSE)</f>
        <v>-</v>
      </c>
      <c r="N261" s="34" t="str">
        <f>VLOOKUP(Tabla3[[#This Row],[Site]],Table35[#All],4,FALSE)</f>
        <v>-</v>
      </c>
      <c r="O261" s="34" t="str">
        <f>VLOOKUP(Tabla3[[#This Row],[Site]],Table35[#All],5,FALSE)</f>
        <v>-</v>
      </c>
      <c r="P261" s="34" t="str">
        <f>VLOOKUP(Tabla3[[#This Row],[Site]],Table35[#All],6,FALSE)</f>
        <v>1, 17</v>
      </c>
      <c r="Q261" s="34" t="str">
        <f>VLOOKUP(Tabla3[[#This Row],[Site]],Table35[#All],8,FALSE)</f>
        <v>177</v>
      </c>
      <c r="R261"/>
    </row>
    <row r="262" spans="1:18" hidden="1" x14ac:dyDescent="0.25">
      <c r="A262" t="str">
        <f>+Tabla3[[#This Row],[Site]]&amp;Tabla3[[#This Row],[Split]]</f>
        <v>(PE) Porsche Audi Fairfield (NO TOURS)5</v>
      </c>
      <c r="B262">
        <v>5</v>
      </c>
      <c r="C262">
        <v>2</v>
      </c>
      <c r="D262" t="s">
        <v>446</v>
      </c>
      <c r="E262" t="str">
        <f>VLOOKUP(Tabla3[[#This Row],[Site]],Table35[],10,FALSE)</f>
        <v>8:00 P.M.</v>
      </c>
      <c r="F262" t="str">
        <f>VLOOKUP(Tabla3[[#This Row],[Site]],Table35[],11,FALSE)</f>
        <v>ET</v>
      </c>
      <c r="G262" t="str">
        <f>VLOOKUP(Tabla3[[#This Row],[Site]],Table35[],12,FALSE)</f>
        <v>5:00 A.M.</v>
      </c>
      <c r="H262" t="str">
        <f>VLOOKUP(Tabla3[[#This Row],[Site]],Table35[],13,FALSE)</f>
        <v>-</v>
      </c>
      <c r="I262" s="70" t="str">
        <f>HYPERLINK(VLOOKUP(Tabla3[[#This Row],[Site]],Table35[#All],9,FALSE))</f>
        <v>https://tools.sig.systems/site/details/194</v>
      </c>
      <c r="J262" t="str">
        <f>VLOOKUP(Tabla3[[#This Row],[Site]],Table35[],14,FALSE)</f>
        <v>-</v>
      </c>
      <c r="L262" s="34" t="str">
        <f>VLOOKUP(Tabla3[[#This Row],[Site]],Table35[#All],2,FALSE)</f>
        <v>1, 18</v>
      </c>
      <c r="M262" s="34" t="str">
        <f>VLOOKUP(Tabla3[[#This Row],[Site]],Table35[#All],3,FALSE)</f>
        <v>-</v>
      </c>
      <c r="N262" s="34" t="str">
        <f>VLOOKUP(Tabla3[[#This Row],[Site]],Table35[#All],4,FALSE)</f>
        <v>-</v>
      </c>
      <c r="O262" s="34">
        <f>VLOOKUP(Tabla3[[#This Row],[Site]],Table35[#All],5,FALSE)</f>
        <v>20</v>
      </c>
      <c r="P262" s="34">
        <f>VLOOKUP(Tabla3[[#This Row],[Site]],Table35[#All],6,FALSE)</f>
        <v>15</v>
      </c>
      <c r="Q262" s="34">
        <f>VLOOKUP(Tabla3[[#This Row],[Site]],Table35[#All],8,FALSE)</f>
        <v>194</v>
      </c>
      <c r="R262"/>
    </row>
    <row r="263" spans="1:18" hidden="1" x14ac:dyDescent="0.25">
      <c r="A263" t="str">
        <f>+Tabla3[[#This Row],[Site]]&amp;Tabla3[[#This Row],[Split]]</f>
        <v>(AS) Hare Truck Center (NO TOURS)5</v>
      </c>
      <c r="B263">
        <v>5</v>
      </c>
      <c r="C263">
        <v>3</v>
      </c>
      <c r="D263" t="s">
        <v>380</v>
      </c>
      <c r="E263" t="str">
        <f>VLOOKUP(Tabla3[[#This Row],[Site]],Table35[],10,FALSE)</f>
        <v>9:00 P.M.</v>
      </c>
      <c r="F263" t="str">
        <f>VLOOKUP(Tabla3[[#This Row],[Site]],Table35[],11,FALSE)</f>
        <v>ET</v>
      </c>
      <c r="G263" t="str">
        <f>VLOOKUP(Tabla3[[#This Row],[Site]],Table35[],12,FALSE)</f>
        <v>5:00 A.M.</v>
      </c>
      <c r="H263" t="str">
        <f>VLOOKUP(Tabla3[[#This Row],[Site]],Table35[],13,FALSE)</f>
        <v>-</v>
      </c>
      <c r="I263" s="70" t="str">
        <f>HYPERLINK(VLOOKUP(Tabla3[[#This Row],[Site]],Table35[#All],9,FALSE))</f>
        <v>https://tools.sig.systems/site/details/300</v>
      </c>
      <c r="J263" t="str">
        <f>VLOOKUP(Tabla3[[#This Row],[Site]],Table35[],14,FALSE)</f>
        <v>https://www.google.com/maps/d/edit?mid=1hsX5GGrNcCQgAuzDCDz1OWgEkhsAc78&amp;usp=sharing</v>
      </c>
      <c r="L263" s="34" t="str">
        <f>VLOOKUP(Tabla3[[#This Row],[Site]],Table35[#All],2,FALSE)</f>
        <v>-</v>
      </c>
      <c r="M263" s="34" t="str">
        <f>VLOOKUP(Tabla3[[#This Row],[Site]],Table35[#All],3,FALSE)</f>
        <v>1, 5</v>
      </c>
      <c r="N263" s="34" t="str">
        <f>VLOOKUP(Tabla3[[#This Row],[Site]],Table35[#All],4,FALSE)</f>
        <v>-</v>
      </c>
      <c r="O263" s="34" t="str">
        <f>VLOOKUP(Tabla3[[#This Row],[Site]],Table35[#All],5,FALSE)</f>
        <v>-</v>
      </c>
      <c r="P263" s="34" t="str">
        <f>VLOOKUP(Tabla3[[#This Row],[Site]],Table35[#All],6,FALSE)</f>
        <v xml:space="preserve">2, 6, 10, 12, 17 </v>
      </c>
      <c r="Q263" s="34" t="str">
        <f>VLOOKUP(Tabla3[[#This Row],[Site]],Table35[#All],8,FALSE)</f>
        <v>300</v>
      </c>
      <c r="R263"/>
    </row>
    <row r="264" spans="1:18" hidden="1" x14ac:dyDescent="0.25">
      <c r="A264" t="str">
        <f>+Tabla3[[#This Row],[Site]]&amp;Tabla3[[#This Row],[Split]]</f>
        <v>(AS) Koons MB of Catonsville (NO TOURS)5</v>
      </c>
      <c r="B264">
        <v>5</v>
      </c>
      <c r="C264">
        <v>3</v>
      </c>
      <c r="D264" t="s">
        <v>236</v>
      </c>
      <c r="E264" t="str">
        <f>VLOOKUP(Tabla3[[#This Row],[Site]],Table35[],10,FALSE)</f>
        <v>9:00 P.M.</v>
      </c>
      <c r="F264" t="str">
        <f>VLOOKUP(Tabla3[[#This Row],[Site]],Table35[],11,FALSE)</f>
        <v>ET</v>
      </c>
      <c r="G264" t="str">
        <f>VLOOKUP(Tabla3[[#This Row],[Site]],Table35[],12,FALSE)</f>
        <v>5:00 A.M.</v>
      </c>
      <c r="H264" t="str">
        <f>VLOOKUP(Tabla3[[#This Row],[Site]],Table35[],13,FALSE)</f>
        <v>-</v>
      </c>
      <c r="I264" s="70" t="str">
        <f>HYPERLINK(VLOOKUP(Tabla3[[#This Row],[Site]],Table35[#All],9,FALSE))</f>
        <v>https://tools.sig.systems/site/details/303</v>
      </c>
      <c r="J264">
        <f>VLOOKUP(Tabla3[[#This Row],[Site]],Table35[],14,FALSE)</f>
        <v>0</v>
      </c>
      <c r="L264" s="34" t="str">
        <f>VLOOKUP(Tabla3[[#This Row],[Site]],Table35[#All],2,FALSE)</f>
        <v>-</v>
      </c>
      <c r="M264" s="34" t="str">
        <f>VLOOKUP(Tabla3[[#This Row],[Site]],Table35[#All],3,FALSE)</f>
        <v>15, 16, 17, 29</v>
      </c>
      <c r="N264" s="34">
        <f>VLOOKUP(Tabla3[[#This Row],[Site]],Table35[#All],4,FALSE)</f>
        <v>29</v>
      </c>
      <c r="O264" s="34">
        <f>VLOOKUP(Tabla3[[#This Row],[Site]],Table35[#All],5,FALSE)</f>
        <v>5</v>
      </c>
      <c r="P264" s="34" t="str">
        <f>VLOOKUP(Tabla3[[#This Row],[Site]],Table35[#All],6,FALSE)</f>
        <v>1, 7, 8, 12, 19, 32</v>
      </c>
      <c r="Q264" s="34" t="str">
        <f>VLOOKUP(Tabla3[[#This Row],[Site]],Table35[#All],8,FALSE)</f>
        <v>303</v>
      </c>
      <c r="R264"/>
    </row>
    <row r="265" spans="1:18" hidden="1" x14ac:dyDescent="0.25">
      <c r="A265" t="str">
        <f>+Tabla3[[#This Row],[Site]]&amp;Tabla3[[#This Row],[Split]]</f>
        <v>(AS) Koons Tysons Toyota - Main Dealership (NO TOURS)5</v>
      </c>
      <c r="B265">
        <v>5</v>
      </c>
      <c r="C265">
        <v>3</v>
      </c>
      <c r="D265" t="s">
        <v>431</v>
      </c>
      <c r="E265" t="str">
        <f>VLOOKUP(Tabla3[[#This Row],[Site]],Table35[],10,FALSE)</f>
        <v>9:00 P.M.</v>
      </c>
      <c r="F265" t="str">
        <f>VLOOKUP(Tabla3[[#This Row],[Site]],Table35[],11,FALSE)</f>
        <v>ET</v>
      </c>
      <c r="G265" t="str">
        <f>VLOOKUP(Tabla3[[#This Row],[Site]],Table35[],12,FALSE)</f>
        <v>5:00 A.M.</v>
      </c>
      <c r="H265" t="str">
        <f>VLOOKUP(Tabla3[[#This Row],[Site]],Table35[],13,FALSE)</f>
        <v>-</v>
      </c>
      <c r="I265" s="70" t="str">
        <f>HYPERLINK(VLOOKUP(Tabla3[[#This Row],[Site]],Table35[#All],9,FALSE))</f>
        <v>https://tools.sig.systems/site/details/344</v>
      </c>
      <c r="J265" t="str">
        <f>VLOOKUP(Tabla3[[#This Row],[Site]],Table35[],14,FALSE)</f>
        <v>-</v>
      </c>
      <c r="L265" s="34" t="str">
        <f>VLOOKUP(Tabla3[[#This Row],[Site]],Table35[#All],2,FALSE)</f>
        <v>-</v>
      </c>
      <c r="M265" s="34" t="str">
        <f>VLOOKUP(Tabla3[[#This Row],[Site]],Table35[#All],3,FALSE)</f>
        <v>1, 25</v>
      </c>
      <c r="N265" s="34" t="str">
        <f>VLOOKUP(Tabla3[[#This Row],[Site]],Table35[#All],4,FALSE)</f>
        <v>-</v>
      </c>
      <c r="O265" s="34" t="str">
        <f>VLOOKUP(Tabla3[[#This Row],[Site]],Table35[#All],5,FALSE)</f>
        <v>-</v>
      </c>
      <c r="P265" s="34" t="str">
        <f>VLOOKUP(Tabla3[[#This Row],[Site]],Table35[#All],6,FALSE)</f>
        <v>13, 22, 27</v>
      </c>
      <c r="Q265" s="34" t="str">
        <f>VLOOKUP(Tabla3[[#This Row],[Site]],Table35[#All],8,FALSE)</f>
        <v>344</v>
      </c>
      <c r="R265"/>
    </row>
    <row r="266" spans="1:18" hidden="1" x14ac:dyDescent="0.25">
      <c r="A266" t="str">
        <f>+Tabla3[[#This Row],[Site]]&amp;Tabla3[[#This Row],[Split]]</f>
        <v>(AS) Koons White Marsh Chevrolet (NO TOURS)5</v>
      </c>
      <c r="B266">
        <v>5</v>
      </c>
      <c r="C266">
        <v>3</v>
      </c>
      <c r="D266" t="s">
        <v>389</v>
      </c>
      <c r="E266" t="str">
        <f>VLOOKUP(Tabla3[[#This Row],[Site]],Table35[],10,FALSE)</f>
        <v>9:00 P.M.</v>
      </c>
      <c r="F266" t="str">
        <f>VLOOKUP(Tabla3[[#This Row],[Site]],Table35[],11,FALSE)</f>
        <v>ET</v>
      </c>
      <c r="G266" t="str">
        <f>VLOOKUP(Tabla3[[#This Row],[Site]],Table35[],12,FALSE)</f>
        <v>5:00 A.M.</v>
      </c>
      <c r="H266" t="str">
        <f>VLOOKUP(Tabla3[[#This Row],[Site]],Table35[],13,FALSE)</f>
        <v>-</v>
      </c>
      <c r="I266" s="70" t="str">
        <f>HYPERLINK(VLOOKUP(Tabla3[[#This Row],[Site]],Table35[#All],9,FALSE))</f>
        <v>https://tools.sig.systems/site/details/339</v>
      </c>
      <c r="J266" t="str">
        <f>VLOOKUP(Tabla3[[#This Row],[Site]],Table35[],14,FALSE)</f>
        <v>-</v>
      </c>
      <c r="L266" s="34">
        <f>VLOOKUP(Tabla3[[#This Row],[Site]],Table35[#All],2,FALSE)</f>
        <v>25</v>
      </c>
      <c r="M266" s="34">
        <f>VLOOKUP(Tabla3[[#This Row],[Site]],Table35[#All],3,FALSE)</f>
        <v>10</v>
      </c>
      <c r="N266" s="34" t="str">
        <f>VLOOKUP(Tabla3[[#This Row],[Site]],Table35[#All],4,FALSE)</f>
        <v>-</v>
      </c>
      <c r="O266" s="34" t="str">
        <f>VLOOKUP(Tabla3[[#This Row],[Site]],Table35[#All],5,FALSE)</f>
        <v>-</v>
      </c>
      <c r="P266" s="34">
        <f>VLOOKUP(Tabla3[[#This Row],[Site]],Table35[#All],6,FALSE)</f>
        <v>12</v>
      </c>
      <c r="Q266" s="34" t="str">
        <f>VLOOKUP(Tabla3[[#This Row],[Site]],Table35[#All],8,FALSE)</f>
        <v>339</v>
      </c>
      <c r="R266"/>
    </row>
    <row r="267" spans="1:18" hidden="1" x14ac:dyDescent="0.25">
      <c r="A267" t="str">
        <f>+Tabla3[[#This Row],[Site]]&amp;Tabla3[[#This Row],[Split]]</f>
        <v>(AS) Koons Woodbridge Ford (NO TOURS)5</v>
      </c>
      <c r="B267">
        <v>5</v>
      </c>
      <c r="C267">
        <v>3</v>
      </c>
      <c r="D267" t="s">
        <v>373</v>
      </c>
      <c r="E267" t="str">
        <f>VLOOKUP(Tabla3[[#This Row],[Site]],Table35[],10,FALSE)</f>
        <v>9:00 P.M.</v>
      </c>
      <c r="F267" t="str">
        <f>VLOOKUP(Tabla3[[#This Row],[Site]],Table35[],11,FALSE)</f>
        <v>ET</v>
      </c>
      <c r="G267" t="str">
        <f>VLOOKUP(Tabla3[[#This Row],[Site]],Table35[],12,FALSE)</f>
        <v>5:00 A.M.</v>
      </c>
      <c r="H267" t="str">
        <f>VLOOKUP(Tabla3[[#This Row],[Site]],Table35[],13,FALSE)</f>
        <v>9:00 A.M.</v>
      </c>
      <c r="I267" s="70" t="str">
        <f>HYPERLINK(VLOOKUP(Tabla3[[#This Row],[Site]],Table35[#All],9,FALSE))</f>
        <v>https://tools.sig.systems/site/details/342</v>
      </c>
      <c r="J267">
        <f>VLOOKUP(Tabla3[[#This Row],[Site]],Table35[],14,FALSE)</f>
        <v>0</v>
      </c>
      <c r="L267" s="34" t="str">
        <f>VLOOKUP(Tabla3[[#This Row],[Site]],Table35[#All],2,FALSE)</f>
        <v>-</v>
      </c>
      <c r="M267" s="34" t="str">
        <f>VLOOKUP(Tabla3[[#This Row],[Site]],Table35[#All],3,FALSE)</f>
        <v>3, 24, 26, 27, 31, 36</v>
      </c>
      <c r="N267" s="34" t="str">
        <f>VLOOKUP(Tabla3[[#This Row],[Site]],Table35[#All],4,FALSE)</f>
        <v>-</v>
      </c>
      <c r="O267" s="34" t="str">
        <f>VLOOKUP(Tabla3[[#This Row],[Site]],Table35[#All],5,FALSE)</f>
        <v>-</v>
      </c>
      <c r="P267" s="34" t="str">
        <f>VLOOKUP(Tabla3[[#This Row],[Site]],Table35[#All],6,FALSE)</f>
        <v>13, 26, 29</v>
      </c>
      <c r="Q267" s="34" t="str">
        <f>VLOOKUP(Tabla3[[#This Row],[Site]],Table35[#All],8,FALSE)</f>
        <v>342</v>
      </c>
      <c r="R267"/>
    </row>
    <row r="268" spans="1:18" hidden="1" x14ac:dyDescent="0.25">
      <c r="A268" t="str">
        <f>+Tabla3[[#This Row],[Site]]&amp;Tabla3[[#This Row],[Split]]</f>
        <v>(AS) Larry H Miller CDJR Fiat (NO TOURS)5</v>
      </c>
      <c r="B268">
        <v>5</v>
      </c>
      <c r="C268">
        <v>3</v>
      </c>
      <c r="D268" t="s">
        <v>217</v>
      </c>
      <c r="E268" t="str">
        <f>VLOOKUP(Tabla3[[#This Row],[Site]],Table35[],10,FALSE)</f>
        <v>11:00 P.M.</v>
      </c>
      <c r="F268" t="str">
        <f>VLOOKUP(Tabla3[[#This Row],[Site]],Table35[],11,FALSE)</f>
        <v>MT</v>
      </c>
      <c r="G268" t="str">
        <f>VLOOKUP(Tabla3[[#This Row],[Site]],Table35[],12,FALSE)</f>
        <v>7:00 A.M.</v>
      </c>
      <c r="H268" t="str">
        <f>VLOOKUP(Tabla3[[#This Row],[Site]],Table35[],13,FALSE)</f>
        <v>-</v>
      </c>
      <c r="I268" s="70" t="str">
        <f>HYPERLINK(VLOOKUP(Tabla3[[#This Row],[Site]],Table35[#All],9,FALSE))</f>
        <v>https://tools.sig.systems/site/details/298</v>
      </c>
      <c r="J268">
        <f>VLOOKUP(Tabla3[[#This Row],[Site]],Table35[],14,FALSE)</f>
        <v>0</v>
      </c>
      <c r="L268" s="34" t="str">
        <f>VLOOKUP(Tabla3[[#This Row],[Site]],Table35[#All],2,FALSE)</f>
        <v>7, 11</v>
      </c>
      <c r="M268" s="34" t="str">
        <f>VLOOKUP(Tabla3[[#This Row],[Site]],Table35[#All],3,FALSE)</f>
        <v>2, 3</v>
      </c>
      <c r="N268" s="34" t="str">
        <f>VLOOKUP(Tabla3[[#This Row],[Site]],Table35[#All],4,FALSE)</f>
        <v>-</v>
      </c>
      <c r="O268" s="34" t="str">
        <f>VLOOKUP(Tabla3[[#This Row],[Site]],Table35[#All],5,FALSE)</f>
        <v>-</v>
      </c>
      <c r="P268" s="34" t="str">
        <f>VLOOKUP(Tabla3[[#This Row],[Site]],Table35[#All],6,FALSE)</f>
        <v xml:space="preserve">2, 6, 10, 15, 18 </v>
      </c>
      <c r="Q268" s="34" t="str">
        <f>VLOOKUP(Tabla3[[#This Row],[Site]],Table35[#All],8,FALSE)</f>
        <v>298</v>
      </c>
      <c r="R268"/>
    </row>
    <row r="269" spans="1:18" hidden="1" x14ac:dyDescent="0.25">
      <c r="A269" t="str">
        <f>+Tabla3[[#This Row],[Site]]&amp;Tabla3[[#This Row],[Split]]</f>
        <v>(AS) Plaza Collision ST Louis (NO TOURS)5</v>
      </c>
      <c r="B269">
        <v>5</v>
      </c>
      <c r="C269">
        <v>3</v>
      </c>
      <c r="D269" t="s">
        <v>436</v>
      </c>
      <c r="E269" t="str">
        <f>VLOOKUP(Tabla3[[#This Row],[Site]],Table35[],10,FALSE)</f>
        <v>10:00 P.M.</v>
      </c>
      <c r="F269" t="str">
        <f>VLOOKUP(Tabla3[[#This Row],[Site]],Table35[],11,FALSE)</f>
        <v>CT</v>
      </c>
      <c r="G269" t="str">
        <f>VLOOKUP(Tabla3[[#This Row],[Site]],Table35[],12,FALSE)</f>
        <v>6:00 A.M.</v>
      </c>
      <c r="H269" t="str">
        <f>VLOOKUP(Tabla3[[#This Row],[Site]],Table35[],13,FALSE)</f>
        <v>-</v>
      </c>
      <c r="I269" s="70" t="str">
        <f>HYPERLINK(VLOOKUP(Tabla3[[#This Row],[Site]],Table35[#All],9,FALSE))</f>
        <v>https://tools.sig.systems/site/details/350</v>
      </c>
      <c r="J269" t="str">
        <f>VLOOKUP(Tabla3[[#This Row],[Site]],Table35[],14,FALSE)</f>
        <v>-</v>
      </c>
      <c r="L269" s="34" t="str">
        <f>VLOOKUP(Tabla3[[#This Row],[Site]],Table35[#All],2,FALSE)</f>
        <v>2, 6</v>
      </c>
      <c r="M269" s="34">
        <f>VLOOKUP(Tabla3[[#This Row],[Site]],Table35[#All],3,FALSE)</f>
        <v>1</v>
      </c>
      <c r="N269" s="34" t="str">
        <f>VLOOKUP(Tabla3[[#This Row],[Site]],Table35[#All],4,FALSE)</f>
        <v>-</v>
      </c>
      <c r="O269" s="34" t="str">
        <f>VLOOKUP(Tabla3[[#This Row],[Site]],Table35[#All],5,FALSE)</f>
        <v>-</v>
      </c>
      <c r="P269" s="34">
        <f>VLOOKUP(Tabla3[[#This Row],[Site]],Table35[#All],6,FALSE)</f>
        <v>3</v>
      </c>
      <c r="Q269" s="34" t="str">
        <f>VLOOKUP(Tabla3[[#This Row],[Site]],Table35[#All],8,FALSE)</f>
        <v>350</v>
      </c>
      <c r="R269"/>
    </row>
    <row r="270" spans="1:18" hidden="1" x14ac:dyDescent="0.25">
      <c r="A270" t="str">
        <f>+Tabla3[[#This Row],[Site]]&amp;Tabla3[[#This Row],[Split]]</f>
        <v>(KG) Ken Garff Volkswagen of Gilbert5</v>
      </c>
      <c r="B270">
        <v>5</v>
      </c>
      <c r="C270">
        <v>3</v>
      </c>
      <c r="D270" t="s">
        <v>130</v>
      </c>
      <c r="E270" t="str">
        <f>VLOOKUP(Tabla3[[#This Row],[Site]],Table35[],10,FALSE)</f>
        <v>12:00 A.M.</v>
      </c>
      <c r="F270" t="str">
        <f>VLOOKUP(Tabla3[[#This Row],[Site]],Table35[],11,FALSE)</f>
        <v>MST</v>
      </c>
      <c r="G270" t="str">
        <f>VLOOKUP(Tabla3[[#This Row],[Site]],Table35[],12,FALSE)</f>
        <v>8:00 A.M.</v>
      </c>
      <c r="H270" t="str">
        <f>VLOOKUP(Tabla3[[#This Row],[Site]],Table35[],13,FALSE)</f>
        <v>12:00 P.M.</v>
      </c>
      <c r="I270" s="70" t="str">
        <f>HYPERLINK(VLOOKUP(Tabla3[[#This Row],[Site]],Table35[#All],9,FALSE))</f>
        <v>https://tools.sig.systems/site/details/284</v>
      </c>
      <c r="J270" t="str">
        <f>VLOOKUP(Tabla3[[#This Row],[Site]],Table35[],14,FALSE)</f>
        <v>https://www.google.com/maps/d/viewer?hl=es&amp;mid=19SU7XE9Cg8jhVFpEI21Vi9Zfgdih9Ds&amp;ll=33.29158262977276%2C-111.75783630000002&amp;z=17</v>
      </c>
      <c r="L270" s="34" t="str">
        <f>VLOOKUP(Tabla3[[#This Row],[Site]],Table35[#All],2,FALSE)</f>
        <v>4, 6</v>
      </c>
      <c r="M270" s="34" t="str">
        <f>VLOOKUP(Tabla3[[#This Row],[Site]],Table35[#All],3,FALSE)</f>
        <v>-</v>
      </c>
      <c r="N270" s="34" t="str">
        <f>VLOOKUP(Tabla3[[#This Row],[Site]],Table35[#All],4,FALSE)</f>
        <v>-</v>
      </c>
      <c r="O270" s="34" t="str">
        <f>VLOOKUP(Tabla3[[#This Row],[Site]],Table35[#All],5,FALSE)</f>
        <v>2, 14</v>
      </c>
      <c r="P270" s="34" t="str">
        <f>VLOOKUP(Tabla3[[#This Row],[Site]],Table35[#All],6,FALSE)</f>
        <v>1, 5, 8, 9, 17, 19, 21</v>
      </c>
      <c r="Q270" s="34" t="str">
        <f>VLOOKUP(Tabla3[[#This Row],[Site]],Table35[#All],8,FALSE)</f>
        <v>284</v>
      </c>
      <c r="R270"/>
    </row>
    <row r="271" spans="1:18" hidden="1" x14ac:dyDescent="0.25">
      <c r="A271" t="str">
        <f>+Tabla3[[#This Row],[Site]]&amp;Tabla3[[#This Row],[Split]]</f>
        <v>(LT) Luther Hopkins Honda (NO TOURS)5</v>
      </c>
      <c r="B271">
        <v>5</v>
      </c>
      <c r="C271">
        <v>3</v>
      </c>
      <c r="D271" t="s">
        <v>306</v>
      </c>
      <c r="E271" t="str">
        <f>VLOOKUP(Tabla3[[#This Row],[Site]],Table35[],10,FALSE)</f>
        <v>8:00 P.M.</v>
      </c>
      <c r="F271" t="str">
        <f>VLOOKUP(Tabla3[[#This Row],[Site]],Table35[],11,FALSE)</f>
        <v>CT</v>
      </c>
      <c r="G271" t="str">
        <f>VLOOKUP(Tabla3[[#This Row],[Site]],Table35[],12,FALSE)</f>
        <v>6:00 A.M.</v>
      </c>
      <c r="H271" t="str">
        <f>VLOOKUP(Tabla3[[#This Row],[Site]],Table35[],13,FALSE)</f>
        <v>-</v>
      </c>
      <c r="I271" s="70" t="str">
        <f>HYPERLINK(VLOOKUP(Tabla3[[#This Row],[Site]],Table35[#All],9,FALSE))</f>
        <v>https://tools.sig.systems/site/details/288</v>
      </c>
      <c r="J271">
        <f>VLOOKUP(Tabla3[[#This Row],[Site]],Table35[],14,FALSE)</f>
        <v>0</v>
      </c>
      <c r="L271" s="34" t="str">
        <f>VLOOKUP(Tabla3[[#This Row],[Site]],Table35[#All],2,FALSE)</f>
        <v>-</v>
      </c>
      <c r="M271" s="34" t="str">
        <f>VLOOKUP(Tabla3[[#This Row],[Site]],Table35[#All],3,FALSE)</f>
        <v>9, 36</v>
      </c>
      <c r="N271" s="34" t="str">
        <f>VLOOKUP(Tabla3[[#This Row],[Site]],Table35[#All],4,FALSE)</f>
        <v>38, 39</v>
      </c>
      <c r="O271" s="34" t="str">
        <f>VLOOKUP(Tabla3[[#This Row],[Site]],Table35[#All],5,FALSE)</f>
        <v>3, 26</v>
      </c>
      <c r="P271" s="34" t="str">
        <f>VLOOKUP(Tabla3[[#This Row],[Site]],Table35[#All],6,FALSE)</f>
        <v>1, 4, 11, 18, 23, 25, 31</v>
      </c>
      <c r="Q271" s="34" t="str">
        <f>VLOOKUP(Tabla3[[#This Row],[Site]],Table35[#All],8,FALSE)</f>
        <v>288</v>
      </c>
      <c r="R271"/>
    </row>
    <row r="272" spans="1:18" hidden="1" x14ac:dyDescent="0.25">
      <c r="A272" t="str">
        <f>+Tabla3[[#This Row],[Site]]&amp;Tabla3[[#This Row],[Split]]</f>
        <v>(PE) MB of Greenwich5</v>
      </c>
      <c r="B272">
        <v>5</v>
      </c>
      <c r="C272">
        <v>3</v>
      </c>
      <c r="D272" t="s">
        <v>121</v>
      </c>
      <c r="E272" t="str">
        <f>VLOOKUP(Tabla3[[#This Row],[Site]],Table35[],10,FALSE)</f>
        <v>8:00 P.M.</v>
      </c>
      <c r="F272" t="str">
        <f>VLOOKUP(Tabla3[[#This Row],[Site]],Table35[],11,FALSE)</f>
        <v>ET</v>
      </c>
      <c r="G272" t="str">
        <f>VLOOKUP(Tabla3[[#This Row],[Site]],Table35[],12,FALSE)</f>
        <v>5:00 A.M.</v>
      </c>
      <c r="H272" t="str">
        <f>VLOOKUP(Tabla3[[#This Row],[Site]],Table35[],13,FALSE)</f>
        <v>-</v>
      </c>
      <c r="I272" s="70" t="str">
        <f>HYPERLINK(VLOOKUP(Tabla3[[#This Row],[Site]],Table35[#All],9,FALSE))</f>
        <v>https://tools.sig.systems/site/details/188</v>
      </c>
      <c r="J272" t="str">
        <f>VLOOKUP(Tabla3[[#This Row],[Site]],Table35[],14,FALSE)</f>
        <v>https://www.google.com/maps/d/edit?hl=en&amp;mid=1UHmt7tH1ihTa85i0MfQIcTfVvIQg_vM&amp;ll=41.02423447529239%2C-73.63721502222738&amp;z=18</v>
      </c>
      <c r="L272" s="34" t="str">
        <f>VLOOKUP(Tabla3[[#This Row],[Site]],Table35[#All],2,FALSE)</f>
        <v>1, 2, 8</v>
      </c>
      <c r="M272" s="34" t="str">
        <f>VLOOKUP(Tabla3[[#This Row],[Site]],Table35[#All],3,FALSE)</f>
        <v>13, 14, 20, 26, 40</v>
      </c>
      <c r="N272" s="34" t="str">
        <f>VLOOKUP(Tabla3[[#This Row],[Site]],Table35[#All],4,FALSE)</f>
        <v>-</v>
      </c>
      <c r="O272" s="34" t="str">
        <f>VLOOKUP(Tabla3[[#This Row],[Site]],Table35[#All],5,FALSE)</f>
        <v>-</v>
      </c>
      <c r="P272" s="34">
        <f>VLOOKUP(Tabla3[[#This Row],[Site]],Table35[#All],6,FALSE)</f>
        <v>29</v>
      </c>
      <c r="Q272" s="34" t="str">
        <f>VLOOKUP(Tabla3[[#This Row],[Site]],Table35[#All],8,FALSE)</f>
        <v>188</v>
      </c>
      <c r="R272"/>
    </row>
    <row r="273" spans="1:18" hidden="1" x14ac:dyDescent="0.25">
      <c r="A273" t="str">
        <f>+Tabla3[[#This Row],[Site]]&amp;Tabla3[[#This Row],[Split]]</f>
        <v>Mario Residence5</v>
      </c>
      <c r="B273">
        <v>5</v>
      </c>
      <c r="C273">
        <v>3</v>
      </c>
      <c r="D273" t="s">
        <v>100</v>
      </c>
      <c r="E273" t="str">
        <f>VLOOKUP(Tabla3[[#This Row],[Site]],Table35[],10,FALSE)</f>
        <v>24H</v>
      </c>
      <c r="F273" t="str">
        <f>VLOOKUP(Tabla3[[#This Row],[Site]],Table35[],11,FALSE)</f>
        <v>ET</v>
      </c>
      <c r="G273" t="str">
        <f>VLOOKUP(Tabla3[[#This Row],[Site]],Table35[],12,FALSE)</f>
        <v>-</v>
      </c>
      <c r="H273" t="str">
        <f>VLOOKUP(Tabla3[[#This Row],[Site]],Table35[],13,FALSE)</f>
        <v>-</v>
      </c>
      <c r="I273" s="70" t="str">
        <f>HYPERLINK(VLOOKUP(Tabla3[[#This Row],[Site]],Table35[#All],9,FALSE))</f>
        <v>https://tools.sig.systems/site/details/148</v>
      </c>
      <c r="J273" t="str">
        <f>VLOOKUP(Tabla3[[#This Row],[Site]],Table35[],14,FALSE)</f>
        <v>https://www.google.com/maps/d/edit?hl=es&amp;mid=13OmECPqyeB7fXgZmEoM9cnG34HU_v5g&amp;ll=26.046837034777553%2C-80.38753458591658&amp;z=19</v>
      </c>
      <c r="L273" s="34" t="str">
        <f>VLOOKUP(Tabla3[[#This Row],[Site]],Table35[#All],2,FALSE)</f>
        <v>7, 8</v>
      </c>
      <c r="M273" s="34" t="str">
        <f>VLOOKUP(Tabla3[[#This Row],[Site]],Table35[#All],3,FALSE)</f>
        <v>7, 8</v>
      </c>
      <c r="N273" s="34" t="str">
        <f>VLOOKUP(Tabla3[[#This Row],[Site]],Table35[#All],4,FALSE)</f>
        <v>-</v>
      </c>
      <c r="O273" s="34" t="str">
        <f>VLOOKUP(Tabla3[[#This Row],[Site]],Table35[#All],5,FALSE)</f>
        <v>-</v>
      </c>
      <c r="P273" s="34" t="str">
        <f>VLOOKUP(Tabla3[[#This Row],[Site]],Table35[#All],6,FALSE)</f>
        <v>4,12,13</v>
      </c>
      <c r="Q273" s="34" t="str">
        <f>VLOOKUP(Tabla3[[#This Row],[Site]],Table35[#All],8,FALSE)</f>
        <v>148</v>
      </c>
      <c r="R273"/>
    </row>
    <row r="274" spans="1:18" hidden="1" x14ac:dyDescent="0.25">
      <c r="A274" t="str">
        <f>+Tabla3[[#This Row],[Site]]&amp;Tabla3[[#This Row],[Split]]</f>
        <v>(AS) Coggin Honda of Orlando (NO TOURS)5</v>
      </c>
      <c r="B274">
        <v>5</v>
      </c>
      <c r="C274">
        <v>4</v>
      </c>
      <c r="D274" t="s">
        <v>384</v>
      </c>
      <c r="E274" t="str">
        <f>VLOOKUP(Tabla3[[#This Row],[Site]],Table35[],10,FALSE)</f>
        <v>9:00 P.M.</v>
      </c>
      <c r="F274" t="str">
        <f>VLOOKUP(Tabla3[[#This Row],[Site]],Table35[],11,FALSE)</f>
        <v>ET</v>
      </c>
      <c r="G274" t="str">
        <f>VLOOKUP(Tabla3[[#This Row],[Site]],Table35[],12,FALSE)</f>
        <v>5:00 A.M.</v>
      </c>
      <c r="H274" t="str">
        <f>VLOOKUP(Tabla3[[#This Row],[Site]],Table35[],13,FALSE)</f>
        <v>11:00 A.M.</v>
      </c>
      <c r="I274" s="70" t="str">
        <f>HYPERLINK(VLOOKUP(Tabla3[[#This Row],[Site]],Table35[#All],9,FALSE))</f>
        <v>https://tools.sig.systems/site/details/324</v>
      </c>
      <c r="J274">
        <f>VLOOKUP(Tabla3[[#This Row],[Site]],Table35[],14,FALSE)</f>
        <v>0</v>
      </c>
      <c r="L274" s="34" t="str">
        <f>VLOOKUP(Tabla3[[#This Row],[Site]],Table35[#All],2,FALSE)</f>
        <v>2, 10, 12B, 14, 38</v>
      </c>
      <c r="M274" s="34" t="str">
        <f>VLOOKUP(Tabla3[[#This Row],[Site]],Table35[#All],3,FALSE)</f>
        <v>-</v>
      </c>
      <c r="N274" s="34" t="str">
        <f>VLOOKUP(Tabla3[[#This Row],[Site]],Table35[#All],4,FALSE)</f>
        <v>-</v>
      </c>
      <c r="O274" s="34" t="str">
        <f>VLOOKUP(Tabla3[[#This Row],[Site]],Table35[#All],5,FALSE)</f>
        <v>12, 31</v>
      </c>
      <c r="P274" s="34" t="str">
        <f>VLOOKUP(Tabla3[[#This Row],[Site]],Table35[#All],6,FALSE)</f>
        <v>12B, 26, 37, 19</v>
      </c>
      <c r="Q274" s="34" t="str">
        <f>VLOOKUP(Tabla3[[#This Row],[Site]],Table35[#All],8,FALSE)</f>
        <v>324</v>
      </c>
      <c r="R274"/>
    </row>
    <row r="275" spans="1:18" hidden="1" x14ac:dyDescent="0.25">
      <c r="A275" t="str">
        <f>+Tabla3[[#This Row],[Site]]&amp;Tabla3[[#This Row],[Split]]</f>
        <v>(AS) Kahlo CDJR (NO TOURS)5</v>
      </c>
      <c r="B275">
        <v>5</v>
      </c>
      <c r="C275">
        <v>4</v>
      </c>
      <c r="D275" t="s">
        <v>381</v>
      </c>
      <c r="E275" t="str">
        <f>VLOOKUP(Tabla3[[#This Row],[Site]],Table35[],10,FALSE)</f>
        <v>9:00 P.M.</v>
      </c>
      <c r="F275" t="str">
        <f>VLOOKUP(Tabla3[[#This Row],[Site]],Table35[],11,FALSE)</f>
        <v>ET</v>
      </c>
      <c r="G275" t="str">
        <f>VLOOKUP(Tabla3[[#This Row],[Site]],Table35[],12,FALSE)</f>
        <v>5:00 A.M.</v>
      </c>
      <c r="H275" t="str">
        <f>VLOOKUP(Tabla3[[#This Row],[Site]],Table35[],13,FALSE)</f>
        <v>-</v>
      </c>
      <c r="I275" s="70" t="str">
        <f>HYPERLINK(VLOOKUP(Tabla3[[#This Row],[Site]],Table35[#All],9,FALSE))</f>
        <v>https://tools.sig.systems/site/details/282</v>
      </c>
      <c r="J275" t="str">
        <f>VLOOKUP(Tabla3[[#This Row],[Site]],Table35[],14,FALSE)</f>
        <v>https://www.google.com/maps/d/edit?mid=1hsX5GGrNcCQgAuzDCDz1OWgEkhsAc78&amp;usp=sharing</v>
      </c>
      <c r="L275" s="34" t="str">
        <f>VLOOKUP(Tabla3[[#This Row],[Site]],Table35[#All],2,FALSE)</f>
        <v>-</v>
      </c>
      <c r="M275" s="34" t="str">
        <f>VLOOKUP(Tabla3[[#This Row],[Site]],Table35[#All],3,FALSE)</f>
        <v>12, 25</v>
      </c>
      <c r="N275" s="34" t="str">
        <f>VLOOKUP(Tabla3[[#This Row],[Site]],Table35[#All],4,FALSE)</f>
        <v>15, 16</v>
      </c>
      <c r="O275" s="34">
        <f>VLOOKUP(Tabla3[[#This Row],[Site]],Table35[#All],5,FALSE)</f>
        <v>20</v>
      </c>
      <c r="P275" s="34" t="str">
        <f>VLOOKUP(Tabla3[[#This Row],[Site]],Table35[#All],6,FALSE)</f>
        <v>1, 2, 9, 22, 31, 57</v>
      </c>
      <c r="Q275" s="34" t="str">
        <f>VLOOKUP(Tabla3[[#This Row],[Site]],Table35[#All],8,FALSE)</f>
        <v>282</v>
      </c>
      <c r="R275"/>
    </row>
    <row r="276" spans="1:18" hidden="1" x14ac:dyDescent="0.25">
      <c r="A276" t="str">
        <f>+Tabla3[[#This Row],[Site]]&amp;Tabla3[[#This Row],[Split]]</f>
        <v>(AS) Koons Baltimore Ford - Main Dealership (NO TOURS)5</v>
      </c>
      <c r="B276">
        <v>5</v>
      </c>
      <c r="C276">
        <v>4</v>
      </c>
      <c r="D276" t="s">
        <v>357</v>
      </c>
      <c r="E276" t="str">
        <f>VLOOKUP(Tabla3[[#This Row],[Site]],Table35[],10,FALSE)</f>
        <v>9:00 P.M.</v>
      </c>
      <c r="F276" t="str">
        <f>VLOOKUP(Tabla3[[#This Row],[Site]],Table35[],11,FALSE)</f>
        <v>ET</v>
      </c>
      <c r="G276" t="str">
        <f>VLOOKUP(Tabla3[[#This Row],[Site]],Table35[],12,FALSE)</f>
        <v>5:00 A.M.</v>
      </c>
      <c r="H276" t="str">
        <f>VLOOKUP(Tabla3[[#This Row],[Site]],Table35[],13,FALSE)</f>
        <v>-</v>
      </c>
      <c r="I276" s="70" t="str">
        <f>HYPERLINK(VLOOKUP(Tabla3[[#This Row],[Site]],Table35[#All],9,FALSE))</f>
        <v>https://tools.sig.systems/site/details/335</v>
      </c>
      <c r="J276" t="str">
        <f>VLOOKUP(Tabla3[[#This Row],[Site]],Table35[],14,FALSE)</f>
        <v>-</v>
      </c>
      <c r="L276" s="34" t="str">
        <f>VLOOKUP(Tabla3[[#This Row],[Site]],Table35[#All],2,FALSE)</f>
        <v>21, 22, 24, 32, 45</v>
      </c>
      <c r="M276" s="34">
        <f>VLOOKUP(Tabla3[[#This Row],[Site]],Table35[#All],3,FALSE)</f>
        <v>1</v>
      </c>
      <c r="N276" s="34" t="str">
        <f>VLOOKUP(Tabla3[[#This Row],[Site]],Table35[#All],4,FALSE)</f>
        <v>-</v>
      </c>
      <c r="O276" s="34" t="str">
        <f>VLOOKUP(Tabla3[[#This Row],[Site]],Table35[#All],5,FALSE)</f>
        <v>1, 8</v>
      </c>
      <c r="P276" s="34" t="str">
        <f>VLOOKUP(Tabla3[[#This Row],[Site]],Table35[#All],6,FALSE)</f>
        <v>5, 28, 38</v>
      </c>
      <c r="Q276" s="34" t="str">
        <f>VLOOKUP(Tabla3[[#This Row],[Site]],Table35[#All],8,FALSE)</f>
        <v>335</v>
      </c>
      <c r="R276"/>
    </row>
    <row r="277" spans="1:18" hidden="1" x14ac:dyDescent="0.25">
      <c r="A277" t="str">
        <f>+Tabla3[[#This Row],[Site]]&amp;Tabla3[[#This Row],[Split]]</f>
        <v>(AS) Koons Easton Toyota - Main Dealership (NO TOURS)5</v>
      </c>
      <c r="B277">
        <v>5</v>
      </c>
      <c r="C277">
        <v>4</v>
      </c>
      <c r="D277" t="s">
        <v>426</v>
      </c>
      <c r="E277" t="str">
        <f>VLOOKUP(Tabla3[[#This Row],[Site]],Table35[],10,FALSE)</f>
        <v>9:00 P.M.</v>
      </c>
      <c r="F277" t="str">
        <f>VLOOKUP(Tabla3[[#This Row],[Site]],Table35[],11,FALSE)</f>
        <v>ET</v>
      </c>
      <c r="G277" t="str">
        <f>VLOOKUP(Tabla3[[#This Row],[Site]],Table35[],12,FALSE)</f>
        <v>5:00 A.M.</v>
      </c>
      <c r="H277" t="str">
        <f>VLOOKUP(Tabla3[[#This Row],[Site]],Table35[],13,FALSE)</f>
        <v>-</v>
      </c>
      <c r="I277" s="70" t="str">
        <f>HYPERLINK(VLOOKUP(Tabla3[[#This Row],[Site]],Table35[#All],9,FALSE))</f>
        <v>https://tools.sig.systems/site/details/340</v>
      </c>
      <c r="J277" t="str">
        <f>VLOOKUP(Tabla3[[#This Row],[Site]],Table35[],14,FALSE)</f>
        <v>-</v>
      </c>
      <c r="L277" s="34" t="str">
        <f>VLOOKUP(Tabla3[[#This Row],[Site]],Table35[#All],2,FALSE)</f>
        <v>-</v>
      </c>
      <c r="M277" s="34" t="str">
        <f>VLOOKUP(Tabla3[[#This Row],[Site]],Table35[#All],3,FALSE)</f>
        <v>4, 5</v>
      </c>
      <c r="N277" s="34" t="str">
        <f>VLOOKUP(Tabla3[[#This Row],[Site]],Table35[#All],4,FALSE)</f>
        <v>-</v>
      </c>
      <c r="O277" s="34" t="str">
        <f>VLOOKUP(Tabla3[[#This Row],[Site]],Table35[#All],5,FALSE)</f>
        <v>-</v>
      </c>
      <c r="P277" s="34" t="str">
        <f>VLOOKUP(Tabla3[[#This Row],[Site]],Table35[#All],6,FALSE)</f>
        <v>8, 15</v>
      </c>
      <c r="Q277" s="34" t="str">
        <f>VLOOKUP(Tabla3[[#This Row],[Site]],Table35[#All],8,FALSE)</f>
        <v>340</v>
      </c>
      <c r="R277"/>
    </row>
    <row r="278" spans="1:18" hidden="1" x14ac:dyDescent="0.25">
      <c r="A278" t="str">
        <f>+Tabla3[[#This Row],[Site]]&amp;Tabla3[[#This Row],[Split]]</f>
        <v>(AS) Koons Woodbridge Hyundai (NO TOURS)5</v>
      </c>
      <c r="B278">
        <v>5</v>
      </c>
      <c r="C278">
        <v>4</v>
      </c>
      <c r="D278" t="s">
        <v>406</v>
      </c>
      <c r="E278" t="str">
        <f>VLOOKUP(Tabla3[[#This Row],[Site]],Table35[],10,FALSE)</f>
        <v>9:00 P.M.</v>
      </c>
      <c r="F278" t="str">
        <f>VLOOKUP(Tabla3[[#This Row],[Site]],Table35[],11,FALSE)</f>
        <v>ET</v>
      </c>
      <c r="G278" t="str">
        <f>VLOOKUP(Tabla3[[#This Row],[Site]],Table35[],12,FALSE)</f>
        <v>5:00 A.M.</v>
      </c>
      <c r="H278" t="str">
        <f>VLOOKUP(Tabla3[[#This Row],[Site]],Table35[],13,FALSE)</f>
        <v>8:00 A.M.</v>
      </c>
      <c r="I278" s="70" t="str">
        <f>HYPERLINK(VLOOKUP(Tabla3[[#This Row],[Site]],Table35[#All],9,FALSE))</f>
        <v>https://tools.sig.systems/site/details/347</v>
      </c>
      <c r="J278" t="str">
        <f>VLOOKUP(Tabla3[[#This Row],[Site]],Table35[],14,FALSE)</f>
        <v>-</v>
      </c>
      <c r="L278" s="34" t="str">
        <f>VLOOKUP(Tabla3[[#This Row],[Site]],Table35[#All],2,FALSE)</f>
        <v>-</v>
      </c>
      <c r="M278" s="34" t="str">
        <f>VLOOKUP(Tabla3[[#This Row],[Site]],Table35[#All],3,FALSE)</f>
        <v>1, 17</v>
      </c>
      <c r="N278" s="34" t="str">
        <f>VLOOKUP(Tabla3[[#This Row],[Site]],Table35[#All],4,FALSE)</f>
        <v>-</v>
      </c>
      <c r="O278" s="34" t="str">
        <f>VLOOKUP(Tabla3[[#This Row],[Site]],Table35[#All],5,FALSE)</f>
        <v>-</v>
      </c>
      <c r="P278" s="34" t="str">
        <f>VLOOKUP(Tabla3[[#This Row],[Site]],Table35[#All],6,FALSE)</f>
        <v>4, 14, 22</v>
      </c>
      <c r="Q278" s="34" t="str">
        <f>VLOOKUP(Tabla3[[#This Row],[Site]],Table35[#All],8,FALSE)</f>
        <v>347</v>
      </c>
      <c r="R278"/>
    </row>
    <row r="279" spans="1:18" hidden="1" x14ac:dyDescent="0.25">
      <c r="A279" t="str">
        <f>+Tabla3[[#This Row],[Site]]&amp;Tabla3[[#This Row],[Split]]</f>
        <v>(AS) Koons Woodbridge Kia (NO TOURS)5</v>
      </c>
      <c r="B279">
        <v>5</v>
      </c>
      <c r="C279">
        <v>4</v>
      </c>
      <c r="D279" t="s">
        <v>407</v>
      </c>
      <c r="E279" t="str">
        <f>VLOOKUP(Tabla3[[#This Row],[Site]],Table35[],10,FALSE)</f>
        <v>9:00 P.M.</v>
      </c>
      <c r="F279" t="str">
        <f>VLOOKUP(Tabla3[[#This Row],[Site]],Table35[],11,FALSE)</f>
        <v>ET</v>
      </c>
      <c r="G279" t="str">
        <f>VLOOKUP(Tabla3[[#This Row],[Site]],Table35[],12,FALSE)</f>
        <v>5:00 A.M.</v>
      </c>
      <c r="H279" t="str">
        <f>VLOOKUP(Tabla3[[#This Row],[Site]],Table35[],13,FALSE)</f>
        <v>10:00 A.M.</v>
      </c>
      <c r="I279" s="70" t="str">
        <f>HYPERLINK(VLOOKUP(Tabla3[[#This Row],[Site]],Table35[#All],9,FALSE))</f>
        <v>https://tools.sig.systems/site/details/346</v>
      </c>
      <c r="J279" t="str">
        <f>VLOOKUP(Tabla3[[#This Row],[Site]],Table35[],14,FALSE)</f>
        <v>-</v>
      </c>
      <c r="L279" s="34" t="str">
        <f>VLOOKUP(Tabla3[[#This Row],[Site]],Table35[#All],2,FALSE)</f>
        <v>-</v>
      </c>
      <c r="M279" s="34">
        <f>VLOOKUP(Tabla3[[#This Row],[Site]],Table35[#All],3,FALSE)</f>
        <v>2</v>
      </c>
      <c r="N279" s="34" t="str">
        <f>VLOOKUP(Tabla3[[#This Row],[Site]],Table35[#All],4,FALSE)</f>
        <v>-</v>
      </c>
      <c r="O279" s="34" t="str">
        <f>VLOOKUP(Tabla3[[#This Row],[Site]],Table35[#All],5,FALSE)</f>
        <v>-</v>
      </c>
      <c r="P279" s="34">
        <f>VLOOKUP(Tabla3[[#This Row],[Site]],Table35[#All],6,FALSE)</f>
        <v>5</v>
      </c>
      <c r="Q279" s="34" t="str">
        <f>VLOOKUP(Tabla3[[#This Row],[Site]],Table35[#All],8,FALSE)</f>
        <v>346</v>
      </c>
      <c r="R279"/>
    </row>
    <row r="280" spans="1:18" hidden="1" x14ac:dyDescent="0.25">
      <c r="A280" t="str">
        <f>+Tabla3[[#This Row],[Site]]&amp;Tabla3[[#This Row],[Split]]</f>
        <v>(DT) Modesto5</v>
      </c>
      <c r="B280">
        <v>5</v>
      </c>
      <c r="C280">
        <v>4</v>
      </c>
      <c r="D280" t="s">
        <v>14</v>
      </c>
      <c r="E280" t="str">
        <f>VLOOKUP(Tabla3[[#This Row],[Site]],Table35[],10,FALSE)</f>
        <v>12:00 A.M.</v>
      </c>
      <c r="F280" t="str">
        <f>VLOOKUP(Tabla3[[#This Row],[Site]],Table35[],11,FALSE)</f>
        <v>PT</v>
      </c>
      <c r="G280" t="str">
        <f>VLOOKUP(Tabla3[[#This Row],[Site]],Table35[],12,FALSE)</f>
        <v>8:00 A.M.</v>
      </c>
      <c r="H280" t="str">
        <f>VLOOKUP(Tabla3[[#This Row],[Site]],Table35[],13,FALSE)</f>
        <v>-</v>
      </c>
      <c r="I280" s="70" t="str">
        <f>HYPERLINK(VLOOKUP(Tabla3[[#This Row],[Site]],Table35[#All],9,FALSE))</f>
        <v>https://tools.sig.systems/site/details/267</v>
      </c>
      <c r="J280">
        <f>VLOOKUP(Tabla3[[#This Row],[Site]],Table35[],14,FALSE)</f>
        <v>0</v>
      </c>
      <c r="L280" s="34">
        <f>VLOOKUP(Tabla3[[#This Row],[Site]],Table35[#All],2,FALSE)</f>
        <v>10</v>
      </c>
      <c r="M280" s="34" t="str">
        <f>VLOOKUP(Tabla3[[#This Row],[Site]],Table35[#All],3,FALSE)</f>
        <v>5, 6</v>
      </c>
      <c r="N280" s="34" t="str">
        <f>VLOOKUP(Tabla3[[#This Row],[Site]],Table35[#All],4,FALSE)</f>
        <v>-</v>
      </c>
      <c r="O280" s="34" t="str">
        <f>VLOOKUP(Tabla3[[#This Row],[Site]],Table35[#All],5,FALSE)</f>
        <v>-</v>
      </c>
      <c r="P280" s="34" t="str">
        <f>VLOOKUP(Tabla3[[#This Row],[Site]],Table35[#All],6,FALSE)</f>
        <v>2, 3, 5, 10</v>
      </c>
      <c r="Q280" s="34" t="str">
        <f>VLOOKUP(Tabla3[[#This Row],[Site]],Table35[#All],8,FALSE)</f>
        <v>267</v>
      </c>
      <c r="R280"/>
    </row>
    <row r="281" spans="1:18" hidden="1" x14ac:dyDescent="0.25">
      <c r="A281" t="str">
        <f>+Tabla3[[#This Row],[Site]]&amp;Tabla3[[#This Row],[Split]]</f>
        <v>(LT) Landers Kia of Little Rock5</v>
      </c>
      <c r="B281">
        <v>5</v>
      </c>
      <c r="C281">
        <v>4</v>
      </c>
      <c r="D281" t="s">
        <v>249</v>
      </c>
      <c r="E281" t="str">
        <f>VLOOKUP(Tabla3[[#This Row],[Site]],Table35[],10,FALSE)</f>
        <v>10:00 P.M.</v>
      </c>
      <c r="F281" t="str">
        <f>VLOOKUP(Tabla3[[#This Row],[Site]],Table35[],11,FALSE)</f>
        <v>CT</v>
      </c>
      <c r="G281" t="str">
        <f>VLOOKUP(Tabla3[[#This Row],[Site]],Table35[],12,FALSE)</f>
        <v>6:00 A.M.</v>
      </c>
      <c r="H281" t="str">
        <f>VLOOKUP(Tabla3[[#This Row],[Site]],Table35[],13,FALSE)</f>
        <v>-</v>
      </c>
      <c r="I281" s="70" t="str">
        <f>HYPERLINK(VLOOKUP(Tabla3[[#This Row],[Site]],Table35[#All],9,FALSE))</f>
        <v>https://tools.sig.systems/site/details/322</v>
      </c>
      <c r="J281" t="str">
        <f>VLOOKUP(Tabla3[[#This Row],[Site]],Table35[],14,FALSE)</f>
        <v>https://www.google.com/maps/d/u/1/edit?mid=1-zEzsc6U6nZom08edp0XAd3_HYFvAyk&amp;usp=sharing</v>
      </c>
      <c r="L281" s="34" t="str">
        <f>VLOOKUP(Tabla3[[#This Row],[Site]],Table35[#All],2,FALSE)</f>
        <v>5, 9, 33, 19</v>
      </c>
      <c r="M281" s="34" t="str">
        <f>VLOOKUP(Tabla3[[#This Row],[Site]],Table35[#All],3,FALSE)</f>
        <v>-</v>
      </c>
      <c r="N281" s="34" t="str">
        <f>VLOOKUP(Tabla3[[#This Row],[Site]],Table35[#All],4,FALSE)</f>
        <v>4, 10</v>
      </c>
      <c r="O281" s="34" t="str">
        <f>VLOOKUP(Tabla3[[#This Row],[Site]],Table35[#All],5,FALSE)</f>
        <v>1, 35</v>
      </c>
      <c r="P281" s="34" t="str">
        <f>VLOOKUP(Tabla3[[#This Row],[Site]],Table35[#All],6,FALSE)</f>
        <v>5, 9, 12, 14, 18, 26, 29</v>
      </c>
      <c r="Q281" s="34" t="str">
        <f>VLOOKUP(Tabla3[[#This Row],[Site]],Table35[#All],8,FALSE)</f>
        <v>322</v>
      </c>
      <c r="R281"/>
    </row>
    <row r="282" spans="1:18" hidden="1" x14ac:dyDescent="0.25">
      <c r="A282" t="str">
        <f>+Tabla3[[#This Row],[Site]]&amp;Tabla3[[#This Row],[Split]]</f>
        <v>(LT) Luther Bloomington Subaru - Acura5</v>
      </c>
      <c r="B282">
        <v>5</v>
      </c>
      <c r="C282">
        <v>4</v>
      </c>
      <c r="D282" t="s">
        <v>124</v>
      </c>
      <c r="E282" t="str">
        <f>VLOOKUP(Tabla3[[#This Row],[Site]],Table35[],10,FALSE)</f>
        <v>8:00 P.M.</v>
      </c>
      <c r="F282" t="str">
        <f>VLOOKUP(Tabla3[[#This Row],[Site]],Table35[],11,FALSE)</f>
        <v>CT</v>
      </c>
      <c r="G282" t="str">
        <f>VLOOKUP(Tabla3[[#This Row],[Site]],Table35[],12,FALSE)</f>
        <v>4:00 A.M.</v>
      </c>
      <c r="H282" t="str">
        <f>VLOOKUP(Tabla3[[#This Row],[Site]],Table35[],13,FALSE)</f>
        <v>-</v>
      </c>
      <c r="I282" s="70" t="str">
        <f>HYPERLINK(VLOOKUP(Tabla3[[#This Row],[Site]],Table35[#All],9,FALSE))</f>
        <v>https://tools.sig.systems/site/details/289</v>
      </c>
      <c r="J282">
        <f>VLOOKUP(Tabla3[[#This Row],[Site]],Table35[],14,FALSE)</f>
        <v>0</v>
      </c>
      <c r="L282" s="34">
        <f>VLOOKUP(Tabla3[[#This Row],[Site]],Table35[#All],2,FALSE)</f>
        <v>29</v>
      </c>
      <c r="M282" s="34" t="str">
        <f>VLOOKUP(Tabla3[[#This Row],[Site]],Table35[#All],3,FALSE)</f>
        <v>5, 8, 33</v>
      </c>
      <c r="N282" s="34" t="str">
        <f>VLOOKUP(Tabla3[[#This Row],[Site]],Table35[#All],4,FALSE)</f>
        <v>4, 7, 35</v>
      </c>
      <c r="O282" s="34" t="str">
        <f>VLOOKUP(Tabla3[[#This Row],[Site]],Table35[#All],5,FALSE)</f>
        <v>-</v>
      </c>
      <c r="P282" s="34" t="str">
        <f>VLOOKUP(Tabla3[[#This Row],[Site]],Table35[#All],6,FALSE)</f>
        <v xml:space="preserve">1, 2, 14, 24, 34  </v>
      </c>
      <c r="Q282" s="34" t="str">
        <f>VLOOKUP(Tabla3[[#This Row],[Site]],Table35[#All],8,FALSE)</f>
        <v>289</v>
      </c>
      <c r="R282"/>
    </row>
    <row r="283" spans="1:18" hidden="1" x14ac:dyDescent="0.25">
      <c r="A283" t="str">
        <f>+Tabla3[[#This Row],[Site]]&amp;Tabla3[[#This Row],[Split]]</f>
        <v>(LT) Luther North Country Ford5</v>
      </c>
      <c r="B283">
        <v>5</v>
      </c>
      <c r="C283">
        <v>4</v>
      </c>
      <c r="D283" t="s">
        <v>127</v>
      </c>
      <c r="E283" t="str">
        <f>VLOOKUP(Tabla3[[#This Row],[Site]],Table35[],10,FALSE)</f>
        <v>10:00 P.M.</v>
      </c>
      <c r="F283" t="str">
        <f>VLOOKUP(Tabla3[[#This Row],[Site]],Table35[],11,FALSE)</f>
        <v>CT</v>
      </c>
      <c r="G283" t="str">
        <f>VLOOKUP(Tabla3[[#This Row],[Site]],Table35[],12,FALSE)</f>
        <v>6:00 A.M.</v>
      </c>
      <c r="H283" t="str">
        <f>VLOOKUP(Tabla3[[#This Row],[Site]],Table35[],13,FALSE)</f>
        <v>-</v>
      </c>
      <c r="I283" s="70" t="str">
        <f>HYPERLINK(VLOOKUP(Tabla3[[#This Row],[Site]],Table35[#All],9,FALSE))</f>
        <v>https://tools.sig.systems/site/details/292</v>
      </c>
      <c r="J283">
        <f>VLOOKUP(Tabla3[[#This Row],[Site]],Table35[],14,FALSE)</f>
        <v>0</v>
      </c>
      <c r="L283" s="34" t="str">
        <f>VLOOKUP(Tabla3[[#This Row],[Site]],Table35[#All],2,FALSE)</f>
        <v>-</v>
      </c>
      <c r="M283" s="34" t="str">
        <f>VLOOKUP(Tabla3[[#This Row],[Site]],Table35[#All],3,FALSE)</f>
        <v>7, 14, 19</v>
      </c>
      <c r="N283" s="34" t="str">
        <f>VLOOKUP(Tabla3[[#This Row],[Site]],Table35[#All],4,FALSE)</f>
        <v>30, 31, 32</v>
      </c>
      <c r="O283" s="34" t="str">
        <f>VLOOKUP(Tabla3[[#This Row],[Site]],Table35[#All],5,FALSE)</f>
        <v>-</v>
      </c>
      <c r="P283" s="34" t="str">
        <f>VLOOKUP(Tabla3[[#This Row],[Site]],Table35[#All],6,FALSE)</f>
        <v>1, 4, 9, 13, 15, 16B, 25</v>
      </c>
      <c r="Q283" s="34" t="str">
        <f>VLOOKUP(Tabla3[[#This Row],[Site]],Table35[#All],8,FALSE)</f>
        <v>292</v>
      </c>
      <c r="R283"/>
    </row>
    <row r="284" spans="1:18" hidden="1" x14ac:dyDescent="0.25">
      <c r="A284" t="str">
        <f>+Tabla3[[#This Row],[Site]]&amp;Tabla3[[#This Row],[Split]]</f>
        <v>(PE) JLR Englewood (NO TOURS)5</v>
      </c>
      <c r="B284">
        <v>5</v>
      </c>
      <c r="C284">
        <v>4</v>
      </c>
      <c r="D284" t="s">
        <v>218</v>
      </c>
      <c r="E284" t="str">
        <f>VLOOKUP(Tabla3[[#This Row],[Site]],Table35[],10,FALSE)</f>
        <v>8:00 P.M.</v>
      </c>
      <c r="F284" t="str">
        <f>VLOOKUP(Tabla3[[#This Row],[Site]],Table35[],11,FALSE)</f>
        <v>ET</v>
      </c>
      <c r="G284" t="str">
        <f>VLOOKUP(Tabla3[[#This Row],[Site]],Table35[],12,FALSE)</f>
        <v>5:00 A.M.</v>
      </c>
      <c r="H284" t="str">
        <f>VLOOKUP(Tabla3[[#This Row],[Site]],Table35[],13,FALSE)</f>
        <v>-</v>
      </c>
      <c r="I284" s="70" t="str">
        <f>HYPERLINK(VLOOKUP(Tabla3[[#This Row],[Site]],Table35[#All],9,FALSE))</f>
        <v>https://tools.sig.systems/site/details/178</v>
      </c>
      <c r="J284" t="str">
        <f>VLOOKUP(Tabla3[[#This Row],[Site]],Table35[],14,FALSE)</f>
        <v>https://www.google.com/maps/d/viewer?mid=1ubI2iKs1JyYXssuT4oLPnVvFnyLPi_s&amp;ll=40.878808846788026%2C-73.98560655&amp;z=17</v>
      </c>
      <c r="L284" s="34" t="str">
        <f>VLOOKUP(Tabla3[[#This Row],[Site]],Table35[#All],2,FALSE)</f>
        <v>1, 2</v>
      </c>
      <c r="M284" s="34" t="str">
        <f>VLOOKUP(Tabla3[[#This Row],[Site]],Table35[#All],3,FALSE)</f>
        <v>-</v>
      </c>
      <c r="N284" s="34" t="str">
        <f>VLOOKUP(Tabla3[[#This Row],[Site]],Table35[#All],4,FALSE)</f>
        <v>-</v>
      </c>
      <c r="O284" s="34" t="str">
        <f>VLOOKUP(Tabla3[[#This Row],[Site]],Table35[#All],5,FALSE)</f>
        <v>-</v>
      </c>
      <c r="P284" s="34" t="str">
        <f>VLOOKUP(Tabla3[[#This Row],[Site]],Table35[#All],6,FALSE)</f>
        <v>-</v>
      </c>
      <c r="Q284" s="34" t="str">
        <f>VLOOKUP(Tabla3[[#This Row],[Site]],Table35[#All],8,FALSE)</f>
        <v>178</v>
      </c>
      <c r="R284"/>
    </row>
    <row r="285" spans="1:18" hidden="1" x14ac:dyDescent="0.25">
      <c r="A285" t="str">
        <f>+Tabla3[[#This Row],[Site]]&amp;Tabla3[[#This Row],[Split]]</f>
        <v>(AS) 3281 Storage Lot (NO TOURS)5</v>
      </c>
      <c r="B285">
        <v>5</v>
      </c>
      <c r="C285">
        <v>5</v>
      </c>
      <c r="D285" t="s">
        <v>378</v>
      </c>
      <c r="E285" t="str">
        <f>VLOOKUP(Tabla3[[#This Row],[Site]],Table35[],10,FALSE)</f>
        <v>10:00 P.M.</v>
      </c>
      <c r="F285" t="str">
        <f>VLOOKUP(Tabla3[[#This Row],[Site]],Table35[],11,FALSE)</f>
        <v>CT</v>
      </c>
      <c r="G285" t="str">
        <f>VLOOKUP(Tabla3[[#This Row],[Site]],Table35[],12,FALSE)</f>
        <v>6:00 A.M.</v>
      </c>
      <c r="I285" s="70" t="str">
        <f>HYPERLINK(VLOOKUP(Tabla3[[#This Row],[Site]],Table35[#All],9,FALSE))</f>
        <v>https://tools.sig.systems/site/details/305</v>
      </c>
      <c r="J285" t="str">
        <f>VLOOKUP(Tabla3[[#This Row],[Site]],Table35[],14,FALSE)</f>
        <v>https://www.google.com/maps/d/edit?hl=es&amp;mid=1uPmsRMsXnp74hPFW2t-sp2totVWF_xY&amp;ll=32.83050137713022%2C-96.83197783061323&amp;z=17</v>
      </c>
      <c r="L285" s="34" t="str">
        <f>VLOOKUP(Tabla3[[#This Row],[Site]],Table35[#All],2,FALSE)</f>
        <v>-</v>
      </c>
      <c r="M285" s="34" t="str">
        <f>VLOOKUP(Tabla3[[#This Row],[Site]],Table35[#All],3,FALSE)</f>
        <v>2, 14</v>
      </c>
      <c r="N285" s="34" t="str">
        <f>VLOOKUP(Tabla3[[#This Row],[Site]],Table35[#All],4,FALSE)</f>
        <v>-</v>
      </c>
      <c r="O285" s="34" t="str">
        <f>VLOOKUP(Tabla3[[#This Row],[Site]],Table35[#All],5,FALSE)</f>
        <v>-</v>
      </c>
      <c r="P285" s="34" t="str">
        <f>VLOOKUP(Tabla3[[#This Row],[Site]],Table35[#All],6,FALSE)</f>
        <v>1, 3, 9, 10, 14</v>
      </c>
      <c r="Q285" s="34">
        <f>VLOOKUP(Tabla3[[#This Row],[Site]],Table35[#All],8,FALSE)</f>
        <v>305</v>
      </c>
      <c r="R285"/>
    </row>
    <row r="286" spans="1:18" hidden="1" x14ac:dyDescent="0.25">
      <c r="A286" t="str">
        <f>+Tabla3[[#This Row],[Site]]&amp;Tabla3[[#This Row],[Split]]</f>
        <v>(AS) Hare Chevrolet (NO TOURS)5</v>
      </c>
      <c r="B286">
        <v>5</v>
      </c>
      <c r="C286">
        <v>5</v>
      </c>
      <c r="D286" t="s">
        <v>379</v>
      </c>
      <c r="E286" t="str">
        <f>VLOOKUP(Tabla3[[#This Row],[Site]],Table35[],10,FALSE)</f>
        <v>9:00 P.M.</v>
      </c>
      <c r="F286" t="str">
        <f>VLOOKUP(Tabla3[[#This Row],[Site]],Table35[],11,FALSE)</f>
        <v>ET</v>
      </c>
      <c r="G286" t="str">
        <f>VLOOKUP(Tabla3[[#This Row],[Site]],Table35[],12,FALSE)</f>
        <v>5:00 A.M.</v>
      </c>
      <c r="H286" s="62" t="s">
        <v>96</v>
      </c>
      <c r="I286" s="70" t="str">
        <f>HYPERLINK(VLOOKUP(Tabla3[[#This Row],[Site]],Table35[#All],9,FALSE))</f>
        <v>https://tools.sig.systems/site/details/301</v>
      </c>
      <c r="J286" t="str">
        <f>VLOOKUP(Tabla3[[#This Row],[Site]],Table35[],14,FALSE)</f>
        <v>https://www.google.com/maps/d/edit?mid=1hsX5GGrNcCQgAuzDCDz1OWgEkhsAc78&amp;usp=sharing</v>
      </c>
      <c r="L286" s="34" t="str">
        <f>VLOOKUP(Tabla3[[#This Row],[Site]],Table35[#All],2,FALSE)</f>
        <v>18, 24</v>
      </c>
      <c r="M286" s="34" t="str">
        <f>VLOOKUP(Tabla3[[#This Row],[Site]],Table35[#All],3,FALSE)</f>
        <v>2, 3</v>
      </c>
      <c r="N286" s="34" t="str">
        <f>VLOOKUP(Tabla3[[#This Row],[Site]],Table35[#All],4,FALSE)</f>
        <v>-</v>
      </c>
      <c r="O286" s="34">
        <f>VLOOKUP(Tabla3[[#This Row],[Site]],Table35[#All],5,FALSE)</f>
        <v>5</v>
      </c>
      <c r="P286" s="34" t="str">
        <f>VLOOKUP(Tabla3[[#This Row],[Site]],Table35[#All],6,FALSE)</f>
        <v>1, 5, 7, 8, 21, 29</v>
      </c>
      <c r="Q286" s="34" t="str">
        <f>VLOOKUP(Tabla3[[#This Row],[Site]],Table35[#All],8,FALSE)</f>
        <v>301</v>
      </c>
      <c r="R286"/>
    </row>
    <row r="287" spans="1:18" hidden="1" x14ac:dyDescent="0.25">
      <c r="A287" t="str">
        <f>+Tabla3[[#This Row],[Site]]&amp;Tabla3[[#This Row],[Split]]</f>
        <v>(AS) Koons Arlington Toyota - New Car (NO TOURS)5</v>
      </c>
      <c r="B287">
        <v>5</v>
      </c>
      <c r="C287">
        <v>5</v>
      </c>
      <c r="D287" t="s">
        <v>375</v>
      </c>
      <c r="E287" t="str">
        <f>VLOOKUP(Tabla3[[#This Row],[Site]],Table35[],10,FALSE)</f>
        <v>9:00 P.M.</v>
      </c>
      <c r="F287" t="str">
        <f>VLOOKUP(Tabla3[[#This Row],[Site]],Table35[],11,FALSE)</f>
        <v>ET</v>
      </c>
      <c r="G287" t="str">
        <f>VLOOKUP(Tabla3[[#This Row],[Site]],Table35[],12,FALSE)</f>
        <v>5:00 A.M.</v>
      </c>
      <c r="H287" s="1" t="s">
        <v>69</v>
      </c>
      <c r="I287" s="70" t="str">
        <f>HYPERLINK(VLOOKUP(Tabla3[[#This Row],[Site]],Table35[#All],9,FALSE))</f>
        <v>https://tools.sig.systems/site/details/334</v>
      </c>
      <c r="J287" t="str">
        <f>VLOOKUP(Tabla3[[#This Row],[Site]],Table35[],14,FALSE)</f>
        <v>-</v>
      </c>
      <c r="L287" s="34" t="str">
        <f>VLOOKUP(Tabla3[[#This Row],[Site]],Table35[#All],2,FALSE)</f>
        <v>-</v>
      </c>
      <c r="M287" s="34" t="str">
        <f>VLOOKUP(Tabla3[[#This Row],[Site]],Table35[#All],3,FALSE)</f>
        <v>1, 3, 12, 15, 17</v>
      </c>
      <c r="N287" s="34" t="str">
        <f>VLOOKUP(Tabla3[[#This Row],[Site]],Table35[#All],4,FALSE)</f>
        <v>-</v>
      </c>
      <c r="O287" s="34" t="str">
        <f>VLOOKUP(Tabla3[[#This Row],[Site]],Table35[#All],5,FALSE)</f>
        <v>-</v>
      </c>
      <c r="P287" s="34" t="str">
        <f>VLOOKUP(Tabla3[[#This Row],[Site]],Table35[#All],6,FALSE)</f>
        <v>2, 6, 18, 20</v>
      </c>
      <c r="Q287" s="34" t="str">
        <f>VLOOKUP(Tabla3[[#This Row],[Site]],Table35[#All],8,FALSE)</f>
        <v>334</v>
      </c>
      <c r="R287"/>
    </row>
    <row r="288" spans="1:18" hidden="1" x14ac:dyDescent="0.25">
      <c r="A288" t="str">
        <f>+Tabla3[[#This Row],[Site]]&amp;Tabla3[[#This Row],[Split]]</f>
        <v>(AS) Koons Chevrolet Buick GMC - Tysons Remote Lot (NO TOURS)5</v>
      </c>
      <c r="B288">
        <v>5</v>
      </c>
      <c r="C288">
        <v>5</v>
      </c>
      <c r="D288" t="s">
        <v>374</v>
      </c>
      <c r="E288" t="str">
        <f>VLOOKUP(Tabla3[[#This Row],[Site]],Table35[],10,FALSE)</f>
        <v>9:00 P.M.</v>
      </c>
      <c r="F288" t="str">
        <f>VLOOKUP(Tabla3[[#This Row],[Site]],Table35[],11,FALSE)</f>
        <v>ET</v>
      </c>
      <c r="G288" t="str">
        <f>VLOOKUP(Tabla3[[#This Row],[Site]],Table35[],12,FALSE)</f>
        <v>5:00 A.M.</v>
      </c>
      <c r="H288" s="1" t="s">
        <v>96</v>
      </c>
      <c r="I288" s="70" t="str">
        <f>HYPERLINK(VLOOKUP(Tabla3[[#This Row],[Site]],Table35[#All],9,FALSE))</f>
        <v>https://tools.sig.systems/site/details/333</v>
      </c>
      <c r="J288" t="str">
        <f>VLOOKUP(Tabla3[[#This Row],[Site]],Table35[],14,FALSE)</f>
        <v>-</v>
      </c>
      <c r="L288" s="34" t="str">
        <f>VLOOKUP(Tabla3[[#This Row],[Site]],Table35[#All],2,FALSE)</f>
        <v>-</v>
      </c>
      <c r="M288" s="34">
        <f>VLOOKUP(Tabla3[[#This Row],[Site]],Table35[#All],3,FALSE)</f>
        <v>6</v>
      </c>
      <c r="N288" s="34" t="str">
        <f>VLOOKUP(Tabla3[[#This Row],[Site]],Table35[#All],4,FALSE)</f>
        <v>1, 2, 3</v>
      </c>
      <c r="O288" s="34" t="str">
        <f>VLOOKUP(Tabla3[[#This Row],[Site]],Table35[#All],5,FALSE)</f>
        <v>7, 10, 16, 29</v>
      </c>
      <c r="P288" s="34" t="str">
        <f>VLOOKUP(Tabla3[[#This Row],[Site]],Table35[#All],6,FALSE)</f>
        <v>14, 17, 30</v>
      </c>
      <c r="Q288" s="34" t="str">
        <f>VLOOKUP(Tabla3[[#This Row],[Site]],Table35[#All],8,FALSE)</f>
        <v>333</v>
      </c>
      <c r="R288"/>
    </row>
    <row r="289" spans="1:18" hidden="1" x14ac:dyDescent="0.25">
      <c r="A289" t="str">
        <f>+Tabla3[[#This Row],[Site]]&amp;Tabla3[[#This Row],[Split]]</f>
        <v>(AS) Koons Volvo Cars White Marsh (NO TOURS)5</v>
      </c>
      <c r="B289">
        <v>5</v>
      </c>
      <c r="C289">
        <v>5</v>
      </c>
      <c r="D289" t="s">
        <v>376</v>
      </c>
      <c r="E289" t="str">
        <f>VLOOKUP(Tabla3[[#This Row],[Site]],Table35[],10,FALSE)</f>
        <v>9:00 P.M.</v>
      </c>
      <c r="F289" t="str">
        <f>VLOOKUP(Tabla3[[#This Row],[Site]],Table35[],11,FALSE)</f>
        <v>ET</v>
      </c>
      <c r="G289" t="str">
        <f>VLOOKUP(Tabla3[[#This Row],[Site]],Table35[],12,FALSE)</f>
        <v>5:00 A.M.</v>
      </c>
      <c r="H289" s="1" t="s">
        <v>68</v>
      </c>
      <c r="I289" s="70" t="str">
        <f>HYPERLINK(VLOOKUP(Tabla3[[#This Row],[Site]],Table35[#All],9,FALSE))</f>
        <v>https://tools.sig.systems/site/details/338</v>
      </c>
      <c r="J289">
        <f>VLOOKUP(Tabla3[[#This Row],[Site]],Table35[],14,FALSE)</f>
        <v>0</v>
      </c>
      <c r="L289" s="34" t="str">
        <f>VLOOKUP(Tabla3[[#This Row],[Site]],Table35[#All],2,FALSE)</f>
        <v>-</v>
      </c>
      <c r="M289" s="34" t="str">
        <f>VLOOKUP(Tabla3[[#This Row],[Site]],Table35[#All],3,FALSE)</f>
        <v>5, 7, 9</v>
      </c>
      <c r="N289" s="34" t="str">
        <f>VLOOKUP(Tabla3[[#This Row],[Site]],Table35[#All],4,FALSE)</f>
        <v>-</v>
      </c>
      <c r="O289" s="34" t="str">
        <f>VLOOKUP(Tabla3[[#This Row],[Site]],Table35[#All],5,FALSE)</f>
        <v>-</v>
      </c>
      <c r="P289" s="34" t="str">
        <f>VLOOKUP(Tabla3[[#This Row],[Site]],Table35[#All],6,FALSE)</f>
        <v>6, 10, 1</v>
      </c>
      <c r="Q289" s="34" t="str">
        <f>VLOOKUP(Tabla3[[#This Row],[Site]],Table35[#All],8,FALSE)</f>
        <v>338</v>
      </c>
      <c r="R289"/>
    </row>
    <row r="290" spans="1:18" hidden="1" x14ac:dyDescent="0.25">
      <c r="A290" t="str">
        <f>+Tabla3[[#This Row],[Site]]&amp;Tabla3[[#This Row],[Split]]</f>
        <v>(BRL) Shoemakersville5</v>
      </c>
      <c r="B290">
        <v>5</v>
      </c>
      <c r="C290">
        <v>5</v>
      </c>
      <c r="D290" t="s">
        <v>120</v>
      </c>
      <c r="E290" t="str">
        <f>VLOOKUP(Tabla3[[#This Row],[Site]],Table35[],10,FALSE)</f>
        <v>24H</v>
      </c>
      <c r="F290" t="str">
        <f>VLOOKUP(Tabla3[[#This Row],[Site]],Table35[],11,FALSE)</f>
        <v>ET</v>
      </c>
      <c r="G290" t="str">
        <f>VLOOKUP(Tabla3[[#This Row],[Site]],Table35[],12,FALSE)</f>
        <v>-</v>
      </c>
      <c r="H290" s="1" t="s">
        <v>96</v>
      </c>
      <c r="I290" s="70" t="str">
        <f>HYPERLINK(VLOOKUP(Tabla3[[#This Row],[Site]],Table35[#All],9,FALSE))</f>
        <v>https://tools.sig.systems/site/details/302</v>
      </c>
      <c r="J290">
        <f>VLOOKUP(Tabla3[[#This Row],[Site]],Table35[],14,FALSE)</f>
        <v>0</v>
      </c>
      <c r="L290" s="34" t="str">
        <f>VLOOKUP(Tabla3[[#This Row],[Site]],Table35[#All],2,FALSE)</f>
        <v>-</v>
      </c>
      <c r="M290" s="34" t="str">
        <f>VLOOKUP(Tabla3[[#This Row],[Site]],Table35[#All],3,FALSE)</f>
        <v>8, 11</v>
      </c>
      <c r="N290" s="34" t="str">
        <f>VLOOKUP(Tabla3[[#This Row],[Site]],Table35[#All],4,FALSE)</f>
        <v>-</v>
      </c>
      <c r="O290" s="34" t="str">
        <f>VLOOKUP(Tabla3[[#This Row],[Site]],Table35[#All],5,FALSE)</f>
        <v>1, 6, 13A, 15, 18A</v>
      </c>
      <c r="P290" s="34" t="str">
        <f>VLOOKUP(Tabla3[[#This Row],[Site]],Table35[#All],6,FALSE)</f>
        <v>13B, 23</v>
      </c>
      <c r="Q290" s="34" t="str">
        <f>VLOOKUP(Tabla3[[#This Row],[Site]],Table35[#All],8,FALSE)</f>
        <v>302</v>
      </c>
      <c r="R290"/>
    </row>
    <row r="291" spans="1:18" hidden="1" x14ac:dyDescent="0.25">
      <c r="A291" t="str">
        <f>+Tabla3[[#This Row],[Site]]&amp;Tabla3[[#This Row],[Split]]</f>
        <v>(DT) Arlington5</v>
      </c>
      <c r="B291">
        <v>5</v>
      </c>
      <c r="C291">
        <v>5</v>
      </c>
      <c r="D291" t="s">
        <v>18</v>
      </c>
      <c r="E291" t="str">
        <f>VLOOKUP(Tabla3[[#This Row],[Site]],Table35[],10,FALSE)</f>
        <v>10:00 P.M.</v>
      </c>
      <c r="F291" t="str">
        <f>VLOOKUP(Tabla3[[#This Row],[Site]],Table35[],11,FALSE)</f>
        <v>CT</v>
      </c>
      <c r="G291" t="str">
        <f>VLOOKUP(Tabla3[[#This Row],[Site]],Table35[],12,FALSE)</f>
        <v>6:00 A.M.</v>
      </c>
      <c r="H291" s="1" t="s">
        <v>96</v>
      </c>
      <c r="I291" s="70" t="str">
        <f>HYPERLINK(VLOOKUP(Tabla3[[#This Row],[Site]],Table35[#All],9,FALSE))</f>
        <v>https://tools.sig.systems/site/details/199</v>
      </c>
      <c r="J291" t="str">
        <f>VLOOKUP(Tabla3[[#This Row],[Site]],Table35[],14,FALSE)</f>
        <v>-</v>
      </c>
      <c r="L291" s="34" t="str">
        <f>VLOOKUP(Tabla3[[#This Row],[Site]],Table35[#All],2,FALSE)</f>
        <v>3,8</v>
      </c>
      <c r="M291" s="34" t="str">
        <f>VLOOKUP(Tabla3[[#This Row],[Site]],Table35[#All],3,FALSE)</f>
        <v>-</v>
      </c>
      <c r="N291" s="34" t="str">
        <f>VLOOKUP(Tabla3[[#This Row],[Site]],Table35[#All],4,FALSE)</f>
        <v>-</v>
      </c>
      <c r="O291" s="34" t="str">
        <f>VLOOKUP(Tabla3[[#This Row],[Site]],Table35[#All],5,FALSE)</f>
        <v>-</v>
      </c>
      <c r="P291" s="34" t="str">
        <f>VLOOKUP(Tabla3[[#This Row],[Site]],Table35[#All],6,FALSE)</f>
        <v>3, 8, 7</v>
      </c>
      <c r="Q291" s="34" t="str">
        <f>VLOOKUP(Tabla3[[#This Row],[Site]],Table35[#All],8,FALSE)</f>
        <v>199</v>
      </c>
      <c r="R291"/>
    </row>
    <row r="292" spans="1:18" x14ac:dyDescent="0.25">
      <c r="A292" t="str">
        <f>+Tabla3[[#This Row],[Site]]&amp;Tabla3[[#This Row],[Split]]</f>
        <v>(LT) Luther Bloomington Hyundai (NO TOURS)5</v>
      </c>
      <c r="B292">
        <v>5</v>
      </c>
      <c r="C292">
        <v>5</v>
      </c>
      <c r="D292" t="s">
        <v>456</v>
      </c>
      <c r="E292" t="str">
        <f>VLOOKUP(Tabla3[[#This Row],[Site]],Table35[],10,FALSE)</f>
        <v>10:00 P.M.</v>
      </c>
      <c r="F292" t="str">
        <f>VLOOKUP(Tabla3[[#This Row],[Site]],Table35[],11,FALSE)</f>
        <v>CT</v>
      </c>
      <c r="G292" t="str">
        <f>VLOOKUP(Tabla3[[#This Row],[Site]],Table35[],12,FALSE)</f>
        <v>4:00 A.M.</v>
      </c>
      <c r="H292" s="1" t="s">
        <v>96</v>
      </c>
      <c r="I292" s="70" t="str">
        <f>HYPERLINK(VLOOKUP(Tabla3[[#This Row],[Site]],Table35[#All],9,FALSE))</f>
        <v>https://tools.sig.systems/site/details/318</v>
      </c>
      <c r="J292">
        <f>VLOOKUP(Tabla3[[#This Row],[Site]],Table35[],14,FALSE)</f>
        <v>0</v>
      </c>
      <c r="L292" s="34" t="str">
        <f>VLOOKUP(Tabla3[[#This Row],[Site]],Table35[#All],2,FALSE)</f>
        <v>-</v>
      </c>
      <c r="M292" s="34" t="str">
        <f>VLOOKUP(Tabla3[[#This Row],[Site]],Table35[#All],3,FALSE)</f>
        <v>6, 9, 13</v>
      </c>
      <c r="N292" s="34" t="str">
        <f>VLOOKUP(Tabla3[[#This Row],[Site]],Table35[#All],4,FALSE)</f>
        <v>58, 59</v>
      </c>
      <c r="O292" s="34">
        <f>VLOOKUP(Tabla3[[#This Row],[Site]],Table35[#All],5,FALSE)</f>
        <v>10</v>
      </c>
      <c r="P292" s="34" t="str">
        <f>VLOOKUP(Tabla3[[#This Row],[Site]],Table35[#All],6,FALSE)</f>
        <v>11, 18</v>
      </c>
      <c r="Q292" s="34" t="str">
        <f>VLOOKUP(Tabla3[[#This Row],[Site]],Table35[#All],8,FALSE)</f>
        <v>318</v>
      </c>
      <c r="R292"/>
    </row>
    <row r="293" spans="1:18" hidden="1" x14ac:dyDescent="0.25">
      <c r="A293" t="str">
        <f>+Tabla3[[#This Row],[Site]]&amp;Tabla3[[#This Row],[Split]]</f>
        <v>(LT) Luther Landers Recon Center5</v>
      </c>
      <c r="B293">
        <v>5</v>
      </c>
      <c r="C293">
        <v>5</v>
      </c>
      <c r="D293" t="s">
        <v>255</v>
      </c>
      <c r="E293" t="str">
        <f>VLOOKUP(Tabla3[[#This Row],[Site]],Table35[],10,FALSE)</f>
        <v>10:00 P.M.</v>
      </c>
      <c r="F293" t="str">
        <f>VLOOKUP(Tabla3[[#This Row],[Site]],Table35[],11,FALSE)</f>
        <v>CT</v>
      </c>
      <c r="G293" t="str">
        <f>VLOOKUP(Tabla3[[#This Row],[Site]],Table35[],12,FALSE)</f>
        <v>6:00 A.M.</v>
      </c>
      <c r="H293" s="1" t="s">
        <v>96</v>
      </c>
      <c r="I293" s="70" t="str">
        <f>HYPERLINK(VLOOKUP(Tabla3[[#This Row],[Site]],Table35[#All],9,FALSE))</f>
        <v>https://tools.sig.systems/site/details/323</v>
      </c>
      <c r="J293" t="str">
        <f>VLOOKUP(Tabla3[[#This Row],[Site]],Table35[],14,FALSE)</f>
        <v>https://www.google.com/maps/d/u/1/edit?mid=1-zEzsc6U6nZom08edp0XAd3_HYFvAyk&amp;usp=sharing</v>
      </c>
      <c r="L293" s="34" t="str">
        <f>VLOOKUP(Tabla3[[#This Row],[Site]],Table35[#All],2,FALSE)</f>
        <v>2, 4</v>
      </c>
      <c r="M293" s="34" t="str">
        <f>VLOOKUP(Tabla3[[#This Row],[Site]],Table35[#All],3,FALSE)</f>
        <v>-</v>
      </c>
      <c r="N293" s="34" t="str">
        <f>VLOOKUP(Tabla3[[#This Row],[Site]],Table35[#All],4,FALSE)</f>
        <v>-</v>
      </c>
      <c r="O293" s="34" t="str">
        <f>VLOOKUP(Tabla3[[#This Row],[Site]],Table35[#All],5,FALSE)</f>
        <v>-</v>
      </c>
      <c r="P293" s="34" t="str">
        <f>VLOOKUP(Tabla3[[#This Row],[Site]],Table35[#All],6,FALSE)</f>
        <v>3, 9, 11</v>
      </c>
      <c r="Q293" s="34" t="str">
        <f>VLOOKUP(Tabla3[[#This Row],[Site]],Table35[#All],8,FALSE)</f>
        <v>323</v>
      </c>
      <c r="R293"/>
    </row>
    <row r="294" spans="1:18" hidden="1" x14ac:dyDescent="0.25">
      <c r="A294" t="str">
        <f>+Tabla3[[#This Row],[Site]]&amp;Tabla3[[#This Row],[Split]]</f>
        <v>(LT) Luther St. Cloud Subaru5</v>
      </c>
      <c r="B294">
        <v>5</v>
      </c>
      <c r="C294">
        <v>5</v>
      </c>
      <c r="D294" t="s">
        <v>128</v>
      </c>
      <c r="E294" t="str">
        <f>VLOOKUP(Tabla3[[#This Row],[Site]],Table35[],10,FALSE)</f>
        <v>10:00 P.M.</v>
      </c>
      <c r="F294" t="str">
        <f>VLOOKUP(Tabla3[[#This Row],[Site]],Table35[],11,FALSE)</f>
        <v>CT</v>
      </c>
      <c r="G294" t="str">
        <f>VLOOKUP(Tabla3[[#This Row],[Site]],Table35[],12,FALSE)</f>
        <v>5:30 A.M.</v>
      </c>
      <c r="H294" s="1" t="s">
        <v>96</v>
      </c>
      <c r="I294" s="70" t="str">
        <f>HYPERLINK(VLOOKUP(Tabla3[[#This Row],[Site]],Table35[#All],9,FALSE))</f>
        <v>https://tools.sig.systems/site/details/295</v>
      </c>
      <c r="J294">
        <f>VLOOKUP(Tabla3[[#This Row],[Site]],Table35[],14,FALSE)</f>
        <v>0</v>
      </c>
      <c r="L294" s="34" t="str">
        <f>VLOOKUP(Tabla3[[#This Row],[Site]],Table35[#All],2,FALSE)</f>
        <v>25, 31</v>
      </c>
      <c r="M294" s="34" t="str">
        <f>VLOOKUP(Tabla3[[#This Row],[Site]],Table35[#All],3,FALSE)</f>
        <v>9, 13, 20</v>
      </c>
      <c r="N294" s="34" t="str">
        <f>VLOOKUP(Tabla3[[#This Row],[Site]],Table35[#All],4,FALSE)</f>
        <v>38, 39, 40, 41</v>
      </c>
      <c r="O294" s="34">
        <f>VLOOKUP(Tabla3[[#This Row],[Site]],Table35[#All],5,FALSE)</f>
        <v>27</v>
      </c>
      <c r="P294" s="34" t="str">
        <f>VLOOKUP(Tabla3[[#This Row],[Site]],Table35[#All],6,FALSE)</f>
        <v>2, 6, 8, 11, 14, 19, 23, 26</v>
      </c>
      <c r="Q294" s="34" t="str">
        <f>VLOOKUP(Tabla3[[#This Row],[Site]],Table35[#All],8,FALSE)</f>
        <v>295</v>
      </c>
      <c r="R294"/>
    </row>
    <row r="295" spans="1:18" hidden="1" x14ac:dyDescent="0.25">
      <c r="A295" t="str">
        <f>+Tabla3[[#This Row],[Site]]&amp;Tabla3[[#This Row],[Split]]</f>
        <v>(SCH) Schumacher of Delray I &amp; III5</v>
      </c>
      <c r="B295">
        <v>5</v>
      </c>
      <c r="C295">
        <v>5</v>
      </c>
      <c r="D295" t="s">
        <v>385</v>
      </c>
      <c r="E295" t="str">
        <f>VLOOKUP(Tabla3[[#This Row],[Site]],Table35[],10,FALSE)</f>
        <v>9:00 P.M.</v>
      </c>
      <c r="F295" t="str">
        <f>VLOOKUP(Tabla3[[#This Row],[Site]],Table35[],11,FALSE)</f>
        <v>ET</v>
      </c>
      <c r="G295" t="str">
        <f>VLOOKUP(Tabla3[[#This Row],[Site]],Table35[],12,FALSE)</f>
        <v>5:00 A.M.</v>
      </c>
      <c r="H295" s="1" t="s">
        <v>96</v>
      </c>
      <c r="I295" s="70" t="str">
        <f>HYPERLINK(VLOOKUP(Tabla3[[#This Row],[Site]],Table35[#All],9,FALSE))</f>
        <v>https://tools.sig.systems/site/details/159</v>
      </c>
      <c r="J295" t="str">
        <f>VLOOKUP(Tabla3[[#This Row],[Site]],Table35[],14,FALSE)</f>
        <v>https://www.google.com/maps/d/viewer?mid=1ZLGV-cDM9aCfovhmXHIAXgVOKts0dEI&amp;ll=26.438859950088858%2C-80.07968125000001&amp;z=16</v>
      </c>
      <c r="L295" s="34" t="str">
        <f>VLOOKUP(Tabla3[[#This Row],[Site]],Table35[#All],2,FALSE)</f>
        <v>11, 21, 22, 57, 69</v>
      </c>
      <c r="M295" s="34" t="str">
        <f>VLOOKUP(Tabla3[[#This Row],[Site]],Table35[#All],3,FALSE)</f>
        <v>2, 16, 46</v>
      </c>
      <c r="N295" s="34" t="str">
        <f>VLOOKUP(Tabla3[[#This Row],[Site]],Table35[#All],4,FALSE)</f>
        <v>-</v>
      </c>
      <c r="O295" s="34" t="str">
        <f>VLOOKUP(Tabla3[[#This Row],[Site]],Table35[#All],5,FALSE)</f>
        <v>-</v>
      </c>
      <c r="P295" s="34" t="str">
        <f>VLOOKUP(Tabla3[[#This Row],[Site]],Table35[#All],6,FALSE)</f>
        <v>24, 39</v>
      </c>
      <c r="Q295" s="34" t="str">
        <f>VLOOKUP(Tabla3[[#This Row],[Site]],Table35[#All],8,FALSE)</f>
        <v>159</v>
      </c>
      <c r="R295"/>
    </row>
    <row r="296" spans="1:18" hidden="1" x14ac:dyDescent="0.25">
      <c r="A296" t="str">
        <f>+Tabla3[[#This Row],[Site]]&amp;Tabla3[[#This Row],[Split]]</f>
        <v>(TC) Lamborghini South Dade5</v>
      </c>
      <c r="B296">
        <v>5</v>
      </c>
      <c r="C296">
        <v>5</v>
      </c>
      <c r="D296" t="s">
        <v>237</v>
      </c>
      <c r="E296" t="str">
        <f>VLOOKUP(Tabla3[[#This Row],[Site]],Table35[],10,FALSE)</f>
        <v>9:00 P.M.</v>
      </c>
      <c r="F296" t="str">
        <f>VLOOKUP(Tabla3[[#This Row],[Site]],Table35[],11,FALSE)</f>
        <v>ET</v>
      </c>
      <c r="G296" t="str">
        <f>VLOOKUP(Tabla3[[#This Row],[Site]],Table35[],12,FALSE)</f>
        <v>5:00 A.M.</v>
      </c>
      <c r="H296" s="1" t="s">
        <v>96</v>
      </c>
      <c r="I296" s="70" t="str">
        <f>HYPERLINK(VLOOKUP(Tabla3[[#This Row],[Site]],Table35[#All],9,FALSE))</f>
        <v>https://tools.sig.systems/site/details/313</v>
      </c>
      <c r="J296">
        <f>VLOOKUP(Tabla3[[#This Row],[Site]],Table35[],14,FALSE)</f>
        <v>0</v>
      </c>
      <c r="L296" s="34" t="str">
        <f>VLOOKUP(Tabla3[[#This Row],[Site]],Table35[#All],2,FALSE)</f>
        <v>-</v>
      </c>
      <c r="M296" s="34" t="str">
        <f>VLOOKUP(Tabla3[[#This Row],[Site]],Table35[#All],3,FALSE)</f>
        <v>9, 11</v>
      </c>
      <c r="N296" s="34" t="str">
        <f>VLOOKUP(Tabla3[[#This Row],[Site]],Table35[#All],4,FALSE)</f>
        <v>-</v>
      </c>
      <c r="O296" s="34" t="str">
        <f>VLOOKUP(Tabla3[[#This Row],[Site]],Table35[#All],5,FALSE)</f>
        <v>-</v>
      </c>
      <c r="P296" s="34" t="str">
        <f>VLOOKUP(Tabla3[[#This Row],[Site]],Table35[#All],6,FALSE)</f>
        <v>-</v>
      </c>
      <c r="Q296" s="34" t="str">
        <f>VLOOKUP(Tabla3[[#This Row],[Site]],Table35[#All],8,FALSE)</f>
        <v>313</v>
      </c>
      <c r="R296"/>
    </row>
    <row r="297" spans="1:18" hidden="1" x14ac:dyDescent="0.25">
      <c r="A297" t="str">
        <f>+Tabla3[[#This Row],[Site]]&amp;Tabla3[[#This Row],[Split]]</f>
        <v>(AS) 3281 Storage Lot (NO TOURS)6</v>
      </c>
      <c r="B297">
        <v>6</v>
      </c>
      <c r="C297">
        <v>1</v>
      </c>
      <c r="D297" t="s">
        <v>378</v>
      </c>
      <c r="E297" t="str">
        <f>VLOOKUP(Tabla3[[#This Row],[Site]],Table35[],10,FALSE)</f>
        <v>10:00 P.M.</v>
      </c>
      <c r="F297" t="str">
        <f>VLOOKUP(Tabla3[[#This Row],[Site]],Table35[],11,FALSE)</f>
        <v>CT</v>
      </c>
      <c r="G297" t="str">
        <f>VLOOKUP(Tabla3[[#This Row],[Site]],Table35[],12,FALSE)</f>
        <v>6:00 A.M.</v>
      </c>
      <c r="H297" s="1" t="s">
        <v>68</v>
      </c>
      <c r="I297" s="70" t="str">
        <f>HYPERLINK(VLOOKUP(Tabla3[[#This Row],[Site]],Table35[#All],9,FALSE))</f>
        <v>https://tools.sig.systems/site/details/305</v>
      </c>
      <c r="J297" t="str">
        <f>VLOOKUP(Tabla3[[#This Row],[Site]],Table35[],14,FALSE)</f>
        <v>https://www.google.com/maps/d/edit?hl=es&amp;mid=1uPmsRMsXnp74hPFW2t-sp2totVWF_xY&amp;ll=32.83050137713022%2C-96.83197783061323&amp;z=17</v>
      </c>
      <c r="L297" s="34" t="str">
        <f>VLOOKUP(Tabla3[[#This Row],[Site]],Table35[#All],2,FALSE)</f>
        <v>-</v>
      </c>
      <c r="M297" s="34" t="str">
        <f>VLOOKUP(Tabla3[[#This Row],[Site]],Table35[#All],3,FALSE)</f>
        <v>2, 14</v>
      </c>
      <c r="N297" s="34" t="str">
        <f>VLOOKUP(Tabla3[[#This Row],[Site]],Table35[#All],4,FALSE)</f>
        <v>-</v>
      </c>
      <c r="O297" s="34" t="str">
        <f>VLOOKUP(Tabla3[[#This Row],[Site]],Table35[#All],5,FALSE)</f>
        <v>-</v>
      </c>
      <c r="P297" s="34" t="str">
        <f>VLOOKUP(Tabla3[[#This Row],[Site]],Table35[#All],6,FALSE)</f>
        <v>1, 3, 9, 10, 14</v>
      </c>
      <c r="Q297" s="34">
        <f>VLOOKUP(Tabla3[[#This Row],[Site]],Table35[#All],8,FALSE)</f>
        <v>305</v>
      </c>
      <c r="R297"/>
    </row>
    <row r="298" spans="1:18" hidden="1" x14ac:dyDescent="0.25">
      <c r="A298" t="str">
        <f>+Tabla3[[#This Row],[Site]]&amp;Tabla3[[#This Row],[Split]]</f>
        <v>(AS) Koons Annapolis Toyota (NO TOURS)6</v>
      </c>
      <c r="B298">
        <v>6</v>
      </c>
      <c r="C298">
        <v>1</v>
      </c>
      <c r="D298" t="s">
        <v>447</v>
      </c>
      <c r="E298" t="str">
        <f>VLOOKUP(Tabla3[[#This Row],[Site]],Table35[],10,FALSE)</f>
        <v>9:00 P.M.</v>
      </c>
      <c r="F298" t="str">
        <f>VLOOKUP(Tabla3[[#This Row],[Site]],Table35[],11,FALSE)</f>
        <v>ET</v>
      </c>
      <c r="G298" t="str">
        <f>VLOOKUP(Tabla3[[#This Row],[Site]],Table35[],12,FALSE)</f>
        <v>5:00 A.M.</v>
      </c>
      <c r="H298" s="1" t="s">
        <v>68</v>
      </c>
      <c r="I298" s="70" t="str">
        <f>HYPERLINK(VLOOKUP(Tabla3[[#This Row],[Site]],Table35[#All],9,FALSE))</f>
        <v>https://tools.sig.systems/site/details/337</v>
      </c>
      <c r="J298" t="str">
        <f>VLOOKUP(Tabla3[[#This Row],[Site]],Table35[],14,FALSE)</f>
        <v>-</v>
      </c>
      <c r="L298" s="34">
        <f>VLOOKUP(Tabla3[[#This Row],[Site]],Table35[#All],2,FALSE)</f>
        <v>6</v>
      </c>
      <c r="M298" s="34" t="str">
        <f>VLOOKUP(Tabla3[[#This Row],[Site]],Table35[#All],3,FALSE)</f>
        <v>1, 6, 21</v>
      </c>
      <c r="N298" s="34" t="str">
        <f>VLOOKUP(Tabla3[[#This Row],[Site]],Table35[#All],4,FALSE)</f>
        <v>-</v>
      </c>
      <c r="O298" s="34" t="str">
        <f>VLOOKUP(Tabla3[[#This Row],[Site]],Table35[#All],5,FALSE)</f>
        <v>-</v>
      </c>
      <c r="P298" s="34" t="str">
        <f>VLOOKUP(Tabla3[[#This Row],[Site]],Table35[#All],6,FALSE)</f>
        <v>3, 5, 7, 19</v>
      </c>
      <c r="Q298" s="34" t="str">
        <f>VLOOKUP(Tabla3[[#This Row],[Site]],Table35[#All],8,FALSE)</f>
        <v>337</v>
      </c>
      <c r="R298"/>
    </row>
    <row r="299" spans="1:18" hidden="1" x14ac:dyDescent="0.25">
      <c r="A299" t="str">
        <f>+Tabla3[[#This Row],[Site]]&amp;Tabla3[[#This Row],[Split]]</f>
        <v>(AS) Koons Chevrolet Buick GMC - Clarksville (NO TOURS)6</v>
      </c>
      <c r="B299">
        <v>6</v>
      </c>
      <c r="C299">
        <v>1</v>
      </c>
      <c r="D299" t="s">
        <v>382</v>
      </c>
      <c r="E299" t="str">
        <f>VLOOKUP(Tabla3[[#This Row],[Site]],Table35[],10,FALSE)</f>
        <v>9:00 P.M.</v>
      </c>
      <c r="F299" t="str">
        <f>VLOOKUP(Tabla3[[#This Row],[Site]],Table35[],11,FALSE)</f>
        <v>ET</v>
      </c>
      <c r="G299" t="str">
        <f>VLOOKUP(Tabla3[[#This Row],[Site]],Table35[],12,FALSE)</f>
        <v>5:00 A.M.</v>
      </c>
      <c r="H299" s="1" t="s">
        <v>96</v>
      </c>
      <c r="I299" s="70" t="str">
        <f>HYPERLINK(VLOOKUP(Tabla3[[#This Row],[Site]],Table35[#All],9,FALSE))</f>
        <v>https://tools.sig.systems/site/details/306</v>
      </c>
      <c r="J299" t="str">
        <f>VLOOKUP(Tabla3[[#This Row],[Site]],Table35[],14,FALSE)</f>
        <v>https://www.google.com/maps/d/edit?hl=es&amp;mid=11XB1lTSP7EcDCDvzypdUPWP6bWCNAEI&amp;ll=39.21145022420528%2C-76.94003711910554&amp;z=17</v>
      </c>
      <c r="L299" s="34" t="str">
        <f>VLOOKUP(Tabla3[[#This Row],[Site]],Table35[#All],2,FALSE)</f>
        <v>-</v>
      </c>
      <c r="M299" s="34" t="str">
        <f>VLOOKUP(Tabla3[[#This Row],[Site]],Table35[#All],3,FALSE)</f>
        <v>1, 22, 26, 28, 29</v>
      </c>
      <c r="N299" s="34" t="str">
        <f>VLOOKUP(Tabla3[[#This Row],[Site]],Table35[#All],4,FALSE)</f>
        <v>-</v>
      </c>
      <c r="O299" s="34" t="str">
        <f>VLOOKUP(Tabla3[[#This Row],[Site]],Table35[#All],5,FALSE)</f>
        <v>-</v>
      </c>
      <c r="P299" s="34" t="str">
        <f>VLOOKUP(Tabla3[[#This Row],[Site]],Table35[#All],6,FALSE)</f>
        <v>3, 11, 15, 23</v>
      </c>
      <c r="Q299" s="34" t="str">
        <f>VLOOKUP(Tabla3[[#This Row],[Site]],Table35[#All],8,FALSE)</f>
        <v>306</v>
      </c>
      <c r="R299"/>
    </row>
    <row r="300" spans="1:18" hidden="1" x14ac:dyDescent="0.25">
      <c r="A300" t="str">
        <f>+Tabla3[[#This Row],[Site]]&amp;Tabla3[[#This Row],[Split]]</f>
        <v>(AS) Koons Sterling Ford - Main Dealership (NO TOURS)6</v>
      </c>
      <c r="B300">
        <v>6</v>
      </c>
      <c r="C300">
        <v>1</v>
      </c>
      <c r="D300" t="s">
        <v>408</v>
      </c>
      <c r="E300" t="str">
        <f>VLOOKUP(Tabla3[[#This Row],[Site]],Table35[],10,FALSE)</f>
        <v>9:00 P.M.</v>
      </c>
      <c r="F300" t="str">
        <f>VLOOKUP(Tabla3[[#This Row],[Site]],Table35[],11,FALSE)</f>
        <v>ET</v>
      </c>
      <c r="G300" t="str">
        <f>VLOOKUP(Tabla3[[#This Row],[Site]],Table35[],12,FALSE)</f>
        <v>5:00 A.M.</v>
      </c>
      <c r="H300" s="1" t="s">
        <v>96</v>
      </c>
      <c r="I300" s="70" t="str">
        <f>HYPERLINK(VLOOKUP(Tabla3[[#This Row],[Site]],Table35[#All],9,FALSE))</f>
        <v>https://tools.sig.systems/site/details/348</v>
      </c>
      <c r="J300">
        <f>VLOOKUP(Tabla3[[#This Row],[Site]],Table35[],14,FALSE)</f>
        <v>0</v>
      </c>
      <c r="L300" s="34">
        <f>VLOOKUP(Tabla3[[#This Row],[Site]],Table35[#All],2,FALSE)</f>
        <v>19</v>
      </c>
      <c r="M300" s="34">
        <f>VLOOKUP(Tabla3[[#This Row],[Site]],Table35[#All],3,FALSE)</f>
        <v>3</v>
      </c>
      <c r="N300" s="34" t="str">
        <f>VLOOKUP(Tabla3[[#This Row],[Site]],Table35[#All],4,FALSE)</f>
        <v>-</v>
      </c>
      <c r="O300" s="34" t="str">
        <f>VLOOKUP(Tabla3[[#This Row],[Site]],Table35[#All],5,FALSE)</f>
        <v>4, 21</v>
      </c>
      <c r="P300" s="34" t="str">
        <f>VLOOKUP(Tabla3[[#This Row],[Site]],Table35[#All],6,FALSE)</f>
        <v>7, 8</v>
      </c>
      <c r="Q300" s="34" t="str">
        <f>VLOOKUP(Tabla3[[#This Row],[Site]],Table35[#All],8,FALSE)</f>
        <v>348</v>
      </c>
      <c r="R300"/>
    </row>
    <row r="301" spans="1:18" hidden="1" x14ac:dyDescent="0.25">
      <c r="A301" t="str">
        <f>+Tabla3[[#This Row],[Site]]&amp;Tabla3[[#This Row],[Split]]</f>
        <v>(AS) Koons Woodbridge Kia (NO TOURS)6</v>
      </c>
      <c r="B301">
        <v>6</v>
      </c>
      <c r="C301">
        <v>1</v>
      </c>
      <c r="D301" t="s">
        <v>407</v>
      </c>
      <c r="E301" t="str">
        <f>VLOOKUP(Tabla3[[#This Row],[Site]],Table35[],10,FALSE)</f>
        <v>9:00 P.M.</v>
      </c>
      <c r="F301" t="str">
        <f>VLOOKUP(Tabla3[[#This Row],[Site]],Table35[],11,FALSE)</f>
        <v>ET</v>
      </c>
      <c r="G301" t="str">
        <f>VLOOKUP(Tabla3[[#This Row],[Site]],Table35[],12,FALSE)</f>
        <v>5:00 A.M.</v>
      </c>
      <c r="H301" s="1" t="s">
        <v>96</v>
      </c>
      <c r="I301" s="70" t="str">
        <f>HYPERLINK(VLOOKUP(Tabla3[[#This Row],[Site]],Table35[#All],9,FALSE))</f>
        <v>https://tools.sig.systems/site/details/346</v>
      </c>
      <c r="J301" t="str">
        <f>VLOOKUP(Tabla3[[#This Row],[Site]],Table35[],14,FALSE)</f>
        <v>-</v>
      </c>
      <c r="L301" s="34" t="str">
        <f>VLOOKUP(Tabla3[[#This Row],[Site]],Table35[#All],2,FALSE)</f>
        <v>-</v>
      </c>
      <c r="M301" s="34">
        <f>VLOOKUP(Tabla3[[#This Row],[Site]],Table35[#All],3,FALSE)</f>
        <v>2</v>
      </c>
      <c r="N301" s="34" t="str">
        <f>VLOOKUP(Tabla3[[#This Row],[Site]],Table35[#All],4,FALSE)</f>
        <v>-</v>
      </c>
      <c r="O301" s="34" t="str">
        <f>VLOOKUP(Tabla3[[#This Row],[Site]],Table35[#All],5,FALSE)</f>
        <v>-</v>
      </c>
      <c r="P301" s="34">
        <f>VLOOKUP(Tabla3[[#This Row],[Site]],Table35[#All],6,FALSE)</f>
        <v>5</v>
      </c>
      <c r="Q301" s="34" t="str">
        <f>VLOOKUP(Tabla3[[#This Row],[Site]],Table35[#All],8,FALSE)</f>
        <v>346</v>
      </c>
      <c r="R301"/>
    </row>
    <row r="302" spans="1:18" hidden="1" x14ac:dyDescent="0.25">
      <c r="A302" t="str">
        <f>+Tabla3[[#This Row],[Site]]&amp;Tabla3[[#This Row],[Split]]</f>
        <v>(DT) Charlotte6</v>
      </c>
      <c r="B302">
        <v>6</v>
      </c>
      <c r="C302">
        <v>1</v>
      </c>
      <c r="D302" t="s">
        <v>151</v>
      </c>
      <c r="E302" t="str">
        <f>VLOOKUP(Tabla3[[#This Row],[Site]],Table35[],10,FALSE)</f>
        <v>9:00 P.M.</v>
      </c>
      <c r="F302" t="str">
        <f>VLOOKUP(Tabla3[[#This Row],[Site]],Table35[],11,FALSE)</f>
        <v>ET</v>
      </c>
      <c r="G302" t="str">
        <f>VLOOKUP(Tabla3[[#This Row],[Site]],Table35[],12,FALSE)</f>
        <v>5:00 A.M.</v>
      </c>
      <c r="H302" s="1" t="s">
        <v>96</v>
      </c>
      <c r="I302" s="70" t="str">
        <f>HYPERLINK(VLOOKUP(Tabla3[[#This Row],[Site]],Table35[#All],9,FALSE))</f>
        <v>https://tools.sig.systems/site/details/299</v>
      </c>
      <c r="J302">
        <f>VLOOKUP(Tabla3[[#This Row],[Site]],Table35[],14,FALSE)</f>
        <v>0</v>
      </c>
      <c r="L302" s="34" t="str">
        <f>VLOOKUP(Tabla3[[#This Row],[Site]],Table35[#All],2,FALSE)</f>
        <v>4, 25, 41</v>
      </c>
      <c r="M302" s="34" t="str">
        <f>VLOOKUP(Tabla3[[#This Row],[Site]],Table35[#All],3,FALSE)</f>
        <v>-</v>
      </c>
      <c r="N302" s="34" t="str">
        <f>VLOOKUP(Tabla3[[#This Row],[Site]],Table35[#All],4,FALSE)</f>
        <v>-</v>
      </c>
      <c r="O302" s="34" t="str">
        <f>VLOOKUP(Tabla3[[#This Row],[Site]],Table35[#All],5,FALSE)</f>
        <v xml:space="preserve">11, 32, 35 </v>
      </c>
      <c r="P302" s="34" t="str">
        <f>VLOOKUP(Tabla3[[#This Row],[Site]],Table35[#All],6,FALSE)</f>
        <v>6, 11, 18, 29, 34,  38, 39</v>
      </c>
      <c r="Q302" s="34" t="str">
        <f>VLOOKUP(Tabla3[[#This Row],[Site]],Table35[#All],8,FALSE)</f>
        <v>299</v>
      </c>
      <c r="R302"/>
    </row>
    <row r="303" spans="1:18" hidden="1" x14ac:dyDescent="0.25">
      <c r="A303" t="str">
        <f>+Tabla3[[#This Row],[Site]]&amp;Tabla3[[#This Row],[Split]]</f>
        <v>(LT) Luther Brookdale Toyota6</v>
      </c>
      <c r="B303">
        <v>6</v>
      </c>
      <c r="C303">
        <v>1</v>
      </c>
      <c r="D303" t="s">
        <v>126</v>
      </c>
      <c r="E303" t="str">
        <f>VLOOKUP(Tabla3[[#This Row],[Site]],Table35[],10,FALSE)</f>
        <v>7:00 P.M.</v>
      </c>
      <c r="F303" t="str">
        <f>VLOOKUP(Tabla3[[#This Row],[Site]],Table35[],11,FALSE)</f>
        <v>CT</v>
      </c>
      <c r="G303" t="str">
        <f>VLOOKUP(Tabla3[[#This Row],[Site]],Table35[],12,FALSE)</f>
        <v>5:00 A.M.</v>
      </c>
      <c r="H303" s="1" t="s">
        <v>96</v>
      </c>
      <c r="I303" s="70" t="str">
        <f>HYPERLINK(VLOOKUP(Tabla3[[#This Row],[Site]],Table35[#All],9,FALSE))</f>
        <v>https://tools.sig.systems/site/details/281</v>
      </c>
      <c r="J303" t="str">
        <f>VLOOKUP(Tabla3[[#This Row],[Site]],Table35[],14,FALSE)</f>
        <v>https://www.google.com/maps/d/viewer?mid=1ot0ILX76JMuvd9yMuqkb4_e0yH1n7TA&amp;ll=45.07815812965141%2C-93.33506855000002&amp;z=17</v>
      </c>
      <c r="L303" s="34" t="str">
        <f>VLOOKUP(Tabla3[[#This Row],[Site]],Table35[#All],2,FALSE)</f>
        <v>-</v>
      </c>
      <c r="M303" s="34" t="str">
        <f>VLOOKUP(Tabla3[[#This Row],[Site]],Table35[#All],3,FALSE)</f>
        <v>5, 7</v>
      </c>
      <c r="N303" s="34">
        <f>VLOOKUP(Tabla3[[#This Row],[Site]],Table35[#All],4,FALSE)</f>
        <v>29</v>
      </c>
      <c r="O303" s="34">
        <f>VLOOKUP(Tabla3[[#This Row],[Site]],Table35[#All],5,FALSE)</f>
        <v>20</v>
      </c>
      <c r="P303" s="34" t="str">
        <f>VLOOKUP(Tabla3[[#This Row],[Site]],Table35[#All],6,FALSE)</f>
        <v xml:space="preserve">1, 2, 4, 10, 18, 24, 25 </v>
      </c>
      <c r="Q303" s="34" t="str">
        <f>VLOOKUP(Tabla3[[#This Row],[Site]],Table35[#All],8,FALSE)</f>
        <v>281</v>
      </c>
      <c r="R303"/>
    </row>
    <row r="304" spans="1:18" hidden="1" x14ac:dyDescent="0.25">
      <c r="A304" t="str">
        <f>+Tabla3[[#This Row],[Site]]&amp;Tabla3[[#This Row],[Split]]</f>
        <v>(LT) Luther Burnsville Hyundai6</v>
      </c>
      <c r="B304">
        <v>6</v>
      </c>
      <c r="C304">
        <v>1</v>
      </c>
      <c r="D304" t="s">
        <v>284</v>
      </c>
      <c r="E304" t="str">
        <f>VLOOKUP(Tabla3[[#This Row],[Site]],Table35[],10,FALSE)</f>
        <v>10:00 P.M.</v>
      </c>
      <c r="F304" t="str">
        <f>VLOOKUP(Tabla3[[#This Row],[Site]],Table35[],11,FALSE)</f>
        <v>CT</v>
      </c>
      <c r="G304" t="str">
        <f>VLOOKUP(Tabla3[[#This Row],[Site]],Table35[],12,FALSE)</f>
        <v>6:00 A.M.</v>
      </c>
      <c r="H304" s="1" t="s">
        <v>68</v>
      </c>
      <c r="I304" s="70" t="str">
        <f>HYPERLINK(VLOOKUP(Tabla3[[#This Row],[Site]],Table35[#All],9,FALSE))</f>
        <v>https://tools.sig.systems/site/details/307</v>
      </c>
      <c r="J304">
        <f>VLOOKUP(Tabla3[[#This Row],[Site]],Table35[],14,FALSE)</f>
        <v>0</v>
      </c>
      <c r="L304" s="34" t="str">
        <f>VLOOKUP(Tabla3[[#This Row],[Site]],Table35[#All],2,FALSE)</f>
        <v>-</v>
      </c>
      <c r="M304" s="34" t="str">
        <f>VLOOKUP(Tabla3[[#This Row],[Site]],Table35[#All],3,FALSE)</f>
        <v>6, 17</v>
      </c>
      <c r="N304" s="34" t="str">
        <f>VLOOKUP(Tabla3[[#This Row],[Site]],Table35[#All],4,FALSE)</f>
        <v>22, 21</v>
      </c>
      <c r="O304" s="34">
        <f>VLOOKUP(Tabla3[[#This Row],[Site]],Table35[#All],5,FALSE)</f>
        <v>7</v>
      </c>
      <c r="P304" s="34" t="str">
        <f>VLOOKUP(Tabla3[[#This Row],[Site]],Table35[#All],6,FALSE)</f>
        <v>2, 4, 16</v>
      </c>
      <c r="Q304" s="34" t="str">
        <f>VLOOKUP(Tabla3[[#This Row],[Site]],Table35[#All],8,FALSE)</f>
        <v>307</v>
      </c>
      <c r="R304"/>
    </row>
    <row r="305" spans="1:18" hidden="1" x14ac:dyDescent="0.25">
      <c r="A305" t="str">
        <f>+Tabla3[[#This Row],[Site]]&amp;Tabla3[[#This Row],[Split]]</f>
        <v>(ML) Joe Machens Hyundai6</v>
      </c>
      <c r="B305">
        <v>6</v>
      </c>
      <c r="C305">
        <v>1</v>
      </c>
      <c r="D305" t="s">
        <v>125</v>
      </c>
      <c r="E305" t="str">
        <f>VLOOKUP(Tabla3[[#This Row],[Site]],Table35[],10,FALSE)</f>
        <v>10:00 P.M.</v>
      </c>
      <c r="F305" t="str">
        <f>VLOOKUP(Tabla3[[#This Row],[Site]],Table35[],11,FALSE)</f>
        <v>CT</v>
      </c>
      <c r="G305" t="str">
        <f>VLOOKUP(Tabla3[[#This Row],[Site]],Table35[],12,FALSE)</f>
        <v>6:00 A.M.</v>
      </c>
      <c r="H305" s="1" t="s">
        <v>68</v>
      </c>
      <c r="I305" s="70" t="str">
        <f>HYPERLINK(VLOOKUP(Tabla3[[#This Row],[Site]],Table35[#All],9,FALSE))</f>
        <v>https://tools.sig.systems/site/details/286</v>
      </c>
      <c r="J305" t="str">
        <f>VLOOKUP(Tabla3[[#This Row],[Site]],Table35[],14,FALSE)</f>
        <v>https://www.google.com/maps/d/viewer?hl=es&amp;mid=1C1oZdjH3dNvCvqdpIv_Lk0Yn1OCVn-4&amp;ll=38.965368114274455%2C-92.3405954&amp;z=15</v>
      </c>
      <c r="L305" s="34" t="str">
        <f>VLOOKUP(Tabla3[[#This Row],[Site]],Table35[#All],2,FALSE)</f>
        <v>-</v>
      </c>
      <c r="M305" s="34" t="str">
        <f>VLOOKUP(Tabla3[[#This Row],[Site]],Table35[#All],3,FALSE)</f>
        <v>3, 4, 14, 25</v>
      </c>
      <c r="N305" s="34" t="str">
        <f>VLOOKUP(Tabla3[[#This Row],[Site]],Table35[#All],4,FALSE)</f>
        <v>-</v>
      </c>
      <c r="O305" s="34">
        <f>VLOOKUP(Tabla3[[#This Row],[Site]],Table35[#All],5,FALSE)</f>
        <v>17</v>
      </c>
      <c r="P305" s="34" t="str">
        <f>VLOOKUP(Tabla3[[#This Row],[Site]],Table35[#All],6,FALSE)</f>
        <v>1, 11, 12, 13, 15</v>
      </c>
      <c r="Q305" s="34" t="str">
        <f>VLOOKUP(Tabla3[[#This Row],[Site]],Table35[#All],8,FALSE)</f>
        <v>286</v>
      </c>
      <c r="R305"/>
    </row>
    <row r="306" spans="1:18" hidden="1" x14ac:dyDescent="0.25">
      <c r="A306" t="str">
        <f>+Tabla3[[#This Row],[Site]]&amp;Tabla3[[#This Row],[Split]]</f>
        <v>(PE) BMW Service Center (NO TOURS)6</v>
      </c>
      <c r="B306">
        <v>6</v>
      </c>
      <c r="C306">
        <v>1</v>
      </c>
      <c r="D306" t="s">
        <v>39</v>
      </c>
      <c r="E306" t="str">
        <f>VLOOKUP(Tabla3[[#This Row],[Site]],Table35[],10,FALSE)</f>
        <v>8:00 P.M.</v>
      </c>
      <c r="F306" t="str">
        <f>VLOOKUP(Tabla3[[#This Row],[Site]],Table35[],11,FALSE)</f>
        <v>ET</v>
      </c>
      <c r="G306" t="str">
        <f>VLOOKUP(Tabla3[[#This Row],[Site]],Table35[],12,FALSE)</f>
        <v>5:00 A.M.</v>
      </c>
      <c r="H306" s="1" t="s">
        <v>71</v>
      </c>
      <c r="I306" s="70" t="str">
        <f>HYPERLINK(VLOOKUP(Tabla3[[#This Row],[Site]],Table35[#All],9,FALSE))</f>
        <v>https://tools.sig.systems/site/details/184</v>
      </c>
      <c r="J306" t="str">
        <f>VLOOKUP(Tabla3[[#This Row],[Site]],Table35[],14,FALSE)</f>
        <v>https://www.google.com/maps/d/edit?hl=en&amp;mid=1UHmt7tH1ihTa85i0MfQIcTfVvIQg_vM&amp;ll=41.02423447529239%2C-73.63721502222738&amp;z=18</v>
      </c>
      <c r="L306" s="34">
        <f>VLOOKUP(Tabla3[[#This Row],[Site]],Table35[#All],2,FALSE)</f>
        <v>3</v>
      </c>
      <c r="M306" s="34" t="str">
        <f>VLOOKUP(Tabla3[[#This Row],[Site]],Table35[#All],3,FALSE)</f>
        <v>-</v>
      </c>
      <c r="N306" s="34" t="str">
        <f>VLOOKUP(Tabla3[[#This Row],[Site]],Table35[#All],4,FALSE)</f>
        <v>-</v>
      </c>
      <c r="O306" s="34" t="str">
        <f>VLOOKUP(Tabla3[[#This Row],[Site]],Table35[#All],5,FALSE)</f>
        <v>-</v>
      </c>
      <c r="P306" s="34" t="str">
        <f>VLOOKUP(Tabla3[[#This Row],[Site]],Table35[#All],6,FALSE)</f>
        <v xml:space="preserve">1, 2 </v>
      </c>
      <c r="Q306" s="34" t="str">
        <f>VLOOKUP(Tabla3[[#This Row],[Site]],Table35[#All],8,FALSE)</f>
        <v>184</v>
      </c>
      <c r="R306"/>
    </row>
    <row r="307" spans="1:18" hidden="1" x14ac:dyDescent="0.25">
      <c r="A307" t="str">
        <f>+Tabla3[[#This Row],[Site]]&amp;Tabla3[[#This Row],[Split]]</f>
        <v>(AS) Coggin BMW Ft. Pierce (NO TOURS)6</v>
      </c>
      <c r="B307">
        <v>6</v>
      </c>
      <c r="C307">
        <v>2</v>
      </c>
      <c r="D307" t="s">
        <v>122</v>
      </c>
      <c r="E307" t="str">
        <f>VLOOKUP(Tabla3[[#This Row],[Site]],Table35[],10,FALSE)</f>
        <v>9:00 P.M.</v>
      </c>
      <c r="F307" t="str">
        <f>VLOOKUP(Tabla3[[#This Row],[Site]],Table35[],11,FALSE)</f>
        <v>ET</v>
      </c>
      <c r="G307" t="str">
        <f>VLOOKUP(Tabla3[[#This Row],[Site]],Table35[],12,FALSE)</f>
        <v>5:00 A.M.</v>
      </c>
      <c r="H307" s="1" t="s">
        <v>96</v>
      </c>
      <c r="I307" s="70" t="str">
        <f>HYPERLINK(VLOOKUP(Tabla3[[#This Row],[Site]],Table35[#All],9,FALSE))</f>
        <v>https://tools.sig.systems/site/details/119</v>
      </c>
      <c r="J307" t="str">
        <f>VLOOKUP(Tabla3[[#This Row],[Site]],Table35[],14,FALSE)</f>
        <v>https://www.google.com/maps/d/viewer?mid=1AyViBuyeq7iwDua1SVudJ2A1BYi3IBA&amp;ll=27.38181516363982%2C-80.32568845000002&amp;z=18</v>
      </c>
      <c r="L307" s="34" t="str">
        <f>VLOOKUP(Tabla3[[#This Row],[Site]],Table35[#All],2,FALSE)</f>
        <v>3, 10, 13</v>
      </c>
      <c r="M307" s="34" t="str">
        <f>VLOOKUP(Tabla3[[#This Row],[Site]],Table35[#All],3,FALSE)</f>
        <v>-</v>
      </c>
      <c r="N307" s="34" t="str">
        <f>VLOOKUP(Tabla3[[#This Row],[Site]],Table35[#All],4,FALSE)</f>
        <v>-</v>
      </c>
      <c r="O307" s="34">
        <f>VLOOKUP(Tabla3[[#This Row],[Site]],Table35[#All],5,FALSE)</f>
        <v>2</v>
      </c>
      <c r="P307" s="34" t="str">
        <f>VLOOKUP(Tabla3[[#This Row],[Site]],Table35[#All],6,FALSE)</f>
        <v>1, 20, 27</v>
      </c>
      <c r="Q307" s="34" t="str">
        <f>VLOOKUP(Tabla3[[#This Row],[Site]],Table35[#All],8,FALSE)</f>
        <v>119</v>
      </c>
      <c r="R307"/>
    </row>
    <row r="308" spans="1:18" hidden="1" x14ac:dyDescent="0.25">
      <c r="A308" t="str">
        <f>+Tabla3[[#This Row],[Site]]&amp;Tabla3[[#This Row],[Split]]</f>
        <v>(AS) Koons Chevrolet Buick GMC - Clarksville Remote Lot (NO TOURS)6</v>
      </c>
      <c r="B308">
        <v>6</v>
      </c>
      <c r="C308">
        <v>2</v>
      </c>
      <c r="D308" t="s">
        <v>415</v>
      </c>
      <c r="E308" t="str">
        <f>VLOOKUP(Tabla3[[#This Row],[Site]],Table35[],10,FALSE)</f>
        <v>9:00 P.M.</v>
      </c>
      <c r="F308" t="str">
        <f>VLOOKUP(Tabla3[[#This Row],[Site]],Table35[],11,FALSE)</f>
        <v>ET</v>
      </c>
      <c r="G308" t="str">
        <f>VLOOKUP(Tabla3[[#This Row],[Site]],Table35[],12,FALSE)</f>
        <v>5:00 A.M.</v>
      </c>
      <c r="H308" s="1" t="s">
        <v>96</v>
      </c>
      <c r="I308" s="70" t="str">
        <f>HYPERLINK(VLOOKUP(Tabla3[[#This Row],[Site]],Table35[#All],9,FALSE))</f>
        <v>https://tools.sig.systems/site/details/308</v>
      </c>
      <c r="J308" t="str">
        <f>VLOOKUP(Tabla3[[#This Row],[Site]],Table35[],14,FALSE)</f>
        <v>https://www.google.com/maps/d/edit?hl=es&amp;mid=11XB1lTSP7EcDCDvzypdUPWP6bWCNAEI&amp;ll=39.21145022420528%2C-76.94003711910554&amp;z=21</v>
      </c>
      <c r="L308" s="34" t="str">
        <f>VLOOKUP(Tabla3[[#This Row],[Site]],Table35[#All],2,FALSE)</f>
        <v>-</v>
      </c>
      <c r="M308" s="34" t="str">
        <f>VLOOKUP(Tabla3[[#This Row],[Site]],Table35[#All],3,FALSE)</f>
        <v>1, 5</v>
      </c>
      <c r="N308" s="34" t="str">
        <f>VLOOKUP(Tabla3[[#This Row],[Site]],Table35[#All],4,FALSE)</f>
        <v>-</v>
      </c>
      <c r="O308" s="34" t="str">
        <f>VLOOKUP(Tabla3[[#This Row],[Site]],Table35[#All],5,FALSE)</f>
        <v>-</v>
      </c>
      <c r="P308" s="34" t="str">
        <f>VLOOKUP(Tabla3[[#This Row],[Site]],Table35[#All],6,FALSE)</f>
        <v>14, 16</v>
      </c>
      <c r="Q308" s="34" t="str">
        <f>VLOOKUP(Tabla3[[#This Row],[Site]],Table35[#All],8,FALSE)</f>
        <v>308</v>
      </c>
      <c r="R308"/>
    </row>
    <row r="309" spans="1:18" hidden="1" x14ac:dyDescent="0.25">
      <c r="A309" t="str">
        <f>+Tabla3[[#This Row],[Site]]&amp;Tabla3[[#This Row],[Split]]</f>
        <v>(AS) Koons Falls Church Ford (NO TOURS)6</v>
      </c>
      <c r="B309">
        <v>6</v>
      </c>
      <c r="C309">
        <v>2</v>
      </c>
      <c r="D309" t="s">
        <v>386</v>
      </c>
      <c r="E309" t="str">
        <f>VLOOKUP(Tabla3[[#This Row],[Site]],Table35[],10,FALSE)</f>
        <v>9:00 P.M.</v>
      </c>
      <c r="F309" t="str">
        <f>VLOOKUP(Tabla3[[#This Row],[Site]],Table35[],11,FALSE)</f>
        <v>ET</v>
      </c>
      <c r="G309" t="str">
        <f>VLOOKUP(Tabla3[[#This Row],[Site]],Table35[],12,FALSE)</f>
        <v>5:00 A.M.</v>
      </c>
      <c r="H309" s="1" t="s">
        <v>68</v>
      </c>
      <c r="I309" s="70" t="str">
        <f>HYPERLINK(VLOOKUP(Tabla3[[#This Row],[Site]],Table35[#All],9,FALSE))</f>
        <v>https://tools.sig.systems/site/details/345</v>
      </c>
      <c r="J309" t="str">
        <f>VLOOKUP(Tabla3[[#This Row],[Site]],Table35[],14,FALSE)</f>
        <v>-</v>
      </c>
      <c r="L309" s="34" t="str">
        <f>VLOOKUP(Tabla3[[#This Row],[Site]],Table35[#All],2,FALSE)</f>
        <v>-</v>
      </c>
      <c r="M309" s="34">
        <f>VLOOKUP(Tabla3[[#This Row],[Site]],Table35[#All],3,FALSE)</f>
        <v>1</v>
      </c>
      <c r="N309" s="34" t="str">
        <f>VLOOKUP(Tabla3[[#This Row],[Site]],Table35[#All],4,FALSE)</f>
        <v>-</v>
      </c>
      <c r="O309" s="34" t="str">
        <f>VLOOKUP(Tabla3[[#This Row],[Site]],Table35[#All],5,FALSE)</f>
        <v>-</v>
      </c>
      <c r="P309" s="34" t="str">
        <f>VLOOKUP(Tabla3[[#This Row],[Site]],Table35[#All],6,FALSE)</f>
        <v>-</v>
      </c>
      <c r="Q309" s="34" t="str">
        <f>VLOOKUP(Tabla3[[#This Row],[Site]],Table35[#All],8,FALSE)</f>
        <v>345</v>
      </c>
      <c r="R309"/>
    </row>
    <row r="310" spans="1:18" hidden="1" x14ac:dyDescent="0.25">
      <c r="A310" t="str">
        <f>+Tabla3[[#This Row],[Site]]&amp;Tabla3[[#This Row],[Split]]</f>
        <v>(AS) Koons Owings Mills Kia (NO TOURS)6</v>
      </c>
      <c r="B310">
        <v>6</v>
      </c>
      <c r="C310">
        <v>2</v>
      </c>
      <c r="D310" t="s">
        <v>416</v>
      </c>
      <c r="E310" t="str">
        <f>VLOOKUP(Tabla3[[#This Row],[Site]],Table35[],10,FALSE)</f>
        <v>9:00 P.M.</v>
      </c>
      <c r="F310" t="str">
        <f>VLOOKUP(Tabla3[[#This Row],[Site]],Table35[],11,FALSE)</f>
        <v>ET</v>
      </c>
      <c r="G310" t="str">
        <f>VLOOKUP(Tabla3[[#This Row],[Site]],Table35[],12,FALSE)</f>
        <v>5:00 A.M.</v>
      </c>
      <c r="H310" s="1" t="s">
        <v>96</v>
      </c>
      <c r="I310" s="70" t="str">
        <f>HYPERLINK(VLOOKUP(Tabla3[[#This Row],[Site]],Table35[#All],9,FALSE))</f>
        <v>https://tools.sig.systems/site/details/336</v>
      </c>
      <c r="J310" t="str">
        <f>VLOOKUP(Tabla3[[#This Row],[Site]],Table35[],14,FALSE)</f>
        <v>-</v>
      </c>
      <c r="L310" s="34">
        <f>VLOOKUP(Tabla3[[#This Row],[Site]],Table35[#All],2,FALSE)</f>
        <v>12</v>
      </c>
      <c r="M310" s="34" t="str">
        <f>VLOOKUP(Tabla3[[#This Row],[Site]],Table35[#All],3,FALSE)</f>
        <v>2, 18</v>
      </c>
      <c r="N310" s="34" t="str">
        <f>VLOOKUP(Tabla3[[#This Row],[Site]],Table35[#All],4,FALSE)</f>
        <v>-</v>
      </c>
      <c r="O310" s="34" t="str">
        <f>VLOOKUP(Tabla3[[#This Row],[Site]],Table35[#All],5,FALSE)</f>
        <v>-</v>
      </c>
      <c r="P310" s="34" t="str">
        <f>VLOOKUP(Tabla3[[#This Row],[Site]],Table35[#All],6,FALSE)</f>
        <v>7, 14</v>
      </c>
      <c r="Q310" s="34" t="str">
        <f>VLOOKUP(Tabla3[[#This Row],[Site]],Table35[#All],8,FALSE)</f>
        <v>336</v>
      </c>
      <c r="R310"/>
    </row>
    <row r="311" spans="1:18" hidden="1" x14ac:dyDescent="0.25">
      <c r="A311" t="str">
        <f>+Tabla3[[#This Row],[Site]]&amp;Tabla3[[#This Row],[Split]]</f>
        <v>(AS) Koons Westminster Toyota (NO TOURS)6</v>
      </c>
      <c r="B311">
        <v>6</v>
      </c>
      <c r="C311">
        <v>2</v>
      </c>
      <c r="D311" t="s">
        <v>421</v>
      </c>
      <c r="E311" t="str">
        <f>VLOOKUP(Tabla3[[#This Row],[Site]],Table35[],10,FALSE)</f>
        <v>9:00 P.M.</v>
      </c>
      <c r="F311" t="str">
        <f>VLOOKUP(Tabla3[[#This Row],[Site]],Table35[],11,FALSE)</f>
        <v>ET</v>
      </c>
      <c r="G311" t="str">
        <f>VLOOKUP(Tabla3[[#This Row],[Site]],Table35[],12,FALSE)</f>
        <v>5:00 A.M.</v>
      </c>
      <c r="H311" s="1" t="s">
        <v>96</v>
      </c>
      <c r="I311" s="70" t="str">
        <f>HYPERLINK(VLOOKUP(Tabla3[[#This Row],[Site]],Table35[#All],9,FALSE))</f>
        <v>https://tools.sig.systems/site/details/341</v>
      </c>
      <c r="J311" t="str">
        <f>VLOOKUP(Tabla3[[#This Row],[Site]],Table35[],14,FALSE)</f>
        <v>-</v>
      </c>
      <c r="L311" s="34" t="str">
        <f>VLOOKUP(Tabla3[[#This Row],[Site]],Table35[#All],2,FALSE)</f>
        <v>-</v>
      </c>
      <c r="M311" s="34" t="str">
        <f>VLOOKUP(Tabla3[[#This Row],[Site]],Table35[#All],3,FALSE)</f>
        <v>1, 10, 18, 25</v>
      </c>
      <c r="N311" s="34" t="str">
        <f>VLOOKUP(Tabla3[[#This Row],[Site]],Table35[#All],4,FALSE)</f>
        <v>-</v>
      </c>
      <c r="O311" s="34" t="str">
        <f>VLOOKUP(Tabla3[[#This Row],[Site]],Table35[#All],5,FALSE)</f>
        <v>-</v>
      </c>
      <c r="P311" s="34" t="str">
        <f>VLOOKUP(Tabla3[[#This Row],[Site]],Table35[#All],6,FALSE)</f>
        <v>8, 14</v>
      </c>
      <c r="Q311" s="34" t="str">
        <f>VLOOKUP(Tabla3[[#This Row],[Site]],Table35[#All],8,FALSE)</f>
        <v>341</v>
      </c>
      <c r="R311"/>
    </row>
    <row r="312" spans="1:18" hidden="1" x14ac:dyDescent="0.25">
      <c r="A312" t="str">
        <f>+Tabla3[[#This Row],[Site]]&amp;Tabla3[[#This Row],[Split]]</f>
        <v>(AS) Koons Woodbridge GMC (NO TOURS)6</v>
      </c>
      <c r="B312">
        <v>6</v>
      </c>
      <c r="C312">
        <v>2</v>
      </c>
      <c r="D312" t="s">
        <v>372</v>
      </c>
      <c r="E312" t="str">
        <f>VLOOKUP(Tabla3[[#This Row],[Site]],Table35[],10,FALSE)</f>
        <v>9:00 P.M.</v>
      </c>
      <c r="F312" t="str">
        <f>VLOOKUP(Tabla3[[#This Row],[Site]],Table35[],11,FALSE)</f>
        <v>ET</v>
      </c>
      <c r="G312" t="str">
        <f>VLOOKUP(Tabla3[[#This Row],[Site]],Table35[],12,FALSE)</f>
        <v>5:00 A.M.</v>
      </c>
      <c r="H312" s="1" t="s">
        <v>74</v>
      </c>
      <c r="I312" s="70" t="str">
        <f>HYPERLINK(VLOOKUP(Tabla3[[#This Row],[Site]],Table35[#All],9,FALSE))</f>
        <v>https://tools.sig.systems/site/details/343</v>
      </c>
      <c r="J312">
        <f>VLOOKUP(Tabla3[[#This Row],[Site]],Table35[],14,FALSE)</f>
        <v>0</v>
      </c>
      <c r="L312" s="34" t="str">
        <f>VLOOKUP(Tabla3[[#This Row],[Site]],Table35[#All],2,FALSE)</f>
        <v>-</v>
      </c>
      <c r="M312" s="34">
        <f>VLOOKUP(Tabla3[[#This Row],[Site]],Table35[#All],3,FALSE)</f>
        <v>1</v>
      </c>
      <c r="N312" s="34" t="str">
        <f>VLOOKUP(Tabla3[[#This Row],[Site]],Table35[#All],4,FALSE)</f>
        <v>-</v>
      </c>
      <c r="O312" s="34">
        <f>VLOOKUP(Tabla3[[#This Row],[Site]],Table35[#All],5,FALSE)</f>
        <v>11</v>
      </c>
      <c r="P312" s="34" t="str">
        <f>VLOOKUP(Tabla3[[#This Row],[Site]],Table35[#All],6,FALSE)</f>
        <v>2, 7</v>
      </c>
      <c r="Q312" s="34" t="str">
        <f>VLOOKUP(Tabla3[[#This Row],[Site]],Table35[#All],8,FALSE)</f>
        <v>343</v>
      </c>
      <c r="R312"/>
    </row>
    <row r="313" spans="1:18" hidden="1" x14ac:dyDescent="0.25">
      <c r="A313" t="str">
        <f>+Tabla3[[#This Row],[Site]]&amp;Tabla3[[#This Row],[Split]]</f>
        <v>(KG) Ken Garff Kia of Avondale6</v>
      </c>
      <c r="B313">
        <v>6</v>
      </c>
      <c r="C313">
        <v>2</v>
      </c>
      <c r="D313" t="s">
        <v>300</v>
      </c>
      <c r="E313" t="str">
        <f>VLOOKUP(Tabla3[[#This Row],[Site]],Table35[],10,FALSE)</f>
        <v>12:00 A.M.</v>
      </c>
      <c r="F313" t="str">
        <f>VLOOKUP(Tabla3[[#This Row],[Site]],Table35[],11,FALSE)</f>
        <v>MST</v>
      </c>
      <c r="G313" t="str">
        <f>VLOOKUP(Tabla3[[#This Row],[Site]],Table35[],12,FALSE)</f>
        <v>8:00 A.M.</v>
      </c>
      <c r="H313" s="1" t="s">
        <v>96</v>
      </c>
      <c r="I313" s="70" t="str">
        <f>HYPERLINK(VLOOKUP(Tabla3[[#This Row],[Site]],Table35[#All],9,FALSE))</f>
        <v>https://tools.sig.systems/site/details/283</v>
      </c>
      <c r="J313" t="str">
        <f>VLOOKUP(Tabla3[[#This Row],[Site]],Table35[],14,FALSE)</f>
        <v>https://www.google.com/maps/d/viewer?mid=1bDs0QGFZwL3vEeGKxjVMk_j4azr0-lg&amp;ll=33.4593758581648%2C-112.28793780000001&amp;z=18</v>
      </c>
      <c r="L313" s="34" t="str">
        <f>VLOOKUP(Tabla3[[#This Row],[Site]],Table35[#All],2,FALSE)</f>
        <v>5, 19</v>
      </c>
      <c r="M313" s="34" t="str">
        <f>VLOOKUP(Tabla3[[#This Row],[Site]],Table35[#All],3,FALSE)</f>
        <v>-</v>
      </c>
      <c r="N313" s="34" t="str">
        <f>VLOOKUP(Tabla3[[#This Row],[Site]],Table35[#All],4,FALSE)</f>
        <v>-</v>
      </c>
      <c r="O313" s="34" t="str">
        <f>VLOOKUP(Tabla3[[#This Row],[Site]],Table35[#All],5,FALSE)</f>
        <v>3, 5</v>
      </c>
      <c r="P313" s="34" t="str">
        <f>VLOOKUP(Tabla3[[#This Row],[Site]],Table35[#All],6,FALSE)</f>
        <v>1, 6, 7, 12, 15, 17, 21</v>
      </c>
      <c r="Q313" s="34" t="str">
        <f>VLOOKUP(Tabla3[[#This Row],[Site]],Table35[#All],8,FALSE)</f>
        <v>283</v>
      </c>
      <c r="R313"/>
    </row>
    <row r="314" spans="1:18" hidden="1" x14ac:dyDescent="0.25">
      <c r="A314" t="str">
        <f>+Tabla3[[#This Row],[Site]]&amp;Tabla3[[#This Row],[Split]]</f>
        <v>(LT) Luther Brookdale Honda (NO TOURS)6</v>
      </c>
      <c r="B314">
        <v>6</v>
      </c>
      <c r="C314">
        <v>2</v>
      </c>
      <c r="D314" t="s">
        <v>274</v>
      </c>
      <c r="E314" t="str">
        <f>VLOOKUP(Tabla3[[#This Row],[Site]],Table35[],10,FALSE)</f>
        <v>7:00 P.M.</v>
      </c>
      <c r="F314" t="str">
        <f>VLOOKUP(Tabla3[[#This Row],[Site]],Table35[],11,FALSE)</f>
        <v>CT</v>
      </c>
      <c r="G314" t="str">
        <f>VLOOKUP(Tabla3[[#This Row],[Site]],Table35[],12,FALSE)</f>
        <v>6:00 A.M.</v>
      </c>
      <c r="H314" s="1" t="s">
        <v>71</v>
      </c>
      <c r="I314" s="70" t="str">
        <f>HYPERLINK(VLOOKUP(Tabla3[[#This Row],[Site]],Table35[#All],9,FALSE))</f>
        <v>https://tools.sig.systems/site/details/280</v>
      </c>
      <c r="J314" t="str">
        <f>VLOOKUP(Tabla3[[#This Row],[Site]],Table35[],14,FALSE)</f>
        <v>https://www.google.com/maps/d/viewer?mid=1ot0ILX76JMuvd9yMuqkb4_e0yH1n7TA&amp;ll=45.07815812965141%2C-93.33506855000002&amp;z=17</v>
      </c>
      <c r="L314" s="34" t="str">
        <f>VLOOKUP(Tabla3[[#This Row],[Site]],Table35[#All],2,FALSE)</f>
        <v>-</v>
      </c>
      <c r="M314" s="34" t="str">
        <f>VLOOKUP(Tabla3[[#This Row],[Site]],Table35[#All],3,FALSE)</f>
        <v>1, 21</v>
      </c>
      <c r="N314" s="34" t="str">
        <f>VLOOKUP(Tabla3[[#This Row],[Site]],Table35[#All],4,FALSE)</f>
        <v>38, 39, 40</v>
      </c>
      <c r="O314" s="34" t="str">
        <f>VLOOKUP(Tabla3[[#This Row],[Site]],Table35[#All],5,FALSE)</f>
        <v>2, 10, 19</v>
      </c>
      <c r="P314" s="34" t="str">
        <f>VLOOKUP(Tabla3[[#This Row],[Site]],Table35[#All],6,FALSE)</f>
        <v>4, 5, 7, 11, 13, 20, 24, 36</v>
      </c>
      <c r="Q314" s="34" t="str">
        <f>VLOOKUP(Tabla3[[#This Row],[Site]],Table35[#All],8,FALSE)</f>
        <v>280</v>
      </c>
      <c r="R314"/>
    </row>
    <row r="315" spans="1:18" hidden="1" x14ac:dyDescent="0.25">
      <c r="A315" t="str">
        <f>+Tabla3[[#This Row],[Site]]&amp;Tabla3[[#This Row],[Split]]</f>
        <v>(LT) Luther Genesis of Minneapolis6</v>
      </c>
      <c r="B315">
        <v>6</v>
      </c>
      <c r="C315">
        <v>2</v>
      </c>
      <c r="D315" t="s">
        <v>264</v>
      </c>
      <c r="E315" t="str">
        <f>VLOOKUP(Tabla3[[#This Row],[Site]],Table35[],10,FALSE)</f>
        <v>10:00 P.M.</v>
      </c>
      <c r="F315" t="str">
        <f>VLOOKUP(Tabla3[[#This Row],[Site]],Table35[],11,FALSE)</f>
        <v>CT</v>
      </c>
      <c r="G315" t="str">
        <f>VLOOKUP(Tabla3[[#This Row],[Site]],Table35[],12,FALSE)</f>
        <v>6:00 A.M.</v>
      </c>
      <c r="H315" s="1" t="s">
        <v>96</v>
      </c>
      <c r="I315" s="70" t="str">
        <f>HYPERLINK(VLOOKUP(Tabla3[[#This Row],[Site]],Table35[#All],9,FALSE))</f>
        <v>https://tools.sig.systems/site/details/315</v>
      </c>
      <c r="J315">
        <f>VLOOKUP(Tabla3[[#This Row],[Site]],Table35[],14,FALSE)</f>
        <v>0</v>
      </c>
      <c r="L315" s="34" t="str">
        <f>VLOOKUP(Tabla3[[#This Row],[Site]],Table35[#All],2,FALSE)</f>
        <v>-</v>
      </c>
      <c r="M315" s="34" t="str">
        <f>VLOOKUP(Tabla3[[#This Row],[Site]],Table35[#All],3,FALSE)</f>
        <v>1,2,3,18</v>
      </c>
      <c r="N315" s="34" t="str">
        <f>VLOOKUP(Tabla3[[#This Row],[Site]],Table35[#All],4,FALSE)</f>
        <v>-</v>
      </c>
      <c r="O315" s="34" t="str">
        <f>VLOOKUP(Tabla3[[#This Row],[Site]],Table35[#All],5,FALSE)</f>
        <v>-</v>
      </c>
      <c r="P315" s="34" t="str">
        <f>VLOOKUP(Tabla3[[#This Row],[Site]],Table35[#All],6,FALSE)</f>
        <v>1,2,3,5,16,18</v>
      </c>
      <c r="Q315" s="34" t="str">
        <f>VLOOKUP(Tabla3[[#This Row],[Site]],Table35[#All],8,FALSE)</f>
        <v>315</v>
      </c>
      <c r="R315"/>
    </row>
    <row r="316" spans="1:18" hidden="1" x14ac:dyDescent="0.25">
      <c r="A316" t="str">
        <f>+Tabla3[[#This Row],[Site]]&amp;Tabla3[[#This Row],[Split]]</f>
        <v>(PE) JLR Englewood (NO TOURS)6</v>
      </c>
      <c r="B316">
        <v>6</v>
      </c>
      <c r="C316">
        <v>2</v>
      </c>
      <c r="D316" t="s">
        <v>218</v>
      </c>
      <c r="E316" t="str">
        <f>VLOOKUP(Tabla3[[#This Row],[Site]],Table35[],10,FALSE)</f>
        <v>8:00 P.M.</v>
      </c>
      <c r="F316" t="str">
        <f>VLOOKUP(Tabla3[[#This Row],[Site]],Table35[],11,FALSE)</f>
        <v>ET</v>
      </c>
      <c r="G316" t="str">
        <f>VLOOKUP(Tabla3[[#This Row],[Site]],Table35[],12,FALSE)</f>
        <v>5:00 A.M.</v>
      </c>
      <c r="H316" s="1" t="s">
        <v>96</v>
      </c>
      <c r="I316" s="70" t="str">
        <f>HYPERLINK(VLOOKUP(Tabla3[[#This Row],[Site]],Table35[#All],9,FALSE))</f>
        <v>https://tools.sig.systems/site/details/178</v>
      </c>
      <c r="J316" t="str">
        <f>VLOOKUP(Tabla3[[#This Row],[Site]],Table35[],14,FALSE)</f>
        <v>https://www.google.com/maps/d/viewer?mid=1ubI2iKs1JyYXssuT4oLPnVvFnyLPi_s&amp;ll=40.878808846788026%2C-73.98560655&amp;z=17</v>
      </c>
      <c r="L316" s="34" t="str">
        <f>VLOOKUP(Tabla3[[#This Row],[Site]],Table35[#All],2,FALSE)</f>
        <v>1, 2</v>
      </c>
      <c r="M316" s="34" t="str">
        <f>VLOOKUP(Tabla3[[#This Row],[Site]],Table35[#All],3,FALSE)</f>
        <v>-</v>
      </c>
      <c r="N316" s="34" t="str">
        <f>VLOOKUP(Tabla3[[#This Row],[Site]],Table35[#All],4,FALSE)</f>
        <v>-</v>
      </c>
      <c r="O316" s="34" t="str">
        <f>VLOOKUP(Tabla3[[#This Row],[Site]],Table35[#All],5,FALSE)</f>
        <v>-</v>
      </c>
      <c r="P316" s="34" t="str">
        <f>VLOOKUP(Tabla3[[#This Row],[Site]],Table35[#All],6,FALSE)</f>
        <v>-</v>
      </c>
      <c r="Q316" s="34" t="str">
        <f>VLOOKUP(Tabla3[[#This Row],[Site]],Table35[#All],8,FALSE)</f>
        <v>178</v>
      </c>
      <c r="R316"/>
    </row>
    <row r="317" spans="1:18" hidden="1" x14ac:dyDescent="0.25">
      <c r="A317" t="str">
        <f>+Tabla3[[#This Row],[Site]]&amp;Tabla3[[#This Row],[Split]]</f>
        <v>(PE) JLR Paramus (NO TOURS)6</v>
      </c>
      <c r="B317">
        <v>6</v>
      </c>
      <c r="C317">
        <v>2</v>
      </c>
      <c r="D317" t="s">
        <v>212</v>
      </c>
      <c r="E317" t="str">
        <f>VLOOKUP(Tabla3[[#This Row],[Site]],Table35[],10,FALSE)</f>
        <v>8:00 P.M.</v>
      </c>
      <c r="F317" t="str">
        <f>VLOOKUP(Tabla3[[#This Row],[Site]],Table35[],11,FALSE)</f>
        <v>ET</v>
      </c>
      <c r="G317" t="str">
        <f>VLOOKUP(Tabla3[[#This Row],[Site]],Table35[],12,FALSE)</f>
        <v>5:00 A.M.</v>
      </c>
      <c r="H317" s="1" t="s">
        <v>96</v>
      </c>
      <c r="I317" s="70" t="str">
        <f>HYPERLINK(VLOOKUP(Tabla3[[#This Row],[Site]],Table35[#All],9,FALSE))</f>
        <v>https://tools.sig.systems/site/details/177</v>
      </c>
      <c r="J317">
        <f>VLOOKUP(Tabla3[[#This Row],[Site]],Table35[],14,FALSE)</f>
        <v>0</v>
      </c>
      <c r="L317" s="34" t="str">
        <f>VLOOKUP(Tabla3[[#This Row],[Site]],Table35[#All],2,FALSE)</f>
        <v>1, 17</v>
      </c>
      <c r="M317" s="34" t="str">
        <f>VLOOKUP(Tabla3[[#This Row],[Site]],Table35[#All],3,FALSE)</f>
        <v>-</v>
      </c>
      <c r="N317" s="34" t="str">
        <f>VLOOKUP(Tabla3[[#This Row],[Site]],Table35[#All],4,FALSE)</f>
        <v>-</v>
      </c>
      <c r="O317" s="34" t="str">
        <f>VLOOKUP(Tabla3[[#This Row],[Site]],Table35[#All],5,FALSE)</f>
        <v>-</v>
      </c>
      <c r="P317" s="34" t="str">
        <f>VLOOKUP(Tabla3[[#This Row],[Site]],Table35[#All],6,FALSE)</f>
        <v>1, 17</v>
      </c>
      <c r="Q317" s="34" t="str">
        <f>VLOOKUP(Tabla3[[#This Row],[Site]],Table35[#All],8,FALSE)</f>
        <v>177</v>
      </c>
      <c r="R317"/>
    </row>
    <row r="318" spans="1:18" hidden="1" x14ac:dyDescent="0.25">
      <c r="A318" t="str">
        <f>+Tabla3[[#This Row],[Site]]&amp;Tabla3[[#This Row],[Split]]</f>
        <v>(PE) Porsche Audi Fairfield (NO TOURS)6</v>
      </c>
      <c r="B318">
        <v>6</v>
      </c>
      <c r="C318">
        <v>2</v>
      </c>
      <c r="D318" t="s">
        <v>446</v>
      </c>
      <c r="E318" t="str">
        <f>VLOOKUP(Tabla3[[#This Row],[Site]],Table35[],10,FALSE)</f>
        <v>8:00 P.M.</v>
      </c>
      <c r="F318" t="str">
        <f>VLOOKUP(Tabla3[[#This Row],[Site]],Table35[],11,FALSE)</f>
        <v>ET</v>
      </c>
      <c r="G318" t="str">
        <f>VLOOKUP(Tabla3[[#This Row],[Site]],Table35[],12,FALSE)</f>
        <v>5:00 A.M.</v>
      </c>
      <c r="H318" s="1" t="s">
        <v>96</v>
      </c>
      <c r="I318" s="70" t="str">
        <f>HYPERLINK(VLOOKUP(Tabla3[[#This Row],[Site]],Table35[#All],9,FALSE))</f>
        <v>https://tools.sig.systems/site/details/194</v>
      </c>
      <c r="J318" t="str">
        <f>VLOOKUP(Tabla3[[#This Row],[Site]],Table35[],14,FALSE)</f>
        <v>-</v>
      </c>
      <c r="L318" s="34" t="str">
        <f>VLOOKUP(Tabla3[[#This Row],[Site]],Table35[#All],2,FALSE)</f>
        <v>1, 18</v>
      </c>
      <c r="M318" s="34" t="str">
        <f>VLOOKUP(Tabla3[[#This Row],[Site]],Table35[#All],3,FALSE)</f>
        <v>-</v>
      </c>
      <c r="N318" s="34" t="str">
        <f>VLOOKUP(Tabla3[[#This Row],[Site]],Table35[#All],4,FALSE)</f>
        <v>-</v>
      </c>
      <c r="O318" s="34">
        <f>VLOOKUP(Tabla3[[#This Row],[Site]],Table35[#All],5,FALSE)</f>
        <v>20</v>
      </c>
      <c r="P318" s="34">
        <f>VLOOKUP(Tabla3[[#This Row],[Site]],Table35[#All],6,FALSE)</f>
        <v>15</v>
      </c>
      <c r="Q318" s="34">
        <f>VLOOKUP(Tabla3[[#This Row],[Site]],Table35[#All],8,FALSE)</f>
        <v>194</v>
      </c>
      <c r="R318"/>
    </row>
    <row r="319" spans="1:18" hidden="1" x14ac:dyDescent="0.25">
      <c r="A319" t="str">
        <f>+Tabla3[[#This Row],[Site]]&amp;Tabla3[[#This Row],[Split]]</f>
        <v>(AS) Koons Chevrolet Buick GMC - Tysons (NO TOURS)6</v>
      </c>
      <c r="B319">
        <v>6</v>
      </c>
      <c r="C319">
        <v>3</v>
      </c>
      <c r="D319" t="s">
        <v>377</v>
      </c>
      <c r="E319" t="str">
        <f>VLOOKUP(Tabla3[[#This Row],[Site]],Table35[],10,FALSE)</f>
        <v>9:00 P.M.</v>
      </c>
      <c r="F319" t="str">
        <f>VLOOKUP(Tabla3[[#This Row],[Site]],Table35[],11,FALSE)</f>
        <v>ET</v>
      </c>
      <c r="G319" t="str">
        <f>VLOOKUP(Tabla3[[#This Row],[Site]],Table35[],12,FALSE)</f>
        <v>5:00 A.M.</v>
      </c>
      <c r="H319" s="1" t="s">
        <v>69</v>
      </c>
      <c r="I319" s="70" t="str">
        <f>HYPERLINK(VLOOKUP(Tabla3[[#This Row],[Site]],Table35[#All],9,FALSE))</f>
        <v>https://tools.sig.systems/site/details/352</v>
      </c>
      <c r="J319" t="str">
        <f>VLOOKUP(Tabla3[[#This Row],[Site]],Table35[],14,FALSE)</f>
        <v>-</v>
      </c>
      <c r="L319" s="34" t="str">
        <f>VLOOKUP(Tabla3[[#This Row],[Site]],Table35[#All],2,FALSE)</f>
        <v>-</v>
      </c>
      <c r="M319" s="34" t="str">
        <f>VLOOKUP(Tabla3[[#This Row],[Site]],Table35[#All],3,FALSE)</f>
        <v>3, 6</v>
      </c>
      <c r="N319" s="34" t="str">
        <f>VLOOKUP(Tabla3[[#This Row],[Site]],Table35[#All],4,FALSE)</f>
        <v>-</v>
      </c>
      <c r="O319" s="34">
        <f>VLOOKUP(Tabla3[[#This Row],[Site]],Table35[#All],5,FALSE)</f>
        <v>4</v>
      </c>
      <c r="P319" s="34" t="str">
        <f>VLOOKUP(Tabla3[[#This Row],[Site]],Table35[#All],6,FALSE)</f>
        <v xml:space="preserve">2, 9, 17 </v>
      </c>
      <c r="Q319" s="34" t="str">
        <f>VLOOKUP(Tabla3[[#This Row],[Site]],Table35[#All],8,FALSE)</f>
        <v>352</v>
      </c>
      <c r="R319"/>
    </row>
    <row r="320" spans="1:18" hidden="1" x14ac:dyDescent="0.25">
      <c r="A320" t="str">
        <f>+Tabla3[[#This Row],[Site]]&amp;Tabla3[[#This Row],[Split]]</f>
        <v>(AS) Koons Tysons Toyota - Main Dealership (NO TOURS)6</v>
      </c>
      <c r="B320">
        <v>6</v>
      </c>
      <c r="C320">
        <v>3</v>
      </c>
      <c r="D320" t="s">
        <v>431</v>
      </c>
      <c r="E320" t="str">
        <f>VLOOKUP(Tabla3[[#This Row],[Site]],Table35[],10,FALSE)</f>
        <v>9:00 P.M.</v>
      </c>
      <c r="F320" t="str">
        <f>VLOOKUP(Tabla3[[#This Row],[Site]],Table35[],11,FALSE)</f>
        <v>ET</v>
      </c>
      <c r="G320" t="str">
        <f>VLOOKUP(Tabla3[[#This Row],[Site]],Table35[],12,FALSE)</f>
        <v>5:00 A.M.</v>
      </c>
      <c r="H320" s="1" t="s">
        <v>96</v>
      </c>
      <c r="I320" s="70" t="str">
        <f>HYPERLINK(VLOOKUP(Tabla3[[#This Row],[Site]],Table35[#All],9,FALSE))</f>
        <v>https://tools.sig.systems/site/details/344</v>
      </c>
      <c r="J320" t="str">
        <f>VLOOKUP(Tabla3[[#This Row],[Site]],Table35[],14,FALSE)</f>
        <v>-</v>
      </c>
      <c r="L320" s="34" t="str">
        <f>VLOOKUP(Tabla3[[#This Row],[Site]],Table35[#All],2,FALSE)</f>
        <v>-</v>
      </c>
      <c r="M320" s="34" t="str">
        <f>VLOOKUP(Tabla3[[#This Row],[Site]],Table35[#All],3,FALSE)</f>
        <v>1, 25</v>
      </c>
      <c r="N320" s="34" t="str">
        <f>VLOOKUP(Tabla3[[#This Row],[Site]],Table35[#All],4,FALSE)</f>
        <v>-</v>
      </c>
      <c r="O320" s="34" t="str">
        <f>VLOOKUP(Tabla3[[#This Row],[Site]],Table35[#All],5,FALSE)</f>
        <v>-</v>
      </c>
      <c r="P320" s="34" t="str">
        <f>VLOOKUP(Tabla3[[#This Row],[Site]],Table35[#All],6,FALSE)</f>
        <v>13, 22, 27</v>
      </c>
      <c r="Q320" s="34" t="str">
        <f>VLOOKUP(Tabla3[[#This Row],[Site]],Table35[#All],8,FALSE)</f>
        <v>344</v>
      </c>
      <c r="R320"/>
    </row>
    <row r="321" spans="1:18" hidden="1" x14ac:dyDescent="0.25">
      <c r="A321" t="str">
        <f>+Tabla3[[#This Row],[Site]]&amp;Tabla3[[#This Row],[Split]]</f>
        <v>(AS) Koons White Marsh Chevrolet (NO TOURS)6</v>
      </c>
      <c r="B321">
        <v>6</v>
      </c>
      <c r="C321">
        <v>3</v>
      </c>
      <c r="D321" t="s">
        <v>389</v>
      </c>
      <c r="E321" t="str">
        <f>VLOOKUP(Tabla3[[#This Row],[Site]],Table35[],10,FALSE)</f>
        <v>9:00 P.M.</v>
      </c>
      <c r="F321" t="str">
        <f>VLOOKUP(Tabla3[[#This Row],[Site]],Table35[],11,FALSE)</f>
        <v>ET</v>
      </c>
      <c r="G321" t="str">
        <f>VLOOKUP(Tabla3[[#This Row],[Site]],Table35[],12,FALSE)</f>
        <v>5:00 A.M.</v>
      </c>
      <c r="H321" s="1" t="s">
        <v>68</v>
      </c>
      <c r="I321" s="70" t="str">
        <f>HYPERLINK(VLOOKUP(Tabla3[[#This Row],[Site]],Table35[#All],9,FALSE))</f>
        <v>https://tools.sig.systems/site/details/339</v>
      </c>
      <c r="J321" t="str">
        <f>VLOOKUP(Tabla3[[#This Row],[Site]],Table35[],14,FALSE)</f>
        <v>-</v>
      </c>
      <c r="L321" s="34">
        <f>VLOOKUP(Tabla3[[#This Row],[Site]],Table35[#All],2,FALSE)</f>
        <v>25</v>
      </c>
      <c r="M321" s="34">
        <f>VLOOKUP(Tabla3[[#This Row],[Site]],Table35[#All],3,FALSE)</f>
        <v>10</v>
      </c>
      <c r="N321" s="34" t="str">
        <f>VLOOKUP(Tabla3[[#This Row],[Site]],Table35[#All],4,FALSE)</f>
        <v>-</v>
      </c>
      <c r="O321" s="34" t="str">
        <f>VLOOKUP(Tabla3[[#This Row],[Site]],Table35[#All],5,FALSE)</f>
        <v>-</v>
      </c>
      <c r="P321" s="34">
        <f>VLOOKUP(Tabla3[[#This Row],[Site]],Table35[#All],6,FALSE)</f>
        <v>12</v>
      </c>
      <c r="Q321" s="34" t="str">
        <f>VLOOKUP(Tabla3[[#This Row],[Site]],Table35[#All],8,FALSE)</f>
        <v>339</v>
      </c>
      <c r="R321"/>
    </row>
    <row r="322" spans="1:18" hidden="1" x14ac:dyDescent="0.25">
      <c r="A322" t="str">
        <f>+Tabla3[[#This Row],[Site]]&amp;Tabla3[[#This Row],[Split]]</f>
        <v>(AS) Koons Woodbridge Ford (NO TOURS)6</v>
      </c>
      <c r="B322">
        <v>6</v>
      </c>
      <c r="C322">
        <v>3</v>
      </c>
      <c r="D322" t="s">
        <v>373</v>
      </c>
      <c r="E322" t="str">
        <f>VLOOKUP(Tabla3[[#This Row],[Site]],Table35[],10,FALSE)</f>
        <v>9:00 P.M.</v>
      </c>
      <c r="F322" t="str">
        <f>VLOOKUP(Tabla3[[#This Row],[Site]],Table35[],11,FALSE)</f>
        <v>ET</v>
      </c>
      <c r="G322" t="str">
        <f>VLOOKUP(Tabla3[[#This Row],[Site]],Table35[],12,FALSE)</f>
        <v>5:00 A.M.</v>
      </c>
      <c r="H322" s="62" t="s">
        <v>96</v>
      </c>
      <c r="I322" s="70" t="str">
        <f>HYPERLINK(VLOOKUP(Tabla3[[#This Row],[Site]],Table35[#All],9,FALSE))</f>
        <v>https://tools.sig.systems/site/details/342</v>
      </c>
      <c r="J322">
        <f>VLOOKUP(Tabla3[[#This Row],[Site]],Table35[],14,FALSE)</f>
        <v>0</v>
      </c>
      <c r="L322" s="34" t="str">
        <f>VLOOKUP(Tabla3[[#This Row],[Site]],Table35[#All],2,FALSE)</f>
        <v>-</v>
      </c>
      <c r="M322" s="34" t="str">
        <f>VLOOKUP(Tabla3[[#This Row],[Site]],Table35[#All],3,FALSE)</f>
        <v>3, 24, 26, 27, 31, 36</v>
      </c>
      <c r="N322" s="34" t="str">
        <f>VLOOKUP(Tabla3[[#This Row],[Site]],Table35[#All],4,FALSE)</f>
        <v>-</v>
      </c>
      <c r="O322" s="34" t="str">
        <f>VLOOKUP(Tabla3[[#This Row],[Site]],Table35[#All],5,FALSE)</f>
        <v>-</v>
      </c>
      <c r="P322" s="34" t="str">
        <f>VLOOKUP(Tabla3[[#This Row],[Site]],Table35[#All],6,FALSE)</f>
        <v>13, 26, 29</v>
      </c>
      <c r="Q322" s="34" t="str">
        <f>VLOOKUP(Tabla3[[#This Row],[Site]],Table35[#All],8,FALSE)</f>
        <v>342</v>
      </c>
      <c r="R322"/>
    </row>
    <row r="323" spans="1:18" hidden="1" x14ac:dyDescent="0.25">
      <c r="A323" t="str">
        <f>+Tabla3[[#This Row],[Site]]&amp;Tabla3[[#This Row],[Split]]</f>
        <v>(AS) Larry H Miller CDJR Fiat (NO TOURS)6</v>
      </c>
      <c r="B323">
        <v>6</v>
      </c>
      <c r="C323">
        <v>3</v>
      </c>
      <c r="D323" t="s">
        <v>217</v>
      </c>
      <c r="E323" t="str">
        <f>VLOOKUP(Tabla3[[#This Row],[Site]],Table35[],10,FALSE)</f>
        <v>11:00 P.M.</v>
      </c>
      <c r="F323" t="str">
        <f>VLOOKUP(Tabla3[[#This Row],[Site]],Table35[],11,FALSE)</f>
        <v>MT</v>
      </c>
      <c r="G323" t="str">
        <f>VLOOKUP(Tabla3[[#This Row],[Site]],Table35[],12,FALSE)</f>
        <v>7:00 A.M.</v>
      </c>
      <c r="H323" s="1" t="s">
        <v>96</v>
      </c>
      <c r="I323" s="70" t="str">
        <f>HYPERLINK(VLOOKUP(Tabla3[[#This Row],[Site]],Table35[#All],9,FALSE))</f>
        <v>https://tools.sig.systems/site/details/298</v>
      </c>
      <c r="J323">
        <f>VLOOKUP(Tabla3[[#This Row],[Site]],Table35[],14,FALSE)</f>
        <v>0</v>
      </c>
      <c r="L323" s="34" t="str">
        <f>VLOOKUP(Tabla3[[#This Row],[Site]],Table35[#All],2,FALSE)</f>
        <v>7, 11</v>
      </c>
      <c r="M323" s="34" t="str">
        <f>VLOOKUP(Tabla3[[#This Row],[Site]],Table35[#All],3,FALSE)</f>
        <v>2, 3</v>
      </c>
      <c r="N323" s="34" t="str">
        <f>VLOOKUP(Tabla3[[#This Row],[Site]],Table35[#All],4,FALSE)</f>
        <v>-</v>
      </c>
      <c r="O323" s="34" t="str">
        <f>VLOOKUP(Tabla3[[#This Row],[Site]],Table35[#All],5,FALSE)</f>
        <v>-</v>
      </c>
      <c r="P323" s="34" t="str">
        <f>VLOOKUP(Tabla3[[#This Row],[Site]],Table35[#All],6,FALSE)</f>
        <v xml:space="preserve">2, 6, 10, 15, 18 </v>
      </c>
      <c r="Q323" s="34" t="str">
        <f>VLOOKUP(Tabla3[[#This Row],[Site]],Table35[#All],8,FALSE)</f>
        <v>298</v>
      </c>
      <c r="R323"/>
    </row>
    <row r="324" spans="1:18" hidden="1" x14ac:dyDescent="0.25">
      <c r="A324" t="str">
        <f>+Tabla3[[#This Row],[Site]]&amp;Tabla3[[#This Row],[Split]]</f>
        <v>(AS) Plaza Collision ST Louis (NO TOURS)6</v>
      </c>
      <c r="B324">
        <v>6</v>
      </c>
      <c r="C324">
        <v>3</v>
      </c>
      <c r="D324" t="s">
        <v>436</v>
      </c>
      <c r="E324" t="str">
        <f>VLOOKUP(Tabla3[[#This Row],[Site]],Table35[],10,FALSE)</f>
        <v>10:00 P.M.</v>
      </c>
      <c r="F324" t="str">
        <f>VLOOKUP(Tabla3[[#This Row],[Site]],Table35[],11,FALSE)</f>
        <v>CT</v>
      </c>
      <c r="G324" t="str">
        <f>VLOOKUP(Tabla3[[#This Row],[Site]],Table35[],12,FALSE)</f>
        <v>6:00 A.M.</v>
      </c>
      <c r="H324" s="1" t="s">
        <v>96</v>
      </c>
      <c r="I324" s="70" t="str">
        <f>HYPERLINK(VLOOKUP(Tabla3[[#This Row],[Site]],Table35[#All],9,FALSE))</f>
        <v>https://tools.sig.systems/site/details/350</v>
      </c>
      <c r="J324" t="str">
        <f>VLOOKUP(Tabla3[[#This Row],[Site]],Table35[],14,FALSE)</f>
        <v>-</v>
      </c>
      <c r="L324" s="34" t="str">
        <f>VLOOKUP(Tabla3[[#This Row],[Site]],Table35[#All],2,FALSE)</f>
        <v>2, 6</v>
      </c>
      <c r="M324" s="34">
        <f>VLOOKUP(Tabla3[[#This Row],[Site]],Table35[#All],3,FALSE)</f>
        <v>1</v>
      </c>
      <c r="N324" s="34" t="str">
        <f>VLOOKUP(Tabla3[[#This Row],[Site]],Table35[#All],4,FALSE)</f>
        <v>-</v>
      </c>
      <c r="O324" s="34" t="str">
        <f>VLOOKUP(Tabla3[[#This Row],[Site]],Table35[#All],5,FALSE)</f>
        <v>-</v>
      </c>
      <c r="P324" s="34">
        <f>VLOOKUP(Tabla3[[#This Row],[Site]],Table35[#All],6,FALSE)</f>
        <v>3</v>
      </c>
      <c r="Q324" s="34" t="str">
        <f>VLOOKUP(Tabla3[[#This Row],[Site]],Table35[#All],8,FALSE)</f>
        <v>350</v>
      </c>
      <c r="R324"/>
    </row>
    <row r="325" spans="1:18" hidden="1" x14ac:dyDescent="0.25">
      <c r="A325" t="str">
        <f>+Tabla3[[#This Row],[Site]]&amp;Tabla3[[#This Row],[Split]]</f>
        <v>(KG) Ken Garff Volkswagen of Gilbert6</v>
      </c>
      <c r="B325">
        <v>6</v>
      </c>
      <c r="C325">
        <v>3</v>
      </c>
      <c r="D325" t="s">
        <v>130</v>
      </c>
      <c r="E325" t="str">
        <f>VLOOKUP(Tabla3[[#This Row],[Site]],Table35[],10,FALSE)</f>
        <v>12:00 A.M.</v>
      </c>
      <c r="F325" t="str">
        <f>VLOOKUP(Tabla3[[#This Row],[Site]],Table35[],11,FALSE)</f>
        <v>MST</v>
      </c>
      <c r="G325" t="str">
        <f>VLOOKUP(Tabla3[[#This Row],[Site]],Table35[],12,FALSE)</f>
        <v>8:00 A.M.</v>
      </c>
      <c r="H325" s="1" t="s">
        <v>96</v>
      </c>
      <c r="I325" s="70" t="str">
        <f>HYPERLINK(VLOOKUP(Tabla3[[#This Row],[Site]],Table35[#All],9,FALSE))</f>
        <v>https://tools.sig.systems/site/details/284</v>
      </c>
      <c r="J325" t="str">
        <f>VLOOKUP(Tabla3[[#This Row],[Site]],Table35[],14,FALSE)</f>
        <v>https://www.google.com/maps/d/viewer?hl=es&amp;mid=19SU7XE9Cg8jhVFpEI21Vi9Zfgdih9Ds&amp;ll=33.29158262977276%2C-111.75783630000002&amp;z=17</v>
      </c>
      <c r="L325" s="34" t="str">
        <f>VLOOKUP(Tabla3[[#This Row],[Site]],Table35[#All],2,FALSE)</f>
        <v>4, 6</v>
      </c>
      <c r="M325" s="34" t="str">
        <f>VLOOKUP(Tabla3[[#This Row],[Site]],Table35[#All],3,FALSE)</f>
        <v>-</v>
      </c>
      <c r="N325" s="34" t="str">
        <f>VLOOKUP(Tabla3[[#This Row],[Site]],Table35[#All],4,FALSE)</f>
        <v>-</v>
      </c>
      <c r="O325" s="34" t="str">
        <f>VLOOKUP(Tabla3[[#This Row],[Site]],Table35[#All],5,FALSE)</f>
        <v>2, 14</v>
      </c>
      <c r="P325" s="34" t="str">
        <f>VLOOKUP(Tabla3[[#This Row],[Site]],Table35[#All],6,FALSE)</f>
        <v>1, 5, 8, 9, 17, 19, 21</v>
      </c>
      <c r="Q325" s="34" t="str">
        <f>VLOOKUP(Tabla3[[#This Row],[Site]],Table35[#All],8,FALSE)</f>
        <v>284</v>
      </c>
      <c r="R325"/>
    </row>
    <row r="326" spans="1:18" hidden="1" x14ac:dyDescent="0.25">
      <c r="A326" t="str">
        <f>+Tabla3[[#This Row],[Site]]&amp;Tabla3[[#This Row],[Split]]</f>
        <v>(LT) Luther Hopkins Honda (NO TOURS)6</v>
      </c>
      <c r="B326">
        <v>6</v>
      </c>
      <c r="C326">
        <v>3</v>
      </c>
      <c r="D326" t="s">
        <v>306</v>
      </c>
      <c r="E326" t="str">
        <f>VLOOKUP(Tabla3[[#This Row],[Site]],Table35[],10,FALSE)</f>
        <v>8:00 P.M.</v>
      </c>
      <c r="F326" t="str">
        <f>VLOOKUP(Tabla3[[#This Row],[Site]],Table35[],11,FALSE)</f>
        <v>CT</v>
      </c>
      <c r="G326" t="str">
        <f>VLOOKUP(Tabla3[[#This Row],[Site]],Table35[],12,FALSE)</f>
        <v>6:00 A.M.</v>
      </c>
      <c r="H326" s="1" t="s">
        <v>96</v>
      </c>
      <c r="I326" s="70" t="str">
        <f>HYPERLINK(VLOOKUP(Tabla3[[#This Row],[Site]],Table35[#All],9,FALSE))</f>
        <v>https://tools.sig.systems/site/details/288</v>
      </c>
      <c r="J326">
        <f>VLOOKUP(Tabla3[[#This Row],[Site]],Table35[],14,FALSE)</f>
        <v>0</v>
      </c>
      <c r="L326" s="34" t="str">
        <f>VLOOKUP(Tabla3[[#This Row],[Site]],Table35[#All],2,FALSE)</f>
        <v>-</v>
      </c>
      <c r="M326" s="34" t="str">
        <f>VLOOKUP(Tabla3[[#This Row],[Site]],Table35[#All],3,FALSE)</f>
        <v>9, 36</v>
      </c>
      <c r="N326" s="34" t="str">
        <f>VLOOKUP(Tabla3[[#This Row],[Site]],Table35[#All],4,FALSE)</f>
        <v>38, 39</v>
      </c>
      <c r="O326" s="34" t="str">
        <f>VLOOKUP(Tabla3[[#This Row],[Site]],Table35[#All],5,FALSE)</f>
        <v>3, 26</v>
      </c>
      <c r="P326" s="34" t="str">
        <f>VLOOKUP(Tabla3[[#This Row],[Site]],Table35[#All],6,FALSE)</f>
        <v>1, 4, 11, 18, 23, 25, 31</v>
      </c>
      <c r="Q326" s="34" t="str">
        <f>VLOOKUP(Tabla3[[#This Row],[Site]],Table35[#All],8,FALSE)</f>
        <v>288</v>
      </c>
      <c r="R326"/>
    </row>
    <row r="327" spans="1:18" hidden="1" x14ac:dyDescent="0.25">
      <c r="A327" t="str">
        <f>+Tabla3[[#This Row],[Site]]&amp;Tabla3[[#This Row],[Split]]</f>
        <v>(PE) MB of Greenwich6</v>
      </c>
      <c r="B327">
        <v>6</v>
      </c>
      <c r="C327">
        <v>3</v>
      </c>
      <c r="D327" t="s">
        <v>121</v>
      </c>
      <c r="E327" t="str">
        <f>VLOOKUP(Tabla3[[#This Row],[Site]],Table35[],10,FALSE)</f>
        <v>8:00 P.M.</v>
      </c>
      <c r="F327" t="str">
        <f>VLOOKUP(Tabla3[[#This Row],[Site]],Table35[],11,FALSE)</f>
        <v>ET</v>
      </c>
      <c r="G327" t="str">
        <f>VLOOKUP(Tabla3[[#This Row],[Site]],Table35[],12,FALSE)</f>
        <v>5:00 A.M.</v>
      </c>
      <c r="H327" s="1" t="s">
        <v>96</v>
      </c>
      <c r="I327" s="70" t="str">
        <f>HYPERLINK(VLOOKUP(Tabla3[[#This Row],[Site]],Table35[#All],9,FALSE))</f>
        <v>https://tools.sig.systems/site/details/188</v>
      </c>
      <c r="J327" t="str">
        <f>VLOOKUP(Tabla3[[#This Row],[Site]],Table35[],14,FALSE)</f>
        <v>https://www.google.com/maps/d/edit?hl=en&amp;mid=1UHmt7tH1ihTa85i0MfQIcTfVvIQg_vM&amp;ll=41.02423447529239%2C-73.63721502222738&amp;z=18</v>
      </c>
      <c r="L327" s="34" t="str">
        <f>VLOOKUP(Tabla3[[#This Row],[Site]],Table35[#All],2,FALSE)</f>
        <v>1, 2, 8</v>
      </c>
      <c r="M327" s="34" t="str">
        <f>VLOOKUP(Tabla3[[#This Row],[Site]],Table35[#All],3,FALSE)</f>
        <v>13, 14, 20, 26, 40</v>
      </c>
      <c r="N327" s="34" t="str">
        <f>VLOOKUP(Tabla3[[#This Row],[Site]],Table35[#All],4,FALSE)</f>
        <v>-</v>
      </c>
      <c r="O327" s="34" t="str">
        <f>VLOOKUP(Tabla3[[#This Row],[Site]],Table35[#All],5,FALSE)</f>
        <v>-</v>
      </c>
      <c r="P327" s="34">
        <f>VLOOKUP(Tabla3[[#This Row],[Site]],Table35[#All],6,FALSE)</f>
        <v>29</v>
      </c>
      <c r="Q327" s="34" t="str">
        <f>VLOOKUP(Tabla3[[#This Row],[Site]],Table35[#All],8,FALSE)</f>
        <v>188</v>
      </c>
      <c r="R327"/>
    </row>
    <row r="328" spans="1:18" hidden="1" x14ac:dyDescent="0.25">
      <c r="A328" t="str">
        <f>+Tabla3[[#This Row],[Site]]&amp;Tabla3[[#This Row],[Split]]</f>
        <v>Mario Residence6</v>
      </c>
      <c r="B328">
        <v>6</v>
      </c>
      <c r="C328">
        <v>3</v>
      </c>
      <c r="D328" t="s">
        <v>100</v>
      </c>
      <c r="E328" t="str">
        <f>VLOOKUP(Tabla3[[#This Row],[Site]],Table35[],10,FALSE)</f>
        <v>24H</v>
      </c>
      <c r="F328" t="str">
        <f>VLOOKUP(Tabla3[[#This Row],[Site]],Table35[],11,FALSE)</f>
        <v>ET</v>
      </c>
      <c r="G328" t="str">
        <f>VLOOKUP(Tabla3[[#This Row],[Site]],Table35[],12,FALSE)</f>
        <v>-</v>
      </c>
      <c r="I328" s="70" t="str">
        <f>HYPERLINK(VLOOKUP(Tabla3[[#This Row],[Site]],Table35[#All],9,FALSE))</f>
        <v>https://tools.sig.systems/site/details/148</v>
      </c>
      <c r="J328" t="str">
        <f>VLOOKUP(Tabla3[[#This Row],[Site]],Table35[],14,FALSE)</f>
        <v>https://www.google.com/maps/d/edit?hl=es&amp;mid=13OmECPqyeB7fXgZmEoM9cnG34HU_v5g&amp;ll=26.046837034777553%2C-80.38753458591658&amp;z=19</v>
      </c>
      <c r="L328" s="34" t="str">
        <f>VLOOKUP(Tabla3[[#This Row],[Site]],Table35[#All],2,FALSE)</f>
        <v>7, 8</v>
      </c>
      <c r="M328" s="34" t="str">
        <f>VLOOKUP(Tabla3[[#This Row],[Site]],Table35[#All],3,FALSE)</f>
        <v>7, 8</v>
      </c>
      <c r="N328" s="34" t="str">
        <f>VLOOKUP(Tabla3[[#This Row],[Site]],Table35[#All],4,FALSE)</f>
        <v>-</v>
      </c>
      <c r="O328" s="34" t="str">
        <f>VLOOKUP(Tabla3[[#This Row],[Site]],Table35[#All],5,FALSE)</f>
        <v>-</v>
      </c>
      <c r="P328" s="34" t="str">
        <f>VLOOKUP(Tabla3[[#This Row],[Site]],Table35[#All],6,FALSE)</f>
        <v>4,12,13</v>
      </c>
      <c r="Q328" s="34" t="str">
        <f>VLOOKUP(Tabla3[[#This Row],[Site]],Table35[#All],8,FALSE)</f>
        <v>148</v>
      </c>
      <c r="R328"/>
    </row>
    <row r="329" spans="1:18" hidden="1" x14ac:dyDescent="0.25">
      <c r="A329" t="str">
        <f>+Tabla3[[#This Row],[Site]]&amp;Tabla3[[#This Row],[Split]]</f>
        <v>(AS) Coggin Honda of Orlando (NO TOURS)6</v>
      </c>
      <c r="B329">
        <v>6</v>
      </c>
      <c r="C329">
        <v>4</v>
      </c>
      <c r="D329" t="s">
        <v>384</v>
      </c>
      <c r="E329" t="str">
        <f>VLOOKUP(Tabla3[[#This Row],[Site]],Table35[],10,FALSE)</f>
        <v>9:00 P.M.</v>
      </c>
      <c r="F329" t="str">
        <f>VLOOKUP(Tabla3[[#This Row],[Site]],Table35[],11,FALSE)</f>
        <v>ET</v>
      </c>
      <c r="G329" t="str">
        <f>VLOOKUP(Tabla3[[#This Row],[Site]],Table35[],12,FALSE)</f>
        <v>5:00 A.M.</v>
      </c>
      <c r="H329" s="62" t="s">
        <v>96</v>
      </c>
      <c r="I329" s="70" t="str">
        <f>HYPERLINK(VLOOKUP(Tabla3[[#This Row],[Site]],Table35[#All],9,FALSE))</f>
        <v>https://tools.sig.systems/site/details/324</v>
      </c>
      <c r="J329">
        <f>VLOOKUP(Tabla3[[#This Row],[Site]],Table35[],14,FALSE)</f>
        <v>0</v>
      </c>
      <c r="L329" s="34" t="str">
        <f>VLOOKUP(Tabla3[[#This Row],[Site]],Table35[#All],2,FALSE)</f>
        <v>2, 10, 12B, 14, 38</v>
      </c>
      <c r="M329" s="34" t="str">
        <f>VLOOKUP(Tabla3[[#This Row],[Site]],Table35[#All],3,FALSE)</f>
        <v>-</v>
      </c>
      <c r="N329" s="34" t="str">
        <f>VLOOKUP(Tabla3[[#This Row],[Site]],Table35[#All],4,FALSE)</f>
        <v>-</v>
      </c>
      <c r="O329" s="34" t="str">
        <f>VLOOKUP(Tabla3[[#This Row],[Site]],Table35[#All],5,FALSE)</f>
        <v>12, 31</v>
      </c>
      <c r="P329" s="34" t="str">
        <f>VLOOKUP(Tabla3[[#This Row],[Site]],Table35[#All],6,FALSE)</f>
        <v>12B, 26, 37, 19</v>
      </c>
      <c r="Q329" s="34" t="str">
        <f>VLOOKUP(Tabla3[[#This Row],[Site]],Table35[#All],8,FALSE)</f>
        <v>324</v>
      </c>
      <c r="R329"/>
    </row>
    <row r="330" spans="1:18" hidden="1" x14ac:dyDescent="0.25">
      <c r="A330" t="str">
        <f>+Tabla3[[#This Row],[Site]]&amp;Tabla3[[#This Row],[Split]]</f>
        <v>(AS) Kahlo CDJR (NO TOURS)6</v>
      </c>
      <c r="B330">
        <v>6</v>
      </c>
      <c r="C330">
        <v>4</v>
      </c>
      <c r="D330" t="s">
        <v>381</v>
      </c>
      <c r="E330" t="str">
        <f>VLOOKUP(Tabla3[[#This Row],[Site]],Table35[],10,FALSE)</f>
        <v>9:00 P.M.</v>
      </c>
      <c r="F330" t="str">
        <f>VLOOKUP(Tabla3[[#This Row],[Site]],Table35[],11,FALSE)</f>
        <v>ET</v>
      </c>
      <c r="G330" t="str">
        <f>VLOOKUP(Tabla3[[#This Row],[Site]],Table35[],12,FALSE)</f>
        <v>5:00 A.M.</v>
      </c>
      <c r="H330" s="1" t="s">
        <v>69</v>
      </c>
      <c r="I330" s="70" t="str">
        <f>HYPERLINK(VLOOKUP(Tabla3[[#This Row],[Site]],Table35[#All],9,FALSE))</f>
        <v>https://tools.sig.systems/site/details/282</v>
      </c>
      <c r="J330" t="str">
        <f>VLOOKUP(Tabla3[[#This Row],[Site]],Table35[],14,FALSE)</f>
        <v>https://www.google.com/maps/d/edit?mid=1hsX5GGrNcCQgAuzDCDz1OWgEkhsAc78&amp;usp=sharing</v>
      </c>
      <c r="L330" s="34" t="str">
        <f>VLOOKUP(Tabla3[[#This Row],[Site]],Table35[#All],2,FALSE)</f>
        <v>-</v>
      </c>
      <c r="M330" s="34" t="str">
        <f>VLOOKUP(Tabla3[[#This Row],[Site]],Table35[#All],3,FALSE)</f>
        <v>12, 25</v>
      </c>
      <c r="N330" s="34" t="str">
        <f>VLOOKUP(Tabla3[[#This Row],[Site]],Table35[#All],4,FALSE)</f>
        <v>15, 16</v>
      </c>
      <c r="O330" s="34">
        <f>VLOOKUP(Tabla3[[#This Row],[Site]],Table35[#All],5,FALSE)</f>
        <v>20</v>
      </c>
      <c r="P330" s="34" t="str">
        <f>VLOOKUP(Tabla3[[#This Row],[Site]],Table35[#All],6,FALSE)</f>
        <v>1, 2, 9, 22, 31, 57</v>
      </c>
      <c r="Q330" s="34" t="str">
        <f>VLOOKUP(Tabla3[[#This Row],[Site]],Table35[#All],8,FALSE)</f>
        <v>282</v>
      </c>
      <c r="R330"/>
    </row>
    <row r="331" spans="1:18" hidden="1" x14ac:dyDescent="0.25">
      <c r="A331" t="str">
        <f>+Tabla3[[#This Row],[Site]]&amp;Tabla3[[#This Row],[Split]]</f>
        <v>(AS) Koons Baltimore Ford - Main Dealership (NO TOURS)6</v>
      </c>
      <c r="B331">
        <v>6</v>
      </c>
      <c r="C331">
        <v>4</v>
      </c>
      <c r="D331" t="s">
        <v>357</v>
      </c>
      <c r="E331" t="str">
        <f>VLOOKUP(Tabla3[[#This Row],[Site]],Table35[],10,FALSE)</f>
        <v>9:00 P.M.</v>
      </c>
      <c r="F331" t="str">
        <f>VLOOKUP(Tabla3[[#This Row],[Site]],Table35[],11,FALSE)</f>
        <v>ET</v>
      </c>
      <c r="G331" t="str">
        <f>VLOOKUP(Tabla3[[#This Row],[Site]],Table35[],12,FALSE)</f>
        <v>5:00 A.M.</v>
      </c>
      <c r="H331" s="1" t="s">
        <v>96</v>
      </c>
      <c r="I331" s="70" t="str">
        <f>HYPERLINK(VLOOKUP(Tabla3[[#This Row],[Site]],Table35[#All],9,FALSE))</f>
        <v>https://tools.sig.systems/site/details/335</v>
      </c>
      <c r="J331" t="str">
        <f>VLOOKUP(Tabla3[[#This Row],[Site]],Table35[],14,FALSE)</f>
        <v>-</v>
      </c>
      <c r="L331" s="34" t="str">
        <f>VLOOKUP(Tabla3[[#This Row],[Site]],Table35[#All],2,FALSE)</f>
        <v>21, 22, 24, 32, 45</v>
      </c>
      <c r="M331" s="34">
        <f>VLOOKUP(Tabla3[[#This Row],[Site]],Table35[#All],3,FALSE)</f>
        <v>1</v>
      </c>
      <c r="N331" s="34" t="str">
        <f>VLOOKUP(Tabla3[[#This Row],[Site]],Table35[#All],4,FALSE)</f>
        <v>-</v>
      </c>
      <c r="O331" s="34" t="str">
        <f>VLOOKUP(Tabla3[[#This Row],[Site]],Table35[#All],5,FALSE)</f>
        <v>1, 8</v>
      </c>
      <c r="P331" s="34" t="str">
        <f>VLOOKUP(Tabla3[[#This Row],[Site]],Table35[#All],6,FALSE)</f>
        <v>5, 28, 38</v>
      </c>
      <c r="Q331" s="34" t="str">
        <f>VLOOKUP(Tabla3[[#This Row],[Site]],Table35[#All],8,FALSE)</f>
        <v>335</v>
      </c>
      <c r="R331"/>
    </row>
    <row r="332" spans="1:18" hidden="1" x14ac:dyDescent="0.25">
      <c r="A332" t="str">
        <f>+Tabla3[[#This Row],[Site]]&amp;Tabla3[[#This Row],[Split]]</f>
        <v>(AS) Koons Easton Toyota - Main Dealership (NO TOURS)6</v>
      </c>
      <c r="B332">
        <v>6</v>
      </c>
      <c r="C332">
        <v>4</v>
      </c>
      <c r="D332" t="s">
        <v>426</v>
      </c>
      <c r="E332" t="str">
        <f>VLOOKUP(Tabla3[[#This Row],[Site]],Table35[],10,FALSE)</f>
        <v>9:00 P.M.</v>
      </c>
      <c r="F332" t="str">
        <f>VLOOKUP(Tabla3[[#This Row],[Site]],Table35[],11,FALSE)</f>
        <v>ET</v>
      </c>
      <c r="G332" t="str">
        <f>VLOOKUP(Tabla3[[#This Row],[Site]],Table35[],12,FALSE)</f>
        <v>5:00 A.M.</v>
      </c>
      <c r="H332" s="1" t="s">
        <v>96</v>
      </c>
      <c r="I332" s="70" t="str">
        <f>HYPERLINK(VLOOKUP(Tabla3[[#This Row],[Site]],Table35[#All],9,FALSE))</f>
        <v>https://tools.sig.systems/site/details/340</v>
      </c>
      <c r="J332" t="str">
        <f>VLOOKUP(Tabla3[[#This Row],[Site]],Table35[],14,FALSE)</f>
        <v>-</v>
      </c>
      <c r="L332" s="34" t="str">
        <f>VLOOKUP(Tabla3[[#This Row],[Site]],Table35[#All],2,FALSE)</f>
        <v>-</v>
      </c>
      <c r="M332" s="34" t="str">
        <f>VLOOKUP(Tabla3[[#This Row],[Site]],Table35[#All],3,FALSE)</f>
        <v>4, 5</v>
      </c>
      <c r="N332" s="34" t="str">
        <f>VLOOKUP(Tabla3[[#This Row],[Site]],Table35[#All],4,FALSE)</f>
        <v>-</v>
      </c>
      <c r="O332" s="34" t="str">
        <f>VLOOKUP(Tabla3[[#This Row],[Site]],Table35[#All],5,FALSE)</f>
        <v>-</v>
      </c>
      <c r="P332" s="34" t="str">
        <f>VLOOKUP(Tabla3[[#This Row],[Site]],Table35[#All],6,FALSE)</f>
        <v>8, 15</v>
      </c>
      <c r="Q332" s="34" t="str">
        <f>VLOOKUP(Tabla3[[#This Row],[Site]],Table35[#All],8,FALSE)</f>
        <v>340</v>
      </c>
      <c r="R332"/>
    </row>
    <row r="333" spans="1:18" hidden="1" x14ac:dyDescent="0.25">
      <c r="A333" t="str">
        <f>+Tabla3[[#This Row],[Site]]&amp;Tabla3[[#This Row],[Split]]</f>
        <v>(AS) Plaza Mercedes Benz West (NO TOURS)6</v>
      </c>
      <c r="B333">
        <v>6</v>
      </c>
      <c r="C333">
        <v>4</v>
      </c>
      <c r="D333" t="s">
        <v>396</v>
      </c>
      <c r="E333" t="str">
        <f>VLOOKUP(Tabla3[[#This Row],[Site]],Table35[],10,FALSE)</f>
        <v>10:00 P.M.</v>
      </c>
      <c r="F333" t="str">
        <f>VLOOKUP(Tabla3[[#This Row],[Site]],Table35[],11,FALSE)</f>
        <v>CT</v>
      </c>
      <c r="G333" t="str">
        <f>VLOOKUP(Tabla3[[#This Row],[Site]],Table35[],12,FALSE)</f>
        <v>6:00 A.M.</v>
      </c>
      <c r="H333" s="1" t="s">
        <v>96</v>
      </c>
      <c r="I333" s="70" t="str">
        <f>HYPERLINK(VLOOKUP(Tabla3[[#This Row],[Site]],Table35[#All],9,FALSE))</f>
        <v>https://tools.sig.systems/site/details/349</v>
      </c>
      <c r="J333" t="str">
        <f>VLOOKUP(Tabla3[[#This Row],[Site]],Table35[],14,FALSE)</f>
        <v>-</v>
      </c>
      <c r="L333" s="34" t="str">
        <f>VLOOKUP(Tabla3[[#This Row],[Site]],Table35[#All],2,FALSE)</f>
        <v>-</v>
      </c>
      <c r="M333" s="34" t="str">
        <f>VLOOKUP(Tabla3[[#This Row],[Site]],Table35[#All],3,FALSE)</f>
        <v>1, 7</v>
      </c>
      <c r="N333" s="34" t="str">
        <f>VLOOKUP(Tabla3[[#This Row],[Site]],Table35[#All],4,FALSE)</f>
        <v>-</v>
      </c>
      <c r="O333" s="34">
        <f>VLOOKUP(Tabla3[[#This Row],[Site]],Table35[#All],5,FALSE)</f>
        <v>17</v>
      </c>
      <c r="P333" s="34" t="str">
        <f>VLOOKUP(Tabla3[[#This Row],[Site]],Table35[#All],6,FALSE)</f>
        <v>6, 21</v>
      </c>
      <c r="Q333" s="34" t="str">
        <f>VLOOKUP(Tabla3[[#This Row],[Site]],Table35[#All],8,FALSE)</f>
        <v>349</v>
      </c>
      <c r="R333"/>
    </row>
    <row r="334" spans="1:18" hidden="1" x14ac:dyDescent="0.25">
      <c r="A334" t="str">
        <f>+Tabla3[[#This Row],[Site]]&amp;Tabla3[[#This Row],[Split]]</f>
        <v>(LT) Landers Kia of Little Rock6</v>
      </c>
      <c r="B334">
        <v>6</v>
      </c>
      <c r="C334">
        <v>4</v>
      </c>
      <c r="D334" t="s">
        <v>249</v>
      </c>
      <c r="E334" t="str">
        <f>VLOOKUP(Tabla3[[#This Row],[Site]],Table35[],10,FALSE)</f>
        <v>10:00 P.M.</v>
      </c>
      <c r="F334" t="str">
        <f>VLOOKUP(Tabla3[[#This Row],[Site]],Table35[],11,FALSE)</f>
        <v>CT</v>
      </c>
      <c r="G334" t="str">
        <f>VLOOKUP(Tabla3[[#This Row],[Site]],Table35[],12,FALSE)</f>
        <v>6:00 A.M.</v>
      </c>
      <c r="H334" s="1" t="s">
        <v>96</v>
      </c>
      <c r="I334" s="70" t="str">
        <f>HYPERLINK(VLOOKUP(Tabla3[[#This Row],[Site]],Table35[#All],9,FALSE))</f>
        <v>https://tools.sig.systems/site/details/322</v>
      </c>
      <c r="J334" t="str">
        <f>VLOOKUP(Tabla3[[#This Row],[Site]],Table35[],14,FALSE)</f>
        <v>https://www.google.com/maps/d/u/1/edit?mid=1-zEzsc6U6nZom08edp0XAd3_HYFvAyk&amp;usp=sharing</v>
      </c>
      <c r="L334" s="34" t="str">
        <f>VLOOKUP(Tabla3[[#This Row],[Site]],Table35[#All],2,FALSE)</f>
        <v>5, 9, 33, 19</v>
      </c>
      <c r="M334" s="34" t="str">
        <f>VLOOKUP(Tabla3[[#This Row],[Site]],Table35[#All],3,FALSE)</f>
        <v>-</v>
      </c>
      <c r="N334" s="34" t="str">
        <f>VLOOKUP(Tabla3[[#This Row],[Site]],Table35[#All],4,FALSE)</f>
        <v>4, 10</v>
      </c>
      <c r="O334" s="34" t="str">
        <f>VLOOKUP(Tabla3[[#This Row],[Site]],Table35[#All],5,FALSE)</f>
        <v>1, 35</v>
      </c>
      <c r="P334" s="34" t="str">
        <f>VLOOKUP(Tabla3[[#This Row],[Site]],Table35[#All],6,FALSE)</f>
        <v>5, 9, 12, 14, 18, 26, 29</v>
      </c>
      <c r="Q334" s="34" t="str">
        <f>VLOOKUP(Tabla3[[#This Row],[Site]],Table35[#All],8,FALSE)</f>
        <v>322</v>
      </c>
      <c r="R334"/>
    </row>
    <row r="335" spans="1:18" hidden="1" x14ac:dyDescent="0.25">
      <c r="A335" t="str">
        <f>+Tabla3[[#This Row],[Site]]&amp;Tabla3[[#This Row],[Split]]</f>
        <v>(LT) Luther North Country Ford6</v>
      </c>
      <c r="B335">
        <v>6</v>
      </c>
      <c r="C335">
        <v>4</v>
      </c>
      <c r="D335" t="s">
        <v>127</v>
      </c>
      <c r="E335" t="str">
        <f>VLOOKUP(Tabla3[[#This Row],[Site]],Table35[],10,FALSE)</f>
        <v>10:00 P.M.</v>
      </c>
      <c r="F335" t="str">
        <f>VLOOKUP(Tabla3[[#This Row],[Site]],Table35[],11,FALSE)</f>
        <v>CT</v>
      </c>
      <c r="G335" t="str">
        <f>VLOOKUP(Tabla3[[#This Row],[Site]],Table35[],12,FALSE)</f>
        <v>6:00 A.M.</v>
      </c>
      <c r="H335" s="1" t="s">
        <v>96</v>
      </c>
      <c r="I335" s="70" t="str">
        <f>HYPERLINK(VLOOKUP(Tabla3[[#This Row],[Site]],Table35[#All],9,FALSE))</f>
        <v>https://tools.sig.systems/site/details/292</v>
      </c>
      <c r="J335">
        <f>VLOOKUP(Tabla3[[#This Row],[Site]],Table35[],14,FALSE)</f>
        <v>0</v>
      </c>
      <c r="L335" s="34" t="str">
        <f>VLOOKUP(Tabla3[[#This Row],[Site]],Table35[#All],2,FALSE)</f>
        <v>-</v>
      </c>
      <c r="M335" s="34" t="str">
        <f>VLOOKUP(Tabla3[[#This Row],[Site]],Table35[#All],3,FALSE)</f>
        <v>7, 14, 19</v>
      </c>
      <c r="N335" s="34" t="str">
        <f>VLOOKUP(Tabla3[[#This Row],[Site]],Table35[#All],4,FALSE)</f>
        <v>30, 31, 32</v>
      </c>
      <c r="O335" s="34" t="str">
        <f>VLOOKUP(Tabla3[[#This Row],[Site]],Table35[#All],5,FALSE)</f>
        <v>-</v>
      </c>
      <c r="P335" s="34" t="str">
        <f>VLOOKUP(Tabla3[[#This Row],[Site]],Table35[#All],6,FALSE)</f>
        <v>1, 4, 9, 13, 15, 16B, 25</v>
      </c>
      <c r="Q335" s="34" t="str">
        <f>VLOOKUP(Tabla3[[#This Row],[Site]],Table35[#All],8,FALSE)</f>
        <v>292</v>
      </c>
      <c r="R335"/>
    </row>
    <row r="336" spans="1:18" hidden="1" x14ac:dyDescent="0.25">
      <c r="A336" t="str">
        <f>+Tabla3[[#This Row],[Site]]&amp;Tabla3[[#This Row],[Split]]</f>
        <v>(PE) JLR Darien (NO TOURS)6</v>
      </c>
      <c r="B336">
        <v>6</v>
      </c>
      <c r="C336">
        <v>4</v>
      </c>
      <c r="D336" t="s">
        <v>368</v>
      </c>
      <c r="E336" t="str">
        <f>VLOOKUP(Tabla3[[#This Row],[Site]],Table35[],10,FALSE)</f>
        <v>8:00 P.M.</v>
      </c>
      <c r="F336" t="str">
        <f>VLOOKUP(Tabla3[[#This Row],[Site]],Table35[],11,FALSE)</f>
        <v>ET</v>
      </c>
      <c r="G336" t="str">
        <f>VLOOKUP(Tabla3[[#This Row],[Site]],Table35[],12,FALSE)</f>
        <v>5:00 A.M.</v>
      </c>
      <c r="H336" s="1" t="s">
        <v>96</v>
      </c>
      <c r="I336" s="70" t="str">
        <f>HYPERLINK(VLOOKUP(Tabla3[[#This Row],[Site]],Table35[#All],9,FALSE))</f>
        <v>https://tools.sig.systems/site/details/189</v>
      </c>
      <c r="J336" t="str">
        <f>VLOOKUP(Tabla3[[#This Row],[Site]],Table35[],14,FALSE)</f>
        <v>-</v>
      </c>
      <c r="L336" s="34" t="str">
        <f>VLOOKUP(Tabla3[[#This Row],[Site]],Table35[#All],2,FALSE)</f>
        <v>1, 13</v>
      </c>
      <c r="M336" s="34" t="str">
        <f>VLOOKUP(Tabla3[[#This Row],[Site]],Table35[#All],3,FALSE)</f>
        <v>-</v>
      </c>
      <c r="N336" s="34" t="str">
        <f>VLOOKUP(Tabla3[[#This Row],[Site]],Table35[#All],4,FALSE)</f>
        <v>-</v>
      </c>
      <c r="O336" s="34" t="str">
        <f>VLOOKUP(Tabla3[[#This Row],[Site]],Table35[#All],5,FALSE)</f>
        <v>-</v>
      </c>
      <c r="P336" s="34" t="str">
        <f>VLOOKUP(Tabla3[[#This Row],[Site]],Table35[#All],6,FALSE)</f>
        <v>-</v>
      </c>
      <c r="Q336" s="34" t="str">
        <f>VLOOKUP(Tabla3[[#This Row],[Site]],Table35[#All],8,FALSE)</f>
        <v>189</v>
      </c>
      <c r="R336"/>
    </row>
    <row r="337" spans="1:18" hidden="1" x14ac:dyDescent="0.25">
      <c r="A337" t="str">
        <f>+Tabla3[[#This Row],[Site]]&amp;Tabla3[[#This Row],[Split]]</f>
        <v>(AS) Hare Chevrolet (NO TOURS)6</v>
      </c>
      <c r="B337">
        <v>6</v>
      </c>
      <c r="C337">
        <v>5</v>
      </c>
      <c r="D337" t="s">
        <v>379</v>
      </c>
      <c r="E337" t="str">
        <f>VLOOKUP(Tabla3[[#This Row],[Site]],Table35[],10,FALSE)</f>
        <v>9:00 P.M.</v>
      </c>
      <c r="F337" t="str">
        <f>VLOOKUP(Tabla3[[#This Row],[Site]],Table35[],11,FALSE)</f>
        <v>ET</v>
      </c>
      <c r="G337" t="str">
        <f>VLOOKUP(Tabla3[[#This Row],[Site]],Table35[],12,FALSE)</f>
        <v>5:00 A.M.</v>
      </c>
      <c r="H337" s="1" t="s">
        <v>96</v>
      </c>
      <c r="I337" s="70" t="str">
        <f>HYPERLINK(VLOOKUP(Tabla3[[#This Row],[Site]],Table35[#All],9,FALSE))</f>
        <v>https://tools.sig.systems/site/details/301</v>
      </c>
      <c r="J337" t="str">
        <f>VLOOKUP(Tabla3[[#This Row],[Site]],Table35[],14,FALSE)</f>
        <v>https://www.google.com/maps/d/edit?mid=1hsX5GGrNcCQgAuzDCDz1OWgEkhsAc78&amp;usp=sharing</v>
      </c>
      <c r="L337" s="34" t="str">
        <f>VLOOKUP(Tabla3[[#This Row],[Site]],Table35[#All],2,FALSE)</f>
        <v>18, 24</v>
      </c>
      <c r="M337" s="34" t="str">
        <f>VLOOKUP(Tabla3[[#This Row],[Site]],Table35[#All],3,FALSE)</f>
        <v>2, 3</v>
      </c>
      <c r="N337" s="34" t="str">
        <f>VLOOKUP(Tabla3[[#This Row],[Site]],Table35[#All],4,FALSE)</f>
        <v>-</v>
      </c>
      <c r="O337" s="34">
        <f>VLOOKUP(Tabla3[[#This Row],[Site]],Table35[#All],5,FALSE)</f>
        <v>5</v>
      </c>
      <c r="P337" s="34" t="str">
        <f>VLOOKUP(Tabla3[[#This Row],[Site]],Table35[#All],6,FALSE)</f>
        <v>1, 5, 7, 8, 21, 29</v>
      </c>
      <c r="Q337" s="34" t="str">
        <f>VLOOKUP(Tabla3[[#This Row],[Site]],Table35[#All],8,FALSE)</f>
        <v>301</v>
      </c>
      <c r="R337"/>
    </row>
    <row r="338" spans="1:18" hidden="1" x14ac:dyDescent="0.25">
      <c r="A338" t="str">
        <f>+Tabla3[[#This Row],[Site]]&amp;Tabla3[[#This Row],[Split]]</f>
        <v>(AS) Koons Woodbridge Hyundai (NO TOURS)6</v>
      </c>
      <c r="B338">
        <v>6</v>
      </c>
      <c r="C338">
        <v>5</v>
      </c>
      <c r="D338" t="s">
        <v>406</v>
      </c>
      <c r="E338" t="str">
        <f>VLOOKUP(Tabla3[[#This Row],[Site]],Table35[],10,FALSE)</f>
        <v>9:00 P.M.</v>
      </c>
      <c r="F338" t="str">
        <f>VLOOKUP(Tabla3[[#This Row],[Site]],Table35[],11,FALSE)</f>
        <v>ET</v>
      </c>
      <c r="G338" t="str">
        <f>VLOOKUP(Tabla3[[#This Row],[Site]],Table35[],12,FALSE)</f>
        <v>5:00 A.M.</v>
      </c>
      <c r="H338" s="1" t="s">
        <v>96</v>
      </c>
      <c r="I338" s="70" t="str">
        <f>HYPERLINK(VLOOKUP(Tabla3[[#This Row],[Site]],Table35[#All],9,FALSE))</f>
        <v>https://tools.sig.systems/site/details/347</v>
      </c>
      <c r="J338" t="str">
        <f>VLOOKUP(Tabla3[[#This Row],[Site]],Table35[],14,FALSE)</f>
        <v>-</v>
      </c>
      <c r="L338" s="34" t="str">
        <f>VLOOKUP(Tabla3[[#This Row],[Site]],Table35[#All],2,FALSE)</f>
        <v>-</v>
      </c>
      <c r="M338" s="34" t="str">
        <f>VLOOKUP(Tabla3[[#This Row],[Site]],Table35[#All],3,FALSE)</f>
        <v>1, 17</v>
      </c>
      <c r="N338" s="34" t="str">
        <f>VLOOKUP(Tabla3[[#This Row],[Site]],Table35[#All],4,FALSE)</f>
        <v>-</v>
      </c>
      <c r="O338" s="34" t="str">
        <f>VLOOKUP(Tabla3[[#This Row],[Site]],Table35[#All],5,FALSE)</f>
        <v>-</v>
      </c>
      <c r="P338" s="34" t="str">
        <f>VLOOKUP(Tabla3[[#This Row],[Site]],Table35[#All],6,FALSE)</f>
        <v>4, 14, 22</v>
      </c>
      <c r="Q338" s="34" t="str">
        <f>VLOOKUP(Tabla3[[#This Row],[Site]],Table35[#All],8,FALSE)</f>
        <v>347</v>
      </c>
      <c r="R338"/>
    </row>
    <row r="339" spans="1:18" hidden="1" x14ac:dyDescent="0.25">
      <c r="A339" t="str">
        <f>+Tabla3[[#This Row],[Site]]&amp;Tabla3[[#This Row],[Split]]</f>
        <v>(BRL) Shoemakersville6</v>
      </c>
      <c r="B339">
        <v>6</v>
      </c>
      <c r="C339">
        <v>5</v>
      </c>
      <c r="D339" t="s">
        <v>120</v>
      </c>
      <c r="E339" t="str">
        <f>VLOOKUP(Tabla3[[#This Row],[Site]],Table35[],10,FALSE)</f>
        <v>24H</v>
      </c>
      <c r="F339" t="str">
        <f>VLOOKUP(Tabla3[[#This Row],[Site]],Table35[],11,FALSE)</f>
        <v>ET</v>
      </c>
      <c r="G339" t="str">
        <f>VLOOKUP(Tabla3[[#This Row],[Site]],Table35[],12,FALSE)</f>
        <v>-</v>
      </c>
      <c r="H339" s="1" t="s">
        <v>96</v>
      </c>
      <c r="I339" s="70" t="str">
        <f>HYPERLINK(VLOOKUP(Tabla3[[#This Row],[Site]],Table35[#All],9,FALSE))</f>
        <v>https://tools.sig.systems/site/details/302</v>
      </c>
      <c r="J339">
        <f>VLOOKUP(Tabla3[[#This Row],[Site]],Table35[],14,FALSE)</f>
        <v>0</v>
      </c>
      <c r="L339" s="34" t="str">
        <f>VLOOKUP(Tabla3[[#This Row],[Site]],Table35[#All],2,FALSE)</f>
        <v>-</v>
      </c>
      <c r="M339" s="34" t="str">
        <f>VLOOKUP(Tabla3[[#This Row],[Site]],Table35[#All],3,FALSE)</f>
        <v>8, 11</v>
      </c>
      <c r="N339" s="34" t="str">
        <f>VLOOKUP(Tabla3[[#This Row],[Site]],Table35[#All],4,FALSE)</f>
        <v>-</v>
      </c>
      <c r="O339" s="34" t="str">
        <f>VLOOKUP(Tabla3[[#This Row],[Site]],Table35[#All],5,FALSE)</f>
        <v>1, 6, 13A, 15, 18A</v>
      </c>
      <c r="P339" s="34" t="str">
        <f>VLOOKUP(Tabla3[[#This Row],[Site]],Table35[#All],6,FALSE)</f>
        <v>13B, 23</v>
      </c>
      <c r="Q339" s="34" t="str">
        <f>VLOOKUP(Tabla3[[#This Row],[Site]],Table35[#All],8,FALSE)</f>
        <v>302</v>
      </c>
      <c r="R339"/>
    </row>
    <row r="340" spans="1:18" hidden="1" x14ac:dyDescent="0.25">
      <c r="A340" t="str">
        <f>+Tabla3[[#This Row],[Site]]&amp;Tabla3[[#This Row],[Split]]</f>
        <v>(DT) Arlington6</v>
      </c>
      <c r="B340">
        <v>6</v>
      </c>
      <c r="C340">
        <v>5</v>
      </c>
      <c r="D340" t="s">
        <v>18</v>
      </c>
      <c r="E340" t="str">
        <f>VLOOKUP(Tabla3[[#This Row],[Site]],Table35[],10,FALSE)</f>
        <v>10:00 P.M.</v>
      </c>
      <c r="F340" t="str">
        <f>VLOOKUP(Tabla3[[#This Row],[Site]],Table35[],11,FALSE)</f>
        <v>CT</v>
      </c>
      <c r="G340" t="str">
        <f>VLOOKUP(Tabla3[[#This Row],[Site]],Table35[],12,FALSE)</f>
        <v>6:00 A.M.</v>
      </c>
      <c r="H340" s="1" t="s">
        <v>96</v>
      </c>
      <c r="I340" s="70" t="str">
        <f>HYPERLINK(VLOOKUP(Tabla3[[#This Row],[Site]],Table35[#All],9,FALSE))</f>
        <v>https://tools.sig.systems/site/details/199</v>
      </c>
      <c r="J340" t="str">
        <f>VLOOKUP(Tabla3[[#This Row],[Site]],Table35[],14,FALSE)</f>
        <v>-</v>
      </c>
      <c r="L340" s="34" t="str">
        <f>VLOOKUP(Tabla3[[#This Row],[Site]],Table35[#All],2,FALSE)</f>
        <v>3,8</v>
      </c>
      <c r="M340" s="34" t="str">
        <f>VLOOKUP(Tabla3[[#This Row],[Site]],Table35[#All],3,FALSE)</f>
        <v>-</v>
      </c>
      <c r="N340" s="34" t="str">
        <f>VLOOKUP(Tabla3[[#This Row],[Site]],Table35[#All],4,FALSE)</f>
        <v>-</v>
      </c>
      <c r="O340" s="34" t="str">
        <f>VLOOKUP(Tabla3[[#This Row],[Site]],Table35[#All],5,FALSE)</f>
        <v>-</v>
      </c>
      <c r="P340" s="34" t="str">
        <f>VLOOKUP(Tabla3[[#This Row],[Site]],Table35[#All],6,FALSE)</f>
        <v>3, 8, 7</v>
      </c>
      <c r="Q340" s="34" t="str">
        <f>VLOOKUP(Tabla3[[#This Row],[Site]],Table35[#All],8,FALSE)</f>
        <v>199</v>
      </c>
      <c r="R340"/>
    </row>
    <row r="341" spans="1:18" hidden="1" x14ac:dyDescent="0.25">
      <c r="A341" t="str">
        <f>+Tabla3[[#This Row],[Site]]&amp;Tabla3[[#This Row],[Split]]</f>
        <v>(KG) Big Star Cadillac6</v>
      </c>
      <c r="B341">
        <v>6</v>
      </c>
      <c r="C341">
        <v>5</v>
      </c>
      <c r="D341" t="s">
        <v>240</v>
      </c>
      <c r="E341" t="str">
        <f>VLOOKUP(Tabla3[[#This Row],[Site]],Table35[],10,FALSE)</f>
        <v>10:00 P.M.</v>
      </c>
      <c r="F341" t="str">
        <f>VLOOKUP(Tabla3[[#This Row],[Site]],Table35[],11,FALSE)</f>
        <v>CT</v>
      </c>
      <c r="G341" t="str">
        <f>VLOOKUP(Tabla3[[#This Row],[Site]],Table35[],12,FALSE)</f>
        <v>6:00 A.M.</v>
      </c>
      <c r="H341" s="1" t="s">
        <v>68</v>
      </c>
      <c r="I341" s="70" t="str">
        <f>HYPERLINK(VLOOKUP(Tabla3[[#This Row],[Site]],Table35[#All],9,FALSE))</f>
        <v>https://tools.sig.systems/site/details/316</v>
      </c>
      <c r="J341" t="str">
        <f>VLOOKUP(Tabla3[[#This Row],[Site]],Table35[],14,FALSE)</f>
        <v>https://www.google.com/maps/d/edit?mid=1jIRkMUnWNPuTgDjQgDP-f33LClT85NU&amp;usp=sharing</v>
      </c>
      <c r="L341" s="34" t="str">
        <f>VLOOKUP(Tabla3[[#This Row],[Site]],Table35[#All],2,FALSE)</f>
        <v>1, 4, 16</v>
      </c>
      <c r="M341" s="34" t="str">
        <f>VLOOKUP(Tabla3[[#This Row],[Site]],Table35[#All],3,FALSE)</f>
        <v>-</v>
      </c>
      <c r="N341" s="34" t="str">
        <f>VLOOKUP(Tabla3[[#This Row],[Site]],Table35[#All],4,FALSE)</f>
        <v>-</v>
      </c>
      <c r="O341" s="34" t="str">
        <f>VLOOKUP(Tabla3[[#This Row],[Site]],Table35[#All],5,FALSE)</f>
        <v>-</v>
      </c>
      <c r="P341" s="34" t="str">
        <f>VLOOKUP(Tabla3[[#This Row],[Site]],Table35[#All],6,FALSE)</f>
        <v>15, 16, 19, 20</v>
      </c>
      <c r="Q341" s="34" t="str">
        <f>VLOOKUP(Tabla3[[#This Row],[Site]],Table35[#All],8,FALSE)</f>
        <v>316</v>
      </c>
      <c r="R341"/>
    </row>
    <row r="342" spans="1:18" x14ac:dyDescent="0.25">
      <c r="A342" t="str">
        <f>+Tabla3[[#This Row],[Site]]&amp;Tabla3[[#This Row],[Split]]</f>
        <v>(LT) Luther Bloomington Hyundai (NO TOURS)6</v>
      </c>
      <c r="B342">
        <v>6</v>
      </c>
      <c r="C342">
        <v>5</v>
      </c>
      <c r="D342" t="s">
        <v>456</v>
      </c>
      <c r="E342" t="str">
        <f>VLOOKUP(Tabla3[[#This Row],[Site]],Table35[],10,FALSE)</f>
        <v>10:00 P.M.</v>
      </c>
      <c r="F342" t="str">
        <f>VLOOKUP(Tabla3[[#This Row],[Site]],Table35[],11,FALSE)</f>
        <v>CT</v>
      </c>
      <c r="G342" t="str">
        <f>VLOOKUP(Tabla3[[#This Row],[Site]],Table35[],12,FALSE)</f>
        <v>4:00 A.M.</v>
      </c>
      <c r="H342" s="1" t="s">
        <v>96</v>
      </c>
      <c r="I342" s="70" t="str">
        <f>HYPERLINK(VLOOKUP(Tabla3[[#This Row],[Site]],Table35[#All],9,FALSE))</f>
        <v>https://tools.sig.systems/site/details/318</v>
      </c>
      <c r="J342">
        <f>VLOOKUP(Tabla3[[#This Row],[Site]],Table35[],14,FALSE)</f>
        <v>0</v>
      </c>
      <c r="L342" s="34" t="str">
        <f>VLOOKUP(Tabla3[[#This Row],[Site]],Table35[#All],2,FALSE)</f>
        <v>-</v>
      </c>
      <c r="M342" s="34" t="str">
        <f>VLOOKUP(Tabla3[[#This Row],[Site]],Table35[#All],3,FALSE)</f>
        <v>6, 9, 13</v>
      </c>
      <c r="N342" s="34" t="str">
        <f>VLOOKUP(Tabla3[[#This Row],[Site]],Table35[#All],4,FALSE)</f>
        <v>58, 59</v>
      </c>
      <c r="O342" s="34">
        <f>VLOOKUP(Tabla3[[#This Row],[Site]],Table35[#All],5,FALSE)</f>
        <v>10</v>
      </c>
      <c r="P342" s="34" t="str">
        <f>VLOOKUP(Tabla3[[#This Row],[Site]],Table35[#All],6,FALSE)</f>
        <v>11, 18</v>
      </c>
      <c r="Q342" s="34" t="str">
        <f>VLOOKUP(Tabla3[[#This Row],[Site]],Table35[#All],8,FALSE)</f>
        <v>318</v>
      </c>
      <c r="R342"/>
    </row>
    <row r="343" spans="1:18" hidden="1" x14ac:dyDescent="0.25">
      <c r="A343" t="str">
        <f>+Tabla3[[#This Row],[Site]]&amp;Tabla3[[#This Row],[Split]]</f>
        <v>(LT) Luther Landers Recon Center6</v>
      </c>
      <c r="B343">
        <v>6</v>
      </c>
      <c r="C343">
        <v>5</v>
      </c>
      <c r="D343" t="s">
        <v>255</v>
      </c>
      <c r="E343" t="str">
        <f>VLOOKUP(Tabla3[[#This Row],[Site]],Table35[],10,FALSE)</f>
        <v>10:00 P.M.</v>
      </c>
      <c r="F343" t="str">
        <f>VLOOKUP(Tabla3[[#This Row],[Site]],Table35[],11,FALSE)</f>
        <v>CT</v>
      </c>
      <c r="G343" t="str">
        <f>VLOOKUP(Tabla3[[#This Row],[Site]],Table35[],12,FALSE)</f>
        <v>6:00 A.M.</v>
      </c>
      <c r="H343" s="1" t="s">
        <v>96</v>
      </c>
      <c r="I343" s="70" t="str">
        <f>HYPERLINK(VLOOKUP(Tabla3[[#This Row],[Site]],Table35[#All],9,FALSE))</f>
        <v>https://tools.sig.systems/site/details/323</v>
      </c>
      <c r="J343" t="str">
        <f>VLOOKUP(Tabla3[[#This Row],[Site]],Table35[],14,FALSE)</f>
        <v>https://www.google.com/maps/d/u/1/edit?mid=1-zEzsc6U6nZom08edp0XAd3_HYFvAyk&amp;usp=sharing</v>
      </c>
      <c r="L343" s="34" t="str">
        <f>VLOOKUP(Tabla3[[#This Row],[Site]],Table35[#All],2,FALSE)</f>
        <v>2, 4</v>
      </c>
      <c r="M343" s="34" t="str">
        <f>VLOOKUP(Tabla3[[#This Row],[Site]],Table35[#All],3,FALSE)</f>
        <v>-</v>
      </c>
      <c r="N343" s="34" t="str">
        <f>VLOOKUP(Tabla3[[#This Row],[Site]],Table35[#All],4,FALSE)</f>
        <v>-</v>
      </c>
      <c r="O343" s="34" t="str">
        <f>VLOOKUP(Tabla3[[#This Row],[Site]],Table35[#All],5,FALSE)</f>
        <v>-</v>
      </c>
      <c r="P343" s="34" t="str">
        <f>VLOOKUP(Tabla3[[#This Row],[Site]],Table35[#All],6,FALSE)</f>
        <v>3, 9, 11</v>
      </c>
      <c r="Q343" s="34" t="str">
        <f>VLOOKUP(Tabla3[[#This Row],[Site]],Table35[#All],8,FALSE)</f>
        <v>323</v>
      </c>
      <c r="R343"/>
    </row>
    <row r="344" spans="1:18" hidden="1" x14ac:dyDescent="0.25">
      <c r="A344" t="str">
        <f>+Tabla3[[#This Row],[Site]]&amp;Tabla3[[#This Row],[Split]]</f>
        <v>(SCH) Schumacher of Delray I &amp; III6</v>
      </c>
      <c r="B344">
        <v>6</v>
      </c>
      <c r="C344">
        <v>5</v>
      </c>
      <c r="D344" t="s">
        <v>385</v>
      </c>
      <c r="E344" t="str">
        <f>VLOOKUP(Tabla3[[#This Row],[Site]],Table35[],10,FALSE)</f>
        <v>9:00 P.M.</v>
      </c>
      <c r="F344" t="str">
        <f>VLOOKUP(Tabla3[[#This Row],[Site]],Table35[],11,FALSE)</f>
        <v>ET</v>
      </c>
      <c r="G344" t="str">
        <f>VLOOKUP(Tabla3[[#This Row],[Site]],Table35[],12,FALSE)</f>
        <v>5:00 A.M.</v>
      </c>
      <c r="H344" s="1" t="s">
        <v>96</v>
      </c>
      <c r="I344" s="70" t="str">
        <f>HYPERLINK(VLOOKUP(Tabla3[[#This Row],[Site]],Table35[#All],9,FALSE))</f>
        <v>https://tools.sig.systems/site/details/159</v>
      </c>
      <c r="J344" t="str">
        <f>VLOOKUP(Tabla3[[#This Row],[Site]],Table35[],14,FALSE)</f>
        <v>https://www.google.com/maps/d/viewer?mid=1ZLGV-cDM9aCfovhmXHIAXgVOKts0dEI&amp;ll=26.438859950088858%2C-80.07968125000001&amp;z=16</v>
      </c>
      <c r="L344" s="34" t="str">
        <f>VLOOKUP(Tabla3[[#This Row],[Site]],Table35[#All],2,FALSE)</f>
        <v>11, 21, 22, 57, 69</v>
      </c>
      <c r="M344" s="34" t="str">
        <f>VLOOKUP(Tabla3[[#This Row],[Site]],Table35[#All],3,FALSE)</f>
        <v>2, 16, 46</v>
      </c>
      <c r="N344" s="34" t="str">
        <f>VLOOKUP(Tabla3[[#This Row],[Site]],Table35[#All],4,FALSE)</f>
        <v>-</v>
      </c>
      <c r="O344" s="34" t="str">
        <f>VLOOKUP(Tabla3[[#This Row],[Site]],Table35[#All],5,FALSE)</f>
        <v>-</v>
      </c>
      <c r="P344" s="34" t="str">
        <f>VLOOKUP(Tabla3[[#This Row],[Site]],Table35[#All],6,FALSE)</f>
        <v>24, 39</v>
      </c>
      <c r="Q344" s="34" t="str">
        <f>VLOOKUP(Tabla3[[#This Row],[Site]],Table35[#All],8,FALSE)</f>
        <v>159</v>
      </c>
      <c r="R344"/>
    </row>
    <row r="345" spans="1:18" hidden="1" x14ac:dyDescent="0.25">
      <c r="A345" t="str">
        <f>+Tabla3[[#This Row],[Site]]&amp;Tabla3[[#This Row],[Split]]</f>
        <v>(AS) Coggin Collision Center of Kissimmee (NO TOURS)6</v>
      </c>
      <c r="B345">
        <v>6</v>
      </c>
      <c r="C345">
        <v>6</v>
      </c>
      <c r="D345" t="s">
        <v>288</v>
      </c>
      <c r="E345" t="str">
        <f>VLOOKUP(Tabla3[[#This Row],[Site]],Table35[],10,FALSE)</f>
        <v>9:00 P.M.</v>
      </c>
      <c r="F345" t="str">
        <f>VLOOKUP(Tabla3[[#This Row],[Site]],Table35[],11,FALSE)</f>
        <v>ET</v>
      </c>
      <c r="G345" t="str">
        <f>VLOOKUP(Tabla3[[#This Row],[Site]],Table35[],12,FALSE)</f>
        <v>5:00 A.M.</v>
      </c>
      <c r="H345" s="1" t="s">
        <v>96</v>
      </c>
      <c r="I345" s="70" t="str">
        <f>HYPERLINK(VLOOKUP(Tabla3[[#This Row],[Site]],Table35[#All],9,FALSE))</f>
        <v>https://tools.sig.systems/site/details/331</v>
      </c>
      <c r="J345">
        <f>VLOOKUP(Tabla3[[#This Row],[Site]],Table35[],14,FALSE)</f>
        <v>0</v>
      </c>
      <c r="L345" s="34" t="str">
        <f>VLOOKUP(Tabla3[[#This Row],[Site]],Table35[#All],2,FALSE)</f>
        <v>1, 12</v>
      </c>
      <c r="M345" s="34" t="str">
        <f>VLOOKUP(Tabla3[[#This Row],[Site]],Table35[#All],3,FALSE)</f>
        <v>-</v>
      </c>
      <c r="N345" s="34" t="str">
        <f>VLOOKUP(Tabla3[[#This Row],[Site]],Table35[#All],4,FALSE)</f>
        <v>-</v>
      </c>
      <c r="O345" s="34" t="str">
        <f>VLOOKUP(Tabla3[[#This Row],[Site]],Table35[#All],5,FALSE)</f>
        <v>-</v>
      </c>
      <c r="P345" s="34" t="str">
        <f>VLOOKUP(Tabla3[[#This Row],[Site]],Table35[#All],6,FALSE)</f>
        <v>2, 7, 9</v>
      </c>
      <c r="Q345" s="34" t="str">
        <f>VLOOKUP(Tabla3[[#This Row],[Site]],Table35[#All],8,FALSE)</f>
        <v>331</v>
      </c>
      <c r="R345"/>
    </row>
    <row r="346" spans="1:18" hidden="1" x14ac:dyDescent="0.25">
      <c r="A346" t="str">
        <f>+Tabla3[[#This Row],[Site]]&amp;Tabla3[[#This Row],[Split]]</f>
        <v>(AS) Hare Truck Center (NO TOURS)6</v>
      </c>
      <c r="B346">
        <v>6</v>
      </c>
      <c r="C346">
        <v>6</v>
      </c>
      <c r="D346" t="s">
        <v>380</v>
      </c>
      <c r="E346" t="str">
        <f>VLOOKUP(Tabla3[[#This Row],[Site]],Table35[],10,FALSE)</f>
        <v>9:00 P.M.</v>
      </c>
      <c r="F346" t="str">
        <f>VLOOKUP(Tabla3[[#This Row],[Site]],Table35[],11,FALSE)</f>
        <v>ET</v>
      </c>
      <c r="G346" t="str">
        <f>VLOOKUP(Tabla3[[#This Row],[Site]],Table35[],12,FALSE)</f>
        <v>5:00 A.M.</v>
      </c>
      <c r="H346" s="1" t="s">
        <v>96</v>
      </c>
      <c r="I346" s="70" t="str">
        <f>HYPERLINK(VLOOKUP(Tabla3[[#This Row],[Site]],Table35[#All],9,FALSE))</f>
        <v>https://tools.sig.systems/site/details/300</v>
      </c>
      <c r="J346" t="str">
        <f>VLOOKUP(Tabla3[[#This Row],[Site]],Table35[],14,FALSE)</f>
        <v>https://www.google.com/maps/d/edit?mid=1hsX5GGrNcCQgAuzDCDz1OWgEkhsAc78&amp;usp=sharing</v>
      </c>
      <c r="L346" s="34" t="str">
        <f>VLOOKUP(Tabla3[[#This Row],[Site]],Table35[#All],2,FALSE)</f>
        <v>-</v>
      </c>
      <c r="M346" s="34" t="str">
        <f>VLOOKUP(Tabla3[[#This Row],[Site]],Table35[#All],3,FALSE)</f>
        <v>1, 5</v>
      </c>
      <c r="N346" s="34" t="str">
        <f>VLOOKUP(Tabla3[[#This Row],[Site]],Table35[#All],4,FALSE)</f>
        <v>-</v>
      </c>
      <c r="O346" s="34" t="str">
        <f>VLOOKUP(Tabla3[[#This Row],[Site]],Table35[#All],5,FALSE)</f>
        <v>-</v>
      </c>
      <c r="P346" s="34" t="str">
        <f>VLOOKUP(Tabla3[[#This Row],[Site]],Table35[#All],6,FALSE)</f>
        <v xml:space="preserve">2, 6, 10, 12, 17 </v>
      </c>
      <c r="Q346" s="34" t="str">
        <f>VLOOKUP(Tabla3[[#This Row],[Site]],Table35[#All],8,FALSE)</f>
        <v>300</v>
      </c>
      <c r="R346"/>
    </row>
    <row r="347" spans="1:18" hidden="1" x14ac:dyDescent="0.25">
      <c r="A347" t="str">
        <f>+Tabla3[[#This Row],[Site]]&amp;Tabla3[[#This Row],[Split]]</f>
        <v>(AS) Koons Arlington Toyota - New Car (NO TOURS)6</v>
      </c>
      <c r="B347">
        <v>6</v>
      </c>
      <c r="C347">
        <v>6</v>
      </c>
      <c r="D347" t="s">
        <v>375</v>
      </c>
      <c r="E347" t="str">
        <f>VLOOKUP(Tabla3[[#This Row],[Site]],Table35[],10,FALSE)</f>
        <v>9:00 P.M.</v>
      </c>
      <c r="F347" t="str">
        <f>VLOOKUP(Tabla3[[#This Row],[Site]],Table35[],11,FALSE)</f>
        <v>ET</v>
      </c>
      <c r="G347" t="str">
        <f>VLOOKUP(Tabla3[[#This Row],[Site]],Table35[],12,FALSE)</f>
        <v>5:00 A.M.</v>
      </c>
      <c r="H347" s="1" t="s">
        <v>96</v>
      </c>
      <c r="I347" s="70" t="str">
        <f>HYPERLINK(VLOOKUP(Tabla3[[#This Row],[Site]],Table35[#All],9,FALSE))</f>
        <v>https://tools.sig.systems/site/details/334</v>
      </c>
      <c r="J347" t="str">
        <f>VLOOKUP(Tabla3[[#This Row],[Site]],Table35[],14,FALSE)</f>
        <v>-</v>
      </c>
      <c r="L347" s="34" t="str">
        <f>VLOOKUP(Tabla3[[#This Row],[Site]],Table35[#All],2,FALSE)</f>
        <v>-</v>
      </c>
      <c r="M347" s="34" t="str">
        <f>VLOOKUP(Tabla3[[#This Row],[Site]],Table35[#All],3,FALSE)</f>
        <v>1, 3, 12, 15, 17</v>
      </c>
      <c r="N347" s="34" t="str">
        <f>VLOOKUP(Tabla3[[#This Row],[Site]],Table35[#All],4,FALSE)</f>
        <v>-</v>
      </c>
      <c r="O347" s="34" t="str">
        <f>VLOOKUP(Tabla3[[#This Row],[Site]],Table35[#All],5,FALSE)</f>
        <v>-</v>
      </c>
      <c r="P347" s="34" t="str">
        <f>VLOOKUP(Tabla3[[#This Row],[Site]],Table35[#All],6,FALSE)</f>
        <v>2, 6, 18, 20</v>
      </c>
      <c r="Q347" s="34" t="str">
        <f>VLOOKUP(Tabla3[[#This Row],[Site]],Table35[#All],8,FALSE)</f>
        <v>334</v>
      </c>
      <c r="R347"/>
    </row>
    <row r="348" spans="1:18" hidden="1" x14ac:dyDescent="0.25">
      <c r="A348" t="str">
        <f>+Tabla3[[#This Row],[Site]]&amp;Tabla3[[#This Row],[Split]]</f>
        <v>(AS) Koons Chevrolet Buick GMC - Tysons Remote Lot (NO TOURS)6</v>
      </c>
      <c r="B348">
        <v>6</v>
      </c>
      <c r="C348">
        <v>6</v>
      </c>
      <c r="D348" t="s">
        <v>374</v>
      </c>
      <c r="E348" t="str">
        <f>VLOOKUP(Tabla3[[#This Row],[Site]],Table35[],10,FALSE)</f>
        <v>9:00 P.M.</v>
      </c>
      <c r="F348" t="str">
        <f>VLOOKUP(Tabla3[[#This Row],[Site]],Table35[],11,FALSE)</f>
        <v>ET</v>
      </c>
      <c r="G348" t="str">
        <f>VLOOKUP(Tabla3[[#This Row],[Site]],Table35[],12,FALSE)</f>
        <v>5:00 A.M.</v>
      </c>
      <c r="H348" s="1" t="s">
        <v>96</v>
      </c>
      <c r="I348" s="70" t="str">
        <f>HYPERLINK(VLOOKUP(Tabla3[[#This Row],[Site]],Table35[#All],9,FALSE))</f>
        <v>https://tools.sig.systems/site/details/333</v>
      </c>
      <c r="J348" t="str">
        <f>VLOOKUP(Tabla3[[#This Row],[Site]],Table35[],14,FALSE)</f>
        <v>-</v>
      </c>
      <c r="L348" s="34" t="str">
        <f>VLOOKUP(Tabla3[[#This Row],[Site]],Table35[#All],2,FALSE)</f>
        <v>-</v>
      </c>
      <c r="M348" s="34">
        <f>VLOOKUP(Tabla3[[#This Row],[Site]],Table35[#All],3,FALSE)</f>
        <v>6</v>
      </c>
      <c r="N348" s="34" t="str">
        <f>VLOOKUP(Tabla3[[#This Row],[Site]],Table35[#All],4,FALSE)</f>
        <v>1, 2, 3</v>
      </c>
      <c r="O348" s="34" t="str">
        <f>VLOOKUP(Tabla3[[#This Row],[Site]],Table35[#All],5,FALSE)</f>
        <v>7, 10, 16, 29</v>
      </c>
      <c r="P348" s="34" t="str">
        <f>VLOOKUP(Tabla3[[#This Row],[Site]],Table35[#All],6,FALSE)</f>
        <v>14, 17, 30</v>
      </c>
      <c r="Q348" s="34" t="str">
        <f>VLOOKUP(Tabla3[[#This Row],[Site]],Table35[#All],8,FALSE)</f>
        <v>333</v>
      </c>
      <c r="R348"/>
    </row>
    <row r="349" spans="1:18" hidden="1" x14ac:dyDescent="0.25">
      <c r="A349" t="str">
        <f>+Tabla3[[#This Row],[Site]]&amp;Tabla3[[#This Row],[Split]]</f>
        <v>(AS) Koons MB of Catonsville (NO TOURS)6</v>
      </c>
      <c r="B349">
        <v>6</v>
      </c>
      <c r="C349">
        <v>6</v>
      </c>
      <c r="D349" t="s">
        <v>236</v>
      </c>
      <c r="E349" t="str">
        <f>VLOOKUP(Tabla3[[#This Row],[Site]],Table35[],10,FALSE)</f>
        <v>9:00 P.M.</v>
      </c>
      <c r="F349" t="str">
        <f>VLOOKUP(Tabla3[[#This Row],[Site]],Table35[],11,FALSE)</f>
        <v>ET</v>
      </c>
      <c r="G349" t="str">
        <f>VLOOKUP(Tabla3[[#This Row],[Site]],Table35[],12,FALSE)</f>
        <v>5:00 A.M.</v>
      </c>
      <c r="H349" s="1" t="s">
        <v>68</v>
      </c>
      <c r="I349" s="70" t="str">
        <f>HYPERLINK(VLOOKUP(Tabla3[[#This Row],[Site]],Table35[#All],9,FALSE))</f>
        <v>https://tools.sig.systems/site/details/303</v>
      </c>
      <c r="J349">
        <f>VLOOKUP(Tabla3[[#This Row],[Site]],Table35[],14,FALSE)</f>
        <v>0</v>
      </c>
      <c r="L349" s="34" t="str">
        <f>VLOOKUP(Tabla3[[#This Row],[Site]],Table35[#All],2,FALSE)</f>
        <v>-</v>
      </c>
      <c r="M349" s="34" t="str">
        <f>VLOOKUP(Tabla3[[#This Row],[Site]],Table35[#All],3,FALSE)</f>
        <v>15, 16, 17, 29</v>
      </c>
      <c r="N349" s="34">
        <f>VLOOKUP(Tabla3[[#This Row],[Site]],Table35[#All],4,FALSE)</f>
        <v>29</v>
      </c>
      <c r="O349" s="34">
        <f>VLOOKUP(Tabla3[[#This Row],[Site]],Table35[#All],5,FALSE)</f>
        <v>5</v>
      </c>
      <c r="P349" s="34" t="str">
        <f>VLOOKUP(Tabla3[[#This Row],[Site]],Table35[#All],6,FALSE)</f>
        <v>1, 7, 8, 12, 19, 32</v>
      </c>
      <c r="Q349" s="34" t="str">
        <f>VLOOKUP(Tabla3[[#This Row],[Site]],Table35[#All],8,FALSE)</f>
        <v>303</v>
      </c>
      <c r="R349"/>
    </row>
    <row r="350" spans="1:18" hidden="1" x14ac:dyDescent="0.25">
      <c r="A350" t="str">
        <f>+Tabla3[[#This Row],[Site]]&amp;Tabla3[[#This Row],[Split]]</f>
        <v>(AS) Koons Volvo Cars White Marsh (NO TOURS)6</v>
      </c>
      <c r="B350">
        <v>6</v>
      </c>
      <c r="C350">
        <v>6</v>
      </c>
      <c r="D350" t="s">
        <v>376</v>
      </c>
      <c r="E350" t="str">
        <f>VLOOKUP(Tabla3[[#This Row],[Site]],Table35[],10,FALSE)</f>
        <v>9:00 P.M.</v>
      </c>
      <c r="F350" t="str">
        <f>VLOOKUP(Tabla3[[#This Row],[Site]],Table35[],11,FALSE)</f>
        <v>ET</v>
      </c>
      <c r="G350" t="str">
        <f>VLOOKUP(Tabla3[[#This Row],[Site]],Table35[],12,FALSE)</f>
        <v>5:00 A.M.</v>
      </c>
      <c r="H350" s="1" t="s">
        <v>96</v>
      </c>
      <c r="I350" s="70" t="str">
        <f>HYPERLINK(VLOOKUP(Tabla3[[#This Row],[Site]],Table35[#All],9,FALSE))</f>
        <v>https://tools.sig.systems/site/details/338</v>
      </c>
      <c r="J350">
        <f>VLOOKUP(Tabla3[[#This Row],[Site]],Table35[],14,FALSE)</f>
        <v>0</v>
      </c>
      <c r="L350" s="34" t="str">
        <f>VLOOKUP(Tabla3[[#This Row],[Site]],Table35[#All],2,FALSE)</f>
        <v>-</v>
      </c>
      <c r="M350" s="34" t="str">
        <f>VLOOKUP(Tabla3[[#This Row],[Site]],Table35[#All],3,FALSE)</f>
        <v>5, 7, 9</v>
      </c>
      <c r="N350" s="34" t="str">
        <f>VLOOKUP(Tabla3[[#This Row],[Site]],Table35[#All],4,FALSE)</f>
        <v>-</v>
      </c>
      <c r="O350" s="34" t="str">
        <f>VLOOKUP(Tabla3[[#This Row],[Site]],Table35[#All],5,FALSE)</f>
        <v>-</v>
      </c>
      <c r="P350" s="34" t="str">
        <f>VLOOKUP(Tabla3[[#This Row],[Site]],Table35[#All],6,FALSE)</f>
        <v>6, 10, 1</v>
      </c>
      <c r="Q350" s="34" t="str">
        <f>VLOOKUP(Tabla3[[#This Row],[Site]],Table35[#All],8,FALSE)</f>
        <v>338</v>
      </c>
      <c r="R350"/>
    </row>
    <row r="351" spans="1:18" hidden="1" x14ac:dyDescent="0.25">
      <c r="A351" t="str">
        <f>+Tabla3[[#This Row],[Site]]&amp;Tabla3[[#This Row],[Split]]</f>
        <v>(DT) Modesto6</v>
      </c>
      <c r="B351">
        <v>6</v>
      </c>
      <c r="C351">
        <v>6</v>
      </c>
      <c r="D351" t="s">
        <v>14</v>
      </c>
      <c r="E351" t="str">
        <f>VLOOKUP(Tabla3[[#This Row],[Site]],Table35[],10,FALSE)</f>
        <v>12:00 A.M.</v>
      </c>
      <c r="F351" t="str">
        <f>VLOOKUP(Tabla3[[#This Row],[Site]],Table35[],11,FALSE)</f>
        <v>PT</v>
      </c>
      <c r="G351" t="str">
        <f>VLOOKUP(Tabla3[[#This Row],[Site]],Table35[],12,FALSE)</f>
        <v>8:00 A.M.</v>
      </c>
      <c r="H351" s="1" t="s">
        <v>96</v>
      </c>
      <c r="I351" s="70" t="str">
        <f>HYPERLINK(VLOOKUP(Tabla3[[#This Row],[Site]],Table35[#All],9,FALSE))</f>
        <v>https://tools.sig.systems/site/details/267</v>
      </c>
      <c r="J351">
        <f>VLOOKUP(Tabla3[[#This Row],[Site]],Table35[],14,FALSE)</f>
        <v>0</v>
      </c>
      <c r="L351" s="34">
        <f>VLOOKUP(Tabla3[[#This Row],[Site]],Table35[#All],2,FALSE)</f>
        <v>10</v>
      </c>
      <c r="M351" s="34" t="str">
        <f>VLOOKUP(Tabla3[[#This Row],[Site]],Table35[#All],3,FALSE)</f>
        <v>5, 6</v>
      </c>
      <c r="N351" s="34" t="str">
        <f>VLOOKUP(Tabla3[[#This Row],[Site]],Table35[#All],4,FALSE)</f>
        <v>-</v>
      </c>
      <c r="O351" s="34" t="str">
        <f>VLOOKUP(Tabla3[[#This Row],[Site]],Table35[#All],5,FALSE)</f>
        <v>-</v>
      </c>
      <c r="P351" s="34" t="str">
        <f>VLOOKUP(Tabla3[[#This Row],[Site]],Table35[#All],6,FALSE)</f>
        <v>2, 3, 5, 10</v>
      </c>
      <c r="Q351" s="34" t="str">
        <f>VLOOKUP(Tabla3[[#This Row],[Site]],Table35[#All],8,FALSE)</f>
        <v>267</v>
      </c>
      <c r="R351"/>
    </row>
    <row r="352" spans="1:18" hidden="1" x14ac:dyDescent="0.25">
      <c r="A352" t="str">
        <f>+Tabla3[[#This Row],[Site]]&amp;Tabla3[[#This Row],[Split]]</f>
        <v>(KG) Big Star Hyundai Houston6</v>
      </c>
      <c r="B352">
        <v>6</v>
      </c>
      <c r="C352">
        <v>6</v>
      </c>
      <c r="D352" t="s">
        <v>129</v>
      </c>
      <c r="E352" t="str">
        <f>VLOOKUP(Tabla3[[#This Row],[Site]],Table35[],10,FALSE)</f>
        <v>10:00 P.M.</v>
      </c>
      <c r="F352" t="str">
        <f>VLOOKUP(Tabla3[[#This Row],[Site]],Table35[],11,FALSE)</f>
        <v>CT</v>
      </c>
      <c r="G352" t="str">
        <f>VLOOKUP(Tabla3[[#This Row],[Site]],Table35[],12,FALSE)</f>
        <v>6:00 A.M.</v>
      </c>
      <c r="H352" s="1" t="s">
        <v>96</v>
      </c>
      <c r="I352" s="70" t="str">
        <f>HYPERLINK(VLOOKUP(Tabla3[[#This Row],[Site]],Table35[#All],9,FALSE))</f>
        <v>https://tools.sig.systems/site/details/287</v>
      </c>
      <c r="J352" t="str">
        <f>VLOOKUP(Tabla3[[#This Row],[Site]],Table35[],14,FALSE)</f>
        <v>https://www.google.com/maps/d/edit?hl=en&amp;mid=1jIRkMUnWNPuTgDjQgDP-f33LClT85NU&amp;ll=29.55731827236326%2C-95.1601644&amp;z=17</v>
      </c>
      <c r="L352" s="34" t="str">
        <f>VLOOKUP(Tabla3[[#This Row],[Site]],Table35[#All],2,FALSE)</f>
        <v>3, 12, 17</v>
      </c>
      <c r="M352" s="34" t="str">
        <f>VLOOKUP(Tabla3[[#This Row],[Site]],Table35[#All],3,FALSE)</f>
        <v>23, 35</v>
      </c>
      <c r="N352" s="34" t="str">
        <f>VLOOKUP(Tabla3[[#This Row],[Site]],Table35[#All],4,FALSE)</f>
        <v>-</v>
      </c>
      <c r="O352" s="34" t="str">
        <f>VLOOKUP(Tabla3[[#This Row],[Site]],Table35[#All],5,FALSE)</f>
        <v>1, 75</v>
      </c>
      <c r="P352" s="34" t="str">
        <f>VLOOKUP(Tabla3[[#This Row],[Site]],Table35[#All],6,FALSE)</f>
        <v xml:space="preserve">5, 11, 16, 20, 26, 30, 32, 34 </v>
      </c>
      <c r="Q352" s="34" t="str">
        <f>VLOOKUP(Tabla3[[#This Row],[Site]],Table35[#All],8,FALSE)</f>
        <v>287</v>
      </c>
      <c r="R352"/>
    </row>
    <row r="353" spans="1:18" hidden="1" x14ac:dyDescent="0.25">
      <c r="A353" t="str">
        <f>+Tabla3[[#This Row],[Site]]&amp;Tabla3[[#This Row],[Split]]</f>
        <v>(LT) Luther Bloomington Subaru - Acura6</v>
      </c>
      <c r="B353">
        <v>6</v>
      </c>
      <c r="C353">
        <v>6</v>
      </c>
      <c r="D353" t="s">
        <v>124</v>
      </c>
      <c r="E353" t="str">
        <f>VLOOKUP(Tabla3[[#This Row],[Site]],Table35[],10,FALSE)</f>
        <v>8:00 P.M.</v>
      </c>
      <c r="F353" t="str">
        <f>VLOOKUP(Tabla3[[#This Row],[Site]],Table35[],11,FALSE)</f>
        <v>CT</v>
      </c>
      <c r="G353" t="str">
        <f>VLOOKUP(Tabla3[[#This Row],[Site]],Table35[],12,FALSE)</f>
        <v>4:00 A.M.</v>
      </c>
      <c r="H353" s="1" t="s">
        <v>96</v>
      </c>
      <c r="I353" s="70" t="str">
        <f>HYPERLINK(VLOOKUP(Tabla3[[#This Row],[Site]],Table35[#All],9,FALSE))</f>
        <v>https://tools.sig.systems/site/details/289</v>
      </c>
      <c r="J353">
        <f>VLOOKUP(Tabla3[[#This Row],[Site]],Table35[],14,FALSE)</f>
        <v>0</v>
      </c>
      <c r="L353" s="34">
        <f>VLOOKUP(Tabla3[[#This Row],[Site]],Table35[#All],2,FALSE)</f>
        <v>29</v>
      </c>
      <c r="M353" s="34" t="str">
        <f>VLOOKUP(Tabla3[[#This Row],[Site]],Table35[#All],3,FALSE)</f>
        <v>5, 8, 33</v>
      </c>
      <c r="N353" s="34" t="str">
        <f>VLOOKUP(Tabla3[[#This Row],[Site]],Table35[#All],4,FALSE)</f>
        <v>4, 7, 35</v>
      </c>
      <c r="O353" s="34" t="str">
        <f>VLOOKUP(Tabla3[[#This Row],[Site]],Table35[#All],5,FALSE)</f>
        <v>-</v>
      </c>
      <c r="P353" s="34" t="str">
        <f>VLOOKUP(Tabla3[[#This Row],[Site]],Table35[#All],6,FALSE)</f>
        <v xml:space="preserve">1, 2, 14, 24, 34  </v>
      </c>
      <c r="Q353" s="34" t="str">
        <f>VLOOKUP(Tabla3[[#This Row],[Site]],Table35[#All],8,FALSE)</f>
        <v>289</v>
      </c>
      <c r="R353"/>
    </row>
    <row r="354" spans="1:18" hidden="1" x14ac:dyDescent="0.25">
      <c r="A354" t="str">
        <f>+Tabla3[[#This Row],[Site]]&amp;Tabla3[[#This Row],[Split]]</f>
        <v>(LT) Luther St. Cloud Subaru6</v>
      </c>
      <c r="B354">
        <v>6</v>
      </c>
      <c r="C354">
        <v>6</v>
      </c>
      <c r="D354" t="s">
        <v>128</v>
      </c>
      <c r="E354" t="str">
        <f>VLOOKUP(Tabla3[[#This Row],[Site]],Table35[],10,FALSE)</f>
        <v>10:00 P.M.</v>
      </c>
      <c r="F354" t="str">
        <f>VLOOKUP(Tabla3[[#This Row],[Site]],Table35[],11,FALSE)</f>
        <v>CT</v>
      </c>
      <c r="G354" t="str">
        <f>VLOOKUP(Tabla3[[#This Row],[Site]],Table35[],12,FALSE)</f>
        <v>5:30 A.M.</v>
      </c>
      <c r="H354" s="1" t="s">
        <v>96</v>
      </c>
      <c r="I354" s="70" t="str">
        <f>HYPERLINK(VLOOKUP(Tabla3[[#This Row],[Site]],Table35[#All],9,FALSE))</f>
        <v>https://tools.sig.systems/site/details/295</v>
      </c>
      <c r="J354">
        <f>VLOOKUP(Tabla3[[#This Row],[Site]],Table35[],14,FALSE)</f>
        <v>0</v>
      </c>
      <c r="L354" s="34" t="str">
        <f>VLOOKUP(Tabla3[[#This Row],[Site]],Table35[#All],2,FALSE)</f>
        <v>25, 31</v>
      </c>
      <c r="M354" s="34" t="str">
        <f>VLOOKUP(Tabla3[[#This Row],[Site]],Table35[#All],3,FALSE)</f>
        <v>9, 13, 20</v>
      </c>
      <c r="N354" s="34" t="str">
        <f>VLOOKUP(Tabla3[[#This Row],[Site]],Table35[#All],4,FALSE)</f>
        <v>38, 39, 40, 41</v>
      </c>
      <c r="O354" s="34">
        <f>VLOOKUP(Tabla3[[#This Row],[Site]],Table35[#All],5,FALSE)</f>
        <v>27</v>
      </c>
      <c r="P354" s="34" t="str">
        <f>VLOOKUP(Tabla3[[#This Row],[Site]],Table35[#All],6,FALSE)</f>
        <v>2, 6, 8, 11, 14, 19, 23, 26</v>
      </c>
      <c r="Q354" s="34" t="str">
        <f>VLOOKUP(Tabla3[[#This Row],[Site]],Table35[#All],8,FALSE)</f>
        <v>295</v>
      </c>
      <c r="R354"/>
    </row>
    <row r="355" spans="1:18" hidden="1" x14ac:dyDescent="0.25">
      <c r="A355" t="str">
        <f>+Tabla3[[#This Row],[Site]]&amp;Tabla3[[#This Row],[Split]]</f>
        <v>(TC) Lamborghini South Dade6</v>
      </c>
      <c r="B355">
        <v>6</v>
      </c>
      <c r="C355">
        <v>6</v>
      </c>
      <c r="D355" t="s">
        <v>237</v>
      </c>
      <c r="E355" t="str">
        <f>VLOOKUP(Tabla3[[#This Row],[Site]],Table35[],10,FALSE)</f>
        <v>9:00 P.M.</v>
      </c>
      <c r="F355" t="str">
        <f>VLOOKUP(Tabla3[[#This Row],[Site]],Table35[],11,FALSE)</f>
        <v>ET</v>
      </c>
      <c r="G355" t="str">
        <f>VLOOKUP(Tabla3[[#This Row],[Site]],Table35[],12,FALSE)</f>
        <v>5:00 A.M.</v>
      </c>
      <c r="H355" s="1" t="s">
        <v>68</v>
      </c>
      <c r="I355" s="70" t="str">
        <f>HYPERLINK(VLOOKUP(Tabla3[[#This Row],[Site]],Table35[#All],9,FALSE))</f>
        <v>https://tools.sig.systems/site/details/313</v>
      </c>
      <c r="J355">
        <f>VLOOKUP(Tabla3[[#This Row],[Site]],Table35[],14,FALSE)</f>
        <v>0</v>
      </c>
      <c r="L355" s="34" t="str">
        <f>VLOOKUP(Tabla3[[#This Row],[Site]],Table35[#All],2,FALSE)</f>
        <v>-</v>
      </c>
      <c r="M355" s="34" t="str">
        <f>VLOOKUP(Tabla3[[#This Row],[Site]],Table35[#All],3,FALSE)</f>
        <v>9, 11</v>
      </c>
      <c r="N355" s="34" t="str">
        <f>VLOOKUP(Tabla3[[#This Row],[Site]],Table35[#All],4,FALSE)</f>
        <v>-</v>
      </c>
      <c r="O355" s="34" t="str">
        <f>VLOOKUP(Tabla3[[#This Row],[Site]],Table35[#All],5,FALSE)</f>
        <v>-</v>
      </c>
      <c r="P355" s="34" t="str">
        <f>VLOOKUP(Tabla3[[#This Row],[Site]],Table35[#All],6,FALSE)</f>
        <v>-</v>
      </c>
      <c r="Q355" s="34" t="str">
        <f>VLOOKUP(Tabla3[[#This Row],[Site]],Table35[#All],8,FALSE)</f>
        <v>313</v>
      </c>
      <c r="R355"/>
    </row>
    <row r="356" spans="1:18" hidden="1" x14ac:dyDescent="0.25">
      <c r="A356" t="str">
        <f>+Tabla3[[#This Row],[Site]]&amp;Tabla3[[#This Row],[Split]]</f>
        <v>(AS) 3281 Storage Lot (NO TOURS)7</v>
      </c>
      <c r="B356">
        <v>7</v>
      </c>
      <c r="C356">
        <v>1</v>
      </c>
      <c r="D356" t="s">
        <v>378</v>
      </c>
      <c r="E356" t="str">
        <f>VLOOKUP(Tabla3[[#This Row],[Site]],Table35[],10,FALSE)</f>
        <v>10:00 P.M.</v>
      </c>
      <c r="F356" t="str">
        <f>VLOOKUP(Tabla3[[#This Row],[Site]],Table35[],11,FALSE)</f>
        <v>CT</v>
      </c>
      <c r="G356" t="str">
        <f>VLOOKUP(Tabla3[[#This Row],[Site]],Table35[],12,FALSE)</f>
        <v>6:00 A.M.</v>
      </c>
      <c r="H356" s="1" t="s">
        <v>68</v>
      </c>
      <c r="I356" s="70" t="str">
        <f>HYPERLINK(VLOOKUP(Tabla3[[#This Row],[Site]],Table35[#All],9,FALSE))</f>
        <v>https://tools.sig.systems/site/details/305</v>
      </c>
      <c r="J356" t="str">
        <f>VLOOKUP(Tabla3[[#This Row],[Site]],Table35[],14,FALSE)</f>
        <v>https://www.google.com/maps/d/edit?hl=es&amp;mid=1uPmsRMsXnp74hPFW2t-sp2totVWF_xY&amp;ll=32.83050137713022%2C-96.83197783061323&amp;z=17</v>
      </c>
      <c r="L356" s="34" t="str">
        <f>VLOOKUP(Tabla3[[#This Row],[Site]],Table35[#All],2,FALSE)</f>
        <v>-</v>
      </c>
      <c r="M356" s="34" t="str">
        <f>VLOOKUP(Tabla3[[#This Row],[Site]],Table35[#All],3,FALSE)</f>
        <v>2, 14</v>
      </c>
      <c r="N356" s="34" t="str">
        <f>VLOOKUP(Tabla3[[#This Row],[Site]],Table35[#All],4,FALSE)</f>
        <v>-</v>
      </c>
      <c r="O356" s="34" t="str">
        <f>VLOOKUP(Tabla3[[#This Row],[Site]],Table35[#All],5,FALSE)</f>
        <v>-</v>
      </c>
      <c r="P356" s="34" t="str">
        <f>VLOOKUP(Tabla3[[#This Row],[Site]],Table35[#All],6,FALSE)</f>
        <v>1, 3, 9, 10, 14</v>
      </c>
      <c r="Q356" s="34">
        <f>VLOOKUP(Tabla3[[#This Row],[Site]],Table35[#All],8,FALSE)</f>
        <v>305</v>
      </c>
      <c r="R356"/>
    </row>
    <row r="357" spans="1:18" hidden="1" x14ac:dyDescent="0.25">
      <c r="A357" t="str">
        <f>+Tabla3[[#This Row],[Site]]&amp;Tabla3[[#This Row],[Split]]</f>
        <v>(AS) Koons Annapolis Toyota (NO TOURS)7</v>
      </c>
      <c r="B357">
        <v>7</v>
      </c>
      <c r="C357">
        <v>1</v>
      </c>
      <c r="D357" t="s">
        <v>447</v>
      </c>
      <c r="E357" t="str">
        <f>VLOOKUP(Tabla3[[#This Row],[Site]],Table35[],10,FALSE)</f>
        <v>9:00 P.M.</v>
      </c>
      <c r="F357" t="str">
        <f>VLOOKUP(Tabla3[[#This Row],[Site]],Table35[],11,FALSE)</f>
        <v>ET</v>
      </c>
      <c r="G357" t="str">
        <f>VLOOKUP(Tabla3[[#This Row],[Site]],Table35[],12,FALSE)</f>
        <v>5:00 A.M.</v>
      </c>
      <c r="H357" s="1" t="s">
        <v>68</v>
      </c>
      <c r="I357" s="70" t="str">
        <f>HYPERLINK(VLOOKUP(Tabla3[[#This Row],[Site]],Table35[#All],9,FALSE))</f>
        <v>https://tools.sig.systems/site/details/337</v>
      </c>
      <c r="J357" t="str">
        <f>VLOOKUP(Tabla3[[#This Row],[Site]],Table35[],14,FALSE)</f>
        <v>-</v>
      </c>
      <c r="L357" s="34">
        <f>VLOOKUP(Tabla3[[#This Row],[Site]],Table35[#All],2,FALSE)</f>
        <v>6</v>
      </c>
      <c r="M357" s="34" t="str">
        <f>VLOOKUP(Tabla3[[#This Row],[Site]],Table35[#All],3,FALSE)</f>
        <v>1, 6, 21</v>
      </c>
      <c r="N357" s="34" t="str">
        <f>VLOOKUP(Tabla3[[#This Row],[Site]],Table35[#All],4,FALSE)</f>
        <v>-</v>
      </c>
      <c r="O357" s="34" t="str">
        <f>VLOOKUP(Tabla3[[#This Row],[Site]],Table35[#All],5,FALSE)</f>
        <v>-</v>
      </c>
      <c r="P357" s="34" t="str">
        <f>VLOOKUP(Tabla3[[#This Row],[Site]],Table35[#All],6,FALSE)</f>
        <v>3, 5, 7, 19</v>
      </c>
      <c r="Q357" s="34" t="str">
        <f>VLOOKUP(Tabla3[[#This Row],[Site]],Table35[#All],8,FALSE)</f>
        <v>337</v>
      </c>
      <c r="R357"/>
    </row>
    <row r="358" spans="1:18" hidden="1" x14ac:dyDescent="0.25">
      <c r="A358" t="str">
        <f>+Tabla3[[#This Row],[Site]]&amp;Tabla3[[#This Row],[Split]]</f>
        <v>(AS) Koons Chevrolet Buick GMC - Clarksville (NO TOURS)7</v>
      </c>
      <c r="B358">
        <v>7</v>
      </c>
      <c r="C358">
        <v>1</v>
      </c>
      <c r="D358" t="s">
        <v>382</v>
      </c>
      <c r="E358" t="str">
        <f>VLOOKUP(Tabla3[[#This Row],[Site]],Table35[],10,FALSE)</f>
        <v>9:00 P.M.</v>
      </c>
      <c r="F358" t="str">
        <f>VLOOKUP(Tabla3[[#This Row],[Site]],Table35[],11,FALSE)</f>
        <v>ET</v>
      </c>
      <c r="G358" t="str">
        <f>VLOOKUP(Tabla3[[#This Row],[Site]],Table35[],12,FALSE)</f>
        <v>5:00 A.M.</v>
      </c>
      <c r="H358" s="1" t="s">
        <v>71</v>
      </c>
      <c r="I358" s="70" t="str">
        <f>HYPERLINK(VLOOKUP(Tabla3[[#This Row],[Site]],Table35[#All],9,FALSE))</f>
        <v>https://tools.sig.systems/site/details/306</v>
      </c>
      <c r="J358" t="str">
        <f>VLOOKUP(Tabla3[[#This Row],[Site]],Table35[],14,FALSE)</f>
        <v>https://www.google.com/maps/d/edit?hl=es&amp;mid=11XB1lTSP7EcDCDvzypdUPWP6bWCNAEI&amp;ll=39.21145022420528%2C-76.94003711910554&amp;z=17</v>
      </c>
      <c r="L358" s="34" t="str">
        <f>VLOOKUP(Tabla3[[#This Row],[Site]],Table35[#All],2,FALSE)</f>
        <v>-</v>
      </c>
      <c r="M358" s="34" t="str">
        <f>VLOOKUP(Tabla3[[#This Row],[Site]],Table35[#All],3,FALSE)</f>
        <v>1, 22, 26, 28, 29</v>
      </c>
      <c r="N358" s="34" t="str">
        <f>VLOOKUP(Tabla3[[#This Row],[Site]],Table35[#All],4,FALSE)</f>
        <v>-</v>
      </c>
      <c r="O358" s="34" t="str">
        <f>VLOOKUP(Tabla3[[#This Row],[Site]],Table35[#All],5,FALSE)</f>
        <v>-</v>
      </c>
      <c r="P358" s="34" t="str">
        <f>VLOOKUP(Tabla3[[#This Row],[Site]],Table35[#All],6,FALSE)</f>
        <v>3, 11, 15, 23</v>
      </c>
      <c r="Q358" s="34" t="str">
        <f>VLOOKUP(Tabla3[[#This Row],[Site]],Table35[#All],8,FALSE)</f>
        <v>306</v>
      </c>
      <c r="R358"/>
    </row>
    <row r="359" spans="1:18" hidden="1" x14ac:dyDescent="0.25">
      <c r="A359" t="str">
        <f>+Tabla3[[#This Row],[Site]]&amp;Tabla3[[#This Row],[Split]]</f>
        <v>(AS) Koons Woodbridge Kia (NO TOURS)7</v>
      </c>
      <c r="B359">
        <v>7</v>
      </c>
      <c r="C359">
        <v>1</v>
      </c>
      <c r="D359" t="s">
        <v>407</v>
      </c>
      <c r="E359" t="str">
        <f>VLOOKUP(Tabla3[[#This Row],[Site]],Table35[],10,FALSE)</f>
        <v>9:00 P.M.</v>
      </c>
      <c r="F359" t="str">
        <f>VLOOKUP(Tabla3[[#This Row],[Site]],Table35[],11,FALSE)</f>
        <v>ET</v>
      </c>
      <c r="G359" t="str">
        <f>VLOOKUP(Tabla3[[#This Row],[Site]],Table35[],12,FALSE)</f>
        <v>5:00 A.M.</v>
      </c>
      <c r="H359" s="1" t="s">
        <v>96</v>
      </c>
      <c r="I359" s="70" t="str">
        <f>HYPERLINK(VLOOKUP(Tabla3[[#This Row],[Site]],Table35[#All],9,FALSE))</f>
        <v>https://tools.sig.systems/site/details/346</v>
      </c>
      <c r="J359" t="str">
        <f>VLOOKUP(Tabla3[[#This Row],[Site]],Table35[],14,FALSE)</f>
        <v>-</v>
      </c>
      <c r="L359" s="34" t="str">
        <f>VLOOKUP(Tabla3[[#This Row],[Site]],Table35[#All],2,FALSE)</f>
        <v>-</v>
      </c>
      <c r="M359" s="34">
        <f>VLOOKUP(Tabla3[[#This Row],[Site]],Table35[#All],3,FALSE)</f>
        <v>2</v>
      </c>
      <c r="N359" s="34" t="str">
        <f>VLOOKUP(Tabla3[[#This Row],[Site]],Table35[#All],4,FALSE)</f>
        <v>-</v>
      </c>
      <c r="O359" s="34" t="str">
        <f>VLOOKUP(Tabla3[[#This Row],[Site]],Table35[#All],5,FALSE)</f>
        <v>-</v>
      </c>
      <c r="P359" s="34">
        <f>VLOOKUP(Tabla3[[#This Row],[Site]],Table35[#All],6,FALSE)</f>
        <v>5</v>
      </c>
      <c r="Q359" s="34" t="str">
        <f>VLOOKUP(Tabla3[[#This Row],[Site]],Table35[#All],8,FALSE)</f>
        <v>346</v>
      </c>
      <c r="R359"/>
    </row>
    <row r="360" spans="1:18" hidden="1" x14ac:dyDescent="0.25">
      <c r="A360" t="str">
        <f>+Tabla3[[#This Row],[Site]]&amp;Tabla3[[#This Row],[Split]]</f>
        <v>(DT) Charlotte7</v>
      </c>
      <c r="B360">
        <v>7</v>
      </c>
      <c r="C360">
        <v>1</v>
      </c>
      <c r="D360" t="s">
        <v>151</v>
      </c>
      <c r="E360" t="str">
        <f>VLOOKUP(Tabla3[[#This Row],[Site]],Table35[],10,FALSE)</f>
        <v>9:00 P.M.</v>
      </c>
      <c r="F360" t="str">
        <f>VLOOKUP(Tabla3[[#This Row],[Site]],Table35[],11,FALSE)</f>
        <v>ET</v>
      </c>
      <c r="G360" t="str">
        <f>VLOOKUP(Tabla3[[#This Row],[Site]],Table35[],12,FALSE)</f>
        <v>5:00 A.M.</v>
      </c>
      <c r="H360" s="1" t="s">
        <v>96</v>
      </c>
      <c r="I360" s="70" t="str">
        <f>HYPERLINK(VLOOKUP(Tabla3[[#This Row],[Site]],Table35[#All],9,FALSE))</f>
        <v>https://tools.sig.systems/site/details/299</v>
      </c>
      <c r="J360">
        <f>VLOOKUP(Tabla3[[#This Row],[Site]],Table35[],14,FALSE)</f>
        <v>0</v>
      </c>
      <c r="L360" s="34" t="str">
        <f>VLOOKUP(Tabla3[[#This Row],[Site]],Table35[#All],2,FALSE)</f>
        <v>4, 25, 41</v>
      </c>
      <c r="M360" s="34" t="str">
        <f>VLOOKUP(Tabla3[[#This Row],[Site]],Table35[#All],3,FALSE)</f>
        <v>-</v>
      </c>
      <c r="N360" s="34" t="str">
        <f>VLOOKUP(Tabla3[[#This Row],[Site]],Table35[#All],4,FALSE)</f>
        <v>-</v>
      </c>
      <c r="O360" s="34" t="str">
        <f>VLOOKUP(Tabla3[[#This Row],[Site]],Table35[#All],5,FALSE)</f>
        <v xml:space="preserve">11, 32, 35 </v>
      </c>
      <c r="P360" s="34" t="str">
        <f>VLOOKUP(Tabla3[[#This Row],[Site]],Table35[#All],6,FALSE)</f>
        <v>6, 11, 18, 29, 34,  38, 39</v>
      </c>
      <c r="Q360" s="34" t="str">
        <f>VLOOKUP(Tabla3[[#This Row],[Site]],Table35[#All],8,FALSE)</f>
        <v>299</v>
      </c>
      <c r="R360"/>
    </row>
    <row r="361" spans="1:18" hidden="1" x14ac:dyDescent="0.25">
      <c r="A361" t="str">
        <f>+Tabla3[[#This Row],[Site]]&amp;Tabla3[[#This Row],[Split]]</f>
        <v>(LT) Luther Brookdale Toyota7</v>
      </c>
      <c r="B361">
        <v>7</v>
      </c>
      <c r="C361">
        <v>1</v>
      </c>
      <c r="D361" t="s">
        <v>126</v>
      </c>
      <c r="E361" t="str">
        <f>VLOOKUP(Tabla3[[#This Row],[Site]],Table35[],10,FALSE)</f>
        <v>7:00 P.M.</v>
      </c>
      <c r="F361" t="str">
        <f>VLOOKUP(Tabla3[[#This Row],[Site]],Table35[],11,FALSE)</f>
        <v>CT</v>
      </c>
      <c r="G361" t="str">
        <f>VLOOKUP(Tabla3[[#This Row],[Site]],Table35[],12,FALSE)</f>
        <v>5:00 A.M.</v>
      </c>
      <c r="H361" s="1" t="s">
        <v>96</v>
      </c>
      <c r="I361" s="70" t="str">
        <f>HYPERLINK(VLOOKUP(Tabla3[[#This Row],[Site]],Table35[#All],9,FALSE))</f>
        <v>https://tools.sig.systems/site/details/281</v>
      </c>
      <c r="J361" t="str">
        <f>VLOOKUP(Tabla3[[#This Row],[Site]],Table35[],14,FALSE)</f>
        <v>https://www.google.com/maps/d/viewer?mid=1ot0ILX76JMuvd9yMuqkb4_e0yH1n7TA&amp;ll=45.07815812965141%2C-93.33506855000002&amp;z=17</v>
      </c>
      <c r="L361" s="34" t="str">
        <f>VLOOKUP(Tabla3[[#This Row],[Site]],Table35[#All],2,FALSE)</f>
        <v>-</v>
      </c>
      <c r="M361" s="34" t="str">
        <f>VLOOKUP(Tabla3[[#This Row],[Site]],Table35[#All],3,FALSE)</f>
        <v>5, 7</v>
      </c>
      <c r="N361" s="34">
        <f>VLOOKUP(Tabla3[[#This Row],[Site]],Table35[#All],4,FALSE)</f>
        <v>29</v>
      </c>
      <c r="O361" s="34">
        <f>VLOOKUP(Tabla3[[#This Row],[Site]],Table35[#All],5,FALSE)</f>
        <v>20</v>
      </c>
      <c r="P361" s="34" t="str">
        <f>VLOOKUP(Tabla3[[#This Row],[Site]],Table35[#All],6,FALSE)</f>
        <v xml:space="preserve">1, 2, 4, 10, 18, 24, 25 </v>
      </c>
      <c r="Q361" s="34" t="str">
        <f>VLOOKUP(Tabla3[[#This Row],[Site]],Table35[#All],8,FALSE)</f>
        <v>281</v>
      </c>
      <c r="R361"/>
    </row>
    <row r="362" spans="1:18" hidden="1" x14ac:dyDescent="0.25">
      <c r="A362" t="str">
        <f>+Tabla3[[#This Row],[Site]]&amp;Tabla3[[#This Row],[Split]]</f>
        <v>(LT) Luther Burnsville Hyundai7</v>
      </c>
      <c r="B362">
        <v>7</v>
      </c>
      <c r="C362">
        <v>1</v>
      </c>
      <c r="D362" t="s">
        <v>284</v>
      </c>
      <c r="E362" t="str">
        <f>VLOOKUP(Tabla3[[#This Row],[Site]],Table35[],10,FALSE)</f>
        <v>10:00 P.M.</v>
      </c>
      <c r="F362" t="str">
        <f>VLOOKUP(Tabla3[[#This Row],[Site]],Table35[],11,FALSE)</f>
        <v>CT</v>
      </c>
      <c r="G362" t="str">
        <f>VLOOKUP(Tabla3[[#This Row],[Site]],Table35[],12,FALSE)</f>
        <v>6:00 A.M.</v>
      </c>
      <c r="H362" s="1" t="s">
        <v>74</v>
      </c>
      <c r="I362" s="70" t="str">
        <f>HYPERLINK(VLOOKUP(Tabla3[[#This Row],[Site]],Table35[#All],9,FALSE))</f>
        <v>https://tools.sig.systems/site/details/307</v>
      </c>
      <c r="J362">
        <f>VLOOKUP(Tabla3[[#This Row],[Site]],Table35[],14,FALSE)</f>
        <v>0</v>
      </c>
      <c r="L362" s="34" t="str">
        <f>VLOOKUP(Tabla3[[#This Row],[Site]],Table35[#All],2,FALSE)</f>
        <v>-</v>
      </c>
      <c r="M362" s="34" t="str">
        <f>VLOOKUP(Tabla3[[#This Row],[Site]],Table35[#All],3,FALSE)</f>
        <v>6, 17</v>
      </c>
      <c r="N362" s="34" t="str">
        <f>VLOOKUP(Tabla3[[#This Row],[Site]],Table35[#All],4,FALSE)</f>
        <v>22, 21</v>
      </c>
      <c r="O362" s="34">
        <f>VLOOKUP(Tabla3[[#This Row],[Site]],Table35[#All],5,FALSE)</f>
        <v>7</v>
      </c>
      <c r="P362" s="34" t="str">
        <f>VLOOKUP(Tabla3[[#This Row],[Site]],Table35[#All],6,FALSE)</f>
        <v>2, 4, 16</v>
      </c>
      <c r="Q362" s="34" t="str">
        <f>VLOOKUP(Tabla3[[#This Row],[Site]],Table35[#All],8,FALSE)</f>
        <v>307</v>
      </c>
      <c r="R362"/>
    </row>
    <row r="363" spans="1:18" hidden="1" x14ac:dyDescent="0.25">
      <c r="A363" t="str">
        <f>+Tabla3[[#This Row],[Site]]&amp;Tabla3[[#This Row],[Split]]</f>
        <v>(PE) BMW Service Center (NO TOURS)7</v>
      </c>
      <c r="B363">
        <v>7</v>
      </c>
      <c r="C363">
        <v>1</v>
      </c>
      <c r="D363" t="s">
        <v>39</v>
      </c>
      <c r="E363" t="str">
        <f>VLOOKUP(Tabla3[[#This Row],[Site]],Table35[],10,FALSE)</f>
        <v>8:00 P.M.</v>
      </c>
      <c r="F363" t="str">
        <f>VLOOKUP(Tabla3[[#This Row],[Site]],Table35[],11,FALSE)</f>
        <v>ET</v>
      </c>
      <c r="G363" t="str">
        <f>VLOOKUP(Tabla3[[#This Row],[Site]],Table35[],12,FALSE)</f>
        <v>5:00 A.M.</v>
      </c>
      <c r="H363" s="1" t="s">
        <v>96</v>
      </c>
      <c r="I363" s="70" t="str">
        <f>HYPERLINK(VLOOKUP(Tabla3[[#This Row],[Site]],Table35[#All],9,FALSE))</f>
        <v>https://tools.sig.systems/site/details/184</v>
      </c>
      <c r="J363" t="str">
        <f>VLOOKUP(Tabla3[[#This Row],[Site]],Table35[],14,FALSE)</f>
        <v>https://www.google.com/maps/d/edit?hl=en&amp;mid=1UHmt7tH1ihTa85i0MfQIcTfVvIQg_vM&amp;ll=41.02423447529239%2C-73.63721502222738&amp;z=18</v>
      </c>
      <c r="L363" s="34">
        <f>VLOOKUP(Tabla3[[#This Row],[Site]],Table35[#All],2,FALSE)</f>
        <v>3</v>
      </c>
      <c r="M363" s="34" t="str">
        <f>VLOOKUP(Tabla3[[#This Row],[Site]],Table35[#All],3,FALSE)</f>
        <v>-</v>
      </c>
      <c r="N363" s="34" t="str">
        <f>VLOOKUP(Tabla3[[#This Row],[Site]],Table35[#All],4,FALSE)</f>
        <v>-</v>
      </c>
      <c r="O363" s="34" t="str">
        <f>VLOOKUP(Tabla3[[#This Row],[Site]],Table35[#All],5,FALSE)</f>
        <v>-</v>
      </c>
      <c r="P363" s="34" t="str">
        <f>VLOOKUP(Tabla3[[#This Row],[Site]],Table35[#All],6,FALSE)</f>
        <v xml:space="preserve">1, 2 </v>
      </c>
      <c r="Q363" s="34" t="str">
        <f>VLOOKUP(Tabla3[[#This Row],[Site]],Table35[#All],8,FALSE)</f>
        <v>184</v>
      </c>
      <c r="R363"/>
    </row>
    <row r="364" spans="1:18" hidden="1" x14ac:dyDescent="0.25">
      <c r="A364" t="str">
        <f>+Tabla3[[#This Row],[Site]]&amp;Tabla3[[#This Row],[Split]]</f>
        <v>(PE) Porsche Audi Fairfield (NO TOURS)7</v>
      </c>
      <c r="B364">
        <v>7</v>
      </c>
      <c r="C364">
        <v>1</v>
      </c>
      <c r="D364" t="s">
        <v>446</v>
      </c>
      <c r="E364" t="str">
        <f>VLOOKUP(Tabla3[[#This Row],[Site]],Table35[],10,FALSE)</f>
        <v>8:00 P.M.</v>
      </c>
      <c r="F364" t="str">
        <f>VLOOKUP(Tabla3[[#This Row],[Site]],Table35[],11,FALSE)</f>
        <v>ET</v>
      </c>
      <c r="G364" t="str">
        <f>VLOOKUP(Tabla3[[#This Row],[Site]],Table35[],12,FALSE)</f>
        <v>5:00 A.M.</v>
      </c>
      <c r="H364" s="1" t="s">
        <v>71</v>
      </c>
      <c r="I364" s="70" t="str">
        <f>HYPERLINK(VLOOKUP(Tabla3[[#This Row],[Site]],Table35[#All],9,FALSE))</f>
        <v>https://tools.sig.systems/site/details/194</v>
      </c>
      <c r="J364" t="str">
        <f>VLOOKUP(Tabla3[[#This Row],[Site]],Table35[],14,FALSE)</f>
        <v>-</v>
      </c>
      <c r="L364" s="34" t="str">
        <f>VLOOKUP(Tabla3[[#This Row],[Site]],Table35[#All],2,FALSE)</f>
        <v>1, 18</v>
      </c>
      <c r="M364" s="34" t="str">
        <f>VLOOKUP(Tabla3[[#This Row],[Site]],Table35[#All],3,FALSE)</f>
        <v>-</v>
      </c>
      <c r="N364" s="34" t="str">
        <f>VLOOKUP(Tabla3[[#This Row],[Site]],Table35[#All],4,FALSE)</f>
        <v>-</v>
      </c>
      <c r="O364" s="34">
        <f>VLOOKUP(Tabla3[[#This Row],[Site]],Table35[#All],5,FALSE)</f>
        <v>20</v>
      </c>
      <c r="P364" s="34">
        <f>VLOOKUP(Tabla3[[#This Row],[Site]],Table35[#All],6,FALSE)</f>
        <v>15</v>
      </c>
      <c r="Q364" s="34">
        <f>VLOOKUP(Tabla3[[#This Row],[Site]],Table35[#All],8,FALSE)</f>
        <v>194</v>
      </c>
      <c r="R364"/>
    </row>
    <row r="365" spans="1:18" hidden="1" x14ac:dyDescent="0.25">
      <c r="A365" t="str">
        <f>+Tabla3[[#This Row],[Site]]&amp;Tabla3[[#This Row],[Split]]</f>
        <v>(AS) Coggin BMW Ft. Pierce (NO TOURS)7</v>
      </c>
      <c r="B365">
        <v>7</v>
      </c>
      <c r="C365">
        <v>2</v>
      </c>
      <c r="D365" t="s">
        <v>122</v>
      </c>
      <c r="E365" t="str">
        <f>VLOOKUP(Tabla3[[#This Row],[Site]],Table35[],10,FALSE)</f>
        <v>9:00 P.M.</v>
      </c>
      <c r="F365" t="str">
        <f>VLOOKUP(Tabla3[[#This Row],[Site]],Table35[],11,FALSE)</f>
        <v>ET</v>
      </c>
      <c r="G365" t="str">
        <f>VLOOKUP(Tabla3[[#This Row],[Site]],Table35[],12,FALSE)</f>
        <v>5:00 A.M.</v>
      </c>
      <c r="H365" s="1" t="s">
        <v>96</v>
      </c>
      <c r="I365" s="70" t="str">
        <f>HYPERLINK(VLOOKUP(Tabla3[[#This Row],[Site]],Table35[#All],9,FALSE))</f>
        <v>https://tools.sig.systems/site/details/119</v>
      </c>
      <c r="J365" t="str">
        <f>VLOOKUP(Tabla3[[#This Row],[Site]],Table35[],14,FALSE)</f>
        <v>https://www.google.com/maps/d/viewer?mid=1AyViBuyeq7iwDua1SVudJ2A1BYi3IBA&amp;ll=27.38181516363982%2C-80.32568845000002&amp;z=18</v>
      </c>
      <c r="L365" s="34" t="str">
        <f>VLOOKUP(Tabla3[[#This Row],[Site]],Table35[#All],2,FALSE)</f>
        <v>3, 10, 13</v>
      </c>
      <c r="M365" s="34" t="str">
        <f>VLOOKUP(Tabla3[[#This Row],[Site]],Table35[#All],3,FALSE)</f>
        <v>-</v>
      </c>
      <c r="N365" s="34" t="str">
        <f>VLOOKUP(Tabla3[[#This Row],[Site]],Table35[#All],4,FALSE)</f>
        <v>-</v>
      </c>
      <c r="O365" s="34">
        <f>VLOOKUP(Tabla3[[#This Row],[Site]],Table35[#All],5,FALSE)</f>
        <v>2</v>
      </c>
      <c r="P365" s="34" t="str">
        <f>VLOOKUP(Tabla3[[#This Row],[Site]],Table35[#All],6,FALSE)</f>
        <v>1, 20, 27</v>
      </c>
      <c r="Q365" s="34" t="str">
        <f>VLOOKUP(Tabla3[[#This Row],[Site]],Table35[#All],8,FALSE)</f>
        <v>119</v>
      </c>
      <c r="R365"/>
    </row>
    <row r="366" spans="1:18" hidden="1" x14ac:dyDescent="0.25">
      <c r="A366" t="str">
        <f>+Tabla3[[#This Row],[Site]]&amp;Tabla3[[#This Row],[Split]]</f>
        <v>(AS) Koons Chevrolet Buick GMC - Clarksville Remote Lot (NO TOURS)7</v>
      </c>
      <c r="B366">
        <v>7</v>
      </c>
      <c r="C366">
        <v>2</v>
      </c>
      <c r="D366" t="s">
        <v>415</v>
      </c>
      <c r="E366" t="str">
        <f>VLOOKUP(Tabla3[[#This Row],[Site]],Table35[],10,FALSE)</f>
        <v>9:00 P.M.</v>
      </c>
      <c r="F366" t="str">
        <f>VLOOKUP(Tabla3[[#This Row],[Site]],Table35[],11,FALSE)</f>
        <v>ET</v>
      </c>
      <c r="G366" t="str">
        <f>VLOOKUP(Tabla3[[#This Row],[Site]],Table35[],12,FALSE)</f>
        <v>5:00 A.M.</v>
      </c>
      <c r="H366" s="1" t="s">
        <v>96</v>
      </c>
      <c r="I366" s="70" t="str">
        <f>HYPERLINK(VLOOKUP(Tabla3[[#This Row],[Site]],Table35[#All],9,FALSE))</f>
        <v>https://tools.sig.systems/site/details/308</v>
      </c>
      <c r="J366" t="str">
        <f>VLOOKUP(Tabla3[[#This Row],[Site]],Table35[],14,FALSE)</f>
        <v>https://www.google.com/maps/d/edit?hl=es&amp;mid=11XB1lTSP7EcDCDvzypdUPWP6bWCNAEI&amp;ll=39.21145022420528%2C-76.94003711910554&amp;z=21</v>
      </c>
      <c r="L366" s="34" t="str">
        <f>VLOOKUP(Tabla3[[#This Row],[Site]],Table35[#All],2,FALSE)</f>
        <v>-</v>
      </c>
      <c r="M366" s="34" t="str">
        <f>VLOOKUP(Tabla3[[#This Row],[Site]],Table35[#All],3,FALSE)</f>
        <v>1, 5</v>
      </c>
      <c r="N366" s="34" t="str">
        <f>VLOOKUP(Tabla3[[#This Row],[Site]],Table35[#All],4,FALSE)</f>
        <v>-</v>
      </c>
      <c r="O366" s="34" t="str">
        <f>VLOOKUP(Tabla3[[#This Row],[Site]],Table35[#All],5,FALSE)</f>
        <v>-</v>
      </c>
      <c r="P366" s="34" t="str">
        <f>VLOOKUP(Tabla3[[#This Row],[Site]],Table35[#All],6,FALSE)</f>
        <v>14, 16</v>
      </c>
      <c r="Q366" s="34" t="str">
        <f>VLOOKUP(Tabla3[[#This Row],[Site]],Table35[#All],8,FALSE)</f>
        <v>308</v>
      </c>
      <c r="R366"/>
    </row>
    <row r="367" spans="1:18" hidden="1" x14ac:dyDescent="0.25">
      <c r="A367" t="str">
        <f>+Tabla3[[#This Row],[Site]]&amp;Tabla3[[#This Row],[Split]]</f>
        <v>(AS) Koons Owings Mills Kia (NO TOURS)7</v>
      </c>
      <c r="B367">
        <v>7</v>
      </c>
      <c r="C367">
        <v>2</v>
      </c>
      <c r="D367" t="s">
        <v>416</v>
      </c>
      <c r="E367" t="str">
        <f>VLOOKUP(Tabla3[[#This Row],[Site]],Table35[],10,FALSE)</f>
        <v>9:00 P.M.</v>
      </c>
      <c r="F367" t="str">
        <f>VLOOKUP(Tabla3[[#This Row],[Site]],Table35[],11,FALSE)</f>
        <v>ET</v>
      </c>
      <c r="G367" t="str">
        <f>VLOOKUP(Tabla3[[#This Row],[Site]],Table35[],12,FALSE)</f>
        <v>5:00 A.M.</v>
      </c>
      <c r="H367" s="1" t="s">
        <v>96</v>
      </c>
      <c r="I367" s="70" t="str">
        <f>HYPERLINK(VLOOKUP(Tabla3[[#This Row],[Site]],Table35[#All],9,FALSE))</f>
        <v>https://tools.sig.systems/site/details/336</v>
      </c>
      <c r="J367" t="str">
        <f>VLOOKUP(Tabla3[[#This Row],[Site]],Table35[],14,FALSE)</f>
        <v>-</v>
      </c>
      <c r="L367" s="34">
        <f>VLOOKUP(Tabla3[[#This Row],[Site]],Table35[#All],2,FALSE)</f>
        <v>12</v>
      </c>
      <c r="M367" s="34" t="str">
        <f>VLOOKUP(Tabla3[[#This Row],[Site]],Table35[#All],3,FALSE)</f>
        <v>2, 18</v>
      </c>
      <c r="N367" s="34" t="str">
        <f>VLOOKUP(Tabla3[[#This Row],[Site]],Table35[#All],4,FALSE)</f>
        <v>-</v>
      </c>
      <c r="O367" s="34" t="str">
        <f>VLOOKUP(Tabla3[[#This Row],[Site]],Table35[#All],5,FALSE)</f>
        <v>-</v>
      </c>
      <c r="P367" s="34" t="str">
        <f>VLOOKUP(Tabla3[[#This Row],[Site]],Table35[#All],6,FALSE)</f>
        <v>7, 14</v>
      </c>
      <c r="Q367" s="34" t="str">
        <f>VLOOKUP(Tabla3[[#This Row],[Site]],Table35[#All],8,FALSE)</f>
        <v>336</v>
      </c>
      <c r="R367"/>
    </row>
    <row r="368" spans="1:18" hidden="1" x14ac:dyDescent="0.25">
      <c r="A368" t="str">
        <f>+Tabla3[[#This Row],[Site]]&amp;Tabla3[[#This Row],[Split]]</f>
        <v>(AS) Koons Westminster Toyota (NO TOURS)7</v>
      </c>
      <c r="B368">
        <v>7</v>
      </c>
      <c r="C368">
        <v>2</v>
      </c>
      <c r="D368" t="s">
        <v>421</v>
      </c>
      <c r="E368" t="str">
        <f>VLOOKUP(Tabla3[[#This Row],[Site]],Table35[],10,FALSE)</f>
        <v>9:00 P.M.</v>
      </c>
      <c r="F368" t="str">
        <f>VLOOKUP(Tabla3[[#This Row],[Site]],Table35[],11,FALSE)</f>
        <v>ET</v>
      </c>
      <c r="G368" t="str">
        <f>VLOOKUP(Tabla3[[#This Row],[Site]],Table35[],12,FALSE)</f>
        <v>5:00 A.M.</v>
      </c>
      <c r="H368" s="1" t="s">
        <v>96</v>
      </c>
      <c r="I368" s="70" t="str">
        <f>HYPERLINK(VLOOKUP(Tabla3[[#This Row],[Site]],Table35[#All],9,FALSE))</f>
        <v>https://tools.sig.systems/site/details/341</v>
      </c>
      <c r="J368" t="str">
        <f>VLOOKUP(Tabla3[[#This Row],[Site]],Table35[],14,FALSE)</f>
        <v>-</v>
      </c>
      <c r="L368" s="34" t="str">
        <f>VLOOKUP(Tabla3[[#This Row],[Site]],Table35[#All],2,FALSE)</f>
        <v>-</v>
      </c>
      <c r="M368" s="34" t="str">
        <f>VLOOKUP(Tabla3[[#This Row],[Site]],Table35[#All],3,FALSE)</f>
        <v>1, 10, 18, 25</v>
      </c>
      <c r="N368" s="34" t="str">
        <f>VLOOKUP(Tabla3[[#This Row],[Site]],Table35[#All],4,FALSE)</f>
        <v>-</v>
      </c>
      <c r="O368" s="34" t="str">
        <f>VLOOKUP(Tabla3[[#This Row],[Site]],Table35[#All],5,FALSE)</f>
        <v>-</v>
      </c>
      <c r="P368" s="34" t="str">
        <f>VLOOKUP(Tabla3[[#This Row],[Site]],Table35[#All],6,FALSE)</f>
        <v>8, 14</v>
      </c>
      <c r="Q368" s="34" t="str">
        <f>VLOOKUP(Tabla3[[#This Row],[Site]],Table35[#All],8,FALSE)</f>
        <v>341</v>
      </c>
      <c r="R368"/>
    </row>
    <row r="369" spans="1:18" hidden="1" x14ac:dyDescent="0.25">
      <c r="A369" t="str">
        <f>+Tabla3[[#This Row],[Site]]&amp;Tabla3[[#This Row],[Split]]</f>
        <v>(AS) Koons Woodbridge GMC (NO TOURS)7</v>
      </c>
      <c r="B369">
        <v>7</v>
      </c>
      <c r="C369">
        <v>2</v>
      </c>
      <c r="D369" t="s">
        <v>372</v>
      </c>
      <c r="E369" t="str">
        <f>VLOOKUP(Tabla3[[#This Row],[Site]],Table35[],10,FALSE)</f>
        <v>9:00 P.M.</v>
      </c>
      <c r="F369" t="str">
        <f>VLOOKUP(Tabla3[[#This Row],[Site]],Table35[],11,FALSE)</f>
        <v>ET</v>
      </c>
      <c r="G369" t="str">
        <f>VLOOKUP(Tabla3[[#This Row],[Site]],Table35[],12,FALSE)</f>
        <v>5:00 A.M.</v>
      </c>
      <c r="H369" s="1" t="s">
        <v>69</v>
      </c>
      <c r="I369" s="70" t="str">
        <f>HYPERLINK(VLOOKUP(Tabla3[[#This Row],[Site]],Table35[#All],9,FALSE))</f>
        <v>https://tools.sig.systems/site/details/343</v>
      </c>
      <c r="J369">
        <f>VLOOKUP(Tabla3[[#This Row],[Site]],Table35[],14,FALSE)</f>
        <v>0</v>
      </c>
      <c r="L369" s="34" t="str">
        <f>VLOOKUP(Tabla3[[#This Row],[Site]],Table35[#All],2,FALSE)</f>
        <v>-</v>
      </c>
      <c r="M369" s="34">
        <f>VLOOKUP(Tabla3[[#This Row],[Site]],Table35[#All],3,FALSE)</f>
        <v>1</v>
      </c>
      <c r="N369" s="34" t="str">
        <f>VLOOKUP(Tabla3[[#This Row],[Site]],Table35[#All],4,FALSE)</f>
        <v>-</v>
      </c>
      <c r="O369" s="34">
        <f>VLOOKUP(Tabla3[[#This Row],[Site]],Table35[#All],5,FALSE)</f>
        <v>11</v>
      </c>
      <c r="P369" s="34" t="str">
        <f>VLOOKUP(Tabla3[[#This Row],[Site]],Table35[#All],6,FALSE)</f>
        <v>2, 7</v>
      </c>
      <c r="Q369" s="34" t="str">
        <f>VLOOKUP(Tabla3[[#This Row],[Site]],Table35[#All],8,FALSE)</f>
        <v>343</v>
      </c>
      <c r="R369"/>
    </row>
    <row r="370" spans="1:18" hidden="1" x14ac:dyDescent="0.25">
      <c r="A370" t="str">
        <f>+Tabla3[[#This Row],[Site]]&amp;Tabla3[[#This Row],[Split]]</f>
        <v>(AS) Plaza Mercedes Benz West (NO TOURS)7</v>
      </c>
      <c r="B370">
        <v>7</v>
      </c>
      <c r="C370">
        <v>2</v>
      </c>
      <c r="D370" t="s">
        <v>396</v>
      </c>
      <c r="E370" t="str">
        <f>VLOOKUP(Tabla3[[#This Row],[Site]],Table35[],10,FALSE)</f>
        <v>10:00 P.M.</v>
      </c>
      <c r="F370" t="str">
        <f>VLOOKUP(Tabla3[[#This Row],[Site]],Table35[],11,FALSE)</f>
        <v>CT</v>
      </c>
      <c r="G370" t="str">
        <f>VLOOKUP(Tabla3[[#This Row],[Site]],Table35[],12,FALSE)</f>
        <v>6:00 A.M.</v>
      </c>
      <c r="H370" s="1" t="s">
        <v>96</v>
      </c>
      <c r="I370" s="70" t="str">
        <f>HYPERLINK(VLOOKUP(Tabla3[[#This Row],[Site]],Table35[#All],9,FALSE))</f>
        <v>https://tools.sig.systems/site/details/349</v>
      </c>
      <c r="J370" t="str">
        <f>VLOOKUP(Tabla3[[#This Row],[Site]],Table35[],14,FALSE)</f>
        <v>-</v>
      </c>
      <c r="L370" s="34" t="str">
        <f>VLOOKUP(Tabla3[[#This Row],[Site]],Table35[#All],2,FALSE)</f>
        <v>-</v>
      </c>
      <c r="M370" s="34" t="str">
        <f>VLOOKUP(Tabla3[[#This Row],[Site]],Table35[#All],3,FALSE)</f>
        <v>1, 7</v>
      </c>
      <c r="N370" s="34" t="str">
        <f>VLOOKUP(Tabla3[[#This Row],[Site]],Table35[#All],4,FALSE)</f>
        <v>-</v>
      </c>
      <c r="O370" s="34">
        <f>VLOOKUP(Tabla3[[#This Row],[Site]],Table35[#All],5,FALSE)</f>
        <v>17</v>
      </c>
      <c r="P370" s="34" t="str">
        <f>VLOOKUP(Tabla3[[#This Row],[Site]],Table35[#All],6,FALSE)</f>
        <v>6, 21</v>
      </c>
      <c r="Q370" s="34" t="str">
        <f>VLOOKUP(Tabla3[[#This Row],[Site]],Table35[#All],8,FALSE)</f>
        <v>349</v>
      </c>
      <c r="R370"/>
    </row>
    <row r="371" spans="1:18" hidden="1" x14ac:dyDescent="0.25">
      <c r="A371" t="str">
        <f>+Tabla3[[#This Row],[Site]]&amp;Tabla3[[#This Row],[Split]]</f>
        <v>(KG) Ken Garff Kia of Avondale7</v>
      </c>
      <c r="B371">
        <v>7</v>
      </c>
      <c r="C371">
        <v>2</v>
      </c>
      <c r="D371" t="s">
        <v>300</v>
      </c>
      <c r="E371" t="str">
        <f>VLOOKUP(Tabla3[[#This Row],[Site]],Table35[],10,FALSE)</f>
        <v>12:00 A.M.</v>
      </c>
      <c r="F371" t="str">
        <f>VLOOKUP(Tabla3[[#This Row],[Site]],Table35[],11,FALSE)</f>
        <v>MST</v>
      </c>
      <c r="G371" t="str">
        <f>VLOOKUP(Tabla3[[#This Row],[Site]],Table35[],12,FALSE)</f>
        <v>8:00 A.M.</v>
      </c>
      <c r="H371" s="1" t="s">
        <v>68</v>
      </c>
      <c r="I371" s="70" t="str">
        <f>HYPERLINK(VLOOKUP(Tabla3[[#This Row],[Site]],Table35[#All],9,FALSE))</f>
        <v>https://tools.sig.systems/site/details/283</v>
      </c>
      <c r="J371" t="str">
        <f>VLOOKUP(Tabla3[[#This Row],[Site]],Table35[],14,FALSE)</f>
        <v>https://www.google.com/maps/d/viewer?mid=1bDs0QGFZwL3vEeGKxjVMk_j4azr0-lg&amp;ll=33.4593758581648%2C-112.28793780000001&amp;z=18</v>
      </c>
      <c r="L371" s="34" t="str">
        <f>VLOOKUP(Tabla3[[#This Row],[Site]],Table35[#All],2,FALSE)</f>
        <v>5, 19</v>
      </c>
      <c r="M371" s="34" t="str">
        <f>VLOOKUP(Tabla3[[#This Row],[Site]],Table35[#All],3,FALSE)</f>
        <v>-</v>
      </c>
      <c r="N371" s="34" t="str">
        <f>VLOOKUP(Tabla3[[#This Row],[Site]],Table35[#All],4,FALSE)</f>
        <v>-</v>
      </c>
      <c r="O371" s="34" t="str">
        <f>VLOOKUP(Tabla3[[#This Row],[Site]],Table35[#All],5,FALSE)</f>
        <v>3, 5</v>
      </c>
      <c r="P371" s="34" t="str">
        <f>VLOOKUP(Tabla3[[#This Row],[Site]],Table35[#All],6,FALSE)</f>
        <v>1, 6, 7, 12, 15, 17, 21</v>
      </c>
      <c r="Q371" s="34" t="str">
        <f>VLOOKUP(Tabla3[[#This Row],[Site]],Table35[#All],8,FALSE)</f>
        <v>283</v>
      </c>
      <c r="R371"/>
    </row>
    <row r="372" spans="1:18" hidden="1" x14ac:dyDescent="0.25">
      <c r="A372" t="str">
        <f>+Tabla3[[#This Row],[Site]]&amp;Tabla3[[#This Row],[Split]]</f>
        <v>(LT) Luther Genesis of Minneapolis7</v>
      </c>
      <c r="B372">
        <v>7</v>
      </c>
      <c r="C372">
        <v>2</v>
      </c>
      <c r="D372" t="s">
        <v>264</v>
      </c>
      <c r="E372" t="str">
        <f>VLOOKUP(Tabla3[[#This Row],[Site]],Table35[],10,FALSE)</f>
        <v>10:00 P.M.</v>
      </c>
      <c r="F372" t="str">
        <f>VLOOKUP(Tabla3[[#This Row],[Site]],Table35[],11,FALSE)</f>
        <v>CT</v>
      </c>
      <c r="G372" t="str">
        <f>VLOOKUP(Tabla3[[#This Row],[Site]],Table35[],12,FALSE)</f>
        <v>6:00 A.M.</v>
      </c>
      <c r="H372" s="62" t="s">
        <v>96</v>
      </c>
      <c r="I372" s="70" t="str">
        <f>HYPERLINK(VLOOKUP(Tabla3[[#This Row],[Site]],Table35[#All],9,FALSE))</f>
        <v>https://tools.sig.systems/site/details/315</v>
      </c>
      <c r="J372">
        <f>VLOOKUP(Tabla3[[#This Row],[Site]],Table35[],14,FALSE)</f>
        <v>0</v>
      </c>
      <c r="L372" s="34" t="str">
        <f>VLOOKUP(Tabla3[[#This Row],[Site]],Table35[#All],2,FALSE)</f>
        <v>-</v>
      </c>
      <c r="M372" s="34" t="str">
        <f>VLOOKUP(Tabla3[[#This Row],[Site]],Table35[#All],3,FALSE)</f>
        <v>1,2,3,18</v>
      </c>
      <c r="N372" s="34" t="str">
        <f>VLOOKUP(Tabla3[[#This Row],[Site]],Table35[#All],4,FALSE)</f>
        <v>-</v>
      </c>
      <c r="O372" s="34" t="str">
        <f>VLOOKUP(Tabla3[[#This Row],[Site]],Table35[#All],5,FALSE)</f>
        <v>-</v>
      </c>
      <c r="P372" s="34" t="str">
        <f>VLOOKUP(Tabla3[[#This Row],[Site]],Table35[#All],6,FALSE)</f>
        <v>1,2,3,5,16,18</v>
      </c>
      <c r="Q372" s="34" t="str">
        <f>VLOOKUP(Tabla3[[#This Row],[Site]],Table35[#All],8,FALSE)</f>
        <v>315</v>
      </c>
      <c r="R372"/>
    </row>
    <row r="373" spans="1:18" hidden="1" x14ac:dyDescent="0.25">
      <c r="A373" t="str">
        <f>+Tabla3[[#This Row],[Site]]&amp;Tabla3[[#This Row],[Split]]</f>
        <v>(LT) Luther Hopkins Honda (NO TOURS)7</v>
      </c>
      <c r="B373">
        <v>7</v>
      </c>
      <c r="C373">
        <v>2</v>
      </c>
      <c r="D373" t="s">
        <v>306</v>
      </c>
      <c r="E373" t="str">
        <f>VLOOKUP(Tabla3[[#This Row],[Site]],Table35[],10,FALSE)</f>
        <v>8:00 P.M.</v>
      </c>
      <c r="F373" t="str">
        <f>VLOOKUP(Tabla3[[#This Row],[Site]],Table35[],11,FALSE)</f>
        <v>CT</v>
      </c>
      <c r="G373" t="str">
        <f>VLOOKUP(Tabla3[[#This Row],[Site]],Table35[],12,FALSE)</f>
        <v>6:00 A.M.</v>
      </c>
      <c r="H373" s="1" t="s">
        <v>96</v>
      </c>
      <c r="I373" s="70" t="str">
        <f>HYPERLINK(VLOOKUP(Tabla3[[#This Row],[Site]],Table35[#All],9,FALSE))</f>
        <v>https://tools.sig.systems/site/details/288</v>
      </c>
      <c r="J373">
        <f>VLOOKUP(Tabla3[[#This Row],[Site]],Table35[],14,FALSE)</f>
        <v>0</v>
      </c>
      <c r="L373" s="34" t="str">
        <f>VLOOKUP(Tabla3[[#This Row],[Site]],Table35[#All],2,FALSE)</f>
        <v>-</v>
      </c>
      <c r="M373" s="34" t="str">
        <f>VLOOKUP(Tabla3[[#This Row],[Site]],Table35[#All],3,FALSE)</f>
        <v>9, 36</v>
      </c>
      <c r="N373" s="34" t="str">
        <f>VLOOKUP(Tabla3[[#This Row],[Site]],Table35[#All],4,FALSE)</f>
        <v>38, 39</v>
      </c>
      <c r="O373" s="34" t="str">
        <f>VLOOKUP(Tabla3[[#This Row],[Site]],Table35[#All],5,FALSE)</f>
        <v>3, 26</v>
      </c>
      <c r="P373" s="34" t="str">
        <f>VLOOKUP(Tabla3[[#This Row],[Site]],Table35[#All],6,FALSE)</f>
        <v>1, 4, 11, 18, 23, 25, 31</v>
      </c>
      <c r="Q373" s="34" t="str">
        <f>VLOOKUP(Tabla3[[#This Row],[Site]],Table35[#All],8,FALSE)</f>
        <v>288</v>
      </c>
      <c r="R373"/>
    </row>
    <row r="374" spans="1:18" hidden="1" x14ac:dyDescent="0.25">
      <c r="A374" t="str">
        <f>+Tabla3[[#This Row],[Site]]&amp;Tabla3[[#This Row],[Split]]</f>
        <v>(PE) JLR Englewood (NO TOURS)7</v>
      </c>
      <c r="B374">
        <v>7</v>
      </c>
      <c r="C374">
        <v>2</v>
      </c>
      <c r="D374" t="s">
        <v>218</v>
      </c>
      <c r="E374" t="str">
        <f>VLOOKUP(Tabla3[[#This Row],[Site]],Table35[],10,FALSE)</f>
        <v>8:00 P.M.</v>
      </c>
      <c r="F374" t="str">
        <f>VLOOKUP(Tabla3[[#This Row],[Site]],Table35[],11,FALSE)</f>
        <v>ET</v>
      </c>
      <c r="G374" t="str">
        <f>VLOOKUP(Tabla3[[#This Row],[Site]],Table35[],12,FALSE)</f>
        <v>5:00 A.M.</v>
      </c>
      <c r="H374" s="1" t="s">
        <v>96</v>
      </c>
      <c r="I374" s="70" t="str">
        <f>HYPERLINK(VLOOKUP(Tabla3[[#This Row],[Site]],Table35[#All],9,FALSE))</f>
        <v>https://tools.sig.systems/site/details/178</v>
      </c>
      <c r="J374" t="str">
        <f>VLOOKUP(Tabla3[[#This Row],[Site]],Table35[],14,FALSE)</f>
        <v>https://www.google.com/maps/d/viewer?mid=1ubI2iKs1JyYXssuT4oLPnVvFnyLPi_s&amp;ll=40.878808846788026%2C-73.98560655&amp;z=17</v>
      </c>
      <c r="L374" s="34" t="str">
        <f>VLOOKUP(Tabla3[[#This Row],[Site]],Table35[#All],2,FALSE)</f>
        <v>1, 2</v>
      </c>
      <c r="M374" s="34" t="str">
        <f>VLOOKUP(Tabla3[[#This Row],[Site]],Table35[#All],3,FALSE)</f>
        <v>-</v>
      </c>
      <c r="N374" s="34" t="str">
        <f>VLOOKUP(Tabla3[[#This Row],[Site]],Table35[#All],4,FALSE)</f>
        <v>-</v>
      </c>
      <c r="O374" s="34" t="str">
        <f>VLOOKUP(Tabla3[[#This Row],[Site]],Table35[#All],5,FALSE)</f>
        <v>-</v>
      </c>
      <c r="P374" s="34" t="str">
        <f>VLOOKUP(Tabla3[[#This Row],[Site]],Table35[#All],6,FALSE)</f>
        <v>-</v>
      </c>
      <c r="Q374" s="34" t="str">
        <f>VLOOKUP(Tabla3[[#This Row],[Site]],Table35[#All],8,FALSE)</f>
        <v>178</v>
      </c>
      <c r="R374"/>
    </row>
    <row r="375" spans="1:18" hidden="1" x14ac:dyDescent="0.25">
      <c r="A375" t="str">
        <f>+Tabla3[[#This Row],[Site]]&amp;Tabla3[[#This Row],[Split]]</f>
        <v>(AS) Koons Chevrolet Buick GMC - Tysons (NO TOURS)7</v>
      </c>
      <c r="B375">
        <v>7</v>
      </c>
      <c r="C375">
        <v>3</v>
      </c>
      <c r="D375" t="s">
        <v>377</v>
      </c>
      <c r="E375" t="str">
        <f>VLOOKUP(Tabla3[[#This Row],[Site]],Table35[],10,FALSE)</f>
        <v>9:00 P.M.</v>
      </c>
      <c r="F375" t="str">
        <f>VLOOKUP(Tabla3[[#This Row],[Site]],Table35[],11,FALSE)</f>
        <v>ET</v>
      </c>
      <c r="G375" t="str">
        <f>VLOOKUP(Tabla3[[#This Row],[Site]],Table35[],12,FALSE)</f>
        <v>5:00 A.M.</v>
      </c>
      <c r="H375" s="1" t="s">
        <v>96</v>
      </c>
      <c r="I375" s="70" t="str">
        <f>HYPERLINK(VLOOKUP(Tabla3[[#This Row],[Site]],Table35[#All],9,FALSE))</f>
        <v>https://tools.sig.systems/site/details/352</v>
      </c>
      <c r="J375" t="str">
        <f>VLOOKUP(Tabla3[[#This Row],[Site]],Table35[],14,FALSE)</f>
        <v>-</v>
      </c>
      <c r="L375" s="34" t="str">
        <f>VLOOKUP(Tabla3[[#This Row],[Site]],Table35[#All],2,FALSE)</f>
        <v>-</v>
      </c>
      <c r="M375" s="34" t="str">
        <f>VLOOKUP(Tabla3[[#This Row],[Site]],Table35[#All],3,FALSE)</f>
        <v>3, 6</v>
      </c>
      <c r="N375" s="34" t="str">
        <f>VLOOKUP(Tabla3[[#This Row],[Site]],Table35[#All],4,FALSE)</f>
        <v>-</v>
      </c>
      <c r="O375" s="34">
        <f>VLOOKUP(Tabla3[[#This Row],[Site]],Table35[#All],5,FALSE)</f>
        <v>4</v>
      </c>
      <c r="P375" s="34" t="str">
        <f>VLOOKUP(Tabla3[[#This Row],[Site]],Table35[#All],6,FALSE)</f>
        <v xml:space="preserve">2, 9, 17 </v>
      </c>
      <c r="Q375" s="34" t="str">
        <f>VLOOKUP(Tabla3[[#This Row],[Site]],Table35[#All],8,FALSE)</f>
        <v>352</v>
      </c>
      <c r="R375"/>
    </row>
    <row r="376" spans="1:18" hidden="1" x14ac:dyDescent="0.25">
      <c r="A376" t="str">
        <f>+Tabla3[[#This Row],[Site]]&amp;Tabla3[[#This Row],[Split]]</f>
        <v>(AS) Koons MB of Catonsville (NO TOURS)7</v>
      </c>
      <c r="B376">
        <v>7</v>
      </c>
      <c r="C376">
        <v>3</v>
      </c>
      <c r="D376" t="s">
        <v>236</v>
      </c>
      <c r="E376" t="str">
        <f>VLOOKUP(Tabla3[[#This Row],[Site]],Table35[],10,FALSE)</f>
        <v>9:00 P.M.</v>
      </c>
      <c r="F376" t="str">
        <f>VLOOKUP(Tabla3[[#This Row],[Site]],Table35[],11,FALSE)</f>
        <v>ET</v>
      </c>
      <c r="G376" t="str">
        <f>VLOOKUP(Tabla3[[#This Row],[Site]],Table35[],12,FALSE)</f>
        <v>5:00 A.M.</v>
      </c>
      <c r="H376" s="1" t="s">
        <v>96</v>
      </c>
      <c r="I376" s="70" t="str">
        <f>HYPERLINK(VLOOKUP(Tabla3[[#This Row],[Site]],Table35[#All],9,FALSE))</f>
        <v>https://tools.sig.systems/site/details/303</v>
      </c>
      <c r="J376">
        <f>VLOOKUP(Tabla3[[#This Row],[Site]],Table35[],14,FALSE)</f>
        <v>0</v>
      </c>
      <c r="L376" s="34" t="str">
        <f>VLOOKUP(Tabla3[[#This Row],[Site]],Table35[#All],2,FALSE)</f>
        <v>-</v>
      </c>
      <c r="M376" s="34" t="str">
        <f>VLOOKUP(Tabla3[[#This Row],[Site]],Table35[#All],3,FALSE)</f>
        <v>15, 16, 17, 29</v>
      </c>
      <c r="N376" s="34">
        <f>VLOOKUP(Tabla3[[#This Row],[Site]],Table35[#All],4,FALSE)</f>
        <v>29</v>
      </c>
      <c r="O376" s="34">
        <f>VLOOKUP(Tabla3[[#This Row],[Site]],Table35[#All],5,FALSE)</f>
        <v>5</v>
      </c>
      <c r="P376" s="34" t="str">
        <f>VLOOKUP(Tabla3[[#This Row],[Site]],Table35[#All],6,FALSE)</f>
        <v>1, 7, 8, 12, 19, 32</v>
      </c>
      <c r="Q376" s="34" t="str">
        <f>VLOOKUP(Tabla3[[#This Row],[Site]],Table35[#All],8,FALSE)</f>
        <v>303</v>
      </c>
      <c r="R376"/>
    </row>
    <row r="377" spans="1:18" hidden="1" x14ac:dyDescent="0.25">
      <c r="A377" t="str">
        <f>+Tabla3[[#This Row],[Site]]&amp;Tabla3[[#This Row],[Split]]</f>
        <v>(AS) Koons Tysons Toyota - Main Dealership (NO TOURS)7</v>
      </c>
      <c r="B377">
        <v>7</v>
      </c>
      <c r="C377">
        <v>3</v>
      </c>
      <c r="D377" t="s">
        <v>431</v>
      </c>
      <c r="E377" t="str">
        <f>VLOOKUP(Tabla3[[#This Row],[Site]],Table35[],10,FALSE)</f>
        <v>9:00 P.M.</v>
      </c>
      <c r="F377" t="str">
        <f>VLOOKUP(Tabla3[[#This Row],[Site]],Table35[],11,FALSE)</f>
        <v>ET</v>
      </c>
      <c r="G377" t="str">
        <f>VLOOKUP(Tabla3[[#This Row],[Site]],Table35[],12,FALSE)</f>
        <v>5:00 A.M.</v>
      </c>
      <c r="I377" s="70" t="str">
        <f>HYPERLINK(VLOOKUP(Tabla3[[#This Row],[Site]],Table35[#All],9,FALSE))</f>
        <v>https://tools.sig.systems/site/details/344</v>
      </c>
      <c r="J377" t="str">
        <f>VLOOKUP(Tabla3[[#This Row],[Site]],Table35[],14,FALSE)</f>
        <v>-</v>
      </c>
      <c r="L377" s="34" t="str">
        <f>VLOOKUP(Tabla3[[#This Row],[Site]],Table35[#All],2,FALSE)</f>
        <v>-</v>
      </c>
      <c r="M377" s="34" t="str">
        <f>VLOOKUP(Tabla3[[#This Row],[Site]],Table35[#All],3,FALSE)</f>
        <v>1, 25</v>
      </c>
      <c r="N377" s="34" t="str">
        <f>VLOOKUP(Tabla3[[#This Row],[Site]],Table35[#All],4,FALSE)</f>
        <v>-</v>
      </c>
      <c r="O377" s="34" t="str">
        <f>VLOOKUP(Tabla3[[#This Row],[Site]],Table35[#All],5,FALSE)</f>
        <v>-</v>
      </c>
      <c r="P377" s="34" t="str">
        <f>VLOOKUP(Tabla3[[#This Row],[Site]],Table35[#All],6,FALSE)</f>
        <v>13, 22, 27</v>
      </c>
      <c r="Q377" s="34" t="str">
        <f>VLOOKUP(Tabla3[[#This Row],[Site]],Table35[#All],8,FALSE)</f>
        <v>344</v>
      </c>
      <c r="R377"/>
    </row>
    <row r="378" spans="1:18" hidden="1" x14ac:dyDescent="0.25">
      <c r="A378" t="str">
        <f>+Tabla3[[#This Row],[Site]]&amp;Tabla3[[#This Row],[Split]]</f>
        <v>(AS) Koons White Marsh Chevrolet (NO TOURS)7</v>
      </c>
      <c r="B378">
        <v>7</v>
      </c>
      <c r="C378">
        <v>3</v>
      </c>
      <c r="D378" t="s">
        <v>389</v>
      </c>
      <c r="E378" t="str">
        <f>VLOOKUP(Tabla3[[#This Row],[Site]],Table35[],10,FALSE)</f>
        <v>9:00 P.M.</v>
      </c>
      <c r="F378" t="str">
        <f>VLOOKUP(Tabla3[[#This Row],[Site]],Table35[],11,FALSE)</f>
        <v>ET</v>
      </c>
      <c r="G378" t="str">
        <f>VLOOKUP(Tabla3[[#This Row],[Site]],Table35[],12,FALSE)</f>
        <v>5:00 A.M.</v>
      </c>
      <c r="H378" s="62" t="s">
        <v>96</v>
      </c>
      <c r="I378" s="70" t="str">
        <f>HYPERLINK(VLOOKUP(Tabla3[[#This Row],[Site]],Table35[#All],9,FALSE))</f>
        <v>https://tools.sig.systems/site/details/339</v>
      </c>
      <c r="J378" t="str">
        <f>VLOOKUP(Tabla3[[#This Row],[Site]],Table35[],14,FALSE)</f>
        <v>-</v>
      </c>
      <c r="L378" s="34">
        <f>VLOOKUP(Tabla3[[#This Row],[Site]],Table35[#All],2,FALSE)</f>
        <v>25</v>
      </c>
      <c r="M378" s="34">
        <f>VLOOKUP(Tabla3[[#This Row],[Site]],Table35[#All],3,FALSE)</f>
        <v>10</v>
      </c>
      <c r="N378" s="34" t="str">
        <f>VLOOKUP(Tabla3[[#This Row],[Site]],Table35[#All],4,FALSE)</f>
        <v>-</v>
      </c>
      <c r="O378" s="34" t="str">
        <f>VLOOKUP(Tabla3[[#This Row],[Site]],Table35[#All],5,FALSE)</f>
        <v>-</v>
      </c>
      <c r="P378" s="34">
        <f>VLOOKUP(Tabla3[[#This Row],[Site]],Table35[#All],6,FALSE)</f>
        <v>12</v>
      </c>
      <c r="Q378" s="34" t="str">
        <f>VLOOKUP(Tabla3[[#This Row],[Site]],Table35[#All],8,FALSE)</f>
        <v>339</v>
      </c>
      <c r="R378"/>
    </row>
    <row r="379" spans="1:18" hidden="1" x14ac:dyDescent="0.25">
      <c r="A379" t="str">
        <f>+Tabla3[[#This Row],[Site]]&amp;Tabla3[[#This Row],[Split]]</f>
        <v>(AS) Koons Woodbridge Ford (NO TOURS)7</v>
      </c>
      <c r="B379">
        <v>7</v>
      </c>
      <c r="C379">
        <v>3</v>
      </c>
      <c r="D379" t="s">
        <v>373</v>
      </c>
      <c r="E379" t="str">
        <f>VLOOKUP(Tabla3[[#This Row],[Site]],Table35[],10,FALSE)</f>
        <v>9:00 P.M.</v>
      </c>
      <c r="F379" t="str">
        <f>VLOOKUP(Tabla3[[#This Row],[Site]],Table35[],11,FALSE)</f>
        <v>ET</v>
      </c>
      <c r="G379" t="str">
        <f>VLOOKUP(Tabla3[[#This Row],[Site]],Table35[],12,FALSE)</f>
        <v>5:00 A.M.</v>
      </c>
      <c r="H379" s="1" t="s">
        <v>69</v>
      </c>
      <c r="I379" s="70" t="str">
        <f>HYPERLINK(VLOOKUP(Tabla3[[#This Row],[Site]],Table35[#All],9,FALSE))</f>
        <v>https://tools.sig.systems/site/details/342</v>
      </c>
      <c r="J379">
        <f>VLOOKUP(Tabla3[[#This Row],[Site]],Table35[],14,FALSE)</f>
        <v>0</v>
      </c>
      <c r="L379" s="34" t="str">
        <f>VLOOKUP(Tabla3[[#This Row],[Site]],Table35[#All],2,FALSE)</f>
        <v>-</v>
      </c>
      <c r="M379" s="34" t="str">
        <f>VLOOKUP(Tabla3[[#This Row],[Site]],Table35[#All],3,FALSE)</f>
        <v>3, 24, 26, 27, 31, 36</v>
      </c>
      <c r="N379" s="34" t="str">
        <f>VLOOKUP(Tabla3[[#This Row],[Site]],Table35[#All],4,FALSE)</f>
        <v>-</v>
      </c>
      <c r="O379" s="34" t="str">
        <f>VLOOKUP(Tabla3[[#This Row],[Site]],Table35[#All],5,FALSE)</f>
        <v>-</v>
      </c>
      <c r="P379" s="34" t="str">
        <f>VLOOKUP(Tabla3[[#This Row],[Site]],Table35[#All],6,FALSE)</f>
        <v>13, 26, 29</v>
      </c>
      <c r="Q379" s="34" t="str">
        <f>VLOOKUP(Tabla3[[#This Row],[Site]],Table35[#All],8,FALSE)</f>
        <v>342</v>
      </c>
      <c r="R379"/>
    </row>
    <row r="380" spans="1:18" hidden="1" x14ac:dyDescent="0.25">
      <c r="A380" t="str">
        <f>+Tabla3[[#This Row],[Site]]&amp;Tabla3[[#This Row],[Split]]</f>
        <v>(AS) Larry H Miller CDJR Fiat (NO TOURS)7</v>
      </c>
      <c r="B380">
        <v>7</v>
      </c>
      <c r="C380">
        <v>3</v>
      </c>
      <c r="D380" t="s">
        <v>217</v>
      </c>
      <c r="E380" t="str">
        <f>VLOOKUP(Tabla3[[#This Row],[Site]],Table35[],10,FALSE)</f>
        <v>11:00 P.M.</v>
      </c>
      <c r="F380" t="str">
        <f>VLOOKUP(Tabla3[[#This Row],[Site]],Table35[],11,FALSE)</f>
        <v>MT</v>
      </c>
      <c r="G380" t="str">
        <f>VLOOKUP(Tabla3[[#This Row],[Site]],Table35[],12,FALSE)</f>
        <v>7:00 A.M.</v>
      </c>
      <c r="H380" s="1" t="s">
        <v>96</v>
      </c>
      <c r="I380" s="70" t="str">
        <f>HYPERLINK(VLOOKUP(Tabla3[[#This Row],[Site]],Table35[#All],9,FALSE))</f>
        <v>https://tools.sig.systems/site/details/298</v>
      </c>
      <c r="J380">
        <f>VLOOKUP(Tabla3[[#This Row],[Site]],Table35[],14,FALSE)</f>
        <v>0</v>
      </c>
      <c r="L380" s="34" t="str">
        <f>VLOOKUP(Tabla3[[#This Row],[Site]],Table35[#All],2,FALSE)</f>
        <v>7, 11</v>
      </c>
      <c r="M380" s="34" t="str">
        <f>VLOOKUP(Tabla3[[#This Row],[Site]],Table35[#All],3,FALSE)</f>
        <v>2, 3</v>
      </c>
      <c r="N380" s="34" t="str">
        <f>VLOOKUP(Tabla3[[#This Row],[Site]],Table35[#All],4,FALSE)</f>
        <v>-</v>
      </c>
      <c r="O380" s="34" t="str">
        <f>VLOOKUP(Tabla3[[#This Row],[Site]],Table35[#All],5,FALSE)</f>
        <v>-</v>
      </c>
      <c r="P380" s="34" t="str">
        <f>VLOOKUP(Tabla3[[#This Row],[Site]],Table35[#All],6,FALSE)</f>
        <v xml:space="preserve">2, 6, 10, 15, 18 </v>
      </c>
      <c r="Q380" s="34" t="str">
        <f>VLOOKUP(Tabla3[[#This Row],[Site]],Table35[#All],8,FALSE)</f>
        <v>298</v>
      </c>
      <c r="R380"/>
    </row>
    <row r="381" spans="1:18" hidden="1" x14ac:dyDescent="0.25">
      <c r="A381" t="str">
        <f>+Tabla3[[#This Row],[Site]]&amp;Tabla3[[#This Row],[Split]]</f>
        <v>(AS) Plaza Collision ST Louis (NO TOURS)7</v>
      </c>
      <c r="B381">
        <v>7</v>
      </c>
      <c r="C381">
        <v>3</v>
      </c>
      <c r="D381" t="s">
        <v>436</v>
      </c>
      <c r="E381" t="str">
        <f>VLOOKUP(Tabla3[[#This Row],[Site]],Table35[],10,FALSE)</f>
        <v>10:00 P.M.</v>
      </c>
      <c r="F381" t="str">
        <f>VLOOKUP(Tabla3[[#This Row],[Site]],Table35[],11,FALSE)</f>
        <v>CT</v>
      </c>
      <c r="G381" t="str">
        <f>VLOOKUP(Tabla3[[#This Row],[Site]],Table35[],12,FALSE)</f>
        <v>6:00 A.M.</v>
      </c>
      <c r="H381" s="1" t="s">
        <v>96</v>
      </c>
      <c r="I381" s="70" t="str">
        <f>HYPERLINK(VLOOKUP(Tabla3[[#This Row],[Site]],Table35[#All],9,FALSE))</f>
        <v>https://tools.sig.systems/site/details/350</v>
      </c>
      <c r="J381" t="str">
        <f>VLOOKUP(Tabla3[[#This Row],[Site]],Table35[],14,FALSE)</f>
        <v>-</v>
      </c>
      <c r="L381" s="34" t="str">
        <f>VLOOKUP(Tabla3[[#This Row],[Site]],Table35[#All],2,FALSE)</f>
        <v>2, 6</v>
      </c>
      <c r="M381" s="34">
        <f>VLOOKUP(Tabla3[[#This Row],[Site]],Table35[#All],3,FALSE)</f>
        <v>1</v>
      </c>
      <c r="N381" s="34" t="str">
        <f>VLOOKUP(Tabla3[[#This Row],[Site]],Table35[#All],4,FALSE)</f>
        <v>-</v>
      </c>
      <c r="O381" s="34" t="str">
        <f>VLOOKUP(Tabla3[[#This Row],[Site]],Table35[#All],5,FALSE)</f>
        <v>-</v>
      </c>
      <c r="P381" s="34">
        <f>VLOOKUP(Tabla3[[#This Row],[Site]],Table35[#All],6,FALSE)</f>
        <v>3</v>
      </c>
      <c r="Q381" s="34" t="str">
        <f>VLOOKUP(Tabla3[[#This Row],[Site]],Table35[#All],8,FALSE)</f>
        <v>350</v>
      </c>
      <c r="R381"/>
    </row>
    <row r="382" spans="1:18" hidden="1" x14ac:dyDescent="0.25">
      <c r="A382" t="str">
        <f>+Tabla3[[#This Row],[Site]]&amp;Tabla3[[#This Row],[Split]]</f>
        <v>(KG) Ken Garff Volkswagen of Gilbert7</v>
      </c>
      <c r="B382">
        <v>7</v>
      </c>
      <c r="C382">
        <v>3</v>
      </c>
      <c r="D382" t="s">
        <v>130</v>
      </c>
      <c r="E382" t="str">
        <f>VLOOKUP(Tabla3[[#This Row],[Site]],Table35[],10,FALSE)</f>
        <v>12:00 A.M.</v>
      </c>
      <c r="F382" t="str">
        <f>VLOOKUP(Tabla3[[#This Row],[Site]],Table35[],11,FALSE)</f>
        <v>MST</v>
      </c>
      <c r="G382" t="str">
        <f>VLOOKUP(Tabla3[[#This Row],[Site]],Table35[],12,FALSE)</f>
        <v>8:00 A.M.</v>
      </c>
      <c r="H382" s="1" t="s">
        <v>96</v>
      </c>
      <c r="I382" s="70" t="str">
        <f>HYPERLINK(VLOOKUP(Tabla3[[#This Row],[Site]],Table35[#All],9,FALSE))</f>
        <v>https://tools.sig.systems/site/details/284</v>
      </c>
      <c r="J382" t="str">
        <f>VLOOKUP(Tabla3[[#This Row],[Site]],Table35[],14,FALSE)</f>
        <v>https://www.google.com/maps/d/viewer?hl=es&amp;mid=19SU7XE9Cg8jhVFpEI21Vi9Zfgdih9Ds&amp;ll=33.29158262977276%2C-111.75783630000002&amp;z=17</v>
      </c>
      <c r="L382" s="34" t="str">
        <f>VLOOKUP(Tabla3[[#This Row],[Site]],Table35[#All],2,FALSE)</f>
        <v>4, 6</v>
      </c>
      <c r="M382" s="34" t="str">
        <f>VLOOKUP(Tabla3[[#This Row],[Site]],Table35[#All],3,FALSE)</f>
        <v>-</v>
      </c>
      <c r="N382" s="34" t="str">
        <f>VLOOKUP(Tabla3[[#This Row],[Site]],Table35[#All],4,FALSE)</f>
        <v>-</v>
      </c>
      <c r="O382" s="34" t="str">
        <f>VLOOKUP(Tabla3[[#This Row],[Site]],Table35[#All],5,FALSE)</f>
        <v>2, 14</v>
      </c>
      <c r="P382" s="34" t="str">
        <f>VLOOKUP(Tabla3[[#This Row],[Site]],Table35[#All],6,FALSE)</f>
        <v>1, 5, 8, 9, 17, 19, 21</v>
      </c>
      <c r="Q382" s="34" t="str">
        <f>VLOOKUP(Tabla3[[#This Row],[Site]],Table35[#All],8,FALSE)</f>
        <v>284</v>
      </c>
      <c r="R382"/>
    </row>
    <row r="383" spans="1:18" hidden="1" x14ac:dyDescent="0.25">
      <c r="A383" t="str">
        <f>+Tabla3[[#This Row],[Site]]&amp;Tabla3[[#This Row],[Split]]</f>
        <v>(AS) Coggin Collision Center of Kissimmee (NO TOURS)7</v>
      </c>
      <c r="B383">
        <v>7</v>
      </c>
      <c r="C383">
        <v>4</v>
      </c>
      <c r="D383" t="s">
        <v>288</v>
      </c>
      <c r="E383" t="str">
        <f>VLOOKUP(Tabla3[[#This Row],[Site]],Table35[],10,FALSE)</f>
        <v>9:00 P.M.</v>
      </c>
      <c r="F383" t="str">
        <f>VLOOKUP(Tabla3[[#This Row],[Site]],Table35[],11,FALSE)</f>
        <v>ET</v>
      </c>
      <c r="G383" t="str">
        <f>VLOOKUP(Tabla3[[#This Row],[Site]],Table35[],12,FALSE)</f>
        <v>5:00 A.M.</v>
      </c>
      <c r="H383" s="1" t="s">
        <v>96</v>
      </c>
      <c r="I383" s="70" t="str">
        <f>HYPERLINK(VLOOKUP(Tabla3[[#This Row],[Site]],Table35[#All],9,FALSE))</f>
        <v>https://tools.sig.systems/site/details/331</v>
      </c>
      <c r="J383">
        <f>VLOOKUP(Tabla3[[#This Row],[Site]],Table35[],14,FALSE)</f>
        <v>0</v>
      </c>
      <c r="L383" s="34" t="str">
        <f>VLOOKUP(Tabla3[[#This Row],[Site]],Table35[#All],2,FALSE)</f>
        <v>1, 12</v>
      </c>
      <c r="M383" s="34" t="str">
        <f>VLOOKUP(Tabla3[[#This Row],[Site]],Table35[#All],3,FALSE)</f>
        <v>-</v>
      </c>
      <c r="N383" s="34" t="str">
        <f>VLOOKUP(Tabla3[[#This Row],[Site]],Table35[#All],4,FALSE)</f>
        <v>-</v>
      </c>
      <c r="O383" s="34" t="str">
        <f>VLOOKUP(Tabla3[[#This Row],[Site]],Table35[#All],5,FALSE)</f>
        <v>-</v>
      </c>
      <c r="P383" s="34" t="str">
        <f>VLOOKUP(Tabla3[[#This Row],[Site]],Table35[#All],6,FALSE)</f>
        <v>2, 7, 9</v>
      </c>
      <c r="Q383" s="34" t="str">
        <f>VLOOKUP(Tabla3[[#This Row],[Site]],Table35[#All],8,FALSE)</f>
        <v>331</v>
      </c>
      <c r="R383"/>
    </row>
    <row r="384" spans="1:18" hidden="1" x14ac:dyDescent="0.25">
      <c r="A384" t="str">
        <f>+Tabla3[[#This Row],[Site]]&amp;Tabla3[[#This Row],[Split]]</f>
        <v>(AS) Coggin Honda of Orlando (NO TOURS)7</v>
      </c>
      <c r="B384">
        <v>7</v>
      </c>
      <c r="C384">
        <v>4</v>
      </c>
      <c r="D384" t="s">
        <v>384</v>
      </c>
      <c r="E384" t="str">
        <f>VLOOKUP(Tabla3[[#This Row],[Site]],Table35[],10,FALSE)</f>
        <v>9:00 P.M.</v>
      </c>
      <c r="F384" t="str">
        <f>VLOOKUP(Tabla3[[#This Row],[Site]],Table35[],11,FALSE)</f>
        <v>ET</v>
      </c>
      <c r="G384" t="str">
        <f>VLOOKUP(Tabla3[[#This Row],[Site]],Table35[],12,FALSE)</f>
        <v>5:00 A.M.</v>
      </c>
      <c r="H384" s="1" t="s">
        <v>96</v>
      </c>
      <c r="I384" s="70" t="str">
        <f>HYPERLINK(VLOOKUP(Tabla3[[#This Row],[Site]],Table35[#All],9,FALSE))</f>
        <v>https://tools.sig.systems/site/details/324</v>
      </c>
      <c r="J384">
        <f>VLOOKUP(Tabla3[[#This Row],[Site]],Table35[],14,FALSE)</f>
        <v>0</v>
      </c>
      <c r="L384" s="34" t="str">
        <f>VLOOKUP(Tabla3[[#This Row],[Site]],Table35[#All],2,FALSE)</f>
        <v>2, 10, 12B, 14, 38</v>
      </c>
      <c r="M384" s="34" t="str">
        <f>VLOOKUP(Tabla3[[#This Row],[Site]],Table35[#All],3,FALSE)</f>
        <v>-</v>
      </c>
      <c r="N384" s="34" t="str">
        <f>VLOOKUP(Tabla3[[#This Row],[Site]],Table35[#All],4,FALSE)</f>
        <v>-</v>
      </c>
      <c r="O384" s="34" t="str">
        <f>VLOOKUP(Tabla3[[#This Row],[Site]],Table35[#All],5,FALSE)</f>
        <v>12, 31</v>
      </c>
      <c r="P384" s="34" t="str">
        <f>VLOOKUP(Tabla3[[#This Row],[Site]],Table35[#All],6,FALSE)</f>
        <v>12B, 26, 37, 19</v>
      </c>
      <c r="Q384" s="34" t="str">
        <f>VLOOKUP(Tabla3[[#This Row],[Site]],Table35[#All],8,FALSE)</f>
        <v>324</v>
      </c>
      <c r="R384"/>
    </row>
    <row r="385" spans="1:18" hidden="1" x14ac:dyDescent="0.25">
      <c r="A385" t="str">
        <f>+Tabla3[[#This Row],[Site]]&amp;Tabla3[[#This Row],[Split]]</f>
        <v>(AS) Koons Baltimore Ford - Main Dealership (NO TOURS)7</v>
      </c>
      <c r="B385">
        <v>7</v>
      </c>
      <c r="C385">
        <v>4</v>
      </c>
      <c r="D385" t="s">
        <v>357</v>
      </c>
      <c r="E385" t="str">
        <f>VLOOKUP(Tabla3[[#This Row],[Site]],Table35[],10,FALSE)</f>
        <v>9:00 P.M.</v>
      </c>
      <c r="F385" t="str">
        <f>VLOOKUP(Tabla3[[#This Row],[Site]],Table35[],11,FALSE)</f>
        <v>ET</v>
      </c>
      <c r="G385" t="str">
        <f>VLOOKUP(Tabla3[[#This Row],[Site]],Table35[],12,FALSE)</f>
        <v>5:00 A.M.</v>
      </c>
      <c r="H385" s="1" t="s">
        <v>96</v>
      </c>
      <c r="I385" s="70" t="str">
        <f>HYPERLINK(VLOOKUP(Tabla3[[#This Row],[Site]],Table35[#All],9,FALSE))</f>
        <v>https://tools.sig.systems/site/details/335</v>
      </c>
      <c r="J385" t="str">
        <f>VLOOKUP(Tabla3[[#This Row],[Site]],Table35[],14,FALSE)</f>
        <v>-</v>
      </c>
      <c r="L385" s="34" t="str">
        <f>VLOOKUP(Tabla3[[#This Row],[Site]],Table35[#All],2,FALSE)</f>
        <v>21, 22, 24, 32, 45</v>
      </c>
      <c r="M385" s="34">
        <f>VLOOKUP(Tabla3[[#This Row],[Site]],Table35[#All],3,FALSE)</f>
        <v>1</v>
      </c>
      <c r="N385" s="34" t="str">
        <f>VLOOKUP(Tabla3[[#This Row],[Site]],Table35[#All],4,FALSE)</f>
        <v>-</v>
      </c>
      <c r="O385" s="34" t="str">
        <f>VLOOKUP(Tabla3[[#This Row],[Site]],Table35[#All],5,FALSE)</f>
        <v>1, 8</v>
      </c>
      <c r="P385" s="34" t="str">
        <f>VLOOKUP(Tabla3[[#This Row],[Site]],Table35[#All],6,FALSE)</f>
        <v>5, 28, 38</v>
      </c>
      <c r="Q385" s="34" t="str">
        <f>VLOOKUP(Tabla3[[#This Row],[Site]],Table35[#All],8,FALSE)</f>
        <v>335</v>
      </c>
      <c r="R385"/>
    </row>
    <row r="386" spans="1:18" hidden="1" x14ac:dyDescent="0.25">
      <c r="A386" t="str">
        <f>+Tabla3[[#This Row],[Site]]&amp;Tabla3[[#This Row],[Split]]</f>
        <v>(AS) Koons Sterling Ford - Main Dealership (NO TOURS)7</v>
      </c>
      <c r="B386">
        <v>7</v>
      </c>
      <c r="C386">
        <v>4</v>
      </c>
      <c r="D386" t="s">
        <v>408</v>
      </c>
      <c r="E386" t="str">
        <f>VLOOKUP(Tabla3[[#This Row],[Site]],Table35[],10,FALSE)</f>
        <v>9:00 P.M.</v>
      </c>
      <c r="F386" t="str">
        <f>VLOOKUP(Tabla3[[#This Row],[Site]],Table35[],11,FALSE)</f>
        <v>ET</v>
      </c>
      <c r="G386" t="str">
        <f>VLOOKUP(Tabla3[[#This Row],[Site]],Table35[],12,FALSE)</f>
        <v>5:00 A.M.</v>
      </c>
      <c r="H386" s="1" t="s">
        <v>68</v>
      </c>
      <c r="I386" s="70" t="str">
        <f>HYPERLINK(VLOOKUP(Tabla3[[#This Row],[Site]],Table35[#All],9,FALSE))</f>
        <v>https://tools.sig.systems/site/details/348</v>
      </c>
      <c r="J386">
        <f>VLOOKUP(Tabla3[[#This Row],[Site]],Table35[],14,FALSE)</f>
        <v>0</v>
      </c>
      <c r="L386" s="34">
        <f>VLOOKUP(Tabla3[[#This Row],[Site]],Table35[#All],2,FALSE)</f>
        <v>19</v>
      </c>
      <c r="M386" s="34">
        <f>VLOOKUP(Tabla3[[#This Row],[Site]],Table35[#All],3,FALSE)</f>
        <v>3</v>
      </c>
      <c r="N386" s="34" t="str">
        <f>VLOOKUP(Tabla3[[#This Row],[Site]],Table35[#All],4,FALSE)</f>
        <v>-</v>
      </c>
      <c r="O386" s="34" t="str">
        <f>VLOOKUP(Tabla3[[#This Row],[Site]],Table35[#All],5,FALSE)</f>
        <v>4, 21</v>
      </c>
      <c r="P386" s="34" t="str">
        <f>VLOOKUP(Tabla3[[#This Row],[Site]],Table35[#All],6,FALSE)</f>
        <v>7, 8</v>
      </c>
      <c r="Q386" s="34" t="str">
        <f>VLOOKUP(Tabla3[[#This Row],[Site]],Table35[#All],8,FALSE)</f>
        <v>348</v>
      </c>
      <c r="R386"/>
    </row>
    <row r="387" spans="1:18" hidden="1" x14ac:dyDescent="0.25">
      <c r="A387" t="str">
        <f>+Tabla3[[#This Row],[Site]]&amp;Tabla3[[#This Row],[Split]]</f>
        <v>(LT) Landers Kia of Little Rock7</v>
      </c>
      <c r="B387">
        <v>7</v>
      </c>
      <c r="C387">
        <v>4</v>
      </c>
      <c r="D387" t="s">
        <v>249</v>
      </c>
      <c r="E387" t="str">
        <f>VLOOKUP(Tabla3[[#This Row],[Site]],Table35[],10,FALSE)</f>
        <v>10:00 P.M.</v>
      </c>
      <c r="F387" t="str">
        <f>VLOOKUP(Tabla3[[#This Row],[Site]],Table35[],11,FALSE)</f>
        <v>CT</v>
      </c>
      <c r="G387" t="str">
        <f>VLOOKUP(Tabla3[[#This Row],[Site]],Table35[],12,FALSE)</f>
        <v>6:00 A.M.</v>
      </c>
      <c r="H387" s="1" t="s">
        <v>96</v>
      </c>
      <c r="I387" s="70" t="str">
        <f>HYPERLINK(VLOOKUP(Tabla3[[#This Row],[Site]],Table35[#All],9,FALSE))</f>
        <v>https://tools.sig.systems/site/details/322</v>
      </c>
      <c r="J387" t="str">
        <f>VLOOKUP(Tabla3[[#This Row],[Site]],Table35[],14,FALSE)</f>
        <v>https://www.google.com/maps/d/u/1/edit?mid=1-zEzsc6U6nZom08edp0XAd3_HYFvAyk&amp;usp=sharing</v>
      </c>
      <c r="L387" s="34" t="str">
        <f>VLOOKUP(Tabla3[[#This Row],[Site]],Table35[#All],2,FALSE)</f>
        <v>5, 9, 33, 19</v>
      </c>
      <c r="M387" s="34" t="str">
        <f>VLOOKUP(Tabla3[[#This Row],[Site]],Table35[#All],3,FALSE)</f>
        <v>-</v>
      </c>
      <c r="N387" s="34" t="str">
        <f>VLOOKUP(Tabla3[[#This Row],[Site]],Table35[#All],4,FALSE)</f>
        <v>4, 10</v>
      </c>
      <c r="O387" s="34" t="str">
        <f>VLOOKUP(Tabla3[[#This Row],[Site]],Table35[#All],5,FALSE)</f>
        <v>1, 35</v>
      </c>
      <c r="P387" s="34" t="str">
        <f>VLOOKUP(Tabla3[[#This Row],[Site]],Table35[#All],6,FALSE)</f>
        <v>5, 9, 12, 14, 18, 26, 29</v>
      </c>
      <c r="Q387" s="34" t="str">
        <f>VLOOKUP(Tabla3[[#This Row],[Site]],Table35[#All],8,FALSE)</f>
        <v>322</v>
      </c>
      <c r="R387"/>
    </row>
    <row r="388" spans="1:18" hidden="1" x14ac:dyDescent="0.25">
      <c r="A388" t="str">
        <f>+Tabla3[[#This Row],[Site]]&amp;Tabla3[[#This Row],[Split]]</f>
        <v>(LT) Luther North Country Ford7</v>
      </c>
      <c r="B388">
        <v>7</v>
      </c>
      <c r="C388">
        <v>4</v>
      </c>
      <c r="D388" t="s">
        <v>127</v>
      </c>
      <c r="E388" t="str">
        <f>VLOOKUP(Tabla3[[#This Row],[Site]],Table35[],10,FALSE)</f>
        <v>10:00 P.M.</v>
      </c>
      <c r="F388" t="str">
        <f>VLOOKUP(Tabla3[[#This Row],[Site]],Table35[],11,FALSE)</f>
        <v>CT</v>
      </c>
      <c r="G388" t="str">
        <f>VLOOKUP(Tabla3[[#This Row],[Site]],Table35[],12,FALSE)</f>
        <v>6:00 A.M.</v>
      </c>
      <c r="H388" s="1" t="s">
        <v>96</v>
      </c>
      <c r="I388" s="70" t="str">
        <f>HYPERLINK(VLOOKUP(Tabla3[[#This Row],[Site]],Table35[#All],9,FALSE))</f>
        <v>https://tools.sig.systems/site/details/292</v>
      </c>
      <c r="J388">
        <f>VLOOKUP(Tabla3[[#This Row],[Site]],Table35[],14,FALSE)</f>
        <v>0</v>
      </c>
      <c r="L388" s="34" t="str">
        <f>VLOOKUP(Tabla3[[#This Row],[Site]],Table35[#All],2,FALSE)</f>
        <v>-</v>
      </c>
      <c r="M388" s="34" t="str">
        <f>VLOOKUP(Tabla3[[#This Row],[Site]],Table35[#All],3,FALSE)</f>
        <v>7, 14, 19</v>
      </c>
      <c r="N388" s="34" t="str">
        <f>VLOOKUP(Tabla3[[#This Row],[Site]],Table35[#All],4,FALSE)</f>
        <v>30, 31, 32</v>
      </c>
      <c r="O388" s="34" t="str">
        <f>VLOOKUP(Tabla3[[#This Row],[Site]],Table35[#All],5,FALSE)</f>
        <v>-</v>
      </c>
      <c r="P388" s="34" t="str">
        <f>VLOOKUP(Tabla3[[#This Row],[Site]],Table35[#All],6,FALSE)</f>
        <v>1, 4, 9, 13, 15, 16B, 25</v>
      </c>
      <c r="Q388" s="34" t="str">
        <f>VLOOKUP(Tabla3[[#This Row],[Site]],Table35[#All],8,FALSE)</f>
        <v>292</v>
      </c>
      <c r="R388"/>
    </row>
    <row r="389" spans="1:18" hidden="1" x14ac:dyDescent="0.25">
      <c r="A389" t="str">
        <f>+Tabla3[[#This Row],[Site]]&amp;Tabla3[[#This Row],[Split]]</f>
        <v>(PE) JLR Paramus (NO TOURS)7</v>
      </c>
      <c r="B389">
        <v>7</v>
      </c>
      <c r="C389">
        <v>4</v>
      </c>
      <c r="D389" t="s">
        <v>212</v>
      </c>
      <c r="E389" t="str">
        <f>VLOOKUP(Tabla3[[#This Row],[Site]],Table35[],10,FALSE)</f>
        <v>8:00 P.M.</v>
      </c>
      <c r="F389" t="str">
        <f>VLOOKUP(Tabla3[[#This Row],[Site]],Table35[],11,FALSE)</f>
        <v>ET</v>
      </c>
      <c r="G389" t="str">
        <f>VLOOKUP(Tabla3[[#This Row],[Site]],Table35[],12,FALSE)</f>
        <v>5:00 A.M.</v>
      </c>
      <c r="H389" s="1" t="s">
        <v>96</v>
      </c>
      <c r="I389" s="70" t="str">
        <f>HYPERLINK(VLOOKUP(Tabla3[[#This Row],[Site]],Table35[#All],9,FALSE))</f>
        <v>https://tools.sig.systems/site/details/177</v>
      </c>
      <c r="J389">
        <f>VLOOKUP(Tabla3[[#This Row],[Site]],Table35[],14,FALSE)</f>
        <v>0</v>
      </c>
      <c r="L389" s="34" t="str">
        <f>VLOOKUP(Tabla3[[#This Row],[Site]],Table35[#All],2,FALSE)</f>
        <v>1, 17</v>
      </c>
      <c r="M389" s="34" t="str">
        <f>VLOOKUP(Tabla3[[#This Row],[Site]],Table35[#All],3,FALSE)</f>
        <v>-</v>
      </c>
      <c r="N389" s="34" t="str">
        <f>VLOOKUP(Tabla3[[#This Row],[Site]],Table35[#All],4,FALSE)</f>
        <v>-</v>
      </c>
      <c r="O389" s="34" t="str">
        <f>VLOOKUP(Tabla3[[#This Row],[Site]],Table35[#All],5,FALSE)</f>
        <v>-</v>
      </c>
      <c r="P389" s="34" t="str">
        <f>VLOOKUP(Tabla3[[#This Row],[Site]],Table35[#All],6,FALSE)</f>
        <v>1, 17</v>
      </c>
      <c r="Q389" s="34" t="str">
        <f>VLOOKUP(Tabla3[[#This Row],[Site]],Table35[#All],8,FALSE)</f>
        <v>177</v>
      </c>
      <c r="R389"/>
    </row>
    <row r="390" spans="1:18" hidden="1" x14ac:dyDescent="0.25">
      <c r="A390" t="str">
        <f>+Tabla3[[#This Row],[Site]]&amp;Tabla3[[#This Row],[Split]]</f>
        <v>(AS) Hare Chevrolet (NO TOURS)7</v>
      </c>
      <c r="B390">
        <v>7</v>
      </c>
      <c r="C390">
        <v>5</v>
      </c>
      <c r="D390" t="s">
        <v>379</v>
      </c>
      <c r="E390" t="str">
        <f>VLOOKUP(Tabla3[[#This Row],[Site]],Table35[],10,FALSE)</f>
        <v>9:00 P.M.</v>
      </c>
      <c r="F390" t="str">
        <f>VLOOKUP(Tabla3[[#This Row],[Site]],Table35[],11,FALSE)</f>
        <v>ET</v>
      </c>
      <c r="G390" t="str">
        <f>VLOOKUP(Tabla3[[#This Row],[Site]],Table35[],12,FALSE)</f>
        <v>5:00 A.M.</v>
      </c>
      <c r="H390" s="1" t="s">
        <v>96</v>
      </c>
      <c r="I390" s="70" t="str">
        <f>HYPERLINK(VLOOKUP(Tabla3[[#This Row],[Site]],Table35[#All],9,FALSE))</f>
        <v>https://tools.sig.systems/site/details/301</v>
      </c>
      <c r="J390" t="str">
        <f>VLOOKUP(Tabla3[[#This Row],[Site]],Table35[],14,FALSE)</f>
        <v>https://www.google.com/maps/d/edit?mid=1hsX5GGrNcCQgAuzDCDz1OWgEkhsAc78&amp;usp=sharing</v>
      </c>
      <c r="L390" s="34" t="str">
        <f>VLOOKUP(Tabla3[[#This Row],[Site]],Table35[#All],2,FALSE)</f>
        <v>18, 24</v>
      </c>
      <c r="M390" s="34" t="str">
        <f>VLOOKUP(Tabla3[[#This Row],[Site]],Table35[#All],3,FALSE)</f>
        <v>2, 3</v>
      </c>
      <c r="N390" s="34" t="str">
        <f>VLOOKUP(Tabla3[[#This Row],[Site]],Table35[#All],4,FALSE)</f>
        <v>-</v>
      </c>
      <c r="O390" s="34">
        <f>VLOOKUP(Tabla3[[#This Row],[Site]],Table35[#All],5,FALSE)</f>
        <v>5</v>
      </c>
      <c r="P390" s="34" t="str">
        <f>VLOOKUP(Tabla3[[#This Row],[Site]],Table35[#All],6,FALSE)</f>
        <v>1, 5, 7, 8, 21, 29</v>
      </c>
      <c r="Q390" s="34" t="str">
        <f>VLOOKUP(Tabla3[[#This Row],[Site]],Table35[#All],8,FALSE)</f>
        <v>301</v>
      </c>
      <c r="R390"/>
    </row>
    <row r="391" spans="1:18" hidden="1" x14ac:dyDescent="0.25">
      <c r="A391" t="str">
        <f>+Tabla3[[#This Row],[Site]]&amp;Tabla3[[#This Row],[Split]]</f>
        <v>(AS) Koons Chevrolet Buick GMC - Tysons Remote Lot (NO TOURS)7</v>
      </c>
      <c r="B391">
        <v>7</v>
      </c>
      <c r="C391">
        <v>5</v>
      </c>
      <c r="D391" t="s">
        <v>374</v>
      </c>
      <c r="E391" t="str">
        <f>VLOOKUP(Tabla3[[#This Row],[Site]],Table35[],10,FALSE)</f>
        <v>9:00 P.M.</v>
      </c>
      <c r="F391" t="str">
        <f>VLOOKUP(Tabla3[[#This Row],[Site]],Table35[],11,FALSE)</f>
        <v>ET</v>
      </c>
      <c r="G391" t="str">
        <f>VLOOKUP(Tabla3[[#This Row],[Site]],Table35[],12,FALSE)</f>
        <v>5:00 A.M.</v>
      </c>
      <c r="H391" s="1" t="s">
        <v>68</v>
      </c>
      <c r="I391" s="70" t="str">
        <f>HYPERLINK(VLOOKUP(Tabla3[[#This Row],[Site]],Table35[#All],9,FALSE))</f>
        <v>https://tools.sig.systems/site/details/333</v>
      </c>
      <c r="J391" t="str">
        <f>VLOOKUP(Tabla3[[#This Row],[Site]],Table35[],14,FALSE)</f>
        <v>-</v>
      </c>
      <c r="L391" s="34" t="str">
        <f>VLOOKUP(Tabla3[[#This Row],[Site]],Table35[#All],2,FALSE)</f>
        <v>-</v>
      </c>
      <c r="M391" s="34">
        <f>VLOOKUP(Tabla3[[#This Row],[Site]],Table35[#All],3,FALSE)</f>
        <v>6</v>
      </c>
      <c r="N391" s="34" t="str">
        <f>VLOOKUP(Tabla3[[#This Row],[Site]],Table35[#All],4,FALSE)</f>
        <v>1, 2, 3</v>
      </c>
      <c r="O391" s="34" t="str">
        <f>VLOOKUP(Tabla3[[#This Row],[Site]],Table35[#All],5,FALSE)</f>
        <v>7, 10, 16, 29</v>
      </c>
      <c r="P391" s="34" t="str">
        <f>VLOOKUP(Tabla3[[#This Row],[Site]],Table35[#All],6,FALSE)</f>
        <v>14, 17, 30</v>
      </c>
      <c r="Q391" s="34" t="str">
        <f>VLOOKUP(Tabla3[[#This Row],[Site]],Table35[#All],8,FALSE)</f>
        <v>333</v>
      </c>
      <c r="R391"/>
    </row>
    <row r="392" spans="1:18" hidden="1" x14ac:dyDescent="0.25">
      <c r="A392" t="str">
        <f>+Tabla3[[#This Row],[Site]]&amp;Tabla3[[#This Row],[Split]]</f>
        <v>(AS) Koons Easton Toyota - Main Dealership (NO TOURS)7</v>
      </c>
      <c r="B392">
        <v>7</v>
      </c>
      <c r="C392">
        <v>5</v>
      </c>
      <c r="D392" t="s">
        <v>426</v>
      </c>
      <c r="E392" t="str">
        <f>VLOOKUP(Tabla3[[#This Row],[Site]],Table35[],10,FALSE)</f>
        <v>9:00 P.M.</v>
      </c>
      <c r="F392" t="str">
        <f>VLOOKUP(Tabla3[[#This Row],[Site]],Table35[],11,FALSE)</f>
        <v>ET</v>
      </c>
      <c r="G392" t="str">
        <f>VLOOKUP(Tabla3[[#This Row],[Site]],Table35[],12,FALSE)</f>
        <v>5:00 A.M.</v>
      </c>
      <c r="H392" s="1" t="s">
        <v>96</v>
      </c>
      <c r="I392" s="70" t="str">
        <f>HYPERLINK(VLOOKUP(Tabla3[[#This Row],[Site]],Table35[#All],9,FALSE))</f>
        <v>https://tools.sig.systems/site/details/340</v>
      </c>
      <c r="J392" t="str">
        <f>VLOOKUP(Tabla3[[#This Row],[Site]],Table35[],14,FALSE)</f>
        <v>-</v>
      </c>
      <c r="L392" s="34" t="str">
        <f>VLOOKUP(Tabla3[[#This Row],[Site]],Table35[#All],2,FALSE)</f>
        <v>-</v>
      </c>
      <c r="M392" s="34" t="str">
        <f>VLOOKUP(Tabla3[[#This Row],[Site]],Table35[#All],3,FALSE)</f>
        <v>4, 5</v>
      </c>
      <c r="N392" s="34" t="str">
        <f>VLOOKUP(Tabla3[[#This Row],[Site]],Table35[#All],4,FALSE)</f>
        <v>-</v>
      </c>
      <c r="O392" s="34" t="str">
        <f>VLOOKUP(Tabla3[[#This Row],[Site]],Table35[#All],5,FALSE)</f>
        <v>-</v>
      </c>
      <c r="P392" s="34" t="str">
        <f>VLOOKUP(Tabla3[[#This Row],[Site]],Table35[#All],6,FALSE)</f>
        <v>8, 15</v>
      </c>
      <c r="Q392" s="34" t="str">
        <f>VLOOKUP(Tabla3[[#This Row],[Site]],Table35[#All],8,FALSE)</f>
        <v>340</v>
      </c>
      <c r="R392"/>
    </row>
    <row r="393" spans="1:18" hidden="1" x14ac:dyDescent="0.25">
      <c r="A393" t="str">
        <f>+Tabla3[[#This Row],[Site]]&amp;Tabla3[[#This Row],[Split]]</f>
        <v>(BRL) Shoemakersville7</v>
      </c>
      <c r="B393">
        <v>7</v>
      </c>
      <c r="C393">
        <v>5</v>
      </c>
      <c r="D393" t="s">
        <v>120</v>
      </c>
      <c r="E393" t="str">
        <f>VLOOKUP(Tabla3[[#This Row],[Site]],Table35[],10,FALSE)</f>
        <v>24H</v>
      </c>
      <c r="F393" t="str">
        <f>VLOOKUP(Tabla3[[#This Row],[Site]],Table35[],11,FALSE)</f>
        <v>ET</v>
      </c>
      <c r="G393" t="str">
        <f>VLOOKUP(Tabla3[[#This Row],[Site]],Table35[],12,FALSE)</f>
        <v>-</v>
      </c>
      <c r="H393" s="1" t="s">
        <v>96</v>
      </c>
      <c r="I393" s="70" t="str">
        <f>HYPERLINK(VLOOKUP(Tabla3[[#This Row],[Site]],Table35[#All],9,FALSE))</f>
        <v>https://tools.sig.systems/site/details/302</v>
      </c>
      <c r="J393">
        <f>VLOOKUP(Tabla3[[#This Row],[Site]],Table35[],14,FALSE)</f>
        <v>0</v>
      </c>
      <c r="L393" s="34" t="str">
        <f>VLOOKUP(Tabla3[[#This Row],[Site]],Table35[#All],2,FALSE)</f>
        <v>-</v>
      </c>
      <c r="M393" s="34" t="str">
        <f>VLOOKUP(Tabla3[[#This Row],[Site]],Table35[#All],3,FALSE)</f>
        <v>8, 11</v>
      </c>
      <c r="N393" s="34" t="str">
        <f>VLOOKUP(Tabla3[[#This Row],[Site]],Table35[#All],4,FALSE)</f>
        <v>-</v>
      </c>
      <c r="O393" s="34" t="str">
        <f>VLOOKUP(Tabla3[[#This Row],[Site]],Table35[#All],5,FALSE)</f>
        <v>1, 6, 13A, 15, 18A</v>
      </c>
      <c r="P393" s="34" t="str">
        <f>VLOOKUP(Tabla3[[#This Row],[Site]],Table35[#All],6,FALSE)</f>
        <v>13B, 23</v>
      </c>
      <c r="Q393" s="34" t="str">
        <f>VLOOKUP(Tabla3[[#This Row],[Site]],Table35[#All],8,FALSE)</f>
        <v>302</v>
      </c>
      <c r="R393"/>
    </row>
    <row r="394" spans="1:18" x14ac:dyDescent="0.25">
      <c r="A394" t="str">
        <f>+Tabla3[[#This Row],[Site]]&amp;Tabla3[[#This Row],[Split]]</f>
        <v>(LT) Luther Bloomington Hyundai (NO TOURS)7</v>
      </c>
      <c r="B394">
        <v>7</v>
      </c>
      <c r="C394">
        <v>5</v>
      </c>
      <c r="D394" t="s">
        <v>456</v>
      </c>
      <c r="E394" t="str">
        <f>VLOOKUP(Tabla3[[#This Row],[Site]],Table35[],10,FALSE)</f>
        <v>10:00 P.M.</v>
      </c>
      <c r="F394" t="str">
        <f>VLOOKUP(Tabla3[[#This Row],[Site]],Table35[],11,FALSE)</f>
        <v>CT</v>
      </c>
      <c r="G394" t="str">
        <f>VLOOKUP(Tabla3[[#This Row],[Site]],Table35[],12,FALSE)</f>
        <v>4:00 A.M.</v>
      </c>
      <c r="H394" s="1" t="s">
        <v>96</v>
      </c>
      <c r="I394" s="70" t="str">
        <f>HYPERLINK(VLOOKUP(Tabla3[[#This Row],[Site]],Table35[#All],9,FALSE))</f>
        <v>https://tools.sig.systems/site/details/318</v>
      </c>
      <c r="J394">
        <f>VLOOKUP(Tabla3[[#This Row],[Site]],Table35[],14,FALSE)</f>
        <v>0</v>
      </c>
      <c r="L394" s="34" t="str">
        <f>VLOOKUP(Tabla3[[#This Row],[Site]],Table35[#All],2,FALSE)</f>
        <v>-</v>
      </c>
      <c r="M394" s="34" t="str">
        <f>VLOOKUP(Tabla3[[#This Row],[Site]],Table35[#All],3,FALSE)</f>
        <v>6, 9, 13</v>
      </c>
      <c r="N394" s="34" t="str">
        <f>VLOOKUP(Tabla3[[#This Row],[Site]],Table35[#All],4,FALSE)</f>
        <v>58, 59</v>
      </c>
      <c r="O394" s="34">
        <f>VLOOKUP(Tabla3[[#This Row],[Site]],Table35[#All],5,FALSE)</f>
        <v>10</v>
      </c>
      <c r="P394" s="34" t="str">
        <f>VLOOKUP(Tabla3[[#This Row],[Site]],Table35[#All],6,FALSE)</f>
        <v>11, 18</v>
      </c>
      <c r="Q394" s="34" t="str">
        <f>VLOOKUP(Tabla3[[#This Row],[Site]],Table35[#All],8,FALSE)</f>
        <v>318</v>
      </c>
      <c r="R394"/>
    </row>
    <row r="395" spans="1:18" hidden="1" x14ac:dyDescent="0.25">
      <c r="A395" t="str">
        <f>+Tabla3[[#This Row],[Site]]&amp;Tabla3[[#This Row],[Split]]</f>
        <v>(LT) Luther Landers Recon Center7</v>
      </c>
      <c r="B395">
        <v>7</v>
      </c>
      <c r="C395">
        <v>5</v>
      </c>
      <c r="D395" t="s">
        <v>255</v>
      </c>
      <c r="E395" t="str">
        <f>VLOOKUP(Tabla3[[#This Row],[Site]],Table35[],10,FALSE)</f>
        <v>10:00 P.M.</v>
      </c>
      <c r="F395" t="str">
        <f>VLOOKUP(Tabla3[[#This Row],[Site]],Table35[],11,FALSE)</f>
        <v>CT</v>
      </c>
      <c r="G395" t="str">
        <f>VLOOKUP(Tabla3[[#This Row],[Site]],Table35[],12,FALSE)</f>
        <v>6:00 A.M.</v>
      </c>
      <c r="H395" s="1" t="s">
        <v>96</v>
      </c>
      <c r="I395" s="70" t="str">
        <f>HYPERLINK(VLOOKUP(Tabla3[[#This Row],[Site]],Table35[#All],9,FALSE))</f>
        <v>https://tools.sig.systems/site/details/323</v>
      </c>
      <c r="J395" t="str">
        <f>VLOOKUP(Tabla3[[#This Row],[Site]],Table35[],14,FALSE)</f>
        <v>https://www.google.com/maps/d/u/1/edit?mid=1-zEzsc6U6nZom08edp0XAd3_HYFvAyk&amp;usp=sharing</v>
      </c>
      <c r="L395" s="34" t="str">
        <f>VLOOKUP(Tabla3[[#This Row],[Site]],Table35[#All],2,FALSE)</f>
        <v>2, 4</v>
      </c>
      <c r="M395" s="34" t="str">
        <f>VLOOKUP(Tabla3[[#This Row],[Site]],Table35[#All],3,FALSE)</f>
        <v>-</v>
      </c>
      <c r="N395" s="34" t="str">
        <f>VLOOKUP(Tabla3[[#This Row],[Site]],Table35[#All],4,FALSE)</f>
        <v>-</v>
      </c>
      <c r="O395" s="34" t="str">
        <f>VLOOKUP(Tabla3[[#This Row],[Site]],Table35[#All],5,FALSE)</f>
        <v>-</v>
      </c>
      <c r="P395" s="34" t="str">
        <f>VLOOKUP(Tabla3[[#This Row],[Site]],Table35[#All],6,FALSE)</f>
        <v>3, 9, 11</v>
      </c>
      <c r="Q395" s="34" t="str">
        <f>VLOOKUP(Tabla3[[#This Row],[Site]],Table35[#All],8,FALSE)</f>
        <v>323</v>
      </c>
      <c r="R395"/>
    </row>
    <row r="396" spans="1:18" hidden="1" x14ac:dyDescent="0.25">
      <c r="A396" t="str">
        <f>+Tabla3[[#This Row],[Site]]&amp;Tabla3[[#This Row],[Split]]</f>
        <v>(SCH) Schumacher of Delray I &amp; III7</v>
      </c>
      <c r="B396">
        <v>7</v>
      </c>
      <c r="C396">
        <v>5</v>
      </c>
      <c r="D396" t="s">
        <v>385</v>
      </c>
      <c r="E396" t="str">
        <f>VLOOKUP(Tabla3[[#This Row],[Site]],Table35[],10,FALSE)</f>
        <v>9:00 P.M.</v>
      </c>
      <c r="F396" t="str">
        <f>VLOOKUP(Tabla3[[#This Row],[Site]],Table35[],11,FALSE)</f>
        <v>ET</v>
      </c>
      <c r="G396" t="str">
        <f>VLOOKUP(Tabla3[[#This Row],[Site]],Table35[],12,FALSE)</f>
        <v>5:00 A.M.</v>
      </c>
      <c r="H396" s="1" t="s">
        <v>96</v>
      </c>
      <c r="I396" s="70" t="str">
        <f>HYPERLINK(VLOOKUP(Tabla3[[#This Row],[Site]],Table35[#All],9,FALSE))</f>
        <v>https://tools.sig.systems/site/details/159</v>
      </c>
      <c r="J396" t="str">
        <f>VLOOKUP(Tabla3[[#This Row],[Site]],Table35[],14,FALSE)</f>
        <v>https://www.google.com/maps/d/viewer?mid=1ZLGV-cDM9aCfovhmXHIAXgVOKts0dEI&amp;ll=26.438859950088858%2C-80.07968125000001&amp;z=16</v>
      </c>
      <c r="L396" s="34" t="str">
        <f>VLOOKUP(Tabla3[[#This Row],[Site]],Table35[#All],2,FALSE)</f>
        <v>11, 21, 22, 57, 69</v>
      </c>
      <c r="M396" s="34" t="str">
        <f>VLOOKUP(Tabla3[[#This Row],[Site]],Table35[#All],3,FALSE)</f>
        <v>2, 16, 46</v>
      </c>
      <c r="N396" s="34" t="str">
        <f>VLOOKUP(Tabla3[[#This Row],[Site]],Table35[#All],4,FALSE)</f>
        <v>-</v>
      </c>
      <c r="O396" s="34" t="str">
        <f>VLOOKUP(Tabla3[[#This Row],[Site]],Table35[#All],5,FALSE)</f>
        <v>-</v>
      </c>
      <c r="P396" s="34" t="str">
        <f>VLOOKUP(Tabla3[[#This Row],[Site]],Table35[#All],6,FALSE)</f>
        <v>24, 39</v>
      </c>
      <c r="Q396" s="34" t="str">
        <f>VLOOKUP(Tabla3[[#This Row],[Site]],Table35[#All],8,FALSE)</f>
        <v>159</v>
      </c>
      <c r="R396"/>
    </row>
    <row r="397" spans="1:18" hidden="1" x14ac:dyDescent="0.25">
      <c r="A397" t="str">
        <f>+Tabla3[[#This Row],[Site]]&amp;Tabla3[[#This Row],[Split]]</f>
        <v>(AS) Hare Truck Center (NO TOURS)7</v>
      </c>
      <c r="B397">
        <v>7</v>
      </c>
      <c r="C397">
        <v>6</v>
      </c>
      <c r="D397" t="s">
        <v>380</v>
      </c>
      <c r="E397" t="str">
        <f>VLOOKUP(Tabla3[[#This Row],[Site]],Table35[],10,FALSE)</f>
        <v>9:00 P.M.</v>
      </c>
      <c r="F397" t="str">
        <f>VLOOKUP(Tabla3[[#This Row],[Site]],Table35[],11,FALSE)</f>
        <v>ET</v>
      </c>
      <c r="G397" t="str">
        <f>VLOOKUP(Tabla3[[#This Row],[Site]],Table35[],12,FALSE)</f>
        <v>5:00 A.M.</v>
      </c>
      <c r="H397" s="1" t="s">
        <v>68</v>
      </c>
      <c r="I397" s="70" t="str">
        <f>HYPERLINK(VLOOKUP(Tabla3[[#This Row],[Site]],Table35[#All],9,FALSE))</f>
        <v>https://tools.sig.systems/site/details/300</v>
      </c>
      <c r="J397" t="str">
        <f>VLOOKUP(Tabla3[[#This Row],[Site]],Table35[],14,FALSE)</f>
        <v>https://www.google.com/maps/d/edit?mid=1hsX5GGrNcCQgAuzDCDz1OWgEkhsAc78&amp;usp=sharing</v>
      </c>
      <c r="L397" s="34" t="str">
        <f>VLOOKUP(Tabla3[[#This Row],[Site]],Table35[#All],2,FALSE)</f>
        <v>-</v>
      </c>
      <c r="M397" s="34" t="str">
        <f>VLOOKUP(Tabla3[[#This Row],[Site]],Table35[#All],3,FALSE)</f>
        <v>1, 5</v>
      </c>
      <c r="N397" s="34" t="str">
        <f>VLOOKUP(Tabla3[[#This Row],[Site]],Table35[#All],4,FALSE)</f>
        <v>-</v>
      </c>
      <c r="O397" s="34" t="str">
        <f>VLOOKUP(Tabla3[[#This Row],[Site]],Table35[#All],5,FALSE)</f>
        <v>-</v>
      </c>
      <c r="P397" s="34" t="str">
        <f>VLOOKUP(Tabla3[[#This Row],[Site]],Table35[#All],6,FALSE)</f>
        <v xml:space="preserve">2, 6, 10, 12, 17 </v>
      </c>
      <c r="Q397" s="34" t="str">
        <f>VLOOKUP(Tabla3[[#This Row],[Site]],Table35[#All],8,FALSE)</f>
        <v>300</v>
      </c>
      <c r="R397"/>
    </row>
    <row r="398" spans="1:18" hidden="1" x14ac:dyDescent="0.25">
      <c r="A398" t="str">
        <f>+Tabla3[[#This Row],[Site]]&amp;Tabla3[[#This Row],[Split]]</f>
        <v>(AS) Koons Falls Church Ford (NO TOURS)7</v>
      </c>
      <c r="B398">
        <v>7</v>
      </c>
      <c r="C398">
        <v>6</v>
      </c>
      <c r="D398" t="s">
        <v>386</v>
      </c>
      <c r="E398" t="str">
        <f>VLOOKUP(Tabla3[[#This Row],[Site]],Table35[],10,FALSE)</f>
        <v>9:00 P.M.</v>
      </c>
      <c r="F398" t="str">
        <f>VLOOKUP(Tabla3[[#This Row],[Site]],Table35[],11,FALSE)</f>
        <v>ET</v>
      </c>
      <c r="G398" t="str">
        <f>VLOOKUP(Tabla3[[#This Row],[Site]],Table35[],12,FALSE)</f>
        <v>5:00 A.M.</v>
      </c>
      <c r="H398" s="1" t="s">
        <v>96</v>
      </c>
      <c r="I398" s="70" t="str">
        <f>HYPERLINK(VLOOKUP(Tabla3[[#This Row],[Site]],Table35[#All],9,FALSE))</f>
        <v>https://tools.sig.systems/site/details/345</v>
      </c>
      <c r="J398" t="str">
        <f>VLOOKUP(Tabla3[[#This Row],[Site]],Table35[],14,FALSE)</f>
        <v>-</v>
      </c>
      <c r="L398" s="34" t="str">
        <f>VLOOKUP(Tabla3[[#This Row],[Site]],Table35[#All],2,FALSE)</f>
        <v>-</v>
      </c>
      <c r="M398" s="34">
        <f>VLOOKUP(Tabla3[[#This Row],[Site]],Table35[#All],3,FALSE)</f>
        <v>1</v>
      </c>
      <c r="N398" s="34" t="str">
        <f>VLOOKUP(Tabla3[[#This Row],[Site]],Table35[#All],4,FALSE)</f>
        <v>-</v>
      </c>
      <c r="O398" s="34" t="str">
        <f>VLOOKUP(Tabla3[[#This Row],[Site]],Table35[#All],5,FALSE)</f>
        <v>-</v>
      </c>
      <c r="P398" s="34" t="str">
        <f>VLOOKUP(Tabla3[[#This Row],[Site]],Table35[#All],6,FALSE)</f>
        <v>-</v>
      </c>
      <c r="Q398" s="34" t="str">
        <f>VLOOKUP(Tabla3[[#This Row],[Site]],Table35[#All],8,FALSE)</f>
        <v>345</v>
      </c>
      <c r="R398"/>
    </row>
    <row r="399" spans="1:18" hidden="1" x14ac:dyDescent="0.25">
      <c r="A399" t="str">
        <f>+Tabla3[[#This Row],[Site]]&amp;Tabla3[[#This Row],[Split]]</f>
        <v>(AS) Koons Woodbridge Hyundai (NO TOURS)7</v>
      </c>
      <c r="B399">
        <v>7</v>
      </c>
      <c r="C399">
        <v>6</v>
      </c>
      <c r="D399" t="s">
        <v>406</v>
      </c>
      <c r="E399" t="str">
        <f>VLOOKUP(Tabla3[[#This Row],[Site]],Table35[],10,FALSE)</f>
        <v>9:00 P.M.</v>
      </c>
      <c r="F399" t="str">
        <f>VLOOKUP(Tabla3[[#This Row],[Site]],Table35[],11,FALSE)</f>
        <v>ET</v>
      </c>
      <c r="G399" t="str">
        <f>VLOOKUP(Tabla3[[#This Row],[Site]],Table35[],12,FALSE)</f>
        <v>5:00 A.M.</v>
      </c>
      <c r="H399" s="1" t="s">
        <v>96</v>
      </c>
      <c r="I399" s="70" t="str">
        <f>HYPERLINK(VLOOKUP(Tabla3[[#This Row],[Site]],Table35[#All],9,FALSE))</f>
        <v>https://tools.sig.systems/site/details/347</v>
      </c>
      <c r="J399" t="str">
        <f>VLOOKUP(Tabla3[[#This Row],[Site]],Table35[],14,FALSE)</f>
        <v>-</v>
      </c>
      <c r="L399" s="34" t="str">
        <f>VLOOKUP(Tabla3[[#This Row],[Site]],Table35[#All],2,FALSE)</f>
        <v>-</v>
      </c>
      <c r="M399" s="34" t="str">
        <f>VLOOKUP(Tabla3[[#This Row],[Site]],Table35[#All],3,FALSE)</f>
        <v>1, 17</v>
      </c>
      <c r="N399" s="34" t="str">
        <f>VLOOKUP(Tabla3[[#This Row],[Site]],Table35[#All],4,FALSE)</f>
        <v>-</v>
      </c>
      <c r="O399" s="34" t="str">
        <f>VLOOKUP(Tabla3[[#This Row],[Site]],Table35[#All],5,FALSE)</f>
        <v>-</v>
      </c>
      <c r="P399" s="34" t="str">
        <f>VLOOKUP(Tabla3[[#This Row],[Site]],Table35[#All],6,FALSE)</f>
        <v>4, 14, 22</v>
      </c>
      <c r="Q399" s="34" t="str">
        <f>VLOOKUP(Tabla3[[#This Row],[Site]],Table35[#All],8,FALSE)</f>
        <v>347</v>
      </c>
      <c r="R399"/>
    </row>
    <row r="400" spans="1:18" hidden="1" x14ac:dyDescent="0.25">
      <c r="A400" t="str">
        <f>+Tabla3[[#This Row],[Site]]&amp;Tabla3[[#This Row],[Split]]</f>
        <v>(DT) Modesto7</v>
      </c>
      <c r="B400">
        <v>7</v>
      </c>
      <c r="C400">
        <v>6</v>
      </c>
      <c r="D400" t="s">
        <v>14</v>
      </c>
      <c r="E400" t="str">
        <f>VLOOKUP(Tabla3[[#This Row],[Site]],Table35[],10,FALSE)</f>
        <v>12:00 A.M.</v>
      </c>
      <c r="F400" t="str">
        <f>VLOOKUP(Tabla3[[#This Row],[Site]],Table35[],11,FALSE)</f>
        <v>PT</v>
      </c>
      <c r="G400" t="str">
        <f>VLOOKUP(Tabla3[[#This Row],[Site]],Table35[],12,FALSE)</f>
        <v>8:00 A.M.</v>
      </c>
      <c r="H400" s="1" t="s">
        <v>96</v>
      </c>
      <c r="I400" s="70" t="str">
        <f>HYPERLINK(VLOOKUP(Tabla3[[#This Row],[Site]],Table35[#All],9,FALSE))</f>
        <v>https://tools.sig.systems/site/details/267</v>
      </c>
      <c r="J400">
        <f>VLOOKUP(Tabla3[[#This Row],[Site]],Table35[],14,FALSE)</f>
        <v>0</v>
      </c>
      <c r="L400" s="34">
        <f>VLOOKUP(Tabla3[[#This Row],[Site]],Table35[#All],2,FALSE)</f>
        <v>10</v>
      </c>
      <c r="M400" s="34" t="str">
        <f>VLOOKUP(Tabla3[[#This Row],[Site]],Table35[#All],3,FALSE)</f>
        <v>5, 6</v>
      </c>
      <c r="N400" s="34" t="str">
        <f>VLOOKUP(Tabla3[[#This Row],[Site]],Table35[#All],4,FALSE)</f>
        <v>-</v>
      </c>
      <c r="O400" s="34" t="str">
        <f>VLOOKUP(Tabla3[[#This Row],[Site]],Table35[#All],5,FALSE)</f>
        <v>-</v>
      </c>
      <c r="P400" s="34" t="str">
        <f>VLOOKUP(Tabla3[[#This Row],[Site]],Table35[#All],6,FALSE)</f>
        <v>2, 3, 5, 10</v>
      </c>
      <c r="Q400" s="34" t="str">
        <f>VLOOKUP(Tabla3[[#This Row],[Site]],Table35[#All],8,FALSE)</f>
        <v>267</v>
      </c>
      <c r="R400"/>
    </row>
    <row r="401" spans="1:18" hidden="1" x14ac:dyDescent="0.25">
      <c r="A401" t="str">
        <f>+Tabla3[[#This Row],[Site]]&amp;Tabla3[[#This Row],[Split]]</f>
        <v>(KG) Big Star Hyundai Houston7</v>
      </c>
      <c r="B401">
        <v>7</v>
      </c>
      <c r="C401">
        <v>6</v>
      </c>
      <c r="D401" t="s">
        <v>129</v>
      </c>
      <c r="E401" t="str">
        <f>VLOOKUP(Tabla3[[#This Row],[Site]],Table35[],10,FALSE)</f>
        <v>10:00 P.M.</v>
      </c>
      <c r="F401" t="str">
        <f>VLOOKUP(Tabla3[[#This Row],[Site]],Table35[],11,FALSE)</f>
        <v>CT</v>
      </c>
      <c r="G401" t="str">
        <f>VLOOKUP(Tabla3[[#This Row],[Site]],Table35[],12,FALSE)</f>
        <v>6:00 A.M.</v>
      </c>
      <c r="H401" s="1" t="s">
        <v>96</v>
      </c>
      <c r="I401" s="70" t="str">
        <f>HYPERLINK(VLOOKUP(Tabla3[[#This Row],[Site]],Table35[#All],9,FALSE))</f>
        <v>https://tools.sig.systems/site/details/287</v>
      </c>
      <c r="J401" t="str">
        <f>VLOOKUP(Tabla3[[#This Row],[Site]],Table35[],14,FALSE)</f>
        <v>https://www.google.com/maps/d/edit?hl=en&amp;mid=1jIRkMUnWNPuTgDjQgDP-f33LClT85NU&amp;ll=29.55731827236326%2C-95.1601644&amp;z=17</v>
      </c>
      <c r="L401" s="34" t="str">
        <f>VLOOKUP(Tabla3[[#This Row],[Site]],Table35[#All],2,FALSE)</f>
        <v>3, 12, 17</v>
      </c>
      <c r="M401" s="34" t="str">
        <f>VLOOKUP(Tabla3[[#This Row],[Site]],Table35[#All],3,FALSE)</f>
        <v>23, 35</v>
      </c>
      <c r="N401" s="34" t="str">
        <f>VLOOKUP(Tabla3[[#This Row],[Site]],Table35[#All],4,FALSE)</f>
        <v>-</v>
      </c>
      <c r="O401" s="34" t="str">
        <f>VLOOKUP(Tabla3[[#This Row],[Site]],Table35[#All],5,FALSE)</f>
        <v>1, 75</v>
      </c>
      <c r="P401" s="34" t="str">
        <f>VLOOKUP(Tabla3[[#This Row],[Site]],Table35[#All],6,FALSE)</f>
        <v xml:space="preserve">5, 11, 16, 20, 26, 30, 32, 34 </v>
      </c>
      <c r="Q401" s="34" t="str">
        <f>VLOOKUP(Tabla3[[#This Row],[Site]],Table35[#All],8,FALSE)</f>
        <v>287</v>
      </c>
      <c r="R401"/>
    </row>
    <row r="402" spans="1:18" hidden="1" x14ac:dyDescent="0.25">
      <c r="A402" t="str">
        <f>+Tabla3[[#This Row],[Site]]&amp;Tabla3[[#This Row],[Split]]</f>
        <v>(LT) Luther Bloomington Subaru - Acura7</v>
      </c>
      <c r="B402">
        <v>7</v>
      </c>
      <c r="C402">
        <v>6</v>
      </c>
      <c r="D402" t="s">
        <v>124</v>
      </c>
      <c r="E402" t="str">
        <f>VLOOKUP(Tabla3[[#This Row],[Site]],Table35[],10,FALSE)</f>
        <v>8:00 P.M.</v>
      </c>
      <c r="F402" t="str">
        <f>VLOOKUP(Tabla3[[#This Row],[Site]],Table35[],11,FALSE)</f>
        <v>CT</v>
      </c>
      <c r="G402" t="str">
        <f>VLOOKUP(Tabla3[[#This Row],[Site]],Table35[],12,FALSE)</f>
        <v>4:00 A.M.</v>
      </c>
      <c r="H402" s="1" t="s">
        <v>96</v>
      </c>
      <c r="I402" s="70" t="str">
        <f>HYPERLINK(VLOOKUP(Tabla3[[#This Row],[Site]],Table35[#All],9,FALSE))</f>
        <v>https://tools.sig.systems/site/details/289</v>
      </c>
      <c r="J402">
        <f>VLOOKUP(Tabla3[[#This Row],[Site]],Table35[],14,FALSE)</f>
        <v>0</v>
      </c>
      <c r="L402" s="34">
        <f>VLOOKUP(Tabla3[[#This Row],[Site]],Table35[#All],2,FALSE)</f>
        <v>29</v>
      </c>
      <c r="M402" s="34" t="str">
        <f>VLOOKUP(Tabla3[[#This Row],[Site]],Table35[#All],3,FALSE)</f>
        <v>5, 8, 33</v>
      </c>
      <c r="N402" s="34" t="str">
        <f>VLOOKUP(Tabla3[[#This Row],[Site]],Table35[#All],4,FALSE)</f>
        <v>4, 7, 35</v>
      </c>
      <c r="O402" s="34" t="str">
        <f>VLOOKUP(Tabla3[[#This Row],[Site]],Table35[#All],5,FALSE)</f>
        <v>-</v>
      </c>
      <c r="P402" s="34" t="str">
        <f>VLOOKUP(Tabla3[[#This Row],[Site]],Table35[#All],6,FALSE)</f>
        <v xml:space="preserve">1, 2, 14, 24, 34  </v>
      </c>
      <c r="Q402" s="34" t="str">
        <f>VLOOKUP(Tabla3[[#This Row],[Site]],Table35[#All],8,FALSE)</f>
        <v>289</v>
      </c>
      <c r="R402"/>
    </row>
    <row r="403" spans="1:18" hidden="1" x14ac:dyDescent="0.25">
      <c r="A403" t="str">
        <f>+Tabla3[[#This Row],[Site]]&amp;Tabla3[[#This Row],[Split]]</f>
        <v>(LT) Luther St. Cloud Subaru7</v>
      </c>
      <c r="B403">
        <v>7</v>
      </c>
      <c r="C403">
        <v>6</v>
      </c>
      <c r="D403" t="s">
        <v>128</v>
      </c>
      <c r="E403" t="str">
        <f>VLOOKUP(Tabla3[[#This Row],[Site]],Table35[],10,FALSE)</f>
        <v>10:00 P.M.</v>
      </c>
      <c r="F403" t="str">
        <f>VLOOKUP(Tabla3[[#This Row],[Site]],Table35[],11,FALSE)</f>
        <v>CT</v>
      </c>
      <c r="G403" t="str">
        <f>VLOOKUP(Tabla3[[#This Row],[Site]],Table35[],12,FALSE)</f>
        <v>5:30 A.M.</v>
      </c>
      <c r="H403" s="1" t="s">
        <v>68</v>
      </c>
      <c r="I403" s="70" t="str">
        <f>HYPERLINK(VLOOKUP(Tabla3[[#This Row],[Site]],Table35[#All],9,FALSE))</f>
        <v>https://tools.sig.systems/site/details/295</v>
      </c>
      <c r="J403">
        <f>VLOOKUP(Tabla3[[#This Row],[Site]],Table35[],14,FALSE)</f>
        <v>0</v>
      </c>
      <c r="L403" s="34" t="str">
        <f>VLOOKUP(Tabla3[[#This Row],[Site]],Table35[#All],2,FALSE)</f>
        <v>25, 31</v>
      </c>
      <c r="M403" s="34" t="str">
        <f>VLOOKUP(Tabla3[[#This Row],[Site]],Table35[#All],3,FALSE)</f>
        <v>9, 13, 20</v>
      </c>
      <c r="N403" s="34" t="str">
        <f>VLOOKUP(Tabla3[[#This Row],[Site]],Table35[#All],4,FALSE)</f>
        <v>38, 39, 40, 41</v>
      </c>
      <c r="O403" s="34">
        <f>VLOOKUP(Tabla3[[#This Row],[Site]],Table35[#All],5,FALSE)</f>
        <v>27</v>
      </c>
      <c r="P403" s="34" t="str">
        <f>VLOOKUP(Tabla3[[#This Row],[Site]],Table35[#All],6,FALSE)</f>
        <v>2, 6, 8, 11, 14, 19, 23, 26</v>
      </c>
      <c r="Q403" s="34" t="str">
        <f>VLOOKUP(Tabla3[[#This Row],[Site]],Table35[#All],8,FALSE)</f>
        <v>295</v>
      </c>
      <c r="R403"/>
    </row>
    <row r="404" spans="1:18" hidden="1" x14ac:dyDescent="0.25">
      <c r="A404" t="str">
        <f>+Tabla3[[#This Row],[Site]]&amp;Tabla3[[#This Row],[Split]]</f>
        <v>(PE) JLR Darien (NO TOURS)7</v>
      </c>
      <c r="B404">
        <v>7</v>
      </c>
      <c r="C404">
        <v>6</v>
      </c>
      <c r="D404" t="s">
        <v>368</v>
      </c>
      <c r="E404" t="str">
        <f>VLOOKUP(Tabla3[[#This Row],[Site]],Table35[],10,FALSE)</f>
        <v>8:00 P.M.</v>
      </c>
      <c r="F404" t="str">
        <f>VLOOKUP(Tabla3[[#This Row],[Site]],Table35[],11,FALSE)</f>
        <v>ET</v>
      </c>
      <c r="G404" t="str">
        <f>VLOOKUP(Tabla3[[#This Row],[Site]],Table35[],12,FALSE)</f>
        <v>5:00 A.M.</v>
      </c>
      <c r="H404" s="1" t="s">
        <v>68</v>
      </c>
      <c r="I404" s="70" t="str">
        <f>HYPERLINK(VLOOKUP(Tabla3[[#This Row],[Site]],Table35[#All],9,FALSE))</f>
        <v>https://tools.sig.systems/site/details/189</v>
      </c>
      <c r="J404" t="str">
        <f>VLOOKUP(Tabla3[[#This Row],[Site]],Table35[],14,FALSE)</f>
        <v>-</v>
      </c>
      <c r="L404" s="34" t="str">
        <f>VLOOKUP(Tabla3[[#This Row],[Site]],Table35[#All],2,FALSE)</f>
        <v>1, 13</v>
      </c>
      <c r="M404" s="34" t="str">
        <f>VLOOKUP(Tabla3[[#This Row],[Site]],Table35[#All],3,FALSE)</f>
        <v>-</v>
      </c>
      <c r="N404" s="34" t="str">
        <f>VLOOKUP(Tabla3[[#This Row],[Site]],Table35[#All],4,FALSE)</f>
        <v>-</v>
      </c>
      <c r="O404" s="34" t="str">
        <f>VLOOKUP(Tabla3[[#This Row],[Site]],Table35[#All],5,FALSE)</f>
        <v>-</v>
      </c>
      <c r="P404" s="34" t="str">
        <f>VLOOKUP(Tabla3[[#This Row],[Site]],Table35[#All],6,FALSE)</f>
        <v>-</v>
      </c>
      <c r="Q404" s="34" t="str">
        <f>VLOOKUP(Tabla3[[#This Row],[Site]],Table35[#All],8,FALSE)</f>
        <v>189</v>
      </c>
      <c r="R404"/>
    </row>
    <row r="405" spans="1:18" hidden="1" x14ac:dyDescent="0.25">
      <c r="A405" t="str">
        <f>+Tabla3[[#This Row],[Site]]&amp;Tabla3[[#This Row],[Split]]</f>
        <v>(TC) Lamborghini South Dade7</v>
      </c>
      <c r="B405">
        <v>7</v>
      </c>
      <c r="C405">
        <v>6</v>
      </c>
      <c r="D405" t="s">
        <v>237</v>
      </c>
      <c r="E405" t="str">
        <f>VLOOKUP(Tabla3[[#This Row],[Site]],Table35[],10,FALSE)</f>
        <v>9:00 P.M.</v>
      </c>
      <c r="F405" t="str">
        <f>VLOOKUP(Tabla3[[#This Row],[Site]],Table35[],11,FALSE)</f>
        <v>ET</v>
      </c>
      <c r="G405" t="str">
        <f>VLOOKUP(Tabla3[[#This Row],[Site]],Table35[],12,FALSE)</f>
        <v>5:00 A.M.</v>
      </c>
      <c r="H405" s="1" t="s">
        <v>71</v>
      </c>
      <c r="I405" s="70" t="str">
        <f>HYPERLINK(VLOOKUP(Tabla3[[#This Row],[Site]],Table35[#All],9,FALSE))</f>
        <v>https://tools.sig.systems/site/details/313</v>
      </c>
      <c r="J405">
        <f>VLOOKUP(Tabla3[[#This Row],[Site]],Table35[],14,FALSE)</f>
        <v>0</v>
      </c>
      <c r="L405" s="34" t="str">
        <f>VLOOKUP(Tabla3[[#This Row],[Site]],Table35[#All],2,FALSE)</f>
        <v>-</v>
      </c>
      <c r="M405" s="34" t="str">
        <f>VLOOKUP(Tabla3[[#This Row],[Site]],Table35[#All],3,FALSE)</f>
        <v>9, 11</v>
      </c>
      <c r="N405" s="34" t="str">
        <f>VLOOKUP(Tabla3[[#This Row],[Site]],Table35[#All],4,FALSE)</f>
        <v>-</v>
      </c>
      <c r="O405" s="34" t="str">
        <f>VLOOKUP(Tabla3[[#This Row],[Site]],Table35[#All],5,FALSE)</f>
        <v>-</v>
      </c>
      <c r="P405" s="34" t="str">
        <f>VLOOKUP(Tabla3[[#This Row],[Site]],Table35[#All],6,FALSE)</f>
        <v>-</v>
      </c>
      <c r="Q405" s="34" t="str">
        <f>VLOOKUP(Tabla3[[#This Row],[Site]],Table35[#All],8,FALSE)</f>
        <v>313</v>
      </c>
      <c r="R405"/>
    </row>
    <row r="406" spans="1:18" hidden="1" x14ac:dyDescent="0.25">
      <c r="A406" t="str">
        <f>+Tabla3[[#This Row],[Site]]&amp;Tabla3[[#This Row],[Split]]</f>
        <v>(AS) Kahlo CDJR (NO TOURS)7</v>
      </c>
      <c r="B406">
        <v>7</v>
      </c>
      <c r="C406">
        <v>7</v>
      </c>
      <c r="D406" t="s">
        <v>381</v>
      </c>
      <c r="E406" t="str">
        <f>VLOOKUP(Tabla3[[#This Row],[Site]],Table35[],10,FALSE)</f>
        <v>9:00 P.M.</v>
      </c>
      <c r="F406" t="str">
        <f>VLOOKUP(Tabla3[[#This Row],[Site]],Table35[],11,FALSE)</f>
        <v>ET</v>
      </c>
      <c r="G406" t="str">
        <f>VLOOKUP(Tabla3[[#This Row],[Site]],Table35[],12,FALSE)</f>
        <v>5:00 A.M.</v>
      </c>
      <c r="H406" s="1" t="s">
        <v>96</v>
      </c>
      <c r="I406" s="70" t="str">
        <f>HYPERLINK(VLOOKUP(Tabla3[[#This Row],[Site]],Table35[#All],9,FALSE))</f>
        <v>https://tools.sig.systems/site/details/282</v>
      </c>
      <c r="J406" t="str">
        <f>VLOOKUP(Tabla3[[#This Row],[Site]],Table35[],14,FALSE)</f>
        <v>https://www.google.com/maps/d/edit?mid=1hsX5GGrNcCQgAuzDCDz1OWgEkhsAc78&amp;usp=sharing</v>
      </c>
      <c r="L406" s="34" t="str">
        <f>VLOOKUP(Tabla3[[#This Row],[Site]],Table35[#All],2,FALSE)</f>
        <v>-</v>
      </c>
      <c r="M406" s="34" t="str">
        <f>VLOOKUP(Tabla3[[#This Row],[Site]],Table35[#All],3,FALSE)</f>
        <v>12, 25</v>
      </c>
      <c r="N406" s="34" t="str">
        <f>VLOOKUP(Tabla3[[#This Row],[Site]],Table35[#All],4,FALSE)</f>
        <v>15, 16</v>
      </c>
      <c r="O406" s="34">
        <f>VLOOKUP(Tabla3[[#This Row],[Site]],Table35[#All],5,FALSE)</f>
        <v>20</v>
      </c>
      <c r="P406" s="34" t="str">
        <f>VLOOKUP(Tabla3[[#This Row],[Site]],Table35[#All],6,FALSE)</f>
        <v>1, 2, 9, 22, 31, 57</v>
      </c>
      <c r="Q406" s="34" t="str">
        <f>VLOOKUP(Tabla3[[#This Row],[Site]],Table35[#All],8,FALSE)</f>
        <v>282</v>
      </c>
      <c r="R406"/>
    </row>
    <row r="407" spans="1:18" hidden="1" x14ac:dyDescent="0.25">
      <c r="A407" t="str">
        <f>+Tabla3[[#This Row],[Site]]&amp;Tabla3[[#This Row],[Split]]</f>
        <v>(AS) Koons Arlington Toyota - New Car (NO TOURS)7</v>
      </c>
      <c r="B407">
        <v>7</v>
      </c>
      <c r="C407">
        <v>7</v>
      </c>
      <c r="D407" t="s">
        <v>375</v>
      </c>
      <c r="E407" t="str">
        <f>VLOOKUP(Tabla3[[#This Row],[Site]],Table35[],10,FALSE)</f>
        <v>9:00 P.M.</v>
      </c>
      <c r="F407" t="str">
        <f>VLOOKUP(Tabla3[[#This Row],[Site]],Table35[],11,FALSE)</f>
        <v>ET</v>
      </c>
      <c r="G407" t="str">
        <f>VLOOKUP(Tabla3[[#This Row],[Site]],Table35[],12,FALSE)</f>
        <v>5:00 A.M.</v>
      </c>
      <c r="H407" s="1" t="s">
        <v>96</v>
      </c>
      <c r="I407" s="70" t="str">
        <f>HYPERLINK(VLOOKUP(Tabla3[[#This Row],[Site]],Table35[#All],9,FALSE))</f>
        <v>https://tools.sig.systems/site/details/334</v>
      </c>
      <c r="J407" t="str">
        <f>VLOOKUP(Tabla3[[#This Row],[Site]],Table35[],14,FALSE)</f>
        <v>-</v>
      </c>
      <c r="L407" s="34" t="str">
        <f>VLOOKUP(Tabla3[[#This Row],[Site]],Table35[#All],2,FALSE)</f>
        <v>-</v>
      </c>
      <c r="M407" s="34" t="str">
        <f>VLOOKUP(Tabla3[[#This Row],[Site]],Table35[#All],3,FALSE)</f>
        <v>1, 3, 12, 15, 17</v>
      </c>
      <c r="N407" s="34" t="str">
        <f>VLOOKUP(Tabla3[[#This Row],[Site]],Table35[#All],4,FALSE)</f>
        <v>-</v>
      </c>
      <c r="O407" s="34" t="str">
        <f>VLOOKUP(Tabla3[[#This Row],[Site]],Table35[#All],5,FALSE)</f>
        <v>-</v>
      </c>
      <c r="P407" s="34" t="str">
        <f>VLOOKUP(Tabla3[[#This Row],[Site]],Table35[#All],6,FALSE)</f>
        <v>2, 6, 18, 20</v>
      </c>
      <c r="Q407" s="34" t="str">
        <f>VLOOKUP(Tabla3[[#This Row],[Site]],Table35[#All],8,FALSE)</f>
        <v>334</v>
      </c>
      <c r="R407"/>
    </row>
    <row r="408" spans="1:18" hidden="1" x14ac:dyDescent="0.25">
      <c r="A408" t="str">
        <f>+Tabla3[[#This Row],[Site]]&amp;Tabla3[[#This Row],[Split]]</f>
        <v>(AS) Koons Volvo Cars White Marsh (NO TOURS)7</v>
      </c>
      <c r="B408">
        <v>7</v>
      </c>
      <c r="C408">
        <v>7</v>
      </c>
      <c r="D408" t="s">
        <v>376</v>
      </c>
      <c r="E408" t="str">
        <f>VLOOKUP(Tabla3[[#This Row],[Site]],Table35[],10,FALSE)</f>
        <v>9:00 P.M.</v>
      </c>
      <c r="F408" t="str">
        <f>VLOOKUP(Tabla3[[#This Row],[Site]],Table35[],11,FALSE)</f>
        <v>ET</v>
      </c>
      <c r="G408" t="str">
        <f>VLOOKUP(Tabla3[[#This Row],[Site]],Table35[],12,FALSE)</f>
        <v>5:00 A.M.</v>
      </c>
      <c r="H408" s="1" t="s">
        <v>96</v>
      </c>
      <c r="I408" s="70" t="str">
        <f>HYPERLINK(VLOOKUP(Tabla3[[#This Row],[Site]],Table35[#All],9,FALSE))</f>
        <v>https://tools.sig.systems/site/details/338</v>
      </c>
      <c r="J408">
        <f>VLOOKUP(Tabla3[[#This Row],[Site]],Table35[],14,FALSE)</f>
        <v>0</v>
      </c>
      <c r="L408" s="34" t="str">
        <f>VLOOKUP(Tabla3[[#This Row],[Site]],Table35[#All],2,FALSE)</f>
        <v>-</v>
      </c>
      <c r="M408" s="34" t="str">
        <f>VLOOKUP(Tabla3[[#This Row],[Site]],Table35[#All],3,FALSE)</f>
        <v>5, 7, 9</v>
      </c>
      <c r="N408" s="34" t="str">
        <f>VLOOKUP(Tabla3[[#This Row],[Site]],Table35[#All],4,FALSE)</f>
        <v>-</v>
      </c>
      <c r="O408" s="34" t="str">
        <f>VLOOKUP(Tabla3[[#This Row],[Site]],Table35[#All],5,FALSE)</f>
        <v>-</v>
      </c>
      <c r="P408" s="34" t="str">
        <f>VLOOKUP(Tabla3[[#This Row],[Site]],Table35[#All],6,FALSE)</f>
        <v>6, 10, 1</v>
      </c>
      <c r="Q408" s="34" t="str">
        <f>VLOOKUP(Tabla3[[#This Row],[Site]],Table35[#All],8,FALSE)</f>
        <v>338</v>
      </c>
      <c r="R408"/>
    </row>
    <row r="409" spans="1:18" hidden="1" x14ac:dyDescent="0.25">
      <c r="A409" t="str">
        <f>+Tabla3[[#This Row],[Site]]&amp;Tabla3[[#This Row],[Split]]</f>
        <v>(DT) Arlington7</v>
      </c>
      <c r="B409">
        <v>7</v>
      </c>
      <c r="C409">
        <v>7</v>
      </c>
      <c r="D409" t="s">
        <v>18</v>
      </c>
      <c r="E409" t="str">
        <f>VLOOKUP(Tabla3[[#This Row],[Site]],Table35[],10,FALSE)</f>
        <v>10:00 P.M.</v>
      </c>
      <c r="F409" t="str">
        <f>VLOOKUP(Tabla3[[#This Row],[Site]],Table35[],11,FALSE)</f>
        <v>CT</v>
      </c>
      <c r="G409" t="str">
        <f>VLOOKUP(Tabla3[[#This Row],[Site]],Table35[],12,FALSE)</f>
        <v>6:00 A.M.</v>
      </c>
      <c r="H409" s="1" t="s">
        <v>96</v>
      </c>
      <c r="I409" s="70" t="str">
        <f>HYPERLINK(VLOOKUP(Tabla3[[#This Row],[Site]],Table35[#All],9,FALSE))</f>
        <v>https://tools.sig.systems/site/details/199</v>
      </c>
      <c r="J409" t="str">
        <f>VLOOKUP(Tabla3[[#This Row],[Site]],Table35[],14,FALSE)</f>
        <v>-</v>
      </c>
      <c r="L409" s="34" t="str">
        <f>VLOOKUP(Tabla3[[#This Row],[Site]],Table35[#All],2,FALSE)</f>
        <v>3,8</v>
      </c>
      <c r="M409" s="34" t="str">
        <f>VLOOKUP(Tabla3[[#This Row],[Site]],Table35[#All],3,FALSE)</f>
        <v>-</v>
      </c>
      <c r="N409" s="34" t="str">
        <f>VLOOKUP(Tabla3[[#This Row],[Site]],Table35[#All],4,FALSE)</f>
        <v>-</v>
      </c>
      <c r="O409" s="34" t="str">
        <f>VLOOKUP(Tabla3[[#This Row],[Site]],Table35[#All],5,FALSE)</f>
        <v>-</v>
      </c>
      <c r="P409" s="34" t="str">
        <f>VLOOKUP(Tabla3[[#This Row],[Site]],Table35[#All],6,FALSE)</f>
        <v>3, 8, 7</v>
      </c>
      <c r="Q409" s="34" t="str">
        <f>VLOOKUP(Tabla3[[#This Row],[Site]],Table35[#All],8,FALSE)</f>
        <v>199</v>
      </c>
      <c r="R409"/>
    </row>
    <row r="410" spans="1:18" hidden="1" x14ac:dyDescent="0.25">
      <c r="A410" t="str">
        <f>+Tabla3[[#This Row],[Site]]&amp;Tabla3[[#This Row],[Split]]</f>
        <v>(KG) Big Star Cadillac7</v>
      </c>
      <c r="B410">
        <v>7</v>
      </c>
      <c r="C410">
        <v>7</v>
      </c>
      <c r="D410" t="s">
        <v>240</v>
      </c>
      <c r="E410" t="str">
        <f>VLOOKUP(Tabla3[[#This Row],[Site]],Table35[],10,FALSE)</f>
        <v>10:00 P.M.</v>
      </c>
      <c r="F410" t="str">
        <f>VLOOKUP(Tabla3[[#This Row],[Site]],Table35[],11,FALSE)</f>
        <v>CT</v>
      </c>
      <c r="G410" t="str">
        <f>VLOOKUP(Tabla3[[#This Row],[Site]],Table35[],12,FALSE)</f>
        <v>6:00 A.M.</v>
      </c>
      <c r="H410" s="1" t="s">
        <v>96</v>
      </c>
      <c r="I410" s="70" t="str">
        <f>HYPERLINK(VLOOKUP(Tabla3[[#This Row],[Site]],Table35[#All],9,FALSE))</f>
        <v>https://tools.sig.systems/site/details/316</v>
      </c>
      <c r="J410" t="str">
        <f>VLOOKUP(Tabla3[[#This Row],[Site]],Table35[],14,FALSE)</f>
        <v>https://www.google.com/maps/d/edit?mid=1jIRkMUnWNPuTgDjQgDP-f33LClT85NU&amp;usp=sharing</v>
      </c>
      <c r="L410" s="34" t="str">
        <f>VLOOKUP(Tabla3[[#This Row],[Site]],Table35[#All],2,FALSE)</f>
        <v>1, 4, 16</v>
      </c>
      <c r="M410" s="34" t="str">
        <f>VLOOKUP(Tabla3[[#This Row],[Site]],Table35[#All],3,FALSE)</f>
        <v>-</v>
      </c>
      <c r="N410" s="34" t="str">
        <f>VLOOKUP(Tabla3[[#This Row],[Site]],Table35[#All],4,FALSE)</f>
        <v>-</v>
      </c>
      <c r="O410" s="34" t="str">
        <f>VLOOKUP(Tabla3[[#This Row],[Site]],Table35[#All],5,FALSE)</f>
        <v>-</v>
      </c>
      <c r="P410" s="34" t="str">
        <f>VLOOKUP(Tabla3[[#This Row],[Site]],Table35[#All],6,FALSE)</f>
        <v>15, 16, 19, 20</v>
      </c>
      <c r="Q410" s="34" t="str">
        <f>VLOOKUP(Tabla3[[#This Row],[Site]],Table35[#All],8,FALSE)</f>
        <v>316</v>
      </c>
      <c r="R410"/>
    </row>
    <row r="411" spans="1:18" hidden="1" x14ac:dyDescent="0.25">
      <c r="A411" t="str">
        <f>+Tabla3[[#This Row],[Site]]&amp;Tabla3[[#This Row],[Split]]</f>
        <v>(LT) Luther Brookdale Honda (NO TOURS)7</v>
      </c>
      <c r="B411">
        <v>7</v>
      </c>
      <c r="C411">
        <v>7</v>
      </c>
      <c r="D411" t="s">
        <v>274</v>
      </c>
      <c r="E411" t="str">
        <f>VLOOKUP(Tabla3[[#This Row],[Site]],Table35[],10,FALSE)</f>
        <v>7:00 P.M.</v>
      </c>
      <c r="F411" t="str">
        <f>VLOOKUP(Tabla3[[#This Row],[Site]],Table35[],11,FALSE)</f>
        <v>CT</v>
      </c>
      <c r="G411" t="str">
        <f>VLOOKUP(Tabla3[[#This Row],[Site]],Table35[],12,FALSE)</f>
        <v>6:00 A.M.</v>
      </c>
      <c r="H411" s="1" t="s">
        <v>71</v>
      </c>
      <c r="I411" s="70" t="str">
        <f>HYPERLINK(VLOOKUP(Tabla3[[#This Row],[Site]],Table35[#All],9,FALSE))</f>
        <v>https://tools.sig.systems/site/details/280</v>
      </c>
      <c r="J411" t="str">
        <f>VLOOKUP(Tabla3[[#This Row],[Site]],Table35[],14,FALSE)</f>
        <v>https://www.google.com/maps/d/viewer?mid=1ot0ILX76JMuvd9yMuqkb4_e0yH1n7TA&amp;ll=45.07815812965141%2C-93.33506855000002&amp;z=17</v>
      </c>
      <c r="L411" s="34" t="str">
        <f>VLOOKUP(Tabla3[[#This Row],[Site]],Table35[#All],2,FALSE)</f>
        <v>-</v>
      </c>
      <c r="M411" s="34" t="str">
        <f>VLOOKUP(Tabla3[[#This Row],[Site]],Table35[#All],3,FALSE)</f>
        <v>1, 21</v>
      </c>
      <c r="N411" s="34" t="str">
        <f>VLOOKUP(Tabla3[[#This Row],[Site]],Table35[#All],4,FALSE)</f>
        <v>38, 39, 40</v>
      </c>
      <c r="O411" s="34" t="str">
        <f>VLOOKUP(Tabla3[[#This Row],[Site]],Table35[#All],5,FALSE)</f>
        <v>2, 10, 19</v>
      </c>
      <c r="P411" s="34" t="str">
        <f>VLOOKUP(Tabla3[[#This Row],[Site]],Table35[#All],6,FALSE)</f>
        <v>4, 5, 7, 11, 13, 20, 24, 36</v>
      </c>
      <c r="Q411" s="34" t="str">
        <f>VLOOKUP(Tabla3[[#This Row],[Site]],Table35[#All],8,FALSE)</f>
        <v>280</v>
      </c>
      <c r="R411"/>
    </row>
    <row r="412" spans="1:18" hidden="1" x14ac:dyDescent="0.25">
      <c r="A412" t="str">
        <f>+Tabla3[[#This Row],[Site]]&amp;Tabla3[[#This Row],[Split]]</f>
        <v>(ML) Joe Machens Hyundai7</v>
      </c>
      <c r="B412">
        <v>7</v>
      </c>
      <c r="C412">
        <v>7</v>
      </c>
      <c r="D412" t="s">
        <v>125</v>
      </c>
      <c r="E412" t="str">
        <f>VLOOKUP(Tabla3[[#This Row],[Site]],Table35[],10,FALSE)</f>
        <v>10:00 P.M.</v>
      </c>
      <c r="F412" t="str">
        <f>VLOOKUP(Tabla3[[#This Row],[Site]],Table35[],11,FALSE)</f>
        <v>CT</v>
      </c>
      <c r="G412" t="str">
        <f>VLOOKUP(Tabla3[[#This Row],[Site]],Table35[],12,FALSE)</f>
        <v>6:00 A.M.</v>
      </c>
      <c r="H412" s="1" t="s">
        <v>96</v>
      </c>
      <c r="I412" s="70" t="str">
        <f>HYPERLINK(VLOOKUP(Tabla3[[#This Row],[Site]],Table35[#All],9,FALSE))</f>
        <v>https://tools.sig.systems/site/details/286</v>
      </c>
      <c r="J412" t="str">
        <f>VLOOKUP(Tabla3[[#This Row],[Site]],Table35[],14,FALSE)</f>
        <v>https://www.google.com/maps/d/viewer?hl=es&amp;mid=1C1oZdjH3dNvCvqdpIv_Lk0Yn1OCVn-4&amp;ll=38.965368114274455%2C-92.3405954&amp;z=15</v>
      </c>
      <c r="L412" s="34" t="str">
        <f>VLOOKUP(Tabla3[[#This Row],[Site]],Table35[#All],2,FALSE)</f>
        <v>-</v>
      </c>
      <c r="M412" s="34" t="str">
        <f>VLOOKUP(Tabla3[[#This Row],[Site]],Table35[#All],3,FALSE)</f>
        <v>3, 4, 14, 25</v>
      </c>
      <c r="N412" s="34" t="str">
        <f>VLOOKUP(Tabla3[[#This Row],[Site]],Table35[#All],4,FALSE)</f>
        <v>-</v>
      </c>
      <c r="O412" s="34">
        <f>VLOOKUP(Tabla3[[#This Row],[Site]],Table35[#All],5,FALSE)</f>
        <v>17</v>
      </c>
      <c r="P412" s="34" t="str">
        <f>VLOOKUP(Tabla3[[#This Row],[Site]],Table35[#All],6,FALSE)</f>
        <v>1, 11, 12, 13, 15</v>
      </c>
      <c r="Q412" s="34" t="str">
        <f>VLOOKUP(Tabla3[[#This Row],[Site]],Table35[#All],8,FALSE)</f>
        <v>286</v>
      </c>
      <c r="R412"/>
    </row>
    <row r="413" spans="1:18" hidden="1" x14ac:dyDescent="0.25">
      <c r="A413" t="str">
        <f>+Tabla3[[#This Row],[Site]]&amp;Tabla3[[#This Row],[Split]]</f>
        <v>(PE) MB of Greenwich7</v>
      </c>
      <c r="B413">
        <v>7</v>
      </c>
      <c r="C413">
        <v>7</v>
      </c>
      <c r="D413" t="s">
        <v>121</v>
      </c>
      <c r="E413" t="str">
        <f>VLOOKUP(Tabla3[[#This Row],[Site]],Table35[],10,FALSE)</f>
        <v>8:00 P.M.</v>
      </c>
      <c r="F413" t="str">
        <f>VLOOKUP(Tabla3[[#This Row],[Site]],Table35[],11,FALSE)</f>
        <v>ET</v>
      </c>
      <c r="G413" t="str">
        <f>VLOOKUP(Tabla3[[#This Row],[Site]],Table35[],12,FALSE)</f>
        <v>5:00 A.M.</v>
      </c>
      <c r="H413" s="1" t="s">
        <v>96</v>
      </c>
      <c r="I413" s="70" t="str">
        <f>HYPERLINK(VLOOKUP(Tabla3[[#This Row],[Site]],Table35[#All],9,FALSE))</f>
        <v>https://tools.sig.systems/site/details/188</v>
      </c>
      <c r="J413" t="str">
        <f>VLOOKUP(Tabla3[[#This Row],[Site]],Table35[],14,FALSE)</f>
        <v>https://www.google.com/maps/d/edit?hl=en&amp;mid=1UHmt7tH1ihTa85i0MfQIcTfVvIQg_vM&amp;ll=41.02423447529239%2C-73.63721502222738&amp;z=18</v>
      </c>
      <c r="L413" s="34" t="str">
        <f>VLOOKUP(Tabla3[[#This Row],[Site]],Table35[#All],2,FALSE)</f>
        <v>1, 2, 8</v>
      </c>
      <c r="M413" s="34" t="str">
        <f>VLOOKUP(Tabla3[[#This Row],[Site]],Table35[#All],3,FALSE)</f>
        <v>13, 14, 20, 26, 40</v>
      </c>
      <c r="N413" s="34" t="str">
        <f>VLOOKUP(Tabla3[[#This Row],[Site]],Table35[#All],4,FALSE)</f>
        <v>-</v>
      </c>
      <c r="O413" s="34" t="str">
        <f>VLOOKUP(Tabla3[[#This Row],[Site]],Table35[#All],5,FALSE)</f>
        <v>-</v>
      </c>
      <c r="P413" s="34">
        <f>VLOOKUP(Tabla3[[#This Row],[Site]],Table35[#All],6,FALSE)</f>
        <v>29</v>
      </c>
      <c r="Q413" s="34" t="str">
        <f>VLOOKUP(Tabla3[[#This Row],[Site]],Table35[#All],8,FALSE)</f>
        <v>188</v>
      </c>
      <c r="R413"/>
    </row>
    <row r="414" spans="1:18" hidden="1" x14ac:dyDescent="0.25">
      <c r="A414" t="str">
        <f>+Tabla3[[#This Row],[Site]]&amp;Tabla3[[#This Row],[Split]]</f>
        <v>Mario Residence7</v>
      </c>
      <c r="B414">
        <v>7</v>
      </c>
      <c r="C414">
        <v>7</v>
      </c>
      <c r="D414" t="s">
        <v>100</v>
      </c>
      <c r="E414" t="str">
        <f>VLOOKUP(Tabla3[[#This Row],[Site]],Table35[],10,FALSE)</f>
        <v>24H</v>
      </c>
      <c r="F414" t="str">
        <f>VLOOKUP(Tabla3[[#This Row],[Site]],Table35[],11,FALSE)</f>
        <v>ET</v>
      </c>
      <c r="G414" t="str">
        <f>VLOOKUP(Tabla3[[#This Row],[Site]],Table35[],12,FALSE)</f>
        <v>-</v>
      </c>
      <c r="H414" s="1" t="s">
        <v>69</v>
      </c>
      <c r="I414" s="70" t="str">
        <f>HYPERLINK(VLOOKUP(Tabla3[[#This Row],[Site]],Table35[#All],9,FALSE))</f>
        <v>https://tools.sig.systems/site/details/148</v>
      </c>
      <c r="J414" t="str">
        <f>VLOOKUP(Tabla3[[#This Row],[Site]],Table35[],14,FALSE)</f>
        <v>https://www.google.com/maps/d/edit?hl=es&amp;mid=13OmECPqyeB7fXgZmEoM9cnG34HU_v5g&amp;ll=26.046837034777553%2C-80.38753458591658&amp;z=19</v>
      </c>
      <c r="L414" s="34" t="str">
        <f>VLOOKUP(Tabla3[[#This Row],[Site]],Table35[#All],2,FALSE)</f>
        <v>7, 8</v>
      </c>
      <c r="M414" s="34" t="str">
        <f>VLOOKUP(Tabla3[[#This Row],[Site]],Table35[#All],3,FALSE)</f>
        <v>7, 8</v>
      </c>
      <c r="N414" s="34" t="str">
        <f>VLOOKUP(Tabla3[[#This Row],[Site]],Table35[#All],4,FALSE)</f>
        <v>-</v>
      </c>
      <c r="O414" s="34" t="str">
        <f>VLOOKUP(Tabla3[[#This Row],[Site]],Table35[#All],5,FALSE)</f>
        <v>-</v>
      </c>
      <c r="P414" s="34" t="str">
        <f>VLOOKUP(Tabla3[[#This Row],[Site]],Table35[#All],6,FALSE)</f>
        <v>4,12,13</v>
      </c>
      <c r="Q414" s="34" t="str">
        <f>VLOOKUP(Tabla3[[#This Row],[Site]],Table35[#All],8,FALSE)</f>
        <v>148</v>
      </c>
      <c r="R414"/>
    </row>
    <row r="415" spans="1:18" hidden="1" x14ac:dyDescent="0.25">
      <c r="A415" t="str">
        <f>+Tabla3[[#This Row],[Site]]&amp;Tabla3[[#This Row],[Split]]</f>
        <v>(AS) 3281 Storage Lot (NO TOURS)8</v>
      </c>
      <c r="B415">
        <v>8</v>
      </c>
      <c r="C415">
        <v>1</v>
      </c>
      <c r="D415" t="s">
        <v>378</v>
      </c>
      <c r="E415" t="str">
        <f>VLOOKUP(Tabla3[[#This Row],[Site]],Table35[],10,FALSE)</f>
        <v>10:00 P.M.</v>
      </c>
      <c r="F415" t="str">
        <f>VLOOKUP(Tabla3[[#This Row],[Site]],Table35[],11,FALSE)</f>
        <v>CT</v>
      </c>
      <c r="G415" t="str">
        <f>VLOOKUP(Tabla3[[#This Row],[Site]],Table35[],12,FALSE)</f>
        <v>6:00 A.M.</v>
      </c>
      <c r="H415" s="1" t="s">
        <v>96</v>
      </c>
      <c r="I415" s="70" t="str">
        <f>HYPERLINK(VLOOKUP(Tabla3[[#This Row],[Site]],Table35[#All],9,FALSE))</f>
        <v>https://tools.sig.systems/site/details/305</v>
      </c>
      <c r="J415" t="str">
        <f>VLOOKUP(Tabla3[[#This Row],[Site]],Table35[],14,FALSE)</f>
        <v>https://www.google.com/maps/d/edit?hl=es&amp;mid=1uPmsRMsXnp74hPFW2t-sp2totVWF_xY&amp;ll=32.83050137713022%2C-96.83197783061323&amp;z=17</v>
      </c>
      <c r="L415" s="34" t="str">
        <f>VLOOKUP(Tabla3[[#This Row],[Site]],Table35[#All],2,FALSE)</f>
        <v>-</v>
      </c>
      <c r="M415" s="34" t="str">
        <f>VLOOKUP(Tabla3[[#This Row],[Site]],Table35[#All],3,FALSE)</f>
        <v>2, 14</v>
      </c>
      <c r="N415" s="34" t="str">
        <f>VLOOKUP(Tabla3[[#This Row],[Site]],Table35[#All],4,FALSE)</f>
        <v>-</v>
      </c>
      <c r="O415" s="34" t="str">
        <f>VLOOKUP(Tabla3[[#This Row],[Site]],Table35[#All],5,FALSE)</f>
        <v>-</v>
      </c>
      <c r="P415" s="34" t="str">
        <f>VLOOKUP(Tabla3[[#This Row],[Site]],Table35[#All],6,FALSE)</f>
        <v>1, 3, 9, 10, 14</v>
      </c>
      <c r="Q415" s="34">
        <f>VLOOKUP(Tabla3[[#This Row],[Site]],Table35[#All],8,FALSE)</f>
        <v>305</v>
      </c>
      <c r="R415"/>
    </row>
    <row r="416" spans="1:18" hidden="1" x14ac:dyDescent="0.25">
      <c r="A416" t="str">
        <f>+Tabla3[[#This Row],[Site]]&amp;Tabla3[[#This Row],[Split]]</f>
        <v>(AS) Koons Chevrolet Buick GMC - Clarksville (NO TOURS)8</v>
      </c>
      <c r="B416">
        <v>8</v>
      </c>
      <c r="C416">
        <v>1</v>
      </c>
      <c r="D416" t="s">
        <v>382</v>
      </c>
      <c r="E416" t="str">
        <f>VLOOKUP(Tabla3[[#This Row],[Site]],Table35[],10,FALSE)</f>
        <v>9:00 P.M.</v>
      </c>
      <c r="F416" t="str">
        <f>VLOOKUP(Tabla3[[#This Row],[Site]],Table35[],11,FALSE)</f>
        <v>ET</v>
      </c>
      <c r="G416" t="str">
        <f>VLOOKUP(Tabla3[[#This Row],[Site]],Table35[],12,FALSE)</f>
        <v>5:00 A.M.</v>
      </c>
      <c r="H416" s="1" t="s">
        <v>68</v>
      </c>
      <c r="I416" s="70" t="str">
        <f>HYPERLINK(VLOOKUP(Tabla3[[#This Row],[Site]],Table35[#All],9,FALSE))</f>
        <v>https://tools.sig.systems/site/details/306</v>
      </c>
      <c r="J416" t="str">
        <f>VLOOKUP(Tabla3[[#This Row],[Site]],Table35[],14,FALSE)</f>
        <v>https://www.google.com/maps/d/edit?hl=es&amp;mid=11XB1lTSP7EcDCDvzypdUPWP6bWCNAEI&amp;ll=39.21145022420528%2C-76.94003711910554&amp;z=17</v>
      </c>
      <c r="L416" s="34" t="str">
        <f>VLOOKUP(Tabla3[[#This Row],[Site]],Table35[#All],2,FALSE)</f>
        <v>-</v>
      </c>
      <c r="M416" s="34" t="str">
        <f>VLOOKUP(Tabla3[[#This Row],[Site]],Table35[#All],3,FALSE)</f>
        <v>1, 22, 26, 28, 29</v>
      </c>
      <c r="N416" s="34" t="str">
        <f>VLOOKUP(Tabla3[[#This Row],[Site]],Table35[#All],4,FALSE)</f>
        <v>-</v>
      </c>
      <c r="O416" s="34" t="str">
        <f>VLOOKUP(Tabla3[[#This Row],[Site]],Table35[#All],5,FALSE)</f>
        <v>-</v>
      </c>
      <c r="P416" s="34" t="str">
        <f>VLOOKUP(Tabla3[[#This Row],[Site]],Table35[#All],6,FALSE)</f>
        <v>3, 11, 15, 23</v>
      </c>
      <c r="Q416" s="34" t="str">
        <f>VLOOKUP(Tabla3[[#This Row],[Site]],Table35[#All],8,FALSE)</f>
        <v>306</v>
      </c>
      <c r="R416"/>
    </row>
    <row r="417" spans="1:18" hidden="1" x14ac:dyDescent="0.25">
      <c r="A417" t="str">
        <f>+Tabla3[[#This Row],[Site]]&amp;Tabla3[[#This Row],[Split]]</f>
        <v>(AS) Koons Easton Toyota - Main Dealership (NO TOURS)8</v>
      </c>
      <c r="B417">
        <v>8</v>
      </c>
      <c r="C417">
        <v>1</v>
      </c>
      <c r="D417" t="s">
        <v>426</v>
      </c>
      <c r="E417" t="str">
        <f>VLOOKUP(Tabla3[[#This Row],[Site]],Table35[],10,FALSE)</f>
        <v>9:00 P.M.</v>
      </c>
      <c r="F417" t="str">
        <f>VLOOKUP(Tabla3[[#This Row],[Site]],Table35[],11,FALSE)</f>
        <v>ET</v>
      </c>
      <c r="G417" t="str">
        <f>VLOOKUP(Tabla3[[#This Row],[Site]],Table35[],12,FALSE)</f>
        <v>5:00 A.M.</v>
      </c>
      <c r="H417" s="62" t="s">
        <v>96</v>
      </c>
      <c r="I417" s="70" t="str">
        <f>HYPERLINK(VLOOKUP(Tabla3[[#This Row],[Site]],Table35[#All],9,FALSE))</f>
        <v>https://tools.sig.systems/site/details/340</v>
      </c>
      <c r="J417" t="str">
        <f>VLOOKUP(Tabla3[[#This Row],[Site]],Table35[],14,FALSE)</f>
        <v>-</v>
      </c>
      <c r="L417" s="34" t="str">
        <f>VLOOKUP(Tabla3[[#This Row],[Site]],Table35[#All],2,FALSE)</f>
        <v>-</v>
      </c>
      <c r="M417" s="34" t="str">
        <f>VLOOKUP(Tabla3[[#This Row],[Site]],Table35[#All],3,FALSE)</f>
        <v>4, 5</v>
      </c>
      <c r="N417" s="34" t="str">
        <f>VLOOKUP(Tabla3[[#This Row],[Site]],Table35[#All],4,FALSE)</f>
        <v>-</v>
      </c>
      <c r="O417" s="34" t="str">
        <f>VLOOKUP(Tabla3[[#This Row],[Site]],Table35[#All],5,FALSE)</f>
        <v>-</v>
      </c>
      <c r="P417" s="34" t="str">
        <f>VLOOKUP(Tabla3[[#This Row],[Site]],Table35[#All],6,FALSE)</f>
        <v>8, 15</v>
      </c>
      <c r="Q417" s="34" t="str">
        <f>VLOOKUP(Tabla3[[#This Row],[Site]],Table35[#All],8,FALSE)</f>
        <v>340</v>
      </c>
      <c r="R417"/>
    </row>
    <row r="418" spans="1:18" hidden="1" x14ac:dyDescent="0.25">
      <c r="A418" t="str">
        <f>+Tabla3[[#This Row],[Site]]&amp;Tabla3[[#This Row],[Split]]</f>
        <v>(AS) Plaza Mercedes Benz West (NO TOURS)8</v>
      </c>
      <c r="B418">
        <v>8</v>
      </c>
      <c r="C418">
        <v>1</v>
      </c>
      <c r="D418" t="s">
        <v>396</v>
      </c>
      <c r="E418" t="str">
        <f>VLOOKUP(Tabla3[[#This Row],[Site]],Table35[],10,FALSE)</f>
        <v>10:00 P.M.</v>
      </c>
      <c r="F418" t="str">
        <f>VLOOKUP(Tabla3[[#This Row],[Site]],Table35[],11,FALSE)</f>
        <v>CT</v>
      </c>
      <c r="G418" t="str">
        <f>VLOOKUP(Tabla3[[#This Row],[Site]],Table35[],12,FALSE)</f>
        <v>6:00 A.M.</v>
      </c>
      <c r="H418" s="1" t="s">
        <v>96</v>
      </c>
      <c r="I418" s="70" t="str">
        <f>HYPERLINK(VLOOKUP(Tabla3[[#This Row],[Site]],Table35[#All],9,FALSE))</f>
        <v>https://tools.sig.systems/site/details/349</v>
      </c>
      <c r="J418" t="str">
        <f>VLOOKUP(Tabla3[[#This Row],[Site]],Table35[],14,FALSE)</f>
        <v>-</v>
      </c>
      <c r="L418" s="34" t="str">
        <f>VLOOKUP(Tabla3[[#This Row],[Site]],Table35[#All],2,FALSE)</f>
        <v>-</v>
      </c>
      <c r="M418" s="34" t="str">
        <f>VLOOKUP(Tabla3[[#This Row],[Site]],Table35[#All],3,FALSE)</f>
        <v>1, 7</v>
      </c>
      <c r="N418" s="34" t="str">
        <f>VLOOKUP(Tabla3[[#This Row],[Site]],Table35[#All],4,FALSE)</f>
        <v>-</v>
      </c>
      <c r="O418" s="34">
        <f>VLOOKUP(Tabla3[[#This Row],[Site]],Table35[#All],5,FALSE)</f>
        <v>17</v>
      </c>
      <c r="P418" s="34" t="str">
        <f>VLOOKUP(Tabla3[[#This Row],[Site]],Table35[#All],6,FALSE)</f>
        <v>6, 21</v>
      </c>
      <c r="Q418" s="34" t="str">
        <f>VLOOKUP(Tabla3[[#This Row],[Site]],Table35[#All],8,FALSE)</f>
        <v>349</v>
      </c>
      <c r="R418"/>
    </row>
    <row r="419" spans="1:18" hidden="1" x14ac:dyDescent="0.25">
      <c r="A419" t="str">
        <f>+Tabla3[[#This Row],[Site]]&amp;Tabla3[[#This Row],[Split]]</f>
        <v>(DT) Charlotte8</v>
      </c>
      <c r="B419">
        <v>8</v>
      </c>
      <c r="C419">
        <v>1</v>
      </c>
      <c r="D419" t="s">
        <v>151</v>
      </c>
      <c r="E419" t="str">
        <f>VLOOKUP(Tabla3[[#This Row],[Site]],Table35[],10,FALSE)</f>
        <v>9:00 P.M.</v>
      </c>
      <c r="F419" t="str">
        <f>VLOOKUP(Tabla3[[#This Row],[Site]],Table35[],11,FALSE)</f>
        <v>ET</v>
      </c>
      <c r="G419" t="str">
        <f>VLOOKUP(Tabla3[[#This Row],[Site]],Table35[],12,FALSE)</f>
        <v>5:00 A.M.</v>
      </c>
      <c r="H419" s="1" t="s">
        <v>96</v>
      </c>
      <c r="I419" s="70" t="str">
        <f>HYPERLINK(VLOOKUP(Tabla3[[#This Row],[Site]],Table35[#All],9,FALSE))</f>
        <v>https://tools.sig.systems/site/details/299</v>
      </c>
      <c r="J419">
        <f>VLOOKUP(Tabla3[[#This Row],[Site]],Table35[],14,FALSE)</f>
        <v>0</v>
      </c>
      <c r="L419" s="34" t="str">
        <f>VLOOKUP(Tabla3[[#This Row],[Site]],Table35[#All],2,FALSE)</f>
        <v>4, 25, 41</v>
      </c>
      <c r="M419" s="34" t="str">
        <f>VLOOKUP(Tabla3[[#This Row],[Site]],Table35[#All],3,FALSE)</f>
        <v>-</v>
      </c>
      <c r="N419" s="34" t="str">
        <f>VLOOKUP(Tabla3[[#This Row],[Site]],Table35[#All],4,FALSE)</f>
        <v>-</v>
      </c>
      <c r="O419" s="34" t="str">
        <f>VLOOKUP(Tabla3[[#This Row],[Site]],Table35[#All],5,FALSE)</f>
        <v xml:space="preserve">11, 32, 35 </v>
      </c>
      <c r="P419" s="34" t="str">
        <f>VLOOKUP(Tabla3[[#This Row],[Site]],Table35[#All],6,FALSE)</f>
        <v>6, 11, 18, 29, 34,  38, 39</v>
      </c>
      <c r="Q419" s="34" t="str">
        <f>VLOOKUP(Tabla3[[#This Row],[Site]],Table35[#All],8,FALSE)</f>
        <v>299</v>
      </c>
      <c r="R419"/>
    </row>
    <row r="420" spans="1:18" hidden="1" x14ac:dyDescent="0.25">
      <c r="A420" t="str">
        <f>+Tabla3[[#This Row],[Site]]&amp;Tabla3[[#This Row],[Split]]</f>
        <v>(LT) Luther Brookdale Toyota8</v>
      </c>
      <c r="B420">
        <v>8</v>
      </c>
      <c r="C420">
        <v>1</v>
      </c>
      <c r="D420" t="s">
        <v>126</v>
      </c>
      <c r="E420" t="str">
        <f>VLOOKUP(Tabla3[[#This Row],[Site]],Table35[],10,FALSE)</f>
        <v>7:00 P.M.</v>
      </c>
      <c r="F420" t="str">
        <f>VLOOKUP(Tabla3[[#This Row],[Site]],Table35[],11,FALSE)</f>
        <v>CT</v>
      </c>
      <c r="G420" t="str">
        <f>VLOOKUP(Tabla3[[#This Row],[Site]],Table35[],12,FALSE)</f>
        <v>5:00 A.M.</v>
      </c>
      <c r="H420" s="1" t="s">
        <v>96</v>
      </c>
      <c r="I420" s="70" t="str">
        <f>HYPERLINK(VLOOKUP(Tabla3[[#This Row],[Site]],Table35[#All],9,FALSE))</f>
        <v>https://tools.sig.systems/site/details/281</v>
      </c>
      <c r="J420" t="str">
        <f>VLOOKUP(Tabla3[[#This Row],[Site]],Table35[],14,FALSE)</f>
        <v>https://www.google.com/maps/d/viewer?mid=1ot0ILX76JMuvd9yMuqkb4_e0yH1n7TA&amp;ll=45.07815812965141%2C-93.33506855000002&amp;z=17</v>
      </c>
      <c r="L420" s="34" t="str">
        <f>VLOOKUP(Tabla3[[#This Row],[Site]],Table35[#All],2,FALSE)</f>
        <v>-</v>
      </c>
      <c r="M420" s="34" t="str">
        <f>VLOOKUP(Tabla3[[#This Row],[Site]],Table35[#All],3,FALSE)</f>
        <v>5, 7</v>
      </c>
      <c r="N420" s="34">
        <f>VLOOKUP(Tabla3[[#This Row],[Site]],Table35[#All],4,FALSE)</f>
        <v>29</v>
      </c>
      <c r="O420" s="34">
        <f>VLOOKUP(Tabla3[[#This Row],[Site]],Table35[#All],5,FALSE)</f>
        <v>20</v>
      </c>
      <c r="P420" s="34" t="str">
        <f>VLOOKUP(Tabla3[[#This Row],[Site]],Table35[#All],6,FALSE)</f>
        <v xml:space="preserve">1, 2, 4, 10, 18, 24, 25 </v>
      </c>
      <c r="Q420" s="34" t="str">
        <f>VLOOKUP(Tabla3[[#This Row],[Site]],Table35[#All],8,FALSE)</f>
        <v>281</v>
      </c>
      <c r="R420"/>
    </row>
    <row r="421" spans="1:18" hidden="1" x14ac:dyDescent="0.25">
      <c r="A421" t="str">
        <f>+Tabla3[[#This Row],[Site]]&amp;Tabla3[[#This Row],[Split]]</f>
        <v>(LT) Luther Burnsville Hyundai8</v>
      </c>
      <c r="B421">
        <v>8</v>
      </c>
      <c r="C421">
        <v>1</v>
      </c>
      <c r="D421" t="s">
        <v>284</v>
      </c>
      <c r="E421" t="str">
        <f>VLOOKUP(Tabla3[[#This Row],[Site]],Table35[],10,FALSE)</f>
        <v>10:00 P.M.</v>
      </c>
      <c r="F421" t="str">
        <f>VLOOKUP(Tabla3[[#This Row],[Site]],Table35[],11,FALSE)</f>
        <v>CT</v>
      </c>
      <c r="G421" t="str">
        <f>VLOOKUP(Tabla3[[#This Row],[Site]],Table35[],12,FALSE)</f>
        <v>6:00 A.M.</v>
      </c>
      <c r="I421" s="70" t="str">
        <f>HYPERLINK(VLOOKUP(Tabla3[[#This Row],[Site]],Table35[#All],9,FALSE))</f>
        <v>https://tools.sig.systems/site/details/307</v>
      </c>
      <c r="J421">
        <f>VLOOKUP(Tabla3[[#This Row],[Site]],Table35[],14,FALSE)</f>
        <v>0</v>
      </c>
      <c r="L421" s="34" t="str">
        <f>VLOOKUP(Tabla3[[#This Row],[Site]],Table35[#All],2,FALSE)</f>
        <v>-</v>
      </c>
      <c r="M421" s="34" t="str">
        <f>VLOOKUP(Tabla3[[#This Row],[Site]],Table35[#All],3,FALSE)</f>
        <v>6, 17</v>
      </c>
      <c r="N421" s="34" t="str">
        <f>VLOOKUP(Tabla3[[#This Row],[Site]],Table35[#All],4,FALSE)</f>
        <v>22, 21</v>
      </c>
      <c r="O421" s="34">
        <f>VLOOKUP(Tabla3[[#This Row],[Site]],Table35[#All],5,FALSE)</f>
        <v>7</v>
      </c>
      <c r="P421" s="34" t="str">
        <f>VLOOKUP(Tabla3[[#This Row],[Site]],Table35[#All],6,FALSE)</f>
        <v>2, 4, 16</v>
      </c>
      <c r="Q421" s="34" t="str">
        <f>VLOOKUP(Tabla3[[#This Row],[Site]],Table35[#All],8,FALSE)</f>
        <v>307</v>
      </c>
      <c r="R421"/>
    </row>
    <row r="422" spans="1:18" hidden="1" x14ac:dyDescent="0.25">
      <c r="A422" t="str">
        <f>+Tabla3[[#This Row],[Site]]&amp;Tabla3[[#This Row],[Split]]</f>
        <v>(PE) BMW Service Center (NO TOURS)8</v>
      </c>
      <c r="B422">
        <v>8</v>
      </c>
      <c r="C422">
        <v>1</v>
      </c>
      <c r="D422" t="s">
        <v>39</v>
      </c>
      <c r="E422" t="str">
        <f>VLOOKUP(Tabla3[[#This Row],[Site]],Table35[],10,FALSE)</f>
        <v>8:00 P.M.</v>
      </c>
      <c r="F422" t="str">
        <f>VLOOKUP(Tabla3[[#This Row],[Site]],Table35[],11,FALSE)</f>
        <v>ET</v>
      </c>
      <c r="G422" t="str">
        <f>VLOOKUP(Tabla3[[#This Row],[Site]],Table35[],12,FALSE)</f>
        <v>5:00 A.M.</v>
      </c>
      <c r="H422" s="62" t="s">
        <v>96</v>
      </c>
      <c r="I422" s="70" t="str">
        <f>HYPERLINK(VLOOKUP(Tabla3[[#This Row],[Site]],Table35[#All],9,FALSE))</f>
        <v>https://tools.sig.systems/site/details/184</v>
      </c>
      <c r="J422" t="str">
        <f>VLOOKUP(Tabla3[[#This Row],[Site]],Table35[],14,FALSE)</f>
        <v>https://www.google.com/maps/d/edit?hl=en&amp;mid=1UHmt7tH1ihTa85i0MfQIcTfVvIQg_vM&amp;ll=41.02423447529239%2C-73.63721502222738&amp;z=18</v>
      </c>
      <c r="L422" s="34">
        <f>VLOOKUP(Tabla3[[#This Row],[Site]],Table35[#All],2,FALSE)</f>
        <v>3</v>
      </c>
      <c r="M422" s="34" t="str">
        <f>VLOOKUP(Tabla3[[#This Row],[Site]],Table35[#All],3,FALSE)</f>
        <v>-</v>
      </c>
      <c r="N422" s="34" t="str">
        <f>VLOOKUP(Tabla3[[#This Row],[Site]],Table35[#All],4,FALSE)</f>
        <v>-</v>
      </c>
      <c r="O422" s="34" t="str">
        <f>VLOOKUP(Tabla3[[#This Row],[Site]],Table35[#All],5,FALSE)</f>
        <v>-</v>
      </c>
      <c r="P422" s="34" t="str">
        <f>VLOOKUP(Tabla3[[#This Row],[Site]],Table35[#All],6,FALSE)</f>
        <v xml:space="preserve">1, 2 </v>
      </c>
      <c r="Q422" s="34" t="str">
        <f>VLOOKUP(Tabla3[[#This Row],[Site]],Table35[#All],8,FALSE)</f>
        <v>184</v>
      </c>
      <c r="R422"/>
    </row>
    <row r="423" spans="1:18" hidden="1" x14ac:dyDescent="0.25">
      <c r="A423" t="str">
        <f>+Tabla3[[#This Row],[Site]]&amp;Tabla3[[#This Row],[Split]]</f>
        <v>(AS) Coggin BMW Ft. Pierce (NO TOURS)8</v>
      </c>
      <c r="B423">
        <v>8</v>
      </c>
      <c r="C423">
        <v>2</v>
      </c>
      <c r="D423" t="s">
        <v>122</v>
      </c>
      <c r="E423" t="str">
        <f>VLOOKUP(Tabla3[[#This Row],[Site]],Table35[],10,FALSE)</f>
        <v>9:00 P.M.</v>
      </c>
      <c r="F423" t="str">
        <f>VLOOKUP(Tabla3[[#This Row],[Site]],Table35[],11,FALSE)</f>
        <v>ET</v>
      </c>
      <c r="G423" t="str">
        <f>VLOOKUP(Tabla3[[#This Row],[Site]],Table35[],12,FALSE)</f>
        <v>5:00 A.M.</v>
      </c>
      <c r="H423" s="1" t="s">
        <v>69</v>
      </c>
      <c r="I423" s="70" t="str">
        <f>HYPERLINK(VLOOKUP(Tabla3[[#This Row],[Site]],Table35[#All],9,FALSE))</f>
        <v>https://tools.sig.systems/site/details/119</v>
      </c>
      <c r="J423" t="str">
        <f>VLOOKUP(Tabla3[[#This Row],[Site]],Table35[],14,FALSE)</f>
        <v>https://www.google.com/maps/d/viewer?mid=1AyViBuyeq7iwDua1SVudJ2A1BYi3IBA&amp;ll=27.38181516363982%2C-80.32568845000002&amp;z=18</v>
      </c>
      <c r="L423" s="34" t="str">
        <f>VLOOKUP(Tabla3[[#This Row],[Site]],Table35[#All],2,FALSE)</f>
        <v>3, 10, 13</v>
      </c>
      <c r="M423" s="34" t="str">
        <f>VLOOKUP(Tabla3[[#This Row],[Site]],Table35[#All],3,FALSE)</f>
        <v>-</v>
      </c>
      <c r="N423" s="34" t="str">
        <f>VLOOKUP(Tabla3[[#This Row],[Site]],Table35[#All],4,FALSE)</f>
        <v>-</v>
      </c>
      <c r="O423" s="34">
        <f>VLOOKUP(Tabla3[[#This Row],[Site]],Table35[#All],5,FALSE)</f>
        <v>2</v>
      </c>
      <c r="P423" s="34" t="str">
        <f>VLOOKUP(Tabla3[[#This Row],[Site]],Table35[#All],6,FALSE)</f>
        <v>1, 20, 27</v>
      </c>
      <c r="Q423" s="34" t="str">
        <f>VLOOKUP(Tabla3[[#This Row],[Site]],Table35[#All],8,FALSE)</f>
        <v>119</v>
      </c>
      <c r="R423"/>
    </row>
    <row r="424" spans="1:18" hidden="1" x14ac:dyDescent="0.25">
      <c r="A424" t="str">
        <f>+Tabla3[[#This Row],[Site]]&amp;Tabla3[[#This Row],[Split]]</f>
        <v>(AS) Koons Chevrolet Buick GMC - Clarksville Remote Lot (NO TOURS)8</v>
      </c>
      <c r="B424">
        <v>8</v>
      </c>
      <c r="C424">
        <v>2</v>
      </c>
      <c r="D424" t="s">
        <v>415</v>
      </c>
      <c r="E424" t="str">
        <f>VLOOKUP(Tabla3[[#This Row],[Site]],Table35[],10,FALSE)</f>
        <v>9:00 P.M.</v>
      </c>
      <c r="F424" t="str">
        <f>VLOOKUP(Tabla3[[#This Row],[Site]],Table35[],11,FALSE)</f>
        <v>ET</v>
      </c>
      <c r="G424" t="str">
        <f>VLOOKUP(Tabla3[[#This Row],[Site]],Table35[],12,FALSE)</f>
        <v>5:00 A.M.</v>
      </c>
      <c r="H424" s="1" t="s">
        <v>96</v>
      </c>
      <c r="I424" s="70" t="str">
        <f>HYPERLINK(VLOOKUP(Tabla3[[#This Row],[Site]],Table35[#All],9,FALSE))</f>
        <v>https://tools.sig.systems/site/details/308</v>
      </c>
      <c r="J424" t="str">
        <f>VLOOKUP(Tabla3[[#This Row],[Site]],Table35[],14,FALSE)</f>
        <v>https://www.google.com/maps/d/edit?hl=es&amp;mid=11XB1lTSP7EcDCDvzypdUPWP6bWCNAEI&amp;ll=39.21145022420528%2C-76.94003711910554&amp;z=21</v>
      </c>
      <c r="L424" s="34" t="str">
        <f>VLOOKUP(Tabla3[[#This Row],[Site]],Table35[#All],2,FALSE)</f>
        <v>-</v>
      </c>
      <c r="M424" s="34" t="str">
        <f>VLOOKUP(Tabla3[[#This Row],[Site]],Table35[#All],3,FALSE)</f>
        <v>1, 5</v>
      </c>
      <c r="N424" s="34" t="str">
        <f>VLOOKUP(Tabla3[[#This Row],[Site]],Table35[#All],4,FALSE)</f>
        <v>-</v>
      </c>
      <c r="O424" s="34" t="str">
        <f>VLOOKUP(Tabla3[[#This Row],[Site]],Table35[#All],5,FALSE)</f>
        <v>-</v>
      </c>
      <c r="P424" s="34" t="str">
        <f>VLOOKUP(Tabla3[[#This Row],[Site]],Table35[#All],6,FALSE)</f>
        <v>14, 16</v>
      </c>
      <c r="Q424" s="34" t="str">
        <f>VLOOKUP(Tabla3[[#This Row],[Site]],Table35[#All],8,FALSE)</f>
        <v>308</v>
      </c>
      <c r="R424"/>
    </row>
    <row r="425" spans="1:18" hidden="1" x14ac:dyDescent="0.25">
      <c r="A425" t="str">
        <f>+Tabla3[[#This Row],[Site]]&amp;Tabla3[[#This Row],[Split]]</f>
        <v>(AS) Koons Owings Mills Kia (NO TOURS)8</v>
      </c>
      <c r="B425">
        <v>8</v>
      </c>
      <c r="C425">
        <v>2</v>
      </c>
      <c r="D425" t="s">
        <v>416</v>
      </c>
      <c r="E425" t="str">
        <f>VLOOKUP(Tabla3[[#This Row],[Site]],Table35[],10,FALSE)</f>
        <v>9:00 P.M.</v>
      </c>
      <c r="F425" t="str">
        <f>VLOOKUP(Tabla3[[#This Row],[Site]],Table35[],11,FALSE)</f>
        <v>ET</v>
      </c>
      <c r="G425" t="str">
        <f>VLOOKUP(Tabla3[[#This Row],[Site]],Table35[],12,FALSE)</f>
        <v>5:00 A.M.</v>
      </c>
      <c r="H425" s="1" t="s">
        <v>96</v>
      </c>
      <c r="I425" s="70" t="str">
        <f>HYPERLINK(VLOOKUP(Tabla3[[#This Row],[Site]],Table35[#All],9,FALSE))</f>
        <v>https://tools.sig.systems/site/details/336</v>
      </c>
      <c r="J425" t="str">
        <f>VLOOKUP(Tabla3[[#This Row],[Site]],Table35[],14,FALSE)</f>
        <v>-</v>
      </c>
      <c r="L425" s="34">
        <f>VLOOKUP(Tabla3[[#This Row],[Site]],Table35[#All],2,FALSE)</f>
        <v>12</v>
      </c>
      <c r="M425" s="34" t="str">
        <f>VLOOKUP(Tabla3[[#This Row],[Site]],Table35[#All],3,FALSE)</f>
        <v>2, 18</v>
      </c>
      <c r="N425" s="34" t="str">
        <f>VLOOKUP(Tabla3[[#This Row],[Site]],Table35[#All],4,FALSE)</f>
        <v>-</v>
      </c>
      <c r="O425" s="34" t="str">
        <f>VLOOKUP(Tabla3[[#This Row],[Site]],Table35[#All],5,FALSE)</f>
        <v>-</v>
      </c>
      <c r="P425" s="34" t="str">
        <f>VLOOKUP(Tabla3[[#This Row],[Site]],Table35[#All],6,FALSE)</f>
        <v>7, 14</v>
      </c>
      <c r="Q425" s="34" t="str">
        <f>VLOOKUP(Tabla3[[#This Row],[Site]],Table35[#All],8,FALSE)</f>
        <v>336</v>
      </c>
      <c r="R425"/>
    </row>
    <row r="426" spans="1:18" hidden="1" x14ac:dyDescent="0.25">
      <c r="A426" t="str">
        <f>+Tabla3[[#This Row],[Site]]&amp;Tabla3[[#This Row],[Split]]</f>
        <v>(AS) Koons Westminster Toyota (NO TOURS)8</v>
      </c>
      <c r="B426">
        <v>8</v>
      </c>
      <c r="C426">
        <v>2</v>
      </c>
      <c r="D426" t="s">
        <v>421</v>
      </c>
      <c r="E426" t="str">
        <f>VLOOKUP(Tabla3[[#This Row],[Site]],Table35[],10,FALSE)</f>
        <v>9:00 P.M.</v>
      </c>
      <c r="F426" t="str">
        <f>VLOOKUP(Tabla3[[#This Row],[Site]],Table35[],11,FALSE)</f>
        <v>ET</v>
      </c>
      <c r="G426" t="str">
        <f>VLOOKUP(Tabla3[[#This Row],[Site]],Table35[],12,FALSE)</f>
        <v>5:00 A.M.</v>
      </c>
      <c r="H426" s="1" t="s">
        <v>96</v>
      </c>
      <c r="I426" s="70" t="str">
        <f>HYPERLINK(VLOOKUP(Tabla3[[#This Row],[Site]],Table35[#All],9,FALSE))</f>
        <v>https://tools.sig.systems/site/details/341</v>
      </c>
      <c r="J426" t="str">
        <f>VLOOKUP(Tabla3[[#This Row],[Site]],Table35[],14,FALSE)</f>
        <v>-</v>
      </c>
      <c r="L426" s="34" t="str">
        <f>VLOOKUP(Tabla3[[#This Row],[Site]],Table35[#All],2,FALSE)</f>
        <v>-</v>
      </c>
      <c r="M426" s="34" t="str">
        <f>VLOOKUP(Tabla3[[#This Row],[Site]],Table35[#All],3,FALSE)</f>
        <v>1, 10, 18, 25</v>
      </c>
      <c r="N426" s="34" t="str">
        <f>VLOOKUP(Tabla3[[#This Row],[Site]],Table35[#All],4,FALSE)</f>
        <v>-</v>
      </c>
      <c r="O426" s="34" t="str">
        <f>VLOOKUP(Tabla3[[#This Row],[Site]],Table35[#All],5,FALSE)</f>
        <v>-</v>
      </c>
      <c r="P426" s="34" t="str">
        <f>VLOOKUP(Tabla3[[#This Row],[Site]],Table35[#All],6,FALSE)</f>
        <v>8, 14</v>
      </c>
      <c r="Q426" s="34" t="str">
        <f>VLOOKUP(Tabla3[[#This Row],[Site]],Table35[#All],8,FALSE)</f>
        <v>341</v>
      </c>
      <c r="R426"/>
    </row>
    <row r="427" spans="1:18" hidden="1" x14ac:dyDescent="0.25">
      <c r="A427" t="str">
        <f>+Tabla3[[#This Row],[Site]]&amp;Tabla3[[#This Row],[Split]]</f>
        <v>(AS) Koons Woodbridge GMC (NO TOURS)8</v>
      </c>
      <c r="B427">
        <v>8</v>
      </c>
      <c r="C427">
        <v>2</v>
      </c>
      <c r="D427" t="s">
        <v>372</v>
      </c>
      <c r="E427" t="str">
        <f>VLOOKUP(Tabla3[[#This Row],[Site]],Table35[],10,FALSE)</f>
        <v>9:00 P.M.</v>
      </c>
      <c r="F427" t="str">
        <f>VLOOKUP(Tabla3[[#This Row],[Site]],Table35[],11,FALSE)</f>
        <v>ET</v>
      </c>
      <c r="G427" t="str">
        <f>VLOOKUP(Tabla3[[#This Row],[Site]],Table35[],12,FALSE)</f>
        <v>5:00 A.M.</v>
      </c>
      <c r="H427" s="1" t="s">
        <v>96</v>
      </c>
      <c r="I427" s="70" t="str">
        <f>HYPERLINK(VLOOKUP(Tabla3[[#This Row],[Site]],Table35[#All],9,FALSE))</f>
        <v>https://tools.sig.systems/site/details/343</v>
      </c>
      <c r="J427">
        <f>VLOOKUP(Tabla3[[#This Row],[Site]],Table35[],14,FALSE)</f>
        <v>0</v>
      </c>
      <c r="L427" s="34" t="str">
        <f>VLOOKUP(Tabla3[[#This Row],[Site]],Table35[#All],2,FALSE)</f>
        <v>-</v>
      </c>
      <c r="M427" s="34">
        <f>VLOOKUP(Tabla3[[#This Row],[Site]],Table35[#All],3,FALSE)</f>
        <v>1</v>
      </c>
      <c r="N427" s="34" t="str">
        <f>VLOOKUP(Tabla3[[#This Row],[Site]],Table35[#All],4,FALSE)</f>
        <v>-</v>
      </c>
      <c r="O427" s="34">
        <f>VLOOKUP(Tabla3[[#This Row],[Site]],Table35[#All],5,FALSE)</f>
        <v>11</v>
      </c>
      <c r="P427" s="34" t="str">
        <f>VLOOKUP(Tabla3[[#This Row],[Site]],Table35[#All],6,FALSE)</f>
        <v>2, 7</v>
      </c>
      <c r="Q427" s="34" t="str">
        <f>VLOOKUP(Tabla3[[#This Row],[Site]],Table35[#All],8,FALSE)</f>
        <v>343</v>
      </c>
      <c r="R427"/>
    </row>
    <row r="428" spans="1:18" hidden="1" x14ac:dyDescent="0.25">
      <c r="A428" t="str">
        <f>+Tabla3[[#This Row],[Site]]&amp;Tabla3[[#This Row],[Split]]</f>
        <v>(DT) Modesto8</v>
      </c>
      <c r="B428">
        <v>8</v>
      </c>
      <c r="C428">
        <v>2</v>
      </c>
      <c r="D428" t="s">
        <v>14</v>
      </c>
      <c r="E428" t="str">
        <f>VLOOKUP(Tabla3[[#This Row],[Site]],Table35[],10,FALSE)</f>
        <v>12:00 A.M.</v>
      </c>
      <c r="F428" t="str">
        <f>VLOOKUP(Tabla3[[#This Row],[Site]],Table35[],11,FALSE)</f>
        <v>PT</v>
      </c>
      <c r="G428" t="str">
        <f>VLOOKUP(Tabla3[[#This Row],[Site]],Table35[],12,FALSE)</f>
        <v>8:00 A.M.</v>
      </c>
      <c r="H428" s="1" t="s">
        <v>96</v>
      </c>
      <c r="I428" s="70" t="str">
        <f>HYPERLINK(VLOOKUP(Tabla3[[#This Row],[Site]],Table35[#All],9,FALSE))</f>
        <v>https://tools.sig.systems/site/details/267</v>
      </c>
      <c r="J428">
        <f>VLOOKUP(Tabla3[[#This Row],[Site]],Table35[],14,FALSE)</f>
        <v>0</v>
      </c>
      <c r="L428" s="34">
        <f>VLOOKUP(Tabla3[[#This Row],[Site]],Table35[#All],2,FALSE)</f>
        <v>10</v>
      </c>
      <c r="M428" s="34" t="str">
        <f>VLOOKUP(Tabla3[[#This Row],[Site]],Table35[#All],3,FALSE)</f>
        <v>5, 6</v>
      </c>
      <c r="N428" s="34" t="str">
        <f>VLOOKUP(Tabla3[[#This Row],[Site]],Table35[#All],4,FALSE)</f>
        <v>-</v>
      </c>
      <c r="O428" s="34" t="str">
        <f>VLOOKUP(Tabla3[[#This Row],[Site]],Table35[#All],5,FALSE)</f>
        <v>-</v>
      </c>
      <c r="P428" s="34" t="str">
        <f>VLOOKUP(Tabla3[[#This Row],[Site]],Table35[#All],6,FALSE)</f>
        <v>2, 3, 5, 10</v>
      </c>
      <c r="Q428" s="34" t="str">
        <f>VLOOKUP(Tabla3[[#This Row],[Site]],Table35[#All],8,FALSE)</f>
        <v>267</v>
      </c>
      <c r="R428"/>
    </row>
    <row r="429" spans="1:18" hidden="1" x14ac:dyDescent="0.25">
      <c r="A429" t="str">
        <f>+Tabla3[[#This Row],[Site]]&amp;Tabla3[[#This Row],[Split]]</f>
        <v>(KG) Ken Garff Kia of Avondale8</v>
      </c>
      <c r="B429">
        <v>8</v>
      </c>
      <c r="C429">
        <v>2</v>
      </c>
      <c r="D429" t="s">
        <v>300</v>
      </c>
      <c r="E429" t="str">
        <f>VLOOKUP(Tabla3[[#This Row],[Site]],Table35[],10,FALSE)</f>
        <v>12:00 A.M.</v>
      </c>
      <c r="F429" t="str">
        <f>VLOOKUP(Tabla3[[#This Row],[Site]],Table35[],11,FALSE)</f>
        <v>MST</v>
      </c>
      <c r="G429" t="str">
        <f>VLOOKUP(Tabla3[[#This Row],[Site]],Table35[],12,FALSE)</f>
        <v>8:00 A.M.</v>
      </c>
      <c r="H429" s="1" t="s">
        <v>96</v>
      </c>
      <c r="I429" s="70" t="str">
        <f>HYPERLINK(VLOOKUP(Tabla3[[#This Row],[Site]],Table35[#All],9,FALSE))</f>
        <v>https://tools.sig.systems/site/details/283</v>
      </c>
      <c r="J429" t="str">
        <f>VLOOKUP(Tabla3[[#This Row],[Site]],Table35[],14,FALSE)</f>
        <v>https://www.google.com/maps/d/viewer?mid=1bDs0QGFZwL3vEeGKxjVMk_j4azr0-lg&amp;ll=33.4593758581648%2C-112.28793780000001&amp;z=18</v>
      </c>
      <c r="L429" s="34" t="str">
        <f>VLOOKUP(Tabla3[[#This Row],[Site]],Table35[#All],2,FALSE)</f>
        <v>5, 19</v>
      </c>
      <c r="M429" s="34" t="str">
        <f>VLOOKUP(Tabla3[[#This Row],[Site]],Table35[#All],3,FALSE)</f>
        <v>-</v>
      </c>
      <c r="N429" s="34" t="str">
        <f>VLOOKUP(Tabla3[[#This Row],[Site]],Table35[#All],4,FALSE)</f>
        <v>-</v>
      </c>
      <c r="O429" s="34" t="str">
        <f>VLOOKUP(Tabla3[[#This Row],[Site]],Table35[#All],5,FALSE)</f>
        <v>3, 5</v>
      </c>
      <c r="P429" s="34" t="str">
        <f>VLOOKUP(Tabla3[[#This Row],[Site]],Table35[#All],6,FALSE)</f>
        <v>1, 6, 7, 12, 15, 17, 21</v>
      </c>
      <c r="Q429" s="34" t="str">
        <f>VLOOKUP(Tabla3[[#This Row],[Site]],Table35[#All],8,FALSE)</f>
        <v>283</v>
      </c>
      <c r="R429"/>
    </row>
    <row r="430" spans="1:18" hidden="1" x14ac:dyDescent="0.25">
      <c r="A430" t="str">
        <f>+Tabla3[[#This Row],[Site]]&amp;Tabla3[[#This Row],[Split]]</f>
        <v>(LT) Landers Kia of Little Rock8</v>
      </c>
      <c r="B430">
        <v>8</v>
      </c>
      <c r="C430">
        <v>2</v>
      </c>
      <c r="D430" t="s">
        <v>249</v>
      </c>
      <c r="E430" t="str">
        <f>VLOOKUP(Tabla3[[#This Row],[Site]],Table35[],10,FALSE)</f>
        <v>10:00 P.M.</v>
      </c>
      <c r="F430" t="str">
        <f>VLOOKUP(Tabla3[[#This Row],[Site]],Table35[],11,FALSE)</f>
        <v>CT</v>
      </c>
      <c r="G430" t="str">
        <f>VLOOKUP(Tabla3[[#This Row],[Site]],Table35[],12,FALSE)</f>
        <v>6:00 A.M.</v>
      </c>
      <c r="H430" s="1" t="s">
        <v>68</v>
      </c>
      <c r="I430" s="70" t="str">
        <f>HYPERLINK(VLOOKUP(Tabla3[[#This Row],[Site]],Table35[#All],9,FALSE))</f>
        <v>https://tools.sig.systems/site/details/322</v>
      </c>
      <c r="J430" t="str">
        <f>VLOOKUP(Tabla3[[#This Row],[Site]],Table35[],14,FALSE)</f>
        <v>https://www.google.com/maps/d/u/1/edit?mid=1-zEzsc6U6nZom08edp0XAd3_HYFvAyk&amp;usp=sharing</v>
      </c>
      <c r="L430" s="34" t="str">
        <f>VLOOKUP(Tabla3[[#This Row],[Site]],Table35[#All],2,FALSE)</f>
        <v>5, 9, 33, 19</v>
      </c>
      <c r="M430" s="34" t="str">
        <f>VLOOKUP(Tabla3[[#This Row],[Site]],Table35[#All],3,FALSE)</f>
        <v>-</v>
      </c>
      <c r="N430" s="34" t="str">
        <f>VLOOKUP(Tabla3[[#This Row],[Site]],Table35[#All],4,FALSE)</f>
        <v>4, 10</v>
      </c>
      <c r="O430" s="34" t="str">
        <f>VLOOKUP(Tabla3[[#This Row],[Site]],Table35[#All],5,FALSE)</f>
        <v>1, 35</v>
      </c>
      <c r="P430" s="34" t="str">
        <f>VLOOKUP(Tabla3[[#This Row],[Site]],Table35[#All],6,FALSE)</f>
        <v>5, 9, 12, 14, 18, 26, 29</v>
      </c>
      <c r="Q430" s="34" t="str">
        <f>VLOOKUP(Tabla3[[#This Row],[Site]],Table35[#All],8,FALSE)</f>
        <v>322</v>
      </c>
      <c r="R430"/>
    </row>
    <row r="431" spans="1:18" hidden="1" x14ac:dyDescent="0.25">
      <c r="A431" t="str">
        <f>+Tabla3[[#This Row],[Site]]&amp;Tabla3[[#This Row],[Split]]</f>
        <v>(LT) Luther Genesis of Minneapolis8</v>
      </c>
      <c r="B431">
        <v>8</v>
      </c>
      <c r="C431">
        <v>2</v>
      </c>
      <c r="D431" t="s">
        <v>264</v>
      </c>
      <c r="E431" t="str">
        <f>VLOOKUP(Tabla3[[#This Row],[Site]],Table35[],10,FALSE)</f>
        <v>10:00 P.M.</v>
      </c>
      <c r="F431" t="str">
        <f>VLOOKUP(Tabla3[[#This Row],[Site]],Table35[],11,FALSE)</f>
        <v>CT</v>
      </c>
      <c r="G431" t="str">
        <f>VLOOKUP(Tabla3[[#This Row],[Site]],Table35[],12,FALSE)</f>
        <v>6:00 A.M.</v>
      </c>
      <c r="H431" s="1" t="s">
        <v>96</v>
      </c>
      <c r="I431" s="70" t="str">
        <f>HYPERLINK(VLOOKUP(Tabla3[[#This Row],[Site]],Table35[#All],9,FALSE))</f>
        <v>https://tools.sig.systems/site/details/315</v>
      </c>
      <c r="J431">
        <f>VLOOKUP(Tabla3[[#This Row],[Site]],Table35[],14,FALSE)</f>
        <v>0</v>
      </c>
      <c r="L431" s="34" t="str">
        <f>VLOOKUP(Tabla3[[#This Row],[Site]],Table35[#All],2,FALSE)</f>
        <v>-</v>
      </c>
      <c r="M431" s="34" t="str">
        <f>VLOOKUP(Tabla3[[#This Row],[Site]],Table35[#All],3,FALSE)</f>
        <v>1,2,3,18</v>
      </c>
      <c r="N431" s="34" t="str">
        <f>VLOOKUP(Tabla3[[#This Row],[Site]],Table35[#All],4,FALSE)</f>
        <v>-</v>
      </c>
      <c r="O431" s="34" t="str">
        <f>VLOOKUP(Tabla3[[#This Row],[Site]],Table35[#All],5,FALSE)</f>
        <v>-</v>
      </c>
      <c r="P431" s="34" t="str">
        <f>VLOOKUP(Tabla3[[#This Row],[Site]],Table35[#All],6,FALSE)</f>
        <v>1,2,3,5,16,18</v>
      </c>
      <c r="Q431" s="34" t="str">
        <f>VLOOKUP(Tabla3[[#This Row],[Site]],Table35[#All],8,FALSE)</f>
        <v>315</v>
      </c>
      <c r="R431"/>
    </row>
    <row r="432" spans="1:18" hidden="1" x14ac:dyDescent="0.25">
      <c r="A432" t="str">
        <f>+Tabla3[[#This Row],[Site]]&amp;Tabla3[[#This Row],[Split]]</f>
        <v>(PE) JLR Englewood (NO TOURS)8</v>
      </c>
      <c r="B432">
        <v>8</v>
      </c>
      <c r="C432">
        <v>2</v>
      </c>
      <c r="D432" t="s">
        <v>218</v>
      </c>
      <c r="E432" t="str">
        <f>VLOOKUP(Tabla3[[#This Row],[Site]],Table35[],10,FALSE)</f>
        <v>8:00 P.M.</v>
      </c>
      <c r="F432" t="str">
        <f>VLOOKUP(Tabla3[[#This Row],[Site]],Table35[],11,FALSE)</f>
        <v>ET</v>
      </c>
      <c r="G432" t="str">
        <f>VLOOKUP(Tabla3[[#This Row],[Site]],Table35[],12,FALSE)</f>
        <v>5:00 A.M.</v>
      </c>
      <c r="H432" s="1" t="s">
        <v>96</v>
      </c>
      <c r="I432" s="70" t="str">
        <f>HYPERLINK(VLOOKUP(Tabla3[[#This Row],[Site]],Table35[#All],9,FALSE))</f>
        <v>https://tools.sig.systems/site/details/178</v>
      </c>
      <c r="J432" t="str">
        <f>VLOOKUP(Tabla3[[#This Row],[Site]],Table35[],14,FALSE)</f>
        <v>https://www.google.com/maps/d/viewer?mid=1ubI2iKs1JyYXssuT4oLPnVvFnyLPi_s&amp;ll=40.878808846788026%2C-73.98560655&amp;z=17</v>
      </c>
      <c r="L432" s="34" t="str">
        <f>VLOOKUP(Tabla3[[#This Row],[Site]],Table35[#All],2,FALSE)</f>
        <v>1, 2</v>
      </c>
      <c r="M432" s="34" t="str">
        <f>VLOOKUP(Tabla3[[#This Row],[Site]],Table35[#All],3,FALSE)</f>
        <v>-</v>
      </c>
      <c r="N432" s="34" t="str">
        <f>VLOOKUP(Tabla3[[#This Row],[Site]],Table35[#All],4,FALSE)</f>
        <v>-</v>
      </c>
      <c r="O432" s="34" t="str">
        <f>VLOOKUP(Tabla3[[#This Row],[Site]],Table35[#All],5,FALSE)</f>
        <v>-</v>
      </c>
      <c r="P432" s="34" t="str">
        <f>VLOOKUP(Tabla3[[#This Row],[Site]],Table35[#All],6,FALSE)</f>
        <v>-</v>
      </c>
      <c r="Q432" s="34" t="str">
        <f>VLOOKUP(Tabla3[[#This Row],[Site]],Table35[#All],8,FALSE)</f>
        <v>178</v>
      </c>
      <c r="R432"/>
    </row>
    <row r="433" spans="1:18" hidden="1" x14ac:dyDescent="0.25">
      <c r="A433" t="str">
        <f>+Tabla3[[#This Row],[Site]]&amp;Tabla3[[#This Row],[Split]]</f>
        <v>(AS) Koons MB of Catonsville (NO TOURS)8</v>
      </c>
      <c r="B433">
        <v>8</v>
      </c>
      <c r="C433">
        <v>3</v>
      </c>
      <c r="D433" t="s">
        <v>236</v>
      </c>
      <c r="E433" t="str">
        <f>VLOOKUP(Tabla3[[#This Row],[Site]],Table35[],10,FALSE)</f>
        <v>9:00 P.M.</v>
      </c>
      <c r="F433" t="str">
        <f>VLOOKUP(Tabla3[[#This Row],[Site]],Table35[],11,FALSE)</f>
        <v>ET</v>
      </c>
      <c r="G433" t="str">
        <f>VLOOKUP(Tabla3[[#This Row],[Site]],Table35[],12,FALSE)</f>
        <v>5:00 A.M.</v>
      </c>
      <c r="H433" s="1" t="s">
        <v>96</v>
      </c>
      <c r="I433" s="70" t="str">
        <f>HYPERLINK(VLOOKUP(Tabla3[[#This Row],[Site]],Table35[#All],9,FALSE))</f>
        <v>https://tools.sig.systems/site/details/303</v>
      </c>
      <c r="J433">
        <f>VLOOKUP(Tabla3[[#This Row],[Site]],Table35[],14,FALSE)</f>
        <v>0</v>
      </c>
      <c r="L433" s="34" t="str">
        <f>VLOOKUP(Tabla3[[#This Row],[Site]],Table35[#All],2,FALSE)</f>
        <v>-</v>
      </c>
      <c r="M433" s="34" t="str">
        <f>VLOOKUP(Tabla3[[#This Row],[Site]],Table35[#All],3,FALSE)</f>
        <v>15, 16, 17, 29</v>
      </c>
      <c r="N433" s="34">
        <f>VLOOKUP(Tabla3[[#This Row],[Site]],Table35[#All],4,FALSE)</f>
        <v>29</v>
      </c>
      <c r="O433" s="34">
        <f>VLOOKUP(Tabla3[[#This Row],[Site]],Table35[#All],5,FALSE)</f>
        <v>5</v>
      </c>
      <c r="P433" s="34" t="str">
        <f>VLOOKUP(Tabla3[[#This Row],[Site]],Table35[#All],6,FALSE)</f>
        <v>1, 7, 8, 12, 19, 32</v>
      </c>
      <c r="Q433" s="34" t="str">
        <f>VLOOKUP(Tabla3[[#This Row],[Site]],Table35[#All],8,FALSE)</f>
        <v>303</v>
      </c>
      <c r="R433"/>
    </row>
    <row r="434" spans="1:18" hidden="1" x14ac:dyDescent="0.25">
      <c r="A434" t="str">
        <f>+Tabla3[[#This Row],[Site]]&amp;Tabla3[[#This Row],[Split]]</f>
        <v>(AS) Koons White Marsh Chevrolet (NO TOURS)8</v>
      </c>
      <c r="B434">
        <v>8</v>
      </c>
      <c r="C434">
        <v>3</v>
      </c>
      <c r="D434" t="s">
        <v>389</v>
      </c>
      <c r="E434" t="str">
        <f>VLOOKUP(Tabla3[[#This Row],[Site]],Table35[],10,FALSE)</f>
        <v>9:00 P.M.</v>
      </c>
      <c r="F434" t="str">
        <f>VLOOKUP(Tabla3[[#This Row],[Site]],Table35[],11,FALSE)</f>
        <v>ET</v>
      </c>
      <c r="G434" t="str">
        <f>VLOOKUP(Tabla3[[#This Row],[Site]],Table35[],12,FALSE)</f>
        <v>5:00 A.M.</v>
      </c>
      <c r="H434" s="1" t="s">
        <v>96</v>
      </c>
      <c r="I434" s="70" t="str">
        <f>HYPERLINK(VLOOKUP(Tabla3[[#This Row],[Site]],Table35[#All],9,FALSE))</f>
        <v>https://tools.sig.systems/site/details/339</v>
      </c>
      <c r="J434" t="str">
        <f>VLOOKUP(Tabla3[[#This Row],[Site]],Table35[],14,FALSE)</f>
        <v>-</v>
      </c>
      <c r="L434" s="34">
        <f>VLOOKUP(Tabla3[[#This Row],[Site]],Table35[#All],2,FALSE)</f>
        <v>25</v>
      </c>
      <c r="M434" s="34">
        <f>VLOOKUP(Tabla3[[#This Row],[Site]],Table35[#All],3,FALSE)</f>
        <v>10</v>
      </c>
      <c r="N434" s="34" t="str">
        <f>VLOOKUP(Tabla3[[#This Row],[Site]],Table35[#All],4,FALSE)</f>
        <v>-</v>
      </c>
      <c r="O434" s="34" t="str">
        <f>VLOOKUP(Tabla3[[#This Row],[Site]],Table35[#All],5,FALSE)</f>
        <v>-</v>
      </c>
      <c r="P434" s="34">
        <f>VLOOKUP(Tabla3[[#This Row],[Site]],Table35[#All],6,FALSE)</f>
        <v>12</v>
      </c>
      <c r="Q434" s="34" t="str">
        <f>VLOOKUP(Tabla3[[#This Row],[Site]],Table35[#All],8,FALSE)</f>
        <v>339</v>
      </c>
      <c r="R434"/>
    </row>
    <row r="435" spans="1:18" hidden="1" x14ac:dyDescent="0.25">
      <c r="A435" t="str">
        <f>+Tabla3[[#This Row],[Site]]&amp;Tabla3[[#This Row],[Split]]</f>
        <v>(AS) Koons Woodbridge Ford (NO TOURS)8</v>
      </c>
      <c r="B435">
        <v>8</v>
      </c>
      <c r="C435">
        <v>3</v>
      </c>
      <c r="D435" t="s">
        <v>373</v>
      </c>
      <c r="E435" t="str">
        <f>VLOOKUP(Tabla3[[#This Row],[Site]],Table35[],10,FALSE)</f>
        <v>9:00 P.M.</v>
      </c>
      <c r="F435" t="str">
        <f>VLOOKUP(Tabla3[[#This Row],[Site]],Table35[],11,FALSE)</f>
        <v>ET</v>
      </c>
      <c r="G435" t="str">
        <f>VLOOKUP(Tabla3[[#This Row],[Site]],Table35[],12,FALSE)</f>
        <v>5:00 A.M.</v>
      </c>
      <c r="H435" s="1" t="s">
        <v>68</v>
      </c>
      <c r="I435" s="70" t="str">
        <f>HYPERLINK(VLOOKUP(Tabla3[[#This Row],[Site]],Table35[#All],9,FALSE))</f>
        <v>https://tools.sig.systems/site/details/342</v>
      </c>
      <c r="J435">
        <f>VLOOKUP(Tabla3[[#This Row],[Site]],Table35[],14,FALSE)</f>
        <v>0</v>
      </c>
      <c r="L435" s="34" t="str">
        <f>VLOOKUP(Tabla3[[#This Row],[Site]],Table35[#All],2,FALSE)</f>
        <v>-</v>
      </c>
      <c r="M435" s="34" t="str">
        <f>VLOOKUP(Tabla3[[#This Row],[Site]],Table35[#All],3,FALSE)</f>
        <v>3, 24, 26, 27, 31, 36</v>
      </c>
      <c r="N435" s="34" t="str">
        <f>VLOOKUP(Tabla3[[#This Row],[Site]],Table35[#All],4,FALSE)</f>
        <v>-</v>
      </c>
      <c r="O435" s="34" t="str">
        <f>VLOOKUP(Tabla3[[#This Row],[Site]],Table35[#All],5,FALSE)</f>
        <v>-</v>
      </c>
      <c r="P435" s="34" t="str">
        <f>VLOOKUP(Tabla3[[#This Row],[Site]],Table35[#All],6,FALSE)</f>
        <v>13, 26, 29</v>
      </c>
      <c r="Q435" s="34" t="str">
        <f>VLOOKUP(Tabla3[[#This Row],[Site]],Table35[#All],8,FALSE)</f>
        <v>342</v>
      </c>
      <c r="R435"/>
    </row>
    <row r="436" spans="1:18" hidden="1" x14ac:dyDescent="0.25">
      <c r="A436" t="str">
        <f>+Tabla3[[#This Row],[Site]]&amp;Tabla3[[#This Row],[Split]]</f>
        <v>(AS) Plaza Collision ST Louis (NO TOURS)8</v>
      </c>
      <c r="B436">
        <v>8</v>
      </c>
      <c r="C436">
        <v>3</v>
      </c>
      <c r="D436" t="s">
        <v>436</v>
      </c>
      <c r="E436" t="str">
        <f>VLOOKUP(Tabla3[[#This Row],[Site]],Table35[],10,FALSE)</f>
        <v>10:00 P.M.</v>
      </c>
      <c r="F436" t="str">
        <f>VLOOKUP(Tabla3[[#This Row],[Site]],Table35[],11,FALSE)</f>
        <v>CT</v>
      </c>
      <c r="G436" t="str">
        <f>VLOOKUP(Tabla3[[#This Row],[Site]],Table35[],12,FALSE)</f>
        <v>6:00 A.M.</v>
      </c>
      <c r="H436" s="1" t="s">
        <v>96</v>
      </c>
      <c r="I436" s="70" t="str">
        <f>HYPERLINK(VLOOKUP(Tabla3[[#This Row],[Site]],Table35[#All],9,FALSE))</f>
        <v>https://tools.sig.systems/site/details/350</v>
      </c>
      <c r="J436" t="str">
        <f>VLOOKUP(Tabla3[[#This Row],[Site]],Table35[],14,FALSE)</f>
        <v>-</v>
      </c>
      <c r="L436" s="34" t="str">
        <f>VLOOKUP(Tabla3[[#This Row],[Site]],Table35[#All],2,FALSE)</f>
        <v>2, 6</v>
      </c>
      <c r="M436" s="34">
        <f>VLOOKUP(Tabla3[[#This Row],[Site]],Table35[#All],3,FALSE)</f>
        <v>1</v>
      </c>
      <c r="N436" s="34" t="str">
        <f>VLOOKUP(Tabla3[[#This Row],[Site]],Table35[#All],4,FALSE)</f>
        <v>-</v>
      </c>
      <c r="O436" s="34" t="str">
        <f>VLOOKUP(Tabla3[[#This Row],[Site]],Table35[#All],5,FALSE)</f>
        <v>-</v>
      </c>
      <c r="P436" s="34">
        <f>VLOOKUP(Tabla3[[#This Row],[Site]],Table35[#All],6,FALSE)</f>
        <v>3</v>
      </c>
      <c r="Q436" s="34" t="str">
        <f>VLOOKUP(Tabla3[[#This Row],[Site]],Table35[#All],8,FALSE)</f>
        <v>350</v>
      </c>
      <c r="R436"/>
    </row>
    <row r="437" spans="1:18" hidden="1" x14ac:dyDescent="0.25">
      <c r="A437" t="str">
        <f>+Tabla3[[#This Row],[Site]]&amp;Tabla3[[#This Row],[Split]]</f>
        <v>(LT) Luther Hopkins Honda (NO TOURS)8</v>
      </c>
      <c r="B437">
        <v>8</v>
      </c>
      <c r="C437">
        <v>3</v>
      </c>
      <c r="D437" t="s">
        <v>306</v>
      </c>
      <c r="E437" t="str">
        <f>VLOOKUP(Tabla3[[#This Row],[Site]],Table35[],10,FALSE)</f>
        <v>8:00 P.M.</v>
      </c>
      <c r="F437" t="str">
        <f>VLOOKUP(Tabla3[[#This Row],[Site]],Table35[],11,FALSE)</f>
        <v>CT</v>
      </c>
      <c r="G437" t="str">
        <f>VLOOKUP(Tabla3[[#This Row],[Site]],Table35[],12,FALSE)</f>
        <v>6:00 A.M.</v>
      </c>
      <c r="H437" s="1" t="s">
        <v>96</v>
      </c>
      <c r="I437" s="70" t="str">
        <f>HYPERLINK(VLOOKUP(Tabla3[[#This Row],[Site]],Table35[#All],9,FALSE))</f>
        <v>https://tools.sig.systems/site/details/288</v>
      </c>
      <c r="J437">
        <f>VLOOKUP(Tabla3[[#This Row],[Site]],Table35[],14,FALSE)</f>
        <v>0</v>
      </c>
      <c r="L437" s="34" t="str">
        <f>VLOOKUP(Tabla3[[#This Row],[Site]],Table35[#All],2,FALSE)</f>
        <v>-</v>
      </c>
      <c r="M437" s="34" t="str">
        <f>VLOOKUP(Tabla3[[#This Row],[Site]],Table35[#All],3,FALSE)</f>
        <v>9, 36</v>
      </c>
      <c r="N437" s="34" t="str">
        <f>VLOOKUP(Tabla3[[#This Row],[Site]],Table35[#All],4,FALSE)</f>
        <v>38, 39</v>
      </c>
      <c r="O437" s="34" t="str">
        <f>VLOOKUP(Tabla3[[#This Row],[Site]],Table35[#All],5,FALSE)</f>
        <v>3, 26</v>
      </c>
      <c r="P437" s="34" t="str">
        <f>VLOOKUP(Tabla3[[#This Row],[Site]],Table35[#All],6,FALSE)</f>
        <v>1, 4, 11, 18, 23, 25, 31</v>
      </c>
      <c r="Q437" s="34" t="str">
        <f>VLOOKUP(Tabla3[[#This Row],[Site]],Table35[#All],8,FALSE)</f>
        <v>288</v>
      </c>
      <c r="R437"/>
    </row>
    <row r="438" spans="1:18" hidden="1" x14ac:dyDescent="0.25">
      <c r="A438" t="str">
        <f>+Tabla3[[#This Row],[Site]]&amp;Tabla3[[#This Row],[Split]]</f>
        <v>(PE) MB of Greenwich8</v>
      </c>
      <c r="B438">
        <v>8</v>
      </c>
      <c r="C438">
        <v>3</v>
      </c>
      <c r="D438" t="s">
        <v>121</v>
      </c>
      <c r="E438" t="str">
        <f>VLOOKUP(Tabla3[[#This Row],[Site]],Table35[],10,FALSE)</f>
        <v>8:00 P.M.</v>
      </c>
      <c r="F438" t="str">
        <f>VLOOKUP(Tabla3[[#This Row],[Site]],Table35[],11,FALSE)</f>
        <v>ET</v>
      </c>
      <c r="G438" t="str">
        <f>VLOOKUP(Tabla3[[#This Row],[Site]],Table35[],12,FALSE)</f>
        <v>5:00 A.M.</v>
      </c>
      <c r="H438" s="1" t="s">
        <v>96</v>
      </c>
      <c r="I438" s="70" t="str">
        <f>HYPERLINK(VLOOKUP(Tabla3[[#This Row],[Site]],Table35[#All],9,FALSE))</f>
        <v>https://tools.sig.systems/site/details/188</v>
      </c>
      <c r="J438" t="str">
        <f>VLOOKUP(Tabla3[[#This Row],[Site]],Table35[],14,FALSE)</f>
        <v>https://www.google.com/maps/d/edit?hl=en&amp;mid=1UHmt7tH1ihTa85i0MfQIcTfVvIQg_vM&amp;ll=41.02423447529239%2C-73.63721502222738&amp;z=18</v>
      </c>
      <c r="L438" s="34" t="str">
        <f>VLOOKUP(Tabla3[[#This Row],[Site]],Table35[#All],2,FALSE)</f>
        <v>1, 2, 8</v>
      </c>
      <c r="M438" s="34" t="str">
        <f>VLOOKUP(Tabla3[[#This Row],[Site]],Table35[#All],3,FALSE)</f>
        <v>13, 14, 20, 26, 40</v>
      </c>
      <c r="N438" s="34" t="str">
        <f>VLOOKUP(Tabla3[[#This Row],[Site]],Table35[#All],4,FALSE)</f>
        <v>-</v>
      </c>
      <c r="O438" s="34" t="str">
        <f>VLOOKUP(Tabla3[[#This Row],[Site]],Table35[#All],5,FALSE)</f>
        <v>-</v>
      </c>
      <c r="P438" s="34">
        <f>VLOOKUP(Tabla3[[#This Row],[Site]],Table35[#All],6,FALSE)</f>
        <v>29</v>
      </c>
      <c r="Q438" s="34" t="str">
        <f>VLOOKUP(Tabla3[[#This Row],[Site]],Table35[#All],8,FALSE)</f>
        <v>188</v>
      </c>
      <c r="R438"/>
    </row>
    <row r="439" spans="1:18" hidden="1" x14ac:dyDescent="0.25">
      <c r="A439" t="str">
        <f>+Tabla3[[#This Row],[Site]]&amp;Tabla3[[#This Row],[Split]]</f>
        <v>(AS) Coggin Collision Center of Kissimmee (NO TOURS)8</v>
      </c>
      <c r="B439">
        <v>8</v>
      </c>
      <c r="C439">
        <v>4</v>
      </c>
      <c r="D439" t="s">
        <v>288</v>
      </c>
      <c r="E439" t="str">
        <f>VLOOKUP(Tabla3[[#This Row],[Site]],Table35[],10,FALSE)</f>
        <v>9:00 P.M.</v>
      </c>
      <c r="F439" t="str">
        <f>VLOOKUP(Tabla3[[#This Row],[Site]],Table35[],11,FALSE)</f>
        <v>ET</v>
      </c>
      <c r="G439" t="str">
        <f>VLOOKUP(Tabla3[[#This Row],[Site]],Table35[],12,FALSE)</f>
        <v>5:00 A.M.</v>
      </c>
      <c r="H439" s="1" t="s">
        <v>96</v>
      </c>
      <c r="I439" s="70" t="str">
        <f>HYPERLINK(VLOOKUP(Tabla3[[#This Row],[Site]],Table35[#All],9,FALSE))</f>
        <v>https://tools.sig.systems/site/details/331</v>
      </c>
      <c r="J439">
        <f>VLOOKUP(Tabla3[[#This Row],[Site]],Table35[],14,FALSE)</f>
        <v>0</v>
      </c>
      <c r="L439" s="34" t="str">
        <f>VLOOKUP(Tabla3[[#This Row],[Site]],Table35[#All],2,FALSE)</f>
        <v>1, 12</v>
      </c>
      <c r="M439" s="34" t="str">
        <f>VLOOKUP(Tabla3[[#This Row],[Site]],Table35[#All],3,FALSE)</f>
        <v>-</v>
      </c>
      <c r="N439" s="34" t="str">
        <f>VLOOKUP(Tabla3[[#This Row],[Site]],Table35[#All],4,FALSE)</f>
        <v>-</v>
      </c>
      <c r="O439" s="34" t="str">
        <f>VLOOKUP(Tabla3[[#This Row],[Site]],Table35[#All],5,FALSE)</f>
        <v>-</v>
      </c>
      <c r="P439" s="34" t="str">
        <f>VLOOKUP(Tabla3[[#This Row],[Site]],Table35[#All],6,FALSE)</f>
        <v>2, 7, 9</v>
      </c>
      <c r="Q439" s="34" t="str">
        <f>VLOOKUP(Tabla3[[#This Row],[Site]],Table35[#All],8,FALSE)</f>
        <v>331</v>
      </c>
      <c r="R439"/>
    </row>
    <row r="440" spans="1:18" hidden="1" x14ac:dyDescent="0.25">
      <c r="A440" t="str">
        <f>+Tabla3[[#This Row],[Site]]&amp;Tabla3[[#This Row],[Split]]</f>
        <v>(AS) Coggin Honda of Orlando (NO TOURS)8</v>
      </c>
      <c r="B440">
        <v>8</v>
      </c>
      <c r="C440">
        <v>4</v>
      </c>
      <c r="D440" t="s">
        <v>384</v>
      </c>
      <c r="E440" t="str">
        <f>VLOOKUP(Tabla3[[#This Row],[Site]],Table35[],10,FALSE)</f>
        <v>9:00 P.M.</v>
      </c>
      <c r="F440" t="str">
        <f>VLOOKUP(Tabla3[[#This Row],[Site]],Table35[],11,FALSE)</f>
        <v>ET</v>
      </c>
      <c r="G440" t="str">
        <f>VLOOKUP(Tabla3[[#This Row],[Site]],Table35[],12,FALSE)</f>
        <v>5:00 A.M.</v>
      </c>
      <c r="H440" s="1" t="s">
        <v>96</v>
      </c>
      <c r="I440" s="70" t="str">
        <f>HYPERLINK(VLOOKUP(Tabla3[[#This Row],[Site]],Table35[#All],9,FALSE))</f>
        <v>https://tools.sig.systems/site/details/324</v>
      </c>
      <c r="J440">
        <f>VLOOKUP(Tabla3[[#This Row],[Site]],Table35[],14,FALSE)</f>
        <v>0</v>
      </c>
      <c r="L440" s="34" t="str">
        <f>VLOOKUP(Tabla3[[#This Row],[Site]],Table35[#All],2,FALSE)</f>
        <v>2, 10, 12B, 14, 38</v>
      </c>
      <c r="M440" s="34" t="str">
        <f>VLOOKUP(Tabla3[[#This Row],[Site]],Table35[#All],3,FALSE)</f>
        <v>-</v>
      </c>
      <c r="N440" s="34" t="str">
        <f>VLOOKUP(Tabla3[[#This Row],[Site]],Table35[#All],4,FALSE)</f>
        <v>-</v>
      </c>
      <c r="O440" s="34" t="str">
        <f>VLOOKUP(Tabla3[[#This Row],[Site]],Table35[#All],5,FALSE)</f>
        <v>12, 31</v>
      </c>
      <c r="P440" s="34" t="str">
        <f>VLOOKUP(Tabla3[[#This Row],[Site]],Table35[#All],6,FALSE)</f>
        <v>12B, 26, 37, 19</v>
      </c>
      <c r="Q440" s="34" t="str">
        <f>VLOOKUP(Tabla3[[#This Row],[Site]],Table35[#All],8,FALSE)</f>
        <v>324</v>
      </c>
      <c r="R440"/>
    </row>
    <row r="441" spans="1:18" hidden="1" x14ac:dyDescent="0.25">
      <c r="A441" t="str">
        <f>+Tabla3[[#This Row],[Site]]&amp;Tabla3[[#This Row],[Split]]</f>
        <v>(AS) Koons Baltimore Ford - Main Dealership (NO TOURS)8</v>
      </c>
      <c r="B441">
        <v>8</v>
      </c>
      <c r="C441">
        <v>4</v>
      </c>
      <c r="D441" t="s">
        <v>357</v>
      </c>
      <c r="E441" t="str">
        <f>VLOOKUP(Tabla3[[#This Row],[Site]],Table35[],10,FALSE)</f>
        <v>9:00 P.M.</v>
      </c>
      <c r="F441" t="str">
        <f>VLOOKUP(Tabla3[[#This Row],[Site]],Table35[],11,FALSE)</f>
        <v>ET</v>
      </c>
      <c r="G441" t="str">
        <f>VLOOKUP(Tabla3[[#This Row],[Site]],Table35[],12,FALSE)</f>
        <v>5:00 A.M.</v>
      </c>
      <c r="H441" s="1" t="s">
        <v>74</v>
      </c>
      <c r="I441" s="70" t="str">
        <f>HYPERLINK(VLOOKUP(Tabla3[[#This Row],[Site]],Table35[#All],9,FALSE))</f>
        <v>https://tools.sig.systems/site/details/335</v>
      </c>
      <c r="J441" t="str">
        <f>VLOOKUP(Tabla3[[#This Row],[Site]],Table35[],14,FALSE)</f>
        <v>-</v>
      </c>
      <c r="L441" s="34" t="str">
        <f>VLOOKUP(Tabla3[[#This Row],[Site]],Table35[#All],2,FALSE)</f>
        <v>21, 22, 24, 32, 45</v>
      </c>
      <c r="M441" s="34">
        <f>VLOOKUP(Tabla3[[#This Row],[Site]],Table35[#All],3,FALSE)</f>
        <v>1</v>
      </c>
      <c r="N441" s="34" t="str">
        <f>VLOOKUP(Tabla3[[#This Row],[Site]],Table35[#All],4,FALSE)</f>
        <v>-</v>
      </c>
      <c r="O441" s="34" t="str">
        <f>VLOOKUP(Tabla3[[#This Row],[Site]],Table35[#All],5,FALSE)</f>
        <v>1, 8</v>
      </c>
      <c r="P441" s="34" t="str">
        <f>VLOOKUP(Tabla3[[#This Row],[Site]],Table35[#All],6,FALSE)</f>
        <v>5, 28, 38</v>
      </c>
      <c r="Q441" s="34" t="str">
        <f>VLOOKUP(Tabla3[[#This Row],[Site]],Table35[#All],8,FALSE)</f>
        <v>335</v>
      </c>
      <c r="R441"/>
    </row>
    <row r="442" spans="1:18" hidden="1" x14ac:dyDescent="0.25">
      <c r="A442" t="str">
        <f>+Tabla3[[#This Row],[Site]]&amp;Tabla3[[#This Row],[Split]]</f>
        <v>(AS) Koons Falls Church Ford (NO TOURS)8</v>
      </c>
      <c r="B442">
        <v>8</v>
      </c>
      <c r="C442">
        <v>4</v>
      </c>
      <c r="D442" t="s">
        <v>386</v>
      </c>
      <c r="E442" t="str">
        <f>VLOOKUP(Tabla3[[#This Row],[Site]],Table35[],10,FALSE)</f>
        <v>9:00 P.M.</v>
      </c>
      <c r="F442" t="str">
        <f>VLOOKUP(Tabla3[[#This Row],[Site]],Table35[],11,FALSE)</f>
        <v>ET</v>
      </c>
      <c r="G442" t="str">
        <f>VLOOKUP(Tabla3[[#This Row],[Site]],Table35[],12,FALSE)</f>
        <v>5:00 A.M.</v>
      </c>
      <c r="H442" s="1" t="s">
        <v>96</v>
      </c>
      <c r="I442" s="70" t="str">
        <f>HYPERLINK(VLOOKUP(Tabla3[[#This Row],[Site]],Table35[#All],9,FALSE))</f>
        <v>https://tools.sig.systems/site/details/345</v>
      </c>
      <c r="J442" t="str">
        <f>VLOOKUP(Tabla3[[#This Row],[Site]],Table35[],14,FALSE)</f>
        <v>-</v>
      </c>
      <c r="L442" s="34" t="str">
        <f>VLOOKUP(Tabla3[[#This Row],[Site]],Table35[#All],2,FALSE)</f>
        <v>-</v>
      </c>
      <c r="M442" s="34">
        <f>VLOOKUP(Tabla3[[#This Row],[Site]],Table35[#All],3,FALSE)</f>
        <v>1</v>
      </c>
      <c r="N442" s="34" t="str">
        <f>VLOOKUP(Tabla3[[#This Row],[Site]],Table35[#All],4,FALSE)</f>
        <v>-</v>
      </c>
      <c r="O442" s="34" t="str">
        <f>VLOOKUP(Tabla3[[#This Row],[Site]],Table35[#All],5,FALSE)</f>
        <v>-</v>
      </c>
      <c r="P442" s="34" t="str">
        <f>VLOOKUP(Tabla3[[#This Row],[Site]],Table35[#All],6,FALSE)</f>
        <v>-</v>
      </c>
      <c r="Q442" s="34" t="str">
        <f>VLOOKUP(Tabla3[[#This Row],[Site]],Table35[#All],8,FALSE)</f>
        <v>345</v>
      </c>
      <c r="R442"/>
    </row>
    <row r="443" spans="1:18" hidden="1" x14ac:dyDescent="0.25">
      <c r="A443" t="str">
        <f>+Tabla3[[#This Row],[Site]]&amp;Tabla3[[#This Row],[Split]]</f>
        <v>(LT) Luther North Country Ford8</v>
      </c>
      <c r="B443">
        <v>8</v>
      </c>
      <c r="C443">
        <v>4</v>
      </c>
      <c r="D443" t="s">
        <v>127</v>
      </c>
      <c r="E443" t="str">
        <f>VLOOKUP(Tabla3[[#This Row],[Site]],Table35[],10,FALSE)</f>
        <v>10:00 P.M.</v>
      </c>
      <c r="F443" t="str">
        <f>VLOOKUP(Tabla3[[#This Row],[Site]],Table35[],11,FALSE)</f>
        <v>CT</v>
      </c>
      <c r="G443" t="str">
        <f>VLOOKUP(Tabla3[[#This Row],[Site]],Table35[],12,FALSE)</f>
        <v>6:00 A.M.</v>
      </c>
      <c r="H443" s="1" t="s">
        <v>96</v>
      </c>
      <c r="I443" s="70" t="str">
        <f>HYPERLINK(VLOOKUP(Tabla3[[#This Row],[Site]],Table35[#All],9,FALSE))</f>
        <v>https://tools.sig.systems/site/details/292</v>
      </c>
      <c r="J443">
        <f>VLOOKUP(Tabla3[[#This Row],[Site]],Table35[],14,FALSE)</f>
        <v>0</v>
      </c>
      <c r="L443" s="34" t="str">
        <f>VLOOKUP(Tabla3[[#This Row],[Site]],Table35[#All],2,FALSE)</f>
        <v>-</v>
      </c>
      <c r="M443" s="34" t="str">
        <f>VLOOKUP(Tabla3[[#This Row],[Site]],Table35[#All],3,FALSE)</f>
        <v>7, 14, 19</v>
      </c>
      <c r="N443" s="34" t="str">
        <f>VLOOKUP(Tabla3[[#This Row],[Site]],Table35[#All],4,FALSE)</f>
        <v>30, 31, 32</v>
      </c>
      <c r="O443" s="34" t="str">
        <f>VLOOKUP(Tabla3[[#This Row],[Site]],Table35[#All],5,FALSE)</f>
        <v>-</v>
      </c>
      <c r="P443" s="34" t="str">
        <f>VLOOKUP(Tabla3[[#This Row],[Site]],Table35[#All],6,FALSE)</f>
        <v>1, 4, 9, 13, 15, 16B, 25</v>
      </c>
      <c r="Q443" s="34" t="str">
        <f>VLOOKUP(Tabla3[[#This Row],[Site]],Table35[#All],8,FALSE)</f>
        <v>292</v>
      </c>
      <c r="R443"/>
    </row>
    <row r="444" spans="1:18" hidden="1" x14ac:dyDescent="0.25">
      <c r="A444" t="str">
        <f>+Tabla3[[#This Row],[Site]]&amp;Tabla3[[#This Row],[Split]]</f>
        <v>(PE) JLR Paramus (NO TOURS)8</v>
      </c>
      <c r="B444">
        <v>8</v>
      </c>
      <c r="C444">
        <v>4</v>
      </c>
      <c r="D444" t="s">
        <v>212</v>
      </c>
      <c r="E444" t="str">
        <f>VLOOKUP(Tabla3[[#This Row],[Site]],Table35[],10,FALSE)</f>
        <v>8:00 P.M.</v>
      </c>
      <c r="F444" t="str">
        <f>VLOOKUP(Tabla3[[#This Row],[Site]],Table35[],11,FALSE)</f>
        <v>ET</v>
      </c>
      <c r="G444" t="str">
        <f>VLOOKUP(Tabla3[[#This Row],[Site]],Table35[],12,FALSE)</f>
        <v>5:00 A.M.</v>
      </c>
      <c r="H444" s="1" t="s">
        <v>96</v>
      </c>
      <c r="I444" s="70" t="str">
        <f>HYPERLINK(VLOOKUP(Tabla3[[#This Row],[Site]],Table35[#All],9,FALSE))</f>
        <v>https://tools.sig.systems/site/details/177</v>
      </c>
      <c r="J444">
        <f>VLOOKUP(Tabla3[[#This Row],[Site]],Table35[],14,FALSE)</f>
        <v>0</v>
      </c>
      <c r="L444" s="34" t="str">
        <f>VLOOKUP(Tabla3[[#This Row],[Site]],Table35[#All],2,FALSE)</f>
        <v>1, 17</v>
      </c>
      <c r="M444" s="34" t="str">
        <f>VLOOKUP(Tabla3[[#This Row],[Site]],Table35[#All],3,FALSE)</f>
        <v>-</v>
      </c>
      <c r="N444" s="34" t="str">
        <f>VLOOKUP(Tabla3[[#This Row],[Site]],Table35[#All],4,FALSE)</f>
        <v>-</v>
      </c>
      <c r="O444" s="34" t="str">
        <f>VLOOKUP(Tabla3[[#This Row],[Site]],Table35[#All],5,FALSE)</f>
        <v>-</v>
      </c>
      <c r="P444" s="34" t="str">
        <f>VLOOKUP(Tabla3[[#This Row],[Site]],Table35[#All],6,FALSE)</f>
        <v>1, 17</v>
      </c>
      <c r="Q444" s="34" t="str">
        <f>VLOOKUP(Tabla3[[#This Row],[Site]],Table35[#All],8,FALSE)</f>
        <v>177</v>
      </c>
      <c r="R444"/>
    </row>
    <row r="445" spans="1:18" hidden="1" x14ac:dyDescent="0.25">
      <c r="A445" t="str">
        <f>+Tabla3[[#This Row],[Site]]&amp;Tabla3[[#This Row],[Split]]</f>
        <v>(AS) Hare Chevrolet (NO TOURS)8</v>
      </c>
      <c r="B445">
        <v>8</v>
      </c>
      <c r="C445">
        <v>5</v>
      </c>
      <c r="D445" t="s">
        <v>379</v>
      </c>
      <c r="E445" t="str">
        <f>VLOOKUP(Tabla3[[#This Row],[Site]],Table35[],10,FALSE)</f>
        <v>9:00 P.M.</v>
      </c>
      <c r="F445" t="str">
        <f>VLOOKUP(Tabla3[[#This Row],[Site]],Table35[],11,FALSE)</f>
        <v>ET</v>
      </c>
      <c r="G445" t="str">
        <f>VLOOKUP(Tabla3[[#This Row],[Site]],Table35[],12,FALSE)</f>
        <v>5:00 A.M.</v>
      </c>
      <c r="H445" s="1" t="s">
        <v>73</v>
      </c>
      <c r="I445" s="70" t="str">
        <f>HYPERLINK(VLOOKUP(Tabla3[[#This Row],[Site]],Table35[#All],9,FALSE))</f>
        <v>https://tools.sig.systems/site/details/301</v>
      </c>
      <c r="J445" t="str">
        <f>VLOOKUP(Tabla3[[#This Row],[Site]],Table35[],14,FALSE)</f>
        <v>https://www.google.com/maps/d/edit?mid=1hsX5GGrNcCQgAuzDCDz1OWgEkhsAc78&amp;usp=sharing</v>
      </c>
      <c r="L445" s="34" t="str">
        <f>VLOOKUP(Tabla3[[#This Row],[Site]],Table35[#All],2,FALSE)</f>
        <v>18, 24</v>
      </c>
      <c r="M445" s="34" t="str">
        <f>VLOOKUP(Tabla3[[#This Row],[Site]],Table35[#All],3,FALSE)</f>
        <v>2, 3</v>
      </c>
      <c r="N445" s="34" t="str">
        <f>VLOOKUP(Tabla3[[#This Row],[Site]],Table35[#All],4,FALSE)</f>
        <v>-</v>
      </c>
      <c r="O445" s="34">
        <f>VLOOKUP(Tabla3[[#This Row],[Site]],Table35[#All],5,FALSE)</f>
        <v>5</v>
      </c>
      <c r="P445" s="34" t="str">
        <f>VLOOKUP(Tabla3[[#This Row],[Site]],Table35[#All],6,FALSE)</f>
        <v>1, 5, 7, 8, 21, 29</v>
      </c>
      <c r="Q445" s="34" t="str">
        <f>VLOOKUP(Tabla3[[#This Row],[Site]],Table35[#All],8,FALSE)</f>
        <v>301</v>
      </c>
      <c r="R445"/>
    </row>
    <row r="446" spans="1:18" hidden="1" x14ac:dyDescent="0.25">
      <c r="A446" t="str">
        <f>+Tabla3[[#This Row],[Site]]&amp;Tabla3[[#This Row],[Split]]</f>
        <v>(BRL) Shoemakersville8</v>
      </c>
      <c r="B446">
        <v>8</v>
      </c>
      <c r="C446">
        <v>5</v>
      </c>
      <c r="D446" t="s">
        <v>120</v>
      </c>
      <c r="E446" t="str">
        <f>VLOOKUP(Tabla3[[#This Row],[Site]],Table35[],10,FALSE)</f>
        <v>24H</v>
      </c>
      <c r="F446" t="str">
        <f>VLOOKUP(Tabla3[[#This Row],[Site]],Table35[],11,FALSE)</f>
        <v>ET</v>
      </c>
      <c r="G446" t="str">
        <f>VLOOKUP(Tabla3[[#This Row],[Site]],Table35[],12,FALSE)</f>
        <v>-</v>
      </c>
      <c r="H446" s="1" t="s">
        <v>73</v>
      </c>
      <c r="I446" s="70" t="str">
        <f>HYPERLINK(VLOOKUP(Tabla3[[#This Row],[Site]],Table35[#All],9,FALSE))</f>
        <v>https://tools.sig.systems/site/details/302</v>
      </c>
      <c r="J446">
        <f>VLOOKUP(Tabla3[[#This Row],[Site]],Table35[],14,FALSE)</f>
        <v>0</v>
      </c>
      <c r="L446" s="34" t="str">
        <f>VLOOKUP(Tabla3[[#This Row],[Site]],Table35[#All],2,FALSE)</f>
        <v>-</v>
      </c>
      <c r="M446" s="34" t="str">
        <f>VLOOKUP(Tabla3[[#This Row],[Site]],Table35[#All],3,FALSE)</f>
        <v>8, 11</v>
      </c>
      <c r="N446" s="34" t="str">
        <f>VLOOKUP(Tabla3[[#This Row],[Site]],Table35[#All],4,FALSE)</f>
        <v>-</v>
      </c>
      <c r="O446" s="34" t="str">
        <f>VLOOKUP(Tabla3[[#This Row],[Site]],Table35[#All],5,FALSE)</f>
        <v>1, 6, 13A, 15, 18A</v>
      </c>
      <c r="P446" s="34" t="str">
        <f>VLOOKUP(Tabla3[[#This Row],[Site]],Table35[#All],6,FALSE)</f>
        <v>13B, 23</v>
      </c>
      <c r="Q446" s="34" t="str">
        <f>VLOOKUP(Tabla3[[#This Row],[Site]],Table35[#All],8,FALSE)</f>
        <v>302</v>
      </c>
      <c r="R446"/>
    </row>
    <row r="447" spans="1:18" x14ac:dyDescent="0.25">
      <c r="A447" t="str">
        <f>+Tabla3[[#This Row],[Site]]&amp;Tabla3[[#This Row],[Split]]</f>
        <v>(LT) Luther Bloomington Hyundai (NO TOURS)8</v>
      </c>
      <c r="B447">
        <v>8</v>
      </c>
      <c r="C447">
        <v>5</v>
      </c>
      <c r="D447" t="s">
        <v>456</v>
      </c>
      <c r="E447" t="str">
        <f>VLOOKUP(Tabla3[[#This Row],[Site]],Table35[],10,FALSE)</f>
        <v>10:00 P.M.</v>
      </c>
      <c r="F447" t="str">
        <f>VLOOKUP(Tabla3[[#This Row],[Site]],Table35[],11,FALSE)</f>
        <v>CT</v>
      </c>
      <c r="G447" t="str">
        <f>VLOOKUP(Tabla3[[#This Row],[Site]],Table35[],12,FALSE)</f>
        <v>4:00 A.M.</v>
      </c>
      <c r="H447" s="1" t="s">
        <v>73</v>
      </c>
      <c r="I447" s="70" t="str">
        <f>HYPERLINK(VLOOKUP(Tabla3[[#This Row],[Site]],Table35[#All],9,FALSE))</f>
        <v>https://tools.sig.systems/site/details/318</v>
      </c>
      <c r="J447">
        <f>VLOOKUP(Tabla3[[#This Row],[Site]],Table35[],14,FALSE)</f>
        <v>0</v>
      </c>
      <c r="L447" s="34" t="str">
        <f>VLOOKUP(Tabla3[[#This Row],[Site]],Table35[#All],2,FALSE)</f>
        <v>-</v>
      </c>
      <c r="M447" s="34" t="str">
        <f>VLOOKUP(Tabla3[[#This Row],[Site]],Table35[#All],3,FALSE)</f>
        <v>6, 9, 13</v>
      </c>
      <c r="N447" s="34" t="str">
        <f>VLOOKUP(Tabla3[[#This Row],[Site]],Table35[#All],4,FALSE)</f>
        <v>58, 59</v>
      </c>
      <c r="O447" s="34">
        <f>VLOOKUP(Tabla3[[#This Row],[Site]],Table35[#All],5,FALSE)</f>
        <v>10</v>
      </c>
      <c r="P447" s="34" t="str">
        <f>VLOOKUP(Tabla3[[#This Row],[Site]],Table35[#All],6,FALSE)</f>
        <v>11, 18</v>
      </c>
      <c r="Q447" s="34" t="str">
        <f>VLOOKUP(Tabla3[[#This Row],[Site]],Table35[#All],8,FALSE)</f>
        <v>318</v>
      </c>
      <c r="R447"/>
    </row>
    <row r="448" spans="1:18" hidden="1" x14ac:dyDescent="0.25">
      <c r="A448" t="str">
        <f>+Tabla3[[#This Row],[Site]]&amp;Tabla3[[#This Row],[Split]]</f>
        <v>(LT) Luther Landers Recon Center8</v>
      </c>
      <c r="B448">
        <v>8</v>
      </c>
      <c r="C448">
        <v>5</v>
      </c>
      <c r="D448" t="s">
        <v>255</v>
      </c>
      <c r="E448" t="str">
        <f>VLOOKUP(Tabla3[[#This Row],[Site]],Table35[],10,FALSE)</f>
        <v>10:00 P.M.</v>
      </c>
      <c r="F448" t="str">
        <f>VLOOKUP(Tabla3[[#This Row],[Site]],Table35[],11,FALSE)</f>
        <v>CT</v>
      </c>
      <c r="G448" t="str">
        <f>VLOOKUP(Tabla3[[#This Row],[Site]],Table35[],12,FALSE)</f>
        <v>6:00 A.M.</v>
      </c>
      <c r="H448" s="1" t="s">
        <v>73</v>
      </c>
      <c r="I448" s="70" t="str">
        <f>HYPERLINK(VLOOKUP(Tabla3[[#This Row],[Site]],Table35[#All],9,FALSE))</f>
        <v>https://tools.sig.systems/site/details/323</v>
      </c>
      <c r="J448" t="str">
        <f>VLOOKUP(Tabla3[[#This Row],[Site]],Table35[],14,FALSE)</f>
        <v>https://www.google.com/maps/d/u/1/edit?mid=1-zEzsc6U6nZom08edp0XAd3_HYFvAyk&amp;usp=sharing</v>
      </c>
      <c r="L448" s="34" t="str">
        <f>VLOOKUP(Tabla3[[#This Row],[Site]],Table35[#All],2,FALSE)</f>
        <v>2, 4</v>
      </c>
      <c r="M448" s="34" t="str">
        <f>VLOOKUP(Tabla3[[#This Row],[Site]],Table35[#All],3,FALSE)</f>
        <v>-</v>
      </c>
      <c r="N448" s="34" t="str">
        <f>VLOOKUP(Tabla3[[#This Row],[Site]],Table35[#All],4,FALSE)</f>
        <v>-</v>
      </c>
      <c r="O448" s="34" t="str">
        <f>VLOOKUP(Tabla3[[#This Row],[Site]],Table35[#All],5,FALSE)</f>
        <v>-</v>
      </c>
      <c r="P448" s="34" t="str">
        <f>VLOOKUP(Tabla3[[#This Row],[Site]],Table35[#All],6,FALSE)</f>
        <v>3, 9, 11</v>
      </c>
      <c r="Q448" s="34" t="str">
        <f>VLOOKUP(Tabla3[[#This Row],[Site]],Table35[#All],8,FALSE)</f>
        <v>323</v>
      </c>
      <c r="R448"/>
    </row>
    <row r="449" spans="1:18" hidden="1" x14ac:dyDescent="0.25">
      <c r="A449" t="str">
        <f>+Tabla3[[#This Row],[Site]]&amp;Tabla3[[#This Row],[Split]]</f>
        <v>(SCH) Schumacher of Delray I &amp; III8</v>
      </c>
      <c r="B449">
        <v>8</v>
      </c>
      <c r="C449">
        <v>5</v>
      </c>
      <c r="D449" t="s">
        <v>385</v>
      </c>
      <c r="E449" t="str">
        <f>VLOOKUP(Tabla3[[#This Row],[Site]],Table35[],10,FALSE)</f>
        <v>9:00 P.M.</v>
      </c>
      <c r="F449" t="str">
        <f>VLOOKUP(Tabla3[[#This Row],[Site]],Table35[],11,FALSE)</f>
        <v>ET</v>
      </c>
      <c r="G449" t="str">
        <f>VLOOKUP(Tabla3[[#This Row],[Site]],Table35[],12,FALSE)</f>
        <v>5:00 A.M.</v>
      </c>
      <c r="H449" s="1" t="s">
        <v>73</v>
      </c>
      <c r="I449" s="70" t="str">
        <f>HYPERLINK(VLOOKUP(Tabla3[[#This Row],[Site]],Table35[#All],9,FALSE))</f>
        <v>https://tools.sig.systems/site/details/159</v>
      </c>
      <c r="J449" t="str">
        <f>VLOOKUP(Tabla3[[#This Row],[Site]],Table35[],14,FALSE)</f>
        <v>https://www.google.com/maps/d/viewer?mid=1ZLGV-cDM9aCfovhmXHIAXgVOKts0dEI&amp;ll=26.438859950088858%2C-80.07968125000001&amp;z=16</v>
      </c>
      <c r="L449" s="34" t="str">
        <f>VLOOKUP(Tabla3[[#This Row],[Site]],Table35[#All],2,FALSE)</f>
        <v>11, 21, 22, 57, 69</v>
      </c>
      <c r="M449" s="34" t="str">
        <f>VLOOKUP(Tabla3[[#This Row],[Site]],Table35[#All],3,FALSE)</f>
        <v>2, 16, 46</v>
      </c>
      <c r="N449" s="34" t="str">
        <f>VLOOKUP(Tabla3[[#This Row],[Site]],Table35[#All],4,FALSE)</f>
        <v>-</v>
      </c>
      <c r="O449" s="34" t="str">
        <f>VLOOKUP(Tabla3[[#This Row],[Site]],Table35[#All],5,FALSE)</f>
        <v>-</v>
      </c>
      <c r="P449" s="34" t="str">
        <f>VLOOKUP(Tabla3[[#This Row],[Site]],Table35[#All],6,FALSE)</f>
        <v>24, 39</v>
      </c>
      <c r="Q449" s="34" t="str">
        <f>VLOOKUP(Tabla3[[#This Row],[Site]],Table35[#All],8,FALSE)</f>
        <v>159</v>
      </c>
      <c r="R449"/>
    </row>
    <row r="450" spans="1:18" hidden="1" x14ac:dyDescent="0.25">
      <c r="A450" t="str">
        <f>+Tabla3[[#This Row],[Site]]&amp;Tabla3[[#This Row],[Split]]</f>
        <v>(AS) Hare Truck Center (NO TOURS)8</v>
      </c>
      <c r="B450">
        <v>8</v>
      </c>
      <c r="C450">
        <v>6</v>
      </c>
      <c r="D450" t="s">
        <v>380</v>
      </c>
      <c r="E450" t="str">
        <f>VLOOKUP(Tabla3[[#This Row],[Site]],Table35[],10,FALSE)</f>
        <v>9:00 P.M.</v>
      </c>
      <c r="F450" t="str">
        <f>VLOOKUP(Tabla3[[#This Row],[Site]],Table35[],11,FALSE)</f>
        <v>ET</v>
      </c>
      <c r="G450" t="str">
        <f>VLOOKUP(Tabla3[[#This Row],[Site]],Table35[],12,FALSE)</f>
        <v>5:00 A.M.</v>
      </c>
      <c r="H450" s="1" t="s">
        <v>73</v>
      </c>
      <c r="I450" s="70" t="str">
        <f>HYPERLINK(VLOOKUP(Tabla3[[#This Row],[Site]],Table35[#All],9,FALSE))</f>
        <v>https://tools.sig.systems/site/details/300</v>
      </c>
      <c r="J450" t="str">
        <f>VLOOKUP(Tabla3[[#This Row],[Site]],Table35[],14,FALSE)</f>
        <v>https://www.google.com/maps/d/edit?mid=1hsX5GGrNcCQgAuzDCDz1OWgEkhsAc78&amp;usp=sharing</v>
      </c>
      <c r="L450" s="34" t="str">
        <f>VLOOKUP(Tabla3[[#This Row],[Site]],Table35[#All],2,FALSE)</f>
        <v>-</v>
      </c>
      <c r="M450" s="34" t="str">
        <f>VLOOKUP(Tabla3[[#This Row],[Site]],Table35[#All],3,FALSE)</f>
        <v>1, 5</v>
      </c>
      <c r="N450" s="34" t="str">
        <f>VLOOKUP(Tabla3[[#This Row],[Site]],Table35[#All],4,FALSE)</f>
        <v>-</v>
      </c>
      <c r="O450" s="34" t="str">
        <f>VLOOKUP(Tabla3[[#This Row],[Site]],Table35[#All],5,FALSE)</f>
        <v>-</v>
      </c>
      <c r="P450" s="34" t="str">
        <f>VLOOKUP(Tabla3[[#This Row],[Site]],Table35[#All],6,FALSE)</f>
        <v xml:space="preserve">2, 6, 10, 12, 17 </v>
      </c>
      <c r="Q450" s="34" t="str">
        <f>VLOOKUP(Tabla3[[#This Row],[Site]],Table35[#All],8,FALSE)</f>
        <v>300</v>
      </c>
      <c r="R450"/>
    </row>
    <row r="451" spans="1:18" hidden="1" x14ac:dyDescent="0.25">
      <c r="A451" t="str">
        <f>+Tabla3[[#This Row],[Site]]&amp;Tabla3[[#This Row],[Split]]</f>
        <v>(AS) Koons Woodbridge Hyundai (NO TOURS)8</v>
      </c>
      <c r="B451">
        <v>8</v>
      </c>
      <c r="C451">
        <v>6</v>
      </c>
      <c r="D451" t="s">
        <v>406</v>
      </c>
      <c r="E451" t="str">
        <f>VLOOKUP(Tabla3[[#This Row],[Site]],Table35[],10,FALSE)</f>
        <v>9:00 P.M.</v>
      </c>
      <c r="F451" t="str">
        <f>VLOOKUP(Tabla3[[#This Row],[Site]],Table35[],11,FALSE)</f>
        <v>ET</v>
      </c>
      <c r="G451" t="str">
        <f>VLOOKUP(Tabla3[[#This Row],[Site]],Table35[],12,FALSE)</f>
        <v>5:00 A.M.</v>
      </c>
      <c r="H451" s="1" t="s">
        <v>73</v>
      </c>
      <c r="I451" s="70" t="str">
        <f>HYPERLINK(VLOOKUP(Tabla3[[#This Row],[Site]],Table35[#All],9,FALSE))</f>
        <v>https://tools.sig.systems/site/details/347</v>
      </c>
      <c r="J451" t="str">
        <f>VLOOKUP(Tabla3[[#This Row],[Site]],Table35[],14,FALSE)</f>
        <v>-</v>
      </c>
      <c r="L451" s="34" t="str">
        <f>VLOOKUP(Tabla3[[#This Row],[Site]],Table35[#All],2,FALSE)</f>
        <v>-</v>
      </c>
      <c r="M451" s="34" t="str">
        <f>VLOOKUP(Tabla3[[#This Row],[Site]],Table35[#All],3,FALSE)</f>
        <v>1, 17</v>
      </c>
      <c r="N451" s="34" t="str">
        <f>VLOOKUP(Tabla3[[#This Row],[Site]],Table35[#All],4,FALSE)</f>
        <v>-</v>
      </c>
      <c r="O451" s="34" t="str">
        <f>VLOOKUP(Tabla3[[#This Row],[Site]],Table35[#All],5,FALSE)</f>
        <v>-</v>
      </c>
      <c r="P451" s="34" t="str">
        <f>VLOOKUP(Tabla3[[#This Row],[Site]],Table35[#All],6,FALSE)</f>
        <v>4, 14, 22</v>
      </c>
      <c r="Q451" s="34" t="str">
        <f>VLOOKUP(Tabla3[[#This Row],[Site]],Table35[#All],8,FALSE)</f>
        <v>347</v>
      </c>
      <c r="R451"/>
    </row>
    <row r="452" spans="1:18" hidden="1" x14ac:dyDescent="0.25">
      <c r="A452" t="str">
        <f>+Tabla3[[#This Row],[Site]]&amp;Tabla3[[#This Row],[Split]]</f>
        <v>(KG) Big Star Hyundai Houston8</v>
      </c>
      <c r="B452">
        <v>8</v>
      </c>
      <c r="C452">
        <v>6</v>
      </c>
      <c r="D452" t="s">
        <v>129</v>
      </c>
      <c r="E452" t="str">
        <f>VLOOKUP(Tabla3[[#This Row],[Site]],Table35[],10,FALSE)</f>
        <v>10:00 P.M.</v>
      </c>
      <c r="F452" t="str">
        <f>VLOOKUP(Tabla3[[#This Row],[Site]],Table35[],11,FALSE)</f>
        <v>CT</v>
      </c>
      <c r="G452" t="str">
        <f>VLOOKUP(Tabla3[[#This Row],[Site]],Table35[],12,FALSE)</f>
        <v>6:00 A.M.</v>
      </c>
      <c r="H452" s="1" t="s">
        <v>73</v>
      </c>
      <c r="I452" s="70" t="str">
        <f>HYPERLINK(VLOOKUP(Tabla3[[#This Row],[Site]],Table35[#All],9,FALSE))</f>
        <v>https://tools.sig.systems/site/details/287</v>
      </c>
      <c r="J452" t="str">
        <f>VLOOKUP(Tabla3[[#This Row],[Site]],Table35[],14,FALSE)</f>
        <v>https://www.google.com/maps/d/edit?hl=en&amp;mid=1jIRkMUnWNPuTgDjQgDP-f33LClT85NU&amp;ll=29.55731827236326%2C-95.1601644&amp;z=17</v>
      </c>
      <c r="L452" s="34" t="str">
        <f>VLOOKUP(Tabla3[[#This Row],[Site]],Table35[#All],2,FALSE)</f>
        <v>3, 12, 17</v>
      </c>
      <c r="M452" s="34" t="str">
        <f>VLOOKUP(Tabla3[[#This Row],[Site]],Table35[#All],3,FALSE)</f>
        <v>23, 35</v>
      </c>
      <c r="N452" s="34" t="str">
        <f>VLOOKUP(Tabla3[[#This Row],[Site]],Table35[#All],4,FALSE)</f>
        <v>-</v>
      </c>
      <c r="O452" s="34" t="str">
        <f>VLOOKUP(Tabla3[[#This Row],[Site]],Table35[#All],5,FALSE)</f>
        <v>1, 75</v>
      </c>
      <c r="P452" s="34" t="str">
        <f>VLOOKUP(Tabla3[[#This Row],[Site]],Table35[#All],6,FALSE)</f>
        <v xml:space="preserve">5, 11, 16, 20, 26, 30, 32, 34 </v>
      </c>
      <c r="Q452" s="34" t="str">
        <f>VLOOKUP(Tabla3[[#This Row],[Site]],Table35[#All],8,FALSE)</f>
        <v>287</v>
      </c>
      <c r="R452"/>
    </row>
    <row r="453" spans="1:18" hidden="1" x14ac:dyDescent="0.25">
      <c r="A453" t="str">
        <f>+Tabla3[[#This Row],[Site]]&amp;Tabla3[[#This Row],[Split]]</f>
        <v>(KG) Ken Garff Volkswagen of Gilbert8</v>
      </c>
      <c r="B453">
        <v>8</v>
      </c>
      <c r="C453">
        <v>6</v>
      </c>
      <c r="D453" t="s">
        <v>130</v>
      </c>
      <c r="E453" t="str">
        <f>VLOOKUP(Tabla3[[#This Row],[Site]],Table35[],10,FALSE)</f>
        <v>12:00 A.M.</v>
      </c>
      <c r="F453" t="str">
        <f>VLOOKUP(Tabla3[[#This Row],[Site]],Table35[],11,FALSE)</f>
        <v>MST</v>
      </c>
      <c r="G453" t="str">
        <f>VLOOKUP(Tabla3[[#This Row],[Site]],Table35[],12,FALSE)</f>
        <v>8:00 A.M.</v>
      </c>
      <c r="H453" s="1" t="s">
        <v>73</v>
      </c>
      <c r="I453" s="70" t="str">
        <f>HYPERLINK(VLOOKUP(Tabla3[[#This Row],[Site]],Table35[#All],9,FALSE))</f>
        <v>https://tools.sig.systems/site/details/284</v>
      </c>
      <c r="J453" t="str">
        <f>VLOOKUP(Tabla3[[#This Row],[Site]],Table35[],14,FALSE)</f>
        <v>https://www.google.com/maps/d/viewer?hl=es&amp;mid=19SU7XE9Cg8jhVFpEI21Vi9Zfgdih9Ds&amp;ll=33.29158262977276%2C-111.75783630000002&amp;z=17</v>
      </c>
      <c r="L453" s="34" t="str">
        <f>VLOOKUP(Tabla3[[#This Row],[Site]],Table35[#All],2,FALSE)</f>
        <v>4, 6</v>
      </c>
      <c r="M453" s="34" t="str">
        <f>VLOOKUP(Tabla3[[#This Row],[Site]],Table35[#All],3,FALSE)</f>
        <v>-</v>
      </c>
      <c r="N453" s="34" t="str">
        <f>VLOOKUP(Tabla3[[#This Row],[Site]],Table35[#All],4,FALSE)</f>
        <v>-</v>
      </c>
      <c r="O453" s="34" t="str">
        <f>VLOOKUP(Tabla3[[#This Row],[Site]],Table35[#All],5,FALSE)</f>
        <v>2, 14</v>
      </c>
      <c r="P453" s="34" t="str">
        <f>VLOOKUP(Tabla3[[#This Row],[Site]],Table35[#All],6,FALSE)</f>
        <v>1, 5, 8, 9, 17, 19, 21</v>
      </c>
      <c r="Q453" s="34" t="str">
        <f>VLOOKUP(Tabla3[[#This Row],[Site]],Table35[#All],8,FALSE)</f>
        <v>284</v>
      </c>
      <c r="R453"/>
    </row>
    <row r="454" spans="1:18" hidden="1" x14ac:dyDescent="0.25">
      <c r="A454" t="str">
        <f>+Tabla3[[#This Row],[Site]]&amp;Tabla3[[#This Row],[Split]]</f>
        <v>(LT) Luther Bloomington Subaru - Acura8</v>
      </c>
      <c r="B454">
        <v>8</v>
      </c>
      <c r="C454">
        <v>6</v>
      </c>
      <c r="D454" t="s">
        <v>124</v>
      </c>
      <c r="E454" t="str">
        <f>VLOOKUP(Tabla3[[#This Row],[Site]],Table35[],10,FALSE)</f>
        <v>8:00 P.M.</v>
      </c>
      <c r="F454" t="str">
        <f>VLOOKUP(Tabla3[[#This Row],[Site]],Table35[],11,FALSE)</f>
        <v>CT</v>
      </c>
      <c r="G454" t="str">
        <f>VLOOKUP(Tabla3[[#This Row],[Site]],Table35[],12,FALSE)</f>
        <v>4:00 A.M.</v>
      </c>
      <c r="H454" s="1" t="s">
        <v>68</v>
      </c>
      <c r="I454" s="70" t="str">
        <f>HYPERLINK(VLOOKUP(Tabla3[[#This Row],[Site]],Table35[#All],9,FALSE))</f>
        <v>https://tools.sig.systems/site/details/289</v>
      </c>
      <c r="J454">
        <f>VLOOKUP(Tabla3[[#This Row],[Site]],Table35[],14,FALSE)</f>
        <v>0</v>
      </c>
      <c r="L454" s="34">
        <f>VLOOKUP(Tabla3[[#This Row],[Site]],Table35[#All],2,FALSE)</f>
        <v>29</v>
      </c>
      <c r="M454" s="34" t="str">
        <f>VLOOKUP(Tabla3[[#This Row],[Site]],Table35[#All],3,FALSE)</f>
        <v>5, 8, 33</v>
      </c>
      <c r="N454" s="34" t="str">
        <f>VLOOKUP(Tabla3[[#This Row],[Site]],Table35[#All],4,FALSE)</f>
        <v>4, 7, 35</v>
      </c>
      <c r="O454" s="34" t="str">
        <f>VLOOKUP(Tabla3[[#This Row],[Site]],Table35[#All],5,FALSE)</f>
        <v>-</v>
      </c>
      <c r="P454" s="34" t="str">
        <f>VLOOKUP(Tabla3[[#This Row],[Site]],Table35[#All],6,FALSE)</f>
        <v xml:space="preserve">1, 2, 14, 24, 34  </v>
      </c>
      <c r="Q454" s="34" t="str">
        <f>VLOOKUP(Tabla3[[#This Row],[Site]],Table35[#All],8,FALSE)</f>
        <v>289</v>
      </c>
      <c r="R454"/>
    </row>
    <row r="455" spans="1:18" hidden="1" x14ac:dyDescent="0.25">
      <c r="A455" t="str">
        <f>+Tabla3[[#This Row],[Site]]&amp;Tabla3[[#This Row],[Split]]</f>
        <v>(LT) Luther St. Cloud Subaru8</v>
      </c>
      <c r="B455">
        <v>8</v>
      </c>
      <c r="C455">
        <v>6</v>
      </c>
      <c r="D455" t="s">
        <v>128</v>
      </c>
      <c r="E455" t="str">
        <f>VLOOKUP(Tabla3[[#This Row],[Site]],Table35[],10,FALSE)</f>
        <v>10:00 P.M.</v>
      </c>
      <c r="F455" t="str">
        <f>VLOOKUP(Tabla3[[#This Row],[Site]],Table35[],11,FALSE)</f>
        <v>CT</v>
      </c>
      <c r="G455" t="str">
        <f>VLOOKUP(Tabla3[[#This Row],[Site]],Table35[],12,FALSE)</f>
        <v>5:30 A.M.</v>
      </c>
      <c r="H455" s="1" t="s">
        <v>68</v>
      </c>
      <c r="I455" s="70" t="str">
        <f>HYPERLINK(VLOOKUP(Tabla3[[#This Row],[Site]],Table35[#All],9,FALSE))</f>
        <v>https://tools.sig.systems/site/details/295</v>
      </c>
      <c r="J455">
        <f>VLOOKUP(Tabla3[[#This Row],[Site]],Table35[],14,FALSE)</f>
        <v>0</v>
      </c>
      <c r="L455" s="34" t="str">
        <f>VLOOKUP(Tabla3[[#This Row],[Site]],Table35[#All],2,FALSE)</f>
        <v>25, 31</v>
      </c>
      <c r="M455" s="34" t="str">
        <f>VLOOKUP(Tabla3[[#This Row],[Site]],Table35[#All],3,FALSE)</f>
        <v>9, 13, 20</v>
      </c>
      <c r="N455" s="34" t="str">
        <f>VLOOKUP(Tabla3[[#This Row],[Site]],Table35[#All],4,FALSE)</f>
        <v>38, 39, 40, 41</v>
      </c>
      <c r="O455" s="34">
        <f>VLOOKUP(Tabla3[[#This Row],[Site]],Table35[#All],5,FALSE)</f>
        <v>27</v>
      </c>
      <c r="P455" s="34" t="str">
        <f>VLOOKUP(Tabla3[[#This Row],[Site]],Table35[#All],6,FALSE)</f>
        <v>2, 6, 8, 11, 14, 19, 23, 26</v>
      </c>
      <c r="Q455" s="34" t="str">
        <f>VLOOKUP(Tabla3[[#This Row],[Site]],Table35[#All],8,FALSE)</f>
        <v>295</v>
      </c>
      <c r="R455"/>
    </row>
    <row r="456" spans="1:18" hidden="1" x14ac:dyDescent="0.25">
      <c r="A456" t="str">
        <f>+Tabla3[[#This Row],[Site]]&amp;Tabla3[[#This Row],[Split]]</f>
        <v>(PE) Porsche Audi Fairfield (NO TOURS)8</v>
      </c>
      <c r="B456">
        <v>8</v>
      </c>
      <c r="C456">
        <v>6</v>
      </c>
      <c r="D456" t="s">
        <v>446</v>
      </c>
      <c r="E456" t="str">
        <f>VLOOKUP(Tabla3[[#This Row],[Site]],Table35[],10,FALSE)</f>
        <v>8:00 P.M.</v>
      </c>
      <c r="F456" t="str">
        <f>VLOOKUP(Tabla3[[#This Row],[Site]],Table35[],11,FALSE)</f>
        <v>ET</v>
      </c>
      <c r="G456" t="str">
        <f>VLOOKUP(Tabla3[[#This Row],[Site]],Table35[],12,FALSE)</f>
        <v>5:00 A.M.</v>
      </c>
      <c r="H456" s="1" t="s">
        <v>68</v>
      </c>
      <c r="I456" s="70" t="str">
        <f>HYPERLINK(VLOOKUP(Tabla3[[#This Row],[Site]],Table35[#All],9,FALSE))</f>
        <v>https://tools.sig.systems/site/details/194</v>
      </c>
      <c r="J456" t="str">
        <f>VLOOKUP(Tabla3[[#This Row],[Site]],Table35[],14,FALSE)</f>
        <v>-</v>
      </c>
      <c r="L456" s="34" t="str">
        <f>VLOOKUP(Tabla3[[#This Row],[Site]],Table35[#All],2,FALSE)</f>
        <v>1, 18</v>
      </c>
      <c r="M456" s="34" t="str">
        <f>VLOOKUP(Tabla3[[#This Row],[Site]],Table35[#All],3,FALSE)</f>
        <v>-</v>
      </c>
      <c r="N456" s="34" t="str">
        <f>VLOOKUP(Tabla3[[#This Row],[Site]],Table35[#All],4,FALSE)</f>
        <v>-</v>
      </c>
      <c r="O456" s="34">
        <f>VLOOKUP(Tabla3[[#This Row],[Site]],Table35[#All],5,FALSE)</f>
        <v>20</v>
      </c>
      <c r="P456" s="34">
        <f>VLOOKUP(Tabla3[[#This Row],[Site]],Table35[#All],6,FALSE)</f>
        <v>15</v>
      </c>
      <c r="Q456" s="34">
        <f>VLOOKUP(Tabla3[[#This Row],[Site]],Table35[#All],8,FALSE)</f>
        <v>194</v>
      </c>
      <c r="R456"/>
    </row>
    <row r="457" spans="1:18" hidden="1" x14ac:dyDescent="0.25">
      <c r="A457" t="str">
        <f>+Tabla3[[#This Row],[Site]]&amp;Tabla3[[#This Row],[Split]]</f>
        <v>(TC) Lamborghini South Dade8</v>
      </c>
      <c r="B457">
        <v>8</v>
      </c>
      <c r="C457">
        <v>6</v>
      </c>
      <c r="D457" t="s">
        <v>237</v>
      </c>
      <c r="E457" t="str">
        <f>VLOOKUP(Tabla3[[#This Row],[Site]],Table35[],10,FALSE)</f>
        <v>9:00 P.M.</v>
      </c>
      <c r="F457" t="str">
        <f>VLOOKUP(Tabla3[[#This Row],[Site]],Table35[],11,FALSE)</f>
        <v>ET</v>
      </c>
      <c r="G457" t="str">
        <f>VLOOKUP(Tabla3[[#This Row],[Site]],Table35[],12,FALSE)</f>
        <v>5:00 A.M.</v>
      </c>
      <c r="H457" s="1" t="s">
        <v>68</v>
      </c>
      <c r="I457" s="70" t="str">
        <f>HYPERLINK(VLOOKUP(Tabla3[[#This Row],[Site]],Table35[#All],9,FALSE))</f>
        <v>https://tools.sig.systems/site/details/313</v>
      </c>
      <c r="J457">
        <f>VLOOKUP(Tabla3[[#This Row],[Site]],Table35[],14,FALSE)</f>
        <v>0</v>
      </c>
      <c r="L457" s="34" t="str">
        <f>VLOOKUP(Tabla3[[#This Row],[Site]],Table35[#All],2,FALSE)</f>
        <v>-</v>
      </c>
      <c r="M457" s="34" t="str">
        <f>VLOOKUP(Tabla3[[#This Row],[Site]],Table35[#All],3,FALSE)</f>
        <v>9, 11</v>
      </c>
      <c r="N457" s="34" t="str">
        <f>VLOOKUP(Tabla3[[#This Row],[Site]],Table35[#All],4,FALSE)</f>
        <v>-</v>
      </c>
      <c r="O457" s="34" t="str">
        <f>VLOOKUP(Tabla3[[#This Row],[Site]],Table35[#All],5,FALSE)</f>
        <v>-</v>
      </c>
      <c r="P457" s="34" t="str">
        <f>VLOOKUP(Tabla3[[#This Row],[Site]],Table35[#All],6,FALSE)</f>
        <v>-</v>
      </c>
      <c r="Q457" s="34" t="str">
        <f>VLOOKUP(Tabla3[[#This Row],[Site]],Table35[#All],8,FALSE)</f>
        <v>313</v>
      </c>
      <c r="R457"/>
    </row>
    <row r="458" spans="1:18" hidden="1" x14ac:dyDescent="0.25">
      <c r="A458" t="str">
        <f>+Tabla3[[#This Row],[Site]]&amp;Tabla3[[#This Row],[Split]]</f>
        <v>(AS) Kahlo CDJR (NO TOURS)8</v>
      </c>
      <c r="B458">
        <v>8</v>
      </c>
      <c r="C458">
        <v>7</v>
      </c>
      <c r="D458" t="s">
        <v>381</v>
      </c>
      <c r="E458" t="str">
        <f>VLOOKUP(Tabla3[[#This Row],[Site]],Table35[],10,FALSE)</f>
        <v>9:00 P.M.</v>
      </c>
      <c r="F458" t="str">
        <f>VLOOKUP(Tabla3[[#This Row],[Site]],Table35[],11,FALSE)</f>
        <v>ET</v>
      </c>
      <c r="G458" t="str">
        <f>VLOOKUP(Tabla3[[#This Row],[Site]],Table35[],12,FALSE)</f>
        <v>5:00 A.M.</v>
      </c>
      <c r="H458" s="1" t="s">
        <v>68</v>
      </c>
      <c r="I458" s="70" t="str">
        <f>HYPERLINK(VLOOKUP(Tabla3[[#This Row],[Site]],Table35[#All],9,FALSE))</f>
        <v>https://tools.sig.systems/site/details/282</v>
      </c>
      <c r="J458" t="str">
        <f>VLOOKUP(Tabla3[[#This Row],[Site]],Table35[],14,FALSE)</f>
        <v>https://www.google.com/maps/d/edit?mid=1hsX5GGrNcCQgAuzDCDz1OWgEkhsAc78&amp;usp=sharing</v>
      </c>
      <c r="L458" s="34" t="str">
        <f>VLOOKUP(Tabla3[[#This Row],[Site]],Table35[#All],2,FALSE)</f>
        <v>-</v>
      </c>
      <c r="M458" s="34" t="str">
        <f>VLOOKUP(Tabla3[[#This Row],[Site]],Table35[#All],3,FALSE)</f>
        <v>12, 25</v>
      </c>
      <c r="N458" s="34" t="str">
        <f>VLOOKUP(Tabla3[[#This Row],[Site]],Table35[#All],4,FALSE)</f>
        <v>15, 16</v>
      </c>
      <c r="O458" s="34">
        <f>VLOOKUP(Tabla3[[#This Row],[Site]],Table35[#All],5,FALSE)</f>
        <v>20</v>
      </c>
      <c r="P458" s="34" t="str">
        <f>VLOOKUP(Tabla3[[#This Row],[Site]],Table35[#All],6,FALSE)</f>
        <v>1, 2, 9, 22, 31, 57</v>
      </c>
      <c r="Q458" s="34" t="str">
        <f>VLOOKUP(Tabla3[[#This Row],[Site]],Table35[#All],8,FALSE)</f>
        <v>282</v>
      </c>
      <c r="R458"/>
    </row>
    <row r="459" spans="1:18" hidden="1" x14ac:dyDescent="0.25">
      <c r="A459" t="str">
        <f>+Tabla3[[#This Row],[Site]]&amp;Tabla3[[#This Row],[Split]]</f>
        <v>(AS) Koons Chevrolet Buick GMC - Tysons (NO TOURS)8</v>
      </c>
      <c r="B459">
        <v>8</v>
      </c>
      <c r="C459">
        <v>7</v>
      </c>
      <c r="D459" t="s">
        <v>377</v>
      </c>
      <c r="E459" t="str">
        <f>VLOOKUP(Tabla3[[#This Row],[Site]],Table35[],10,FALSE)</f>
        <v>9:00 P.M.</v>
      </c>
      <c r="F459" t="str">
        <f>VLOOKUP(Tabla3[[#This Row],[Site]],Table35[],11,FALSE)</f>
        <v>ET</v>
      </c>
      <c r="G459" t="str">
        <f>VLOOKUP(Tabla3[[#This Row],[Site]],Table35[],12,FALSE)</f>
        <v>5:00 A.M.</v>
      </c>
      <c r="H459" s="1" t="s">
        <v>68</v>
      </c>
      <c r="I459" s="70" t="str">
        <f>HYPERLINK(VLOOKUP(Tabla3[[#This Row],[Site]],Table35[#All],9,FALSE))</f>
        <v>https://tools.sig.systems/site/details/352</v>
      </c>
      <c r="J459" t="str">
        <f>VLOOKUP(Tabla3[[#This Row],[Site]],Table35[],14,FALSE)</f>
        <v>-</v>
      </c>
      <c r="L459" s="34" t="str">
        <f>VLOOKUP(Tabla3[[#This Row],[Site]],Table35[#All],2,FALSE)</f>
        <v>-</v>
      </c>
      <c r="M459" s="34" t="str">
        <f>VLOOKUP(Tabla3[[#This Row],[Site]],Table35[#All],3,FALSE)</f>
        <v>3, 6</v>
      </c>
      <c r="N459" s="34" t="str">
        <f>VLOOKUP(Tabla3[[#This Row],[Site]],Table35[#All],4,FALSE)</f>
        <v>-</v>
      </c>
      <c r="O459" s="34">
        <f>VLOOKUP(Tabla3[[#This Row],[Site]],Table35[#All],5,FALSE)</f>
        <v>4</v>
      </c>
      <c r="P459" s="34" t="str">
        <f>VLOOKUP(Tabla3[[#This Row],[Site]],Table35[#All],6,FALSE)</f>
        <v xml:space="preserve">2, 9, 17 </v>
      </c>
      <c r="Q459" s="34" t="str">
        <f>VLOOKUP(Tabla3[[#This Row],[Site]],Table35[#All],8,FALSE)</f>
        <v>352</v>
      </c>
      <c r="R459"/>
    </row>
    <row r="460" spans="1:18" hidden="1" x14ac:dyDescent="0.25">
      <c r="A460" t="str">
        <f>+Tabla3[[#This Row],[Site]]&amp;Tabla3[[#This Row],[Split]]</f>
        <v>(AS) Koons Tysons Toyota - Main Dealership (NO TOURS)8</v>
      </c>
      <c r="B460">
        <v>8</v>
      </c>
      <c r="C460">
        <v>7</v>
      </c>
      <c r="D460" t="s">
        <v>431</v>
      </c>
      <c r="E460" t="str">
        <f>VLOOKUP(Tabla3[[#This Row],[Site]],Table35[],10,FALSE)</f>
        <v>9:00 P.M.</v>
      </c>
      <c r="F460" t="str">
        <f>VLOOKUP(Tabla3[[#This Row],[Site]],Table35[],11,FALSE)</f>
        <v>ET</v>
      </c>
      <c r="G460" t="str">
        <f>VLOOKUP(Tabla3[[#This Row],[Site]],Table35[],12,FALSE)</f>
        <v>5:00 A.M.</v>
      </c>
      <c r="H460" s="1" t="s">
        <v>68</v>
      </c>
      <c r="I460" s="70" t="str">
        <f>HYPERLINK(VLOOKUP(Tabla3[[#This Row],[Site]],Table35[#All],9,FALSE))</f>
        <v>https://tools.sig.systems/site/details/344</v>
      </c>
      <c r="J460" t="str">
        <f>VLOOKUP(Tabla3[[#This Row],[Site]],Table35[],14,FALSE)</f>
        <v>-</v>
      </c>
      <c r="L460" s="34" t="str">
        <f>VLOOKUP(Tabla3[[#This Row],[Site]],Table35[#All],2,FALSE)</f>
        <v>-</v>
      </c>
      <c r="M460" s="34" t="str">
        <f>VLOOKUP(Tabla3[[#This Row],[Site]],Table35[#All],3,FALSE)</f>
        <v>1, 25</v>
      </c>
      <c r="N460" s="34" t="str">
        <f>VLOOKUP(Tabla3[[#This Row],[Site]],Table35[#All],4,FALSE)</f>
        <v>-</v>
      </c>
      <c r="O460" s="34" t="str">
        <f>VLOOKUP(Tabla3[[#This Row],[Site]],Table35[#All],5,FALSE)</f>
        <v>-</v>
      </c>
      <c r="P460" s="34" t="str">
        <f>VLOOKUP(Tabla3[[#This Row],[Site]],Table35[#All],6,FALSE)</f>
        <v>13, 22, 27</v>
      </c>
      <c r="Q460" s="34" t="str">
        <f>VLOOKUP(Tabla3[[#This Row],[Site]],Table35[#All],8,FALSE)</f>
        <v>344</v>
      </c>
      <c r="R460"/>
    </row>
    <row r="461" spans="1:18" hidden="1" x14ac:dyDescent="0.25">
      <c r="A461" t="str">
        <f>+Tabla3[[#This Row],[Site]]&amp;Tabla3[[#This Row],[Split]]</f>
        <v>(AS) Koons Woodbridge Kia (NO TOURS)8</v>
      </c>
      <c r="B461">
        <v>8</v>
      </c>
      <c r="C461">
        <v>7</v>
      </c>
      <c r="D461" t="s">
        <v>407</v>
      </c>
      <c r="E461" t="str">
        <f>VLOOKUP(Tabla3[[#This Row],[Site]],Table35[],10,FALSE)</f>
        <v>9:00 P.M.</v>
      </c>
      <c r="F461" t="str">
        <f>VLOOKUP(Tabla3[[#This Row],[Site]],Table35[],11,FALSE)</f>
        <v>ET</v>
      </c>
      <c r="G461" t="str">
        <f>VLOOKUP(Tabla3[[#This Row],[Site]],Table35[],12,FALSE)</f>
        <v>5:00 A.M.</v>
      </c>
      <c r="H461" s="1" t="s">
        <v>68</v>
      </c>
      <c r="I461" s="70" t="str">
        <f>HYPERLINK(VLOOKUP(Tabla3[[#This Row],[Site]],Table35[#All],9,FALSE))</f>
        <v>https://tools.sig.systems/site/details/346</v>
      </c>
      <c r="J461" t="str">
        <f>VLOOKUP(Tabla3[[#This Row],[Site]],Table35[],14,FALSE)</f>
        <v>-</v>
      </c>
      <c r="L461" s="34" t="str">
        <f>VLOOKUP(Tabla3[[#This Row],[Site]],Table35[#All],2,FALSE)</f>
        <v>-</v>
      </c>
      <c r="M461" s="34">
        <f>VLOOKUP(Tabla3[[#This Row],[Site]],Table35[#All],3,FALSE)</f>
        <v>2</v>
      </c>
      <c r="N461" s="34" t="str">
        <f>VLOOKUP(Tabla3[[#This Row],[Site]],Table35[#All],4,FALSE)</f>
        <v>-</v>
      </c>
      <c r="O461" s="34" t="str">
        <f>VLOOKUP(Tabla3[[#This Row],[Site]],Table35[#All],5,FALSE)</f>
        <v>-</v>
      </c>
      <c r="P461" s="34">
        <f>VLOOKUP(Tabla3[[#This Row],[Site]],Table35[#All],6,FALSE)</f>
        <v>5</v>
      </c>
      <c r="Q461" s="34" t="str">
        <f>VLOOKUP(Tabla3[[#This Row],[Site]],Table35[#All],8,FALSE)</f>
        <v>346</v>
      </c>
      <c r="R461"/>
    </row>
    <row r="462" spans="1:18" hidden="1" x14ac:dyDescent="0.25">
      <c r="A462" t="str">
        <f>+Tabla3[[#This Row],[Site]]&amp;Tabla3[[#This Row],[Split]]</f>
        <v>(AS) Larry H Miller CDJR Fiat (NO TOURS)8</v>
      </c>
      <c r="B462">
        <v>8</v>
      </c>
      <c r="C462">
        <v>7</v>
      </c>
      <c r="D462" t="s">
        <v>217</v>
      </c>
      <c r="E462" t="str">
        <f>VLOOKUP(Tabla3[[#This Row],[Site]],Table35[],10,FALSE)</f>
        <v>11:00 P.M.</v>
      </c>
      <c r="F462" t="str">
        <f>VLOOKUP(Tabla3[[#This Row],[Site]],Table35[],11,FALSE)</f>
        <v>MT</v>
      </c>
      <c r="G462" t="str">
        <f>VLOOKUP(Tabla3[[#This Row],[Site]],Table35[],12,FALSE)</f>
        <v>7:00 A.M.</v>
      </c>
      <c r="H462" s="1" t="s">
        <v>68</v>
      </c>
      <c r="I462" s="70" t="str">
        <f>HYPERLINK(VLOOKUP(Tabla3[[#This Row],[Site]],Table35[#All],9,FALSE))</f>
        <v>https://tools.sig.systems/site/details/298</v>
      </c>
      <c r="J462">
        <f>VLOOKUP(Tabla3[[#This Row],[Site]],Table35[],14,FALSE)</f>
        <v>0</v>
      </c>
      <c r="L462" s="34" t="str">
        <f>VLOOKUP(Tabla3[[#This Row],[Site]],Table35[#All],2,FALSE)</f>
        <v>7, 11</v>
      </c>
      <c r="M462" s="34" t="str">
        <f>VLOOKUP(Tabla3[[#This Row],[Site]],Table35[#All],3,FALSE)</f>
        <v>2, 3</v>
      </c>
      <c r="N462" s="34" t="str">
        <f>VLOOKUP(Tabla3[[#This Row],[Site]],Table35[#All],4,FALSE)</f>
        <v>-</v>
      </c>
      <c r="O462" s="34" t="str">
        <f>VLOOKUP(Tabla3[[#This Row],[Site]],Table35[#All],5,FALSE)</f>
        <v>-</v>
      </c>
      <c r="P462" s="34" t="str">
        <f>VLOOKUP(Tabla3[[#This Row],[Site]],Table35[#All],6,FALSE)</f>
        <v xml:space="preserve">2, 6, 10, 15, 18 </v>
      </c>
      <c r="Q462" s="34" t="str">
        <f>VLOOKUP(Tabla3[[#This Row],[Site]],Table35[#All],8,FALSE)</f>
        <v>298</v>
      </c>
      <c r="R462"/>
    </row>
    <row r="463" spans="1:18" hidden="1" x14ac:dyDescent="0.25">
      <c r="A463" t="str">
        <f>+Tabla3[[#This Row],[Site]]&amp;Tabla3[[#This Row],[Split]]</f>
        <v>(KG) Big Star Cadillac8</v>
      </c>
      <c r="B463">
        <v>8</v>
      </c>
      <c r="C463">
        <v>7</v>
      </c>
      <c r="D463" t="s">
        <v>240</v>
      </c>
      <c r="E463" t="str">
        <f>VLOOKUP(Tabla3[[#This Row],[Site]],Table35[],10,FALSE)</f>
        <v>10:00 P.M.</v>
      </c>
      <c r="F463" t="str">
        <f>VLOOKUP(Tabla3[[#This Row],[Site]],Table35[],11,FALSE)</f>
        <v>CT</v>
      </c>
      <c r="G463" t="str">
        <f>VLOOKUP(Tabla3[[#This Row],[Site]],Table35[],12,FALSE)</f>
        <v>6:00 A.M.</v>
      </c>
      <c r="H463" s="1" t="s">
        <v>68</v>
      </c>
      <c r="I463" s="70" t="str">
        <f>HYPERLINK(VLOOKUP(Tabla3[[#This Row],[Site]],Table35[#All],9,FALSE))</f>
        <v>https://tools.sig.systems/site/details/316</v>
      </c>
      <c r="J463" t="str">
        <f>VLOOKUP(Tabla3[[#This Row],[Site]],Table35[],14,FALSE)</f>
        <v>https://www.google.com/maps/d/edit?mid=1jIRkMUnWNPuTgDjQgDP-f33LClT85NU&amp;usp=sharing</v>
      </c>
      <c r="L463" s="34" t="str">
        <f>VLOOKUP(Tabla3[[#This Row],[Site]],Table35[#All],2,FALSE)</f>
        <v>1, 4, 16</v>
      </c>
      <c r="M463" s="34" t="str">
        <f>VLOOKUP(Tabla3[[#This Row],[Site]],Table35[#All],3,FALSE)</f>
        <v>-</v>
      </c>
      <c r="N463" s="34" t="str">
        <f>VLOOKUP(Tabla3[[#This Row],[Site]],Table35[#All],4,FALSE)</f>
        <v>-</v>
      </c>
      <c r="O463" s="34" t="str">
        <f>VLOOKUP(Tabla3[[#This Row],[Site]],Table35[#All],5,FALSE)</f>
        <v>-</v>
      </c>
      <c r="P463" s="34" t="str">
        <f>VLOOKUP(Tabla3[[#This Row],[Site]],Table35[#All],6,FALSE)</f>
        <v>15, 16, 19, 20</v>
      </c>
      <c r="Q463" s="34" t="str">
        <f>VLOOKUP(Tabla3[[#This Row],[Site]],Table35[#All],8,FALSE)</f>
        <v>316</v>
      </c>
      <c r="R463"/>
    </row>
    <row r="464" spans="1:18" hidden="1" x14ac:dyDescent="0.25">
      <c r="A464" t="str">
        <f>+Tabla3[[#This Row],[Site]]&amp;Tabla3[[#This Row],[Split]]</f>
        <v>(ML) Joe Machens Hyundai8</v>
      </c>
      <c r="B464">
        <v>8</v>
      </c>
      <c r="C464">
        <v>7</v>
      </c>
      <c r="D464" t="s">
        <v>125</v>
      </c>
      <c r="E464" t="str">
        <f>VLOOKUP(Tabla3[[#This Row],[Site]],Table35[],10,FALSE)</f>
        <v>10:00 P.M.</v>
      </c>
      <c r="F464" t="str">
        <f>VLOOKUP(Tabla3[[#This Row],[Site]],Table35[],11,FALSE)</f>
        <v>CT</v>
      </c>
      <c r="G464" t="str">
        <f>VLOOKUP(Tabla3[[#This Row],[Site]],Table35[],12,FALSE)</f>
        <v>6:00 A.M.</v>
      </c>
      <c r="H464" s="1" t="s">
        <v>68</v>
      </c>
      <c r="I464" s="70" t="str">
        <f>HYPERLINK(VLOOKUP(Tabla3[[#This Row],[Site]],Table35[#All],9,FALSE))</f>
        <v>https://tools.sig.systems/site/details/286</v>
      </c>
      <c r="J464" t="str">
        <f>VLOOKUP(Tabla3[[#This Row],[Site]],Table35[],14,FALSE)</f>
        <v>https://www.google.com/maps/d/viewer?hl=es&amp;mid=1C1oZdjH3dNvCvqdpIv_Lk0Yn1OCVn-4&amp;ll=38.965368114274455%2C-92.3405954&amp;z=15</v>
      </c>
      <c r="L464" s="34" t="str">
        <f>VLOOKUP(Tabla3[[#This Row],[Site]],Table35[#All],2,FALSE)</f>
        <v>-</v>
      </c>
      <c r="M464" s="34" t="str">
        <f>VLOOKUP(Tabla3[[#This Row],[Site]],Table35[#All],3,FALSE)</f>
        <v>3, 4, 14, 25</v>
      </c>
      <c r="N464" s="34" t="str">
        <f>VLOOKUP(Tabla3[[#This Row],[Site]],Table35[#All],4,FALSE)</f>
        <v>-</v>
      </c>
      <c r="O464" s="34">
        <f>VLOOKUP(Tabla3[[#This Row],[Site]],Table35[#All],5,FALSE)</f>
        <v>17</v>
      </c>
      <c r="P464" s="34" t="str">
        <f>VLOOKUP(Tabla3[[#This Row],[Site]],Table35[#All],6,FALSE)</f>
        <v>1, 11, 12, 13, 15</v>
      </c>
      <c r="Q464" s="34" t="str">
        <f>VLOOKUP(Tabla3[[#This Row],[Site]],Table35[#All],8,FALSE)</f>
        <v>286</v>
      </c>
      <c r="R464"/>
    </row>
    <row r="465" spans="1:18" hidden="1" x14ac:dyDescent="0.25">
      <c r="A465" t="str">
        <f>+Tabla3[[#This Row],[Site]]&amp;Tabla3[[#This Row],[Split]]</f>
        <v>Mario Residence8</v>
      </c>
      <c r="B465">
        <v>8</v>
      </c>
      <c r="C465">
        <v>7</v>
      </c>
      <c r="D465" t="s">
        <v>100</v>
      </c>
      <c r="E465" t="str">
        <f>VLOOKUP(Tabla3[[#This Row],[Site]],Table35[],10,FALSE)</f>
        <v>24H</v>
      </c>
      <c r="F465" t="str">
        <f>VLOOKUP(Tabla3[[#This Row],[Site]],Table35[],11,FALSE)</f>
        <v>ET</v>
      </c>
      <c r="G465" t="str">
        <f>VLOOKUP(Tabla3[[#This Row],[Site]],Table35[],12,FALSE)</f>
        <v>-</v>
      </c>
      <c r="H465" s="1" t="s">
        <v>68</v>
      </c>
      <c r="I465" s="70" t="str">
        <f>HYPERLINK(VLOOKUP(Tabla3[[#This Row],[Site]],Table35[#All],9,FALSE))</f>
        <v>https://tools.sig.systems/site/details/148</v>
      </c>
      <c r="J465" t="str">
        <f>VLOOKUP(Tabla3[[#This Row],[Site]],Table35[],14,FALSE)</f>
        <v>https://www.google.com/maps/d/edit?hl=es&amp;mid=13OmECPqyeB7fXgZmEoM9cnG34HU_v5g&amp;ll=26.046837034777553%2C-80.38753458591658&amp;z=19</v>
      </c>
      <c r="L465" s="34" t="str">
        <f>VLOOKUP(Tabla3[[#This Row],[Site]],Table35[#All],2,FALSE)</f>
        <v>7, 8</v>
      </c>
      <c r="M465" s="34" t="str">
        <f>VLOOKUP(Tabla3[[#This Row],[Site]],Table35[#All],3,FALSE)</f>
        <v>7, 8</v>
      </c>
      <c r="N465" s="34" t="str">
        <f>VLOOKUP(Tabla3[[#This Row],[Site]],Table35[#All],4,FALSE)</f>
        <v>-</v>
      </c>
      <c r="O465" s="34" t="str">
        <f>VLOOKUP(Tabla3[[#This Row],[Site]],Table35[#All],5,FALSE)</f>
        <v>-</v>
      </c>
      <c r="P465" s="34" t="str">
        <f>VLOOKUP(Tabla3[[#This Row],[Site]],Table35[#All],6,FALSE)</f>
        <v>4,12,13</v>
      </c>
      <c r="Q465" s="34" t="str">
        <f>VLOOKUP(Tabla3[[#This Row],[Site]],Table35[#All],8,FALSE)</f>
        <v>148</v>
      </c>
      <c r="R465"/>
    </row>
    <row r="466" spans="1:18" hidden="1" x14ac:dyDescent="0.25">
      <c r="A466" t="str">
        <f>+Tabla3[[#This Row],[Site]]&amp;Tabla3[[#This Row],[Split]]</f>
        <v>(AS) Koons Annapolis Toyota (NO TOURS)8</v>
      </c>
      <c r="B466">
        <v>8</v>
      </c>
      <c r="C466">
        <v>8</v>
      </c>
      <c r="D466" t="s">
        <v>447</v>
      </c>
      <c r="E466" t="str">
        <f>VLOOKUP(Tabla3[[#This Row],[Site]],Table35[],10,FALSE)</f>
        <v>9:00 P.M.</v>
      </c>
      <c r="F466" t="str">
        <f>VLOOKUP(Tabla3[[#This Row],[Site]],Table35[],11,FALSE)</f>
        <v>ET</v>
      </c>
      <c r="G466" t="str">
        <f>VLOOKUP(Tabla3[[#This Row],[Site]],Table35[],12,FALSE)</f>
        <v>5:00 A.M.</v>
      </c>
      <c r="H466" s="1" t="s">
        <v>68</v>
      </c>
      <c r="I466" s="70" t="str">
        <f>HYPERLINK(VLOOKUP(Tabla3[[#This Row],[Site]],Table35[#All],9,FALSE))</f>
        <v>https://tools.sig.systems/site/details/337</v>
      </c>
      <c r="J466" t="str">
        <f>VLOOKUP(Tabla3[[#This Row],[Site]],Table35[],14,FALSE)</f>
        <v>-</v>
      </c>
      <c r="L466" s="34">
        <f>VLOOKUP(Tabla3[[#This Row],[Site]],Table35[#All],2,FALSE)</f>
        <v>6</v>
      </c>
      <c r="M466" s="34" t="str">
        <f>VLOOKUP(Tabla3[[#This Row],[Site]],Table35[#All],3,FALSE)</f>
        <v>1, 6, 21</v>
      </c>
      <c r="N466" s="34" t="str">
        <f>VLOOKUP(Tabla3[[#This Row],[Site]],Table35[#All],4,FALSE)</f>
        <v>-</v>
      </c>
      <c r="O466" s="34" t="str">
        <f>VLOOKUP(Tabla3[[#This Row],[Site]],Table35[#All],5,FALSE)</f>
        <v>-</v>
      </c>
      <c r="P466" s="34" t="str">
        <f>VLOOKUP(Tabla3[[#This Row],[Site]],Table35[#All],6,FALSE)</f>
        <v>3, 5, 7, 19</v>
      </c>
      <c r="Q466" s="34" t="str">
        <f>VLOOKUP(Tabla3[[#This Row],[Site]],Table35[#All],8,FALSE)</f>
        <v>337</v>
      </c>
      <c r="R466"/>
    </row>
    <row r="467" spans="1:18" hidden="1" x14ac:dyDescent="0.25">
      <c r="A467" t="str">
        <f>+Tabla3[[#This Row],[Site]]&amp;Tabla3[[#This Row],[Split]]</f>
        <v>(AS) Koons Arlington Toyota - New Car (NO TOURS)8</v>
      </c>
      <c r="B467">
        <v>8</v>
      </c>
      <c r="C467">
        <v>8</v>
      </c>
      <c r="D467" t="s">
        <v>375</v>
      </c>
      <c r="E467" t="str">
        <f>VLOOKUP(Tabla3[[#This Row],[Site]],Table35[],10,FALSE)</f>
        <v>9:00 P.M.</v>
      </c>
      <c r="F467" t="str">
        <f>VLOOKUP(Tabla3[[#This Row],[Site]],Table35[],11,FALSE)</f>
        <v>ET</v>
      </c>
      <c r="G467" t="str">
        <f>VLOOKUP(Tabla3[[#This Row],[Site]],Table35[],12,FALSE)</f>
        <v>5:00 A.M.</v>
      </c>
      <c r="H467" s="1" t="s">
        <v>68</v>
      </c>
      <c r="I467" s="70" t="str">
        <f>HYPERLINK(VLOOKUP(Tabla3[[#This Row],[Site]],Table35[#All],9,FALSE))</f>
        <v>https://tools.sig.systems/site/details/334</v>
      </c>
      <c r="J467" t="str">
        <f>VLOOKUP(Tabla3[[#This Row],[Site]],Table35[],14,FALSE)</f>
        <v>-</v>
      </c>
      <c r="L467" s="34" t="str">
        <f>VLOOKUP(Tabla3[[#This Row],[Site]],Table35[#All],2,FALSE)</f>
        <v>-</v>
      </c>
      <c r="M467" s="34" t="str">
        <f>VLOOKUP(Tabla3[[#This Row],[Site]],Table35[#All],3,FALSE)</f>
        <v>1, 3, 12, 15, 17</v>
      </c>
      <c r="N467" s="34" t="str">
        <f>VLOOKUP(Tabla3[[#This Row],[Site]],Table35[#All],4,FALSE)</f>
        <v>-</v>
      </c>
      <c r="O467" s="34" t="str">
        <f>VLOOKUP(Tabla3[[#This Row],[Site]],Table35[#All],5,FALSE)</f>
        <v>-</v>
      </c>
      <c r="P467" s="34" t="str">
        <f>VLOOKUP(Tabla3[[#This Row],[Site]],Table35[#All],6,FALSE)</f>
        <v>2, 6, 18, 20</v>
      </c>
      <c r="Q467" s="34" t="str">
        <f>VLOOKUP(Tabla3[[#This Row],[Site]],Table35[#All],8,FALSE)</f>
        <v>334</v>
      </c>
      <c r="R467"/>
    </row>
    <row r="468" spans="1:18" hidden="1" x14ac:dyDescent="0.25">
      <c r="A468" t="str">
        <f>+Tabla3[[#This Row],[Site]]&amp;Tabla3[[#This Row],[Split]]</f>
        <v>(AS) Koons Chevrolet Buick GMC - Tysons Remote Lot (NO TOURS)8</v>
      </c>
      <c r="B468">
        <v>8</v>
      </c>
      <c r="C468">
        <v>8</v>
      </c>
      <c r="D468" t="s">
        <v>374</v>
      </c>
      <c r="E468" t="str">
        <f>VLOOKUP(Tabla3[[#This Row],[Site]],Table35[],10,FALSE)</f>
        <v>9:00 P.M.</v>
      </c>
      <c r="F468" t="str">
        <f>VLOOKUP(Tabla3[[#This Row],[Site]],Table35[],11,FALSE)</f>
        <v>ET</v>
      </c>
      <c r="G468" t="str">
        <f>VLOOKUP(Tabla3[[#This Row],[Site]],Table35[],12,FALSE)</f>
        <v>5:00 A.M.</v>
      </c>
      <c r="H468" s="1" t="s">
        <v>68</v>
      </c>
      <c r="I468" s="70" t="str">
        <f>HYPERLINK(VLOOKUP(Tabla3[[#This Row],[Site]],Table35[#All],9,FALSE))</f>
        <v>https://tools.sig.systems/site/details/333</v>
      </c>
      <c r="J468" t="str">
        <f>VLOOKUP(Tabla3[[#This Row],[Site]],Table35[],14,FALSE)</f>
        <v>-</v>
      </c>
      <c r="L468" s="34" t="str">
        <f>VLOOKUP(Tabla3[[#This Row],[Site]],Table35[#All],2,FALSE)</f>
        <v>-</v>
      </c>
      <c r="M468" s="34">
        <f>VLOOKUP(Tabla3[[#This Row],[Site]],Table35[#All],3,FALSE)</f>
        <v>6</v>
      </c>
      <c r="N468" s="34" t="str">
        <f>VLOOKUP(Tabla3[[#This Row],[Site]],Table35[#All],4,FALSE)</f>
        <v>1, 2, 3</v>
      </c>
      <c r="O468" s="34" t="str">
        <f>VLOOKUP(Tabla3[[#This Row],[Site]],Table35[#All],5,FALSE)</f>
        <v>7, 10, 16, 29</v>
      </c>
      <c r="P468" s="34" t="str">
        <f>VLOOKUP(Tabla3[[#This Row],[Site]],Table35[#All],6,FALSE)</f>
        <v>14, 17, 30</v>
      </c>
      <c r="Q468" s="34" t="str">
        <f>VLOOKUP(Tabla3[[#This Row],[Site]],Table35[#All],8,FALSE)</f>
        <v>333</v>
      </c>
      <c r="R468"/>
    </row>
    <row r="469" spans="1:18" hidden="1" x14ac:dyDescent="0.25">
      <c r="A469" t="str">
        <f>+Tabla3[[#This Row],[Site]]&amp;Tabla3[[#This Row],[Split]]</f>
        <v>(AS) Koons Sterling Ford - Main Dealership (NO TOURS)8</v>
      </c>
      <c r="B469">
        <v>8</v>
      </c>
      <c r="C469">
        <v>8</v>
      </c>
      <c r="D469" t="s">
        <v>408</v>
      </c>
      <c r="E469" t="str">
        <f>VLOOKUP(Tabla3[[#This Row],[Site]],Table35[],10,FALSE)</f>
        <v>9:00 P.M.</v>
      </c>
      <c r="F469" t="str">
        <f>VLOOKUP(Tabla3[[#This Row],[Site]],Table35[],11,FALSE)</f>
        <v>ET</v>
      </c>
      <c r="G469" t="str">
        <f>VLOOKUP(Tabla3[[#This Row],[Site]],Table35[],12,FALSE)</f>
        <v>5:00 A.M.</v>
      </c>
      <c r="H469" s="1" t="s">
        <v>68</v>
      </c>
      <c r="I469" s="70" t="str">
        <f>HYPERLINK(VLOOKUP(Tabla3[[#This Row],[Site]],Table35[#All],9,FALSE))</f>
        <v>https://tools.sig.systems/site/details/348</v>
      </c>
      <c r="J469">
        <f>VLOOKUP(Tabla3[[#This Row],[Site]],Table35[],14,FALSE)</f>
        <v>0</v>
      </c>
      <c r="L469" s="34">
        <f>VLOOKUP(Tabla3[[#This Row],[Site]],Table35[#All],2,FALSE)</f>
        <v>19</v>
      </c>
      <c r="M469" s="34">
        <f>VLOOKUP(Tabla3[[#This Row],[Site]],Table35[#All],3,FALSE)</f>
        <v>3</v>
      </c>
      <c r="N469" s="34" t="str">
        <f>VLOOKUP(Tabla3[[#This Row],[Site]],Table35[#All],4,FALSE)</f>
        <v>-</v>
      </c>
      <c r="O469" s="34" t="str">
        <f>VLOOKUP(Tabla3[[#This Row],[Site]],Table35[#All],5,FALSE)</f>
        <v>4, 21</v>
      </c>
      <c r="P469" s="34" t="str">
        <f>VLOOKUP(Tabla3[[#This Row],[Site]],Table35[#All],6,FALSE)</f>
        <v>7, 8</v>
      </c>
      <c r="Q469" s="34" t="str">
        <f>VLOOKUP(Tabla3[[#This Row],[Site]],Table35[#All],8,FALSE)</f>
        <v>348</v>
      </c>
      <c r="R469"/>
    </row>
    <row r="470" spans="1:18" hidden="1" x14ac:dyDescent="0.25">
      <c r="A470" t="str">
        <f>+Tabla3[[#This Row],[Site]]&amp;Tabla3[[#This Row],[Split]]</f>
        <v>(AS) Koons Volvo Cars White Marsh (NO TOURS)8</v>
      </c>
      <c r="B470">
        <v>8</v>
      </c>
      <c r="C470">
        <v>8</v>
      </c>
      <c r="D470" t="s">
        <v>376</v>
      </c>
      <c r="E470" t="str">
        <f>VLOOKUP(Tabla3[[#This Row],[Site]],Table35[],10,FALSE)</f>
        <v>9:00 P.M.</v>
      </c>
      <c r="F470" t="str">
        <f>VLOOKUP(Tabla3[[#This Row],[Site]],Table35[],11,FALSE)</f>
        <v>ET</v>
      </c>
      <c r="G470" t="str">
        <f>VLOOKUP(Tabla3[[#This Row],[Site]],Table35[],12,FALSE)</f>
        <v>5:00 A.M.</v>
      </c>
      <c r="H470" s="1" t="s">
        <v>68</v>
      </c>
      <c r="I470" s="70" t="str">
        <f>HYPERLINK(VLOOKUP(Tabla3[[#This Row],[Site]],Table35[#All],9,FALSE))</f>
        <v>https://tools.sig.systems/site/details/338</v>
      </c>
      <c r="J470">
        <f>VLOOKUP(Tabla3[[#This Row],[Site]],Table35[],14,FALSE)</f>
        <v>0</v>
      </c>
      <c r="L470" s="34" t="str">
        <f>VLOOKUP(Tabla3[[#This Row],[Site]],Table35[#All],2,FALSE)</f>
        <v>-</v>
      </c>
      <c r="M470" s="34" t="str">
        <f>VLOOKUP(Tabla3[[#This Row],[Site]],Table35[#All],3,FALSE)</f>
        <v>5, 7, 9</v>
      </c>
      <c r="N470" s="34" t="str">
        <f>VLOOKUP(Tabla3[[#This Row],[Site]],Table35[#All],4,FALSE)</f>
        <v>-</v>
      </c>
      <c r="O470" s="34" t="str">
        <f>VLOOKUP(Tabla3[[#This Row],[Site]],Table35[#All],5,FALSE)</f>
        <v>-</v>
      </c>
      <c r="P470" s="34" t="str">
        <f>VLOOKUP(Tabla3[[#This Row],[Site]],Table35[#All],6,FALSE)</f>
        <v>6, 10, 1</v>
      </c>
      <c r="Q470" s="34" t="str">
        <f>VLOOKUP(Tabla3[[#This Row],[Site]],Table35[#All],8,FALSE)</f>
        <v>338</v>
      </c>
      <c r="R470"/>
    </row>
    <row r="471" spans="1:18" hidden="1" x14ac:dyDescent="0.25">
      <c r="A471" t="str">
        <f>+Tabla3[[#This Row],[Site]]&amp;Tabla3[[#This Row],[Split]]</f>
        <v>(DT) Arlington8</v>
      </c>
      <c r="B471">
        <v>8</v>
      </c>
      <c r="C471">
        <v>8</v>
      </c>
      <c r="D471" t="s">
        <v>18</v>
      </c>
      <c r="E471" t="str">
        <f>VLOOKUP(Tabla3[[#This Row],[Site]],Table35[],10,FALSE)</f>
        <v>10:00 P.M.</v>
      </c>
      <c r="F471" t="str">
        <f>VLOOKUP(Tabla3[[#This Row],[Site]],Table35[],11,FALSE)</f>
        <v>CT</v>
      </c>
      <c r="G471" t="str">
        <f>VLOOKUP(Tabla3[[#This Row],[Site]],Table35[],12,FALSE)</f>
        <v>6:00 A.M.</v>
      </c>
      <c r="H471" s="1" t="s">
        <v>96</v>
      </c>
      <c r="I471" s="70" t="str">
        <f>HYPERLINK(VLOOKUP(Tabla3[[#This Row],[Site]],Table35[#All],9,FALSE))</f>
        <v>https://tools.sig.systems/site/details/199</v>
      </c>
      <c r="J471" t="str">
        <f>VLOOKUP(Tabla3[[#This Row],[Site]],Table35[],14,FALSE)</f>
        <v>-</v>
      </c>
      <c r="L471" s="34" t="str">
        <f>VLOOKUP(Tabla3[[#This Row],[Site]],Table35[#All],2,FALSE)</f>
        <v>3,8</v>
      </c>
      <c r="M471" s="34" t="str">
        <f>VLOOKUP(Tabla3[[#This Row],[Site]],Table35[#All],3,FALSE)</f>
        <v>-</v>
      </c>
      <c r="N471" s="34" t="str">
        <f>VLOOKUP(Tabla3[[#This Row],[Site]],Table35[#All],4,FALSE)</f>
        <v>-</v>
      </c>
      <c r="O471" s="34" t="str">
        <f>VLOOKUP(Tabla3[[#This Row],[Site]],Table35[#All],5,FALSE)</f>
        <v>-</v>
      </c>
      <c r="P471" s="34" t="str">
        <f>VLOOKUP(Tabla3[[#This Row],[Site]],Table35[#All],6,FALSE)</f>
        <v>3, 8, 7</v>
      </c>
      <c r="Q471" s="34" t="str">
        <f>VLOOKUP(Tabla3[[#This Row],[Site]],Table35[#All],8,FALSE)</f>
        <v>199</v>
      </c>
      <c r="R471"/>
    </row>
    <row r="472" spans="1:18" hidden="1" x14ac:dyDescent="0.25">
      <c r="A472" t="str">
        <f>+Tabla3[[#This Row],[Site]]&amp;Tabla3[[#This Row],[Split]]</f>
        <v>(LT) Luther Brookdale Honda (NO TOURS)8</v>
      </c>
      <c r="B472">
        <v>8</v>
      </c>
      <c r="C472">
        <v>8</v>
      </c>
      <c r="D472" t="s">
        <v>274</v>
      </c>
      <c r="E472" t="str">
        <f>VLOOKUP(Tabla3[[#This Row],[Site]],Table35[],10,FALSE)</f>
        <v>7:00 P.M.</v>
      </c>
      <c r="F472" t="str">
        <f>VLOOKUP(Tabla3[[#This Row],[Site]],Table35[],11,FALSE)</f>
        <v>CT</v>
      </c>
      <c r="G472" t="str">
        <f>VLOOKUP(Tabla3[[#This Row],[Site]],Table35[],12,FALSE)</f>
        <v>6:00 A.M.</v>
      </c>
      <c r="H472" s="1" t="s">
        <v>96</v>
      </c>
      <c r="I472" s="70" t="str">
        <f>HYPERLINK(VLOOKUP(Tabla3[[#This Row],[Site]],Table35[#All],9,FALSE))</f>
        <v>https://tools.sig.systems/site/details/280</v>
      </c>
      <c r="J472" t="str">
        <f>VLOOKUP(Tabla3[[#This Row],[Site]],Table35[],14,FALSE)</f>
        <v>https://www.google.com/maps/d/viewer?mid=1ot0ILX76JMuvd9yMuqkb4_e0yH1n7TA&amp;ll=45.07815812965141%2C-93.33506855000002&amp;z=17</v>
      </c>
      <c r="L472" s="34" t="str">
        <f>VLOOKUP(Tabla3[[#This Row],[Site]],Table35[#All],2,FALSE)</f>
        <v>-</v>
      </c>
      <c r="M472" s="34" t="str">
        <f>VLOOKUP(Tabla3[[#This Row],[Site]],Table35[#All],3,FALSE)</f>
        <v>1, 21</v>
      </c>
      <c r="N472" s="34" t="str">
        <f>VLOOKUP(Tabla3[[#This Row],[Site]],Table35[#All],4,FALSE)</f>
        <v>38, 39, 40</v>
      </c>
      <c r="O472" s="34" t="str">
        <f>VLOOKUP(Tabla3[[#This Row],[Site]],Table35[#All],5,FALSE)</f>
        <v>2, 10, 19</v>
      </c>
      <c r="P472" s="34" t="str">
        <f>VLOOKUP(Tabla3[[#This Row],[Site]],Table35[#All],6,FALSE)</f>
        <v>4, 5, 7, 11, 13, 20, 24, 36</v>
      </c>
      <c r="Q472" s="34" t="str">
        <f>VLOOKUP(Tabla3[[#This Row],[Site]],Table35[#All],8,FALSE)</f>
        <v>280</v>
      </c>
      <c r="R472"/>
    </row>
    <row r="473" spans="1:18" hidden="1" x14ac:dyDescent="0.25">
      <c r="A473" t="str">
        <f>+Tabla3[[#This Row],[Site]]&amp;Tabla3[[#This Row],[Split]]</f>
        <v>(PE) JLR Darien (NO TOURS)8</v>
      </c>
      <c r="B473">
        <v>8</v>
      </c>
      <c r="C473">
        <v>8</v>
      </c>
      <c r="D473" t="s">
        <v>368</v>
      </c>
      <c r="E473" t="str">
        <f>VLOOKUP(Tabla3[[#This Row],[Site]],Table35[],10,FALSE)</f>
        <v>8:00 P.M.</v>
      </c>
      <c r="F473" t="str">
        <f>VLOOKUP(Tabla3[[#This Row],[Site]],Table35[],11,FALSE)</f>
        <v>ET</v>
      </c>
      <c r="G473" t="str">
        <f>VLOOKUP(Tabla3[[#This Row],[Site]],Table35[],12,FALSE)</f>
        <v>5:00 A.M.</v>
      </c>
      <c r="H473" s="1" t="s">
        <v>96</v>
      </c>
      <c r="I473" s="70" t="str">
        <f>HYPERLINK(VLOOKUP(Tabla3[[#This Row],[Site]],Table35[#All],9,FALSE))</f>
        <v>https://tools.sig.systems/site/details/189</v>
      </c>
      <c r="J473" t="str">
        <f>VLOOKUP(Tabla3[[#This Row],[Site]],Table35[],14,FALSE)</f>
        <v>-</v>
      </c>
      <c r="L473" s="34" t="str">
        <f>VLOOKUP(Tabla3[[#This Row],[Site]],Table35[#All],2,FALSE)</f>
        <v>1, 13</v>
      </c>
      <c r="M473" s="34" t="str">
        <f>VLOOKUP(Tabla3[[#This Row],[Site]],Table35[#All],3,FALSE)</f>
        <v>-</v>
      </c>
      <c r="N473" s="34" t="str">
        <f>VLOOKUP(Tabla3[[#This Row],[Site]],Table35[#All],4,FALSE)</f>
        <v>-</v>
      </c>
      <c r="O473" s="34" t="str">
        <f>VLOOKUP(Tabla3[[#This Row],[Site]],Table35[#All],5,FALSE)</f>
        <v>-</v>
      </c>
      <c r="P473" s="34" t="str">
        <f>VLOOKUP(Tabla3[[#This Row],[Site]],Table35[#All],6,FALSE)</f>
        <v>-</v>
      </c>
      <c r="Q473" s="34" t="str">
        <f>VLOOKUP(Tabla3[[#This Row],[Site]],Table35[#All],8,FALSE)</f>
        <v>189</v>
      </c>
      <c r="R473"/>
    </row>
    <row r="474" spans="1:18" hidden="1" x14ac:dyDescent="0.25">
      <c r="A474" t="str">
        <f>+Tabla3[[#This Row],[Site]]&amp;Tabla3[[#This Row],[Split]]</f>
        <v>(AS) 3281 Storage Lot (NO TOURS)9</v>
      </c>
      <c r="B474">
        <v>9</v>
      </c>
      <c r="C474">
        <v>1</v>
      </c>
      <c r="D474" t="s">
        <v>378</v>
      </c>
      <c r="E474" t="str">
        <f>VLOOKUP(Tabla3[[#This Row],[Site]],Table35[],10,FALSE)</f>
        <v>10:00 P.M.</v>
      </c>
      <c r="F474" t="str">
        <f>VLOOKUP(Tabla3[[#This Row],[Site]],Table35[],11,FALSE)</f>
        <v>CT</v>
      </c>
      <c r="G474" t="str">
        <f>VLOOKUP(Tabla3[[#This Row],[Site]],Table35[],12,FALSE)</f>
        <v>6:00 A.M.</v>
      </c>
      <c r="H474" s="1" t="s">
        <v>96</v>
      </c>
      <c r="I474" s="70" t="str">
        <f>HYPERLINK(VLOOKUP(Tabla3[[#This Row],[Site]],Table35[#All],9,FALSE))</f>
        <v>https://tools.sig.systems/site/details/305</v>
      </c>
      <c r="J474" t="str">
        <f>VLOOKUP(Tabla3[[#This Row],[Site]],Table35[],14,FALSE)</f>
        <v>https://www.google.com/maps/d/edit?hl=es&amp;mid=1uPmsRMsXnp74hPFW2t-sp2totVWF_xY&amp;ll=32.83050137713022%2C-96.83197783061323&amp;z=17</v>
      </c>
      <c r="L474" s="34" t="str">
        <f>VLOOKUP(Tabla3[[#This Row],[Site]],Table35[#All],2,FALSE)</f>
        <v>-</v>
      </c>
      <c r="M474" s="34" t="str">
        <f>VLOOKUP(Tabla3[[#This Row],[Site]],Table35[#All],3,FALSE)</f>
        <v>2, 14</v>
      </c>
      <c r="N474" s="34" t="str">
        <f>VLOOKUP(Tabla3[[#This Row],[Site]],Table35[#All],4,FALSE)</f>
        <v>-</v>
      </c>
      <c r="O474" s="34" t="str">
        <f>VLOOKUP(Tabla3[[#This Row],[Site]],Table35[#All],5,FALSE)</f>
        <v>-</v>
      </c>
      <c r="P474" s="34" t="str">
        <f>VLOOKUP(Tabla3[[#This Row],[Site]],Table35[#All],6,FALSE)</f>
        <v>1, 3, 9, 10, 14</v>
      </c>
      <c r="Q474" s="34">
        <f>VLOOKUP(Tabla3[[#This Row],[Site]],Table35[#All],8,FALSE)</f>
        <v>305</v>
      </c>
      <c r="R474"/>
    </row>
    <row r="475" spans="1:18" hidden="1" x14ac:dyDescent="0.25">
      <c r="A475" t="str">
        <f>+Tabla3[[#This Row],[Site]]&amp;Tabla3[[#This Row],[Split]]</f>
        <v>(AS) Koons Chevrolet Buick GMC - Clarksville (NO TOURS)9</v>
      </c>
      <c r="B475">
        <v>9</v>
      </c>
      <c r="C475">
        <v>1</v>
      </c>
      <c r="D475" t="s">
        <v>382</v>
      </c>
      <c r="E475" t="str">
        <f>VLOOKUP(Tabla3[[#This Row],[Site]],Table35[],10,FALSE)</f>
        <v>9:00 P.M.</v>
      </c>
      <c r="F475" t="str">
        <f>VLOOKUP(Tabla3[[#This Row],[Site]],Table35[],11,FALSE)</f>
        <v>ET</v>
      </c>
      <c r="G475" t="str">
        <f>VLOOKUP(Tabla3[[#This Row],[Site]],Table35[],12,FALSE)</f>
        <v>5:00 A.M.</v>
      </c>
      <c r="H475" s="1" t="s">
        <v>96</v>
      </c>
      <c r="I475" s="70" t="str">
        <f>HYPERLINK(VLOOKUP(Tabla3[[#This Row],[Site]],Table35[#All],9,FALSE))</f>
        <v>https://tools.sig.systems/site/details/306</v>
      </c>
      <c r="J475" t="str">
        <f>VLOOKUP(Tabla3[[#This Row],[Site]],Table35[],14,FALSE)</f>
        <v>https://www.google.com/maps/d/edit?hl=es&amp;mid=11XB1lTSP7EcDCDvzypdUPWP6bWCNAEI&amp;ll=39.21145022420528%2C-76.94003711910554&amp;z=17</v>
      </c>
      <c r="L475" s="34" t="str">
        <f>VLOOKUP(Tabla3[[#This Row],[Site]],Table35[#All],2,FALSE)</f>
        <v>-</v>
      </c>
      <c r="M475" s="34" t="str">
        <f>VLOOKUP(Tabla3[[#This Row],[Site]],Table35[#All],3,FALSE)</f>
        <v>1, 22, 26, 28, 29</v>
      </c>
      <c r="N475" s="34" t="str">
        <f>VLOOKUP(Tabla3[[#This Row],[Site]],Table35[#All],4,FALSE)</f>
        <v>-</v>
      </c>
      <c r="O475" s="34" t="str">
        <f>VLOOKUP(Tabla3[[#This Row],[Site]],Table35[#All],5,FALSE)</f>
        <v>-</v>
      </c>
      <c r="P475" s="34" t="str">
        <f>VLOOKUP(Tabla3[[#This Row],[Site]],Table35[#All],6,FALSE)</f>
        <v>3, 11, 15, 23</v>
      </c>
      <c r="Q475" s="34" t="str">
        <f>VLOOKUP(Tabla3[[#This Row],[Site]],Table35[#All],8,FALSE)</f>
        <v>306</v>
      </c>
      <c r="R475"/>
    </row>
    <row r="476" spans="1:18" hidden="1" x14ac:dyDescent="0.25">
      <c r="A476" t="str">
        <f>+Tabla3[[#This Row],[Site]]&amp;Tabla3[[#This Row],[Split]]</f>
        <v>(DT) Charlotte9</v>
      </c>
      <c r="B476">
        <v>9</v>
      </c>
      <c r="C476">
        <v>1</v>
      </c>
      <c r="D476" t="s">
        <v>151</v>
      </c>
      <c r="E476" t="str">
        <f>VLOOKUP(Tabla3[[#This Row],[Site]],Table35[],10,FALSE)</f>
        <v>9:00 P.M.</v>
      </c>
      <c r="F476" t="str">
        <f>VLOOKUP(Tabla3[[#This Row],[Site]],Table35[],11,FALSE)</f>
        <v>ET</v>
      </c>
      <c r="G476" t="str">
        <f>VLOOKUP(Tabla3[[#This Row],[Site]],Table35[],12,FALSE)</f>
        <v>5:00 A.M.</v>
      </c>
      <c r="H476" s="1" t="s">
        <v>96</v>
      </c>
      <c r="I476" s="70" t="str">
        <f>HYPERLINK(VLOOKUP(Tabla3[[#This Row],[Site]],Table35[#All],9,FALSE))</f>
        <v>https://tools.sig.systems/site/details/299</v>
      </c>
      <c r="J476">
        <f>VLOOKUP(Tabla3[[#This Row],[Site]],Table35[],14,FALSE)</f>
        <v>0</v>
      </c>
      <c r="L476" s="34" t="str">
        <f>VLOOKUP(Tabla3[[#This Row],[Site]],Table35[#All],2,FALSE)</f>
        <v>4, 25, 41</v>
      </c>
      <c r="M476" s="34" t="str">
        <f>VLOOKUP(Tabla3[[#This Row],[Site]],Table35[#All],3,FALSE)</f>
        <v>-</v>
      </c>
      <c r="N476" s="34" t="str">
        <f>VLOOKUP(Tabla3[[#This Row],[Site]],Table35[#All],4,FALSE)</f>
        <v>-</v>
      </c>
      <c r="O476" s="34" t="str">
        <f>VLOOKUP(Tabla3[[#This Row],[Site]],Table35[#All],5,FALSE)</f>
        <v xml:space="preserve">11, 32, 35 </v>
      </c>
      <c r="P476" s="34" t="str">
        <f>VLOOKUP(Tabla3[[#This Row],[Site]],Table35[#All],6,FALSE)</f>
        <v>6, 11, 18, 29, 34,  38, 39</v>
      </c>
      <c r="Q476" s="34" t="str">
        <f>VLOOKUP(Tabla3[[#This Row],[Site]],Table35[#All],8,FALSE)</f>
        <v>299</v>
      </c>
      <c r="R476"/>
    </row>
    <row r="477" spans="1:18" hidden="1" x14ac:dyDescent="0.25">
      <c r="A477" t="str">
        <f>+Tabla3[[#This Row],[Site]]&amp;Tabla3[[#This Row],[Split]]</f>
        <v>(LT) Luther Brookdale Toyota9</v>
      </c>
      <c r="B477">
        <v>9</v>
      </c>
      <c r="C477">
        <v>1</v>
      </c>
      <c r="D477" t="s">
        <v>126</v>
      </c>
      <c r="E477" t="str">
        <f>VLOOKUP(Tabla3[[#This Row],[Site]],Table35[],10,FALSE)</f>
        <v>7:00 P.M.</v>
      </c>
      <c r="F477" t="str">
        <f>VLOOKUP(Tabla3[[#This Row],[Site]],Table35[],11,FALSE)</f>
        <v>CT</v>
      </c>
      <c r="G477" t="str">
        <f>VLOOKUP(Tabla3[[#This Row],[Site]],Table35[],12,FALSE)</f>
        <v>5:00 A.M.</v>
      </c>
      <c r="H477" s="1" t="s">
        <v>96</v>
      </c>
      <c r="I477" s="70" t="str">
        <f>HYPERLINK(VLOOKUP(Tabla3[[#This Row],[Site]],Table35[#All],9,FALSE))</f>
        <v>https://tools.sig.systems/site/details/281</v>
      </c>
      <c r="J477" t="str">
        <f>VLOOKUP(Tabla3[[#This Row],[Site]],Table35[],14,FALSE)</f>
        <v>https://www.google.com/maps/d/viewer?mid=1ot0ILX76JMuvd9yMuqkb4_e0yH1n7TA&amp;ll=45.07815812965141%2C-93.33506855000002&amp;z=17</v>
      </c>
      <c r="L477" s="34" t="str">
        <f>VLOOKUP(Tabla3[[#This Row],[Site]],Table35[#All],2,FALSE)</f>
        <v>-</v>
      </c>
      <c r="M477" s="34" t="str">
        <f>VLOOKUP(Tabla3[[#This Row],[Site]],Table35[#All],3,FALSE)</f>
        <v>5, 7</v>
      </c>
      <c r="N477" s="34">
        <f>VLOOKUP(Tabla3[[#This Row],[Site]],Table35[#All],4,FALSE)</f>
        <v>29</v>
      </c>
      <c r="O477" s="34">
        <f>VLOOKUP(Tabla3[[#This Row],[Site]],Table35[#All],5,FALSE)</f>
        <v>20</v>
      </c>
      <c r="P477" s="34" t="str">
        <f>VLOOKUP(Tabla3[[#This Row],[Site]],Table35[#All],6,FALSE)</f>
        <v xml:space="preserve">1, 2, 4, 10, 18, 24, 25 </v>
      </c>
      <c r="Q477" s="34" t="str">
        <f>VLOOKUP(Tabla3[[#This Row],[Site]],Table35[#All],8,FALSE)</f>
        <v>281</v>
      </c>
      <c r="R477"/>
    </row>
    <row r="478" spans="1:18" hidden="1" x14ac:dyDescent="0.25">
      <c r="A478" t="str">
        <f>+Tabla3[[#This Row],[Site]]&amp;Tabla3[[#This Row],[Split]]</f>
        <v>(LT) Luther Burnsville Hyundai9</v>
      </c>
      <c r="B478">
        <v>9</v>
      </c>
      <c r="C478">
        <v>1</v>
      </c>
      <c r="D478" t="s">
        <v>284</v>
      </c>
      <c r="E478" t="str">
        <f>VLOOKUP(Tabla3[[#This Row],[Site]],Table35[],10,FALSE)</f>
        <v>10:00 P.M.</v>
      </c>
      <c r="F478" t="str">
        <f>VLOOKUP(Tabla3[[#This Row],[Site]],Table35[],11,FALSE)</f>
        <v>CT</v>
      </c>
      <c r="G478" t="str">
        <f>VLOOKUP(Tabla3[[#This Row],[Site]],Table35[],12,FALSE)</f>
        <v>6:00 A.M.</v>
      </c>
      <c r="H478" s="1" t="s">
        <v>96</v>
      </c>
      <c r="I478" s="70" t="str">
        <f>HYPERLINK(VLOOKUP(Tabla3[[#This Row],[Site]],Table35[#All],9,FALSE))</f>
        <v>https://tools.sig.systems/site/details/307</v>
      </c>
      <c r="J478">
        <f>VLOOKUP(Tabla3[[#This Row],[Site]],Table35[],14,FALSE)</f>
        <v>0</v>
      </c>
      <c r="L478" s="34" t="str">
        <f>VLOOKUP(Tabla3[[#This Row],[Site]],Table35[#All],2,FALSE)</f>
        <v>-</v>
      </c>
      <c r="M478" s="34" t="str">
        <f>VLOOKUP(Tabla3[[#This Row],[Site]],Table35[#All],3,FALSE)</f>
        <v>6, 17</v>
      </c>
      <c r="N478" s="34" t="str">
        <f>VLOOKUP(Tabla3[[#This Row],[Site]],Table35[#All],4,FALSE)</f>
        <v>22, 21</v>
      </c>
      <c r="O478" s="34">
        <f>VLOOKUP(Tabla3[[#This Row],[Site]],Table35[#All],5,FALSE)</f>
        <v>7</v>
      </c>
      <c r="P478" s="34" t="str">
        <f>VLOOKUP(Tabla3[[#This Row],[Site]],Table35[#All],6,FALSE)</f>
        <v>2, 4, 16</v>
      </c>
      <c r="Q478" s="34" t="str">
        <f>VLOOKUP(Tabla3[[#This Row],[Site]],Table35[#All],8,FALSE)</f>
        <v>307</v>
      </c>
      <c r="R478"/>
    </row>
    <row r="479" spans="1:18" hidden="1" x14ac:dyDescent="0.25">
      <c r="A479" t="str">
        <f>+Tabla3[[#This Row],[Site]]&amp;Tabla3[[#This Row],[Split]]</f>
        <v>(PE) BMW Service Center (NO TOURS)9</v>
      </c>
      <c r="B479">
        <v>9</v>
      </c>
      <c r="C479">
        <v>1</v>
      </c>
      <c r="D479" t="s">
        <v>39</v>
      </c>
      <c r="E479" t="str">
        <f>VLOOKUP(Tabla3[[#This Row],[Site]],Table35[],10,FALSE)</f>
        <v>8:00 P.M.</v>
      </c>
      <c r="F479" t="str">
        <f>VLOOKUP(Tabla3[[#This Row],[Site]],Table35[],11,FALSE)</f>
        <v>ET</v>
      </c>
      <c r="G479" t="str">
        <f>VLOOKUP(Tabla3[[#This Row],[Site]],Table35[],12,FALSE)</f>
        <v>5:00 A.M.</v>
      </c>
      <c r="H479" s="1" t="s">
        <v>96</v>
      </c>
      <c r="I479" s="70" t="str">
        <f>HYPERLINK(VLOOKUP(Tabla3[[#This Row],[Site]],Table35[#All],9,FALSE))</f>
        <v>https://tools.sig.systems/site/details/184</v>
      </c>
      <c r="J479" t="str">
        <f>VLOOKUP(Tabla3[[#This Row],[Site]],Table35[],14,FALSE)</f>
        <v>https://www.google.com/maps/d/edit?hl=en&amp;mid=1UHmt7tH1ihTa85i0MfQIcTfVvIQg_vM&amp;ll=41.02423447529239%2C-73.63721502222738&amp;z=18</v>
      </c>
      <c r="L479" s="34">
        <f>VLOOKUP(Tabla3[[#This Row],[Site]],Table35[#All],2,FALSE)</f>
        <v>3</v>
      </c>
      <c r="M479" s="34" t="str">
        <f>VLOOKUP(Tabla3[[#This Row],[Site]],Table35[#All],3,FALSE)</f>
        <v>-</v>
      </c>
      <c r="N479" s="34" t="str">
        <f>VLOOKUP(Tabla3[[#This Row],[Site]],Table35[#All],4,FALSE)</f>
        <v>-</v>
      </c>
      <c r="O479" s="34" t="str">
        <f>VLOOKUP(Tabla3[[#This Row],[Site]],Table35[#All],5,FALSE)</f>
        <v>-</v>
      </c>
      <c r="P479" s="34" t="str">
        <f>VLOOKUP(Tabla3[[#This Row],[Site]],Table35[#All],6,FALSE)</f>
        <v xml:space="preserve">1, 2 </v>
      </c>
      <c r="Q479" s="34" t="str">
        <f>VLOOKUP(Tabla3[[#This Row],[Site]],Table35[#All],8,FALSE)</f>
        <v>184</v>
      </c>
      <c r="R479"/>
    </row>
    <row r="480" spans="1:18" hidden="1" x14ac:dyDescent="0.25">
      <c r="A480" t="str">
        <f>+Tabla3[[#This Row],[Site]]&amp;Tabla3[[#This Row],[Split]]</f>
        <v>(PE) MB of Greenwich9</v>
      </c>
      <c r="B480">
        <v>9</v>
      </c>
      <c r="C480">
        <v>1</v>
      </c>
      <c r="D480" t="s">
        <v>121</v>
      </c>
      <c r="E480" t="str">
        <f>VLOOKUP(Tabla3[[#This Row],[Site]],Table35[],10,FALSE)</f>
        <v>8:00 P.M.</v>
      </c>
      <c r="F480" t="str">
        <f>VLOOKUP(Tabla3[[#This Row],[Site]],Table35[],11,FALSE)</f>
        <v>ET</v>
      </c>
      <c r="G480" t="str">
        <f>VLOOKUP(Tabla3[[#This Row],[Site]],Table35[],12,FALSE)</f>
        <v>5:00 A.M.</v>
      </c>
      <c r="H480" s="1" t="s">
        <v>96</v>
      </c>
      <c r="I480" s="70" t="str">
        <f>HYPERLINK(VLOOKUP(Tabla3[[#This Row],[Site]],Table35[#All],9,FALSE))</f>
        <v>https://tools.sig.systems/site/details/188</v>
      </c>
      <c r="J480" t="str">
        <f>VLOOKUP(Tabla3[[#This Row],[Site]],Table35[],14,FALSE)</f>
        <v>https://www.google.com/maps/d/edit?hl=en&amp;mid=1UHmt7tH1ihTa85i0MfQIcTfVvIQg_vM&amp;ll=41.02423447529239%2C-73.63721502222738&amp;z=18</v>
      </c>
      <c r="L480" s="34" t="str">
        <f>VLOOKUP(Tabla3[[#This Row],[Site]],Table35[#All],2,FALSE)</f>
        <v>1, 2, 8</v>
      </c>
      <c r="M480" s="34" t="str">
        <f>VLOOKUP(Tabla3[[#This Row],[Site]],Table35[#All],3,FALSE)</f>
        <v>13, 14, 20, 26, 40</v>
      </c>
      <c r="N480" s="34" t="str">
        <f>VLOOKUP(Tabla3[[#This Row],[Site]],Table35[#All],4,FALSE)</f>
        <v>-</v>
      </c>
      <c r="O480" s="34" t="str">
        <f>VLOOKUP(Tabla3[[#This Row],[Site]],Table35[#All],5,FALSE)</f>
        <v>-</v>
      </c>
      <c r="P480" s="34">
        <f>VLOOKUP(Tabla3[[#This Row],[Site]],Table35[#All],6,FALSE)</f>
        <v>29</v>
      </c>
      <c r="Q480" s="34" t="str">
        <f>VLOOKUP(Tabla3[[#This Row],[Site]],Table35[#All],8,FALSE)</f>
        <v>188</v>
      </c>
      <c r="R480"/>
    </row>
    <row r="481" spans="1:18" hidden="1" x14ac:dyDescent="0.25">
      <c r="A481" t="str">
        <f>+Tabla3[[#This Row],[Site]]&amp;Tabla3[[#This Row],[Split]]</f>
        <v>(AS) Coggin BMW Ft. Pierce (NO TOURS)9</v>
      </c>
      <c r="B481">
        <v>9</v>
      </c>
      <c r="C481">
        <v>2</v>
      </c>
      <c r="D481" t="s">
        <v>122</v>
      </c>
      <c r="E481" t="str">
        <f>VLOOKUP(Tabla3[[#This Row],[Site]],Table35[],10,FALSE)</f>
        <v>9:00 P.M.</v>
      </c>
      <c r="F481" t="str">
        <f>VLOOKUP(Tabla3[[#This Row],[Site]],Table35[],11,FALSE)</f>
        <v>ET</v>
      </c>
      <c r="G481" t="str">
        <f>VLOOKUP(Tabla3[[#This Row],[Site]],Table35[],12,FALSE)</f>
        <v>5:00 A.M.</v>
      </c>
      <c r="H481" s="1" t="s">
        <v>96</v>
      </c>
      <c r="I481" s="70" t="str">
        <f>HYPERLINK(VLOOKUP(Tabla3[[#This Row],[Site]],Table35[#All],9,FALSE))</f>
        <v>https://tools.sig.systems/site/details/119</v>
      </c>
      <c r="J481" t="str">
        <f>VLOOKUP(Tabla3[[#This Row],[Site]],Table35[],14,FALSE)</f>
        <v>https://www.google.com/maps/d/viewer?mid=1AyViBuyeq7iwDua1SVudJ2A1BYi3IBA&amp;ll=27.38181516363982%2C-80.32568845000002&amp;z=18</v>
      </c>
      <c r="L481" s="34" t="str">
        <f>VLOOKUP(Tabla3[[#This Row],[Site]],Table35[#All],2,FALSE)</f>
        <v>3, 10, 13</v>
      </c>
      <c r="M481" s="34" t="str">
        <f>VLOOKUP(Tabla3[[#This Row],[Site]],Table35[#All],3,FALSE)</f>
        <v>-</v>
      </c>
      <c r="N481" s="34" t="str">
        <f>VLOOKUP(Tabla3[[#This Row],[Site]],Table35[#All],4,FALSE)</f>
        <v>-</v>
      </c>
      <c r="O481" s="34">
        <f>VLOOKUP(Tabla3[[#This Row],[Site]],Table35[#All],5,FALSE)</f>
        <v>2</v>
      </c>
      <c r="P481" s="34" t="str">
        <f>VLOOKUP(Tabla3[[#This Row],[Site]],Table35[#All],6,FALSE)</f>
        <v>1, 20, 27</v>
      </c>
      <c r="Q481" s="34" t="str">
        <f>VLOOKUP(Tabla3[[#This Row],[Site]],Table35[#All],8,FALSE)</f>
        <v>119</v>
      </c>
      <c r="R481"/>
    </row>
    <row r="482" spans="1:18" hidden="1" x14ac:dyDescent="0.25">
      <c r="A482" t="str">
        <f>+Tabla3[[#This Row],[Site]]&amp;Tabla3[[#This Row],[Split]]</f>
        <v>(AS) Koons Baltimore Ford - Main Dealership (NO TOURS)9</v>
      </c>
      <c r="B482">
        <v>9</v>
      </c>
      <c r="C482">
        <v>2</v>
      </c>
      <c r="D482" t="s">
        <v>357</v>
      </c>
      <c r="E482" t="str">
        <f>VLOOKUP(Tabla3[[#This Row],[Site]],Table35[],10,FALSE)</f>
        <v>9:00 P.M.</v>
      </c>
      <c r="F482" t="str">
        <f>VLOOKUP(Tabla3[[#This Row],[Site]],Table35[],11,FALSE)</f>
        <v>ET</v>
      </c>
      <c r="G482" t="str">
        <f>VLOOKUP(Tabla3[[#This Row],[Site]],Table35[],12,FALSE)</f>
        <v>5:00 A.M.</v>
      </c>
      <c r="H482" s="1" t="s">
        <v>96</v>
      </c>
      <c r="I482" s="70" t="str">
        <f>HYPERLINK(VLOOKUP(Tabla3[[#This Row],[Site]],Table35[#All],9,FALSE))</f>
        <v>https://tools.sig.systems/site/details/335</v>
      </c>
      <c r="J482" t="str">
        <f>VLOOKUP(Tabla3[[#This Row],[Site]],Table35[],14,FALSE)</f>
        <v>-</v>
      </c>
      <c r="L482" s="34" t="str">
        <f>VLOOKUP(Tabla3[[#This Row],[Site]],Table35[#All],2,FALSE)</f>
        <v>21, 22, 24, 32, 45</v>
      </c>
      <c r="M482" s="34">
        <f>VLOOKUP(Tabla3[[#This Row],[Site]],Table35[#All],3,FALSE)</f>
        <v>1</v>
      </c>
      <c r="N482" s="34" t="str">
        <f>VLOOKUP(Tabla3[[#This Row],[Site]],Table35[#All],4,FALSE)</f>
        <v>-</v>
      </c>
      <c r="O482" s="34" t="str">
        <f>VLOOKUP(Tabla3[[#This Row],[Site]],Table35[#All],5,FALSE)</f>
        <v>1, 8</v>
      </c>
      <c r="P482" s="34" t="str">
        <f>VLOOKUP(Tabla3[[#This Row],[Site]],Table35[#All],6,FALSE)</f>
        <v>5, 28, 38</v>
      </c>
      <c r="Q482" s="34" t="str">
        <f>VLOOKUP(Tabla3[[#This Row],[Site]],Table35[#All],8,FALSE)</f>
        <v>335</v>
      </c>
      <c r="R482"/>
    </row>
    <row r="483" spans="1:18" hidden="1" x14ac:dyDescent="0.25">
      <c r="A483" t="str">
        <f>+Tabla3[[#This Row],[Site]]&amp;Tabla3[[#This Row],[Split]]</f>
        <v>(AS) Koons Chevrolet Buick GMC - Clarksville Remote Lot (NO TOURS)9</v>
      </c>
      <c r="B483">
        <v>9</v>
      </c>
      <c r="C483">
        <v>2</v>
      </c>
      <c r="D483" t="s">
        <v>415</v>
      </c>
      <c r="E483" t="str">
        <f>VLOOKUP(Tabla3[[#This Row],[Site]],Table35[],10,FALSE)</f>
        <v>9:00 P.M.</v>
      </c>
      <c r="F483" t="str">
        <f>VLOOKUP(Tabla3[[#This Row],[Site]],Table35[],11,FALSE)</f>
        <v>ET</v>
      </c>
      <c r="G483" t="str">
        <f>VLOOKUP(Tabla3[[#This Row],[Site]],Table35[],12,FALSE)</f>
        <v>5:00 A.M.</v>
      </c>
      <c r="H483" s="1" t="s">
        <v>96</v>
      </c>
      <c r="I483" s="70" t="str">
        <f>HYPERLINK(VLOOKUP(Tabla3[[#This Row],[Site]],Table35[#All],9,FALSE))</f>
        <v>https://tools.sig.systems/site/details/308</v>
      </c>
      <c r="J483" t="str">
        <f>VLOOKUP(Tabla3[[#This Row],[Site]],Table35[],14,FALSE)</f>
        <v>https://www.google.com/maps/d/edit?hl=es&amp;mid=11XB1lTSP7EcDCDvzypdUPWP6bWCNAEI&amp;ll=39.21145022420528%2C-76.94003711910554&amp;z=21</v>
      </c>
      <c r="L483" s="34" t="str">
        <f>VLOOKUP(Tabla3[[#This Row],[Site]],Table35[#All],2,FALSE)</f>
        <v>-</v>
      </c>
      <c r="M483" s="34" t="str">
        <f>VLOOKUP(Tabla3[[#This Row],[Site]],Table35[#All],3,FALSE)</f>
        <v>1, 5</v>
      </c>
      <c r="N483" s="34" t="str">
        <f>VLOOKUP(Tabla3[[#This Row],[Site]],Table35[#All],4,FALSE)</f>
        <v>-</v>
      </c>
      <c r="O483" s="34" t="str">
        <f>VLOOKUP(Tabla3[[#This Row],[Site]],Table35[#All],5,FALSE)</f>
        <v>-</v>
      </c>
      <c r="P483" s="34" t="str">
        <f>VLOOKUP(Tabla3[[#This Row],[Site]],Table35[#All],6,FALSE)</f>
        <v>14, 16</v>
      </c>
      <c r="Q483" s="34" t="str">
        <f>VLOOKUP(Tabla3[[#This Row],[Site]],Table35[#All],8,FALSE)</f>
        <v>308</v>
      </c>
      <c r="R483"/>
    </row>
    <row r="484" spans="1:18" hidden="1" x14ac:dyDescent="0.25">
      <c r="A484" t="str">
        <f>+Tabla3[[#This Row],[Site]]&amp;Tabla3[[#This Row],[Split]]</f>
        <v>(AS) Koons Westminster Toyota (NO TOURS)9</v>
      </c>
      <c r="B484">
        <v>9</v>
      </c>
      <c r="C484">
        <v>2</v>
      </c>
      <c r="D484" t="s">
        <v>421</v>
      </c>
      <c r="E484" t="str">
        <f>VLOOKUP(Tabla3[[#This Row],[Site]],Table35[],10,FALSE)</f>
        <v>9:00 P.M.</v>
      </c>
      <c r="F484" t="str">
        <f>VLOOKUP(Tabla3[[#This Row],[Site]],Table35[],11,FALSE)</f>
        <v>ET</v>
      </c>
      <c r="G484" t="str">
        <f>VLOOKUP(Tabla3[[#This Row],[Site]],Table35[],12,FALSE)</f>
        <v>5:00 A.M.</v>
      </c>
      <c r="H484" s="1" t="s">
        <v>96</v>
      </c>
      <c r="I484" s="70" t="str">
        <f>HYPERLINK(VLOOKUP(Tabla3[[#This Row],[Site]],Table35[#All],9,FALSE))</f>
        <v>https://tools.sig.systems/site/details/341</v>
      </c>
      <c r="J484" t="str">
        <f>VLOOKUP(Tabla3[[#This Row],[Site]],Table35[],14,FALSE)</f>
        <v>-</v>
      </c>
      <c r="L484" s="34" t="str">
        <f>VLOOKUP(Tabla3[[#This Row],[Site]],Table35[#All],2,FALSE)</f>
        <v>-</v>
      </c>
      <c r="M484" s="34" t="str">
        <f>VLOOKUP(Tabla3[[#This Row],[Site]],Table35[#All],3,FALSE)</f>
        <v>1, 10, 18, 25</v>
      </c>
      <c r="N484" s="34" t="str">
        <f>VLOOKUP(Tabla3[[#This Row],[Site]],Table35[#All],4,FALSE)</f>
        <v>-</v>
      </c>
      <c r="O484" s="34" t="str">
        <f>VLOOKUP(Tabla3[[#This Row],[Site]],Table35[#All],5,FALSE)</f>
        <v>-</v>
      </c>
      <c r="P484" s="34" t="str">
        <f>VLOOKUP(Tabla3[[#This Row],[Site]],Table35[#All],6,FALSE)</f>
        <v>8, 14</v>
      </c>
      <c r="Q484" s="34" t="str">
        <f>VLOOKUP(Tabla3[[#This Row],[Site]],Table35[#All],8,FALSE)</f>
        <v>341</v>
      </c>
      <c r="R484"/>
    </row>
    <row r="485" spans="1:18" hidden="1" x14ac:dyDescent="0.25">
      <c r="A485" t="str">
        <f>+Tabla3[[#This Row],[Site]]&amp;Tabla3[[#This Row],[Split]]</f>
        <v>(AS) Koons Woodbridge GMC (NO TOURS)9</v>
      </c>
      <c r="B485">
        <v>9</v>
      </c>
      <c r="C485">
        <v>2</v>
      </c>
      <c r="D485" t="s">
        <v>372</v>
      </c>
      <c r="E485" t="str">
        <f>VLOOKUP(Tabla3[[#This Row],[Site]],Table35[],10,FALSE)</f>
        <v>9:00 P.M.</v>
      </c>
      <c r="F485" t="str">
        <f>VLOOKUP(Tabla3[[#This Row],[Site]],Table35[],11,FALSE)</f>
        <v>ET</v>
      </c>
      <c r="G485" t="str">
        <f>VLOOKUP(Tabla3[[#This Row],[Site]],Table35[],12,FALSE)</f>
        <v>5:00 A.M.</v>
      </c>
      <c r="H485" s="1" t="s">
        <v>96</v>
      </c>
      <c r="I485" s="70" t="str">
        <f>HYPERLINK(VLOOKUP(Tabla3[[#This Row],[Site]],Table35[#All],9,FALSE))</f>
        <v>https://tools.sig.systems/site/details/343</v>
      </c>
      <c r="J485">
        <f>VLOOKUP(Tabla3[[#This Row],[Site]],Table35[],14,FALSE)</f>
        <v>0</v>
      </c>
      <c r="L485" s="34" t="str">
        <f>VLOOKUP(Tabla3[[#This Row],[Site]],Table35[#All],2,FALSE)</f>
        <v>-</v>
      </c>
      <c r="M485" s="34">
        <f>VLOOKUP(Tabla3[[#This Row],[Site]],Table35[#All],3,FALSE)</f>
        <v>1</v>
      </c>
      <c r="N485" s="34" t="str">
        <f>VLOOKUP(Tabla3[[#This Row],[Site]],Table35[#All],4,FALSE)</f>
        <v>-</v>
      </c>
      <c r="O485" s="34">
        <f>VLOOKUP(Tabla3[[#This Row],[Site]],Table35[#All],5,FALSE)</f>
        <v>11</v>
      </c>
      <c r="P485" s="34" t="str">
        <f>VLOOKUP(Tabla3[[#This Row],[Site]],Table35[#All],6,FALSE)</f>
        <v>2, 7</v>
      </c>
      <c r="Q485" s="34" t="str">
        <f>VLOOKUP(Tabla3[[#This Row],[Site]],Table35[#All],8,FALSE)</f>
        <v>343</v>
      </c>
      <c r="R485"/>
    </row>
    <row r="486" spans="1:18" hidden="1" x14ac:dyDescent="0.25">
      <c r="A486" t="str">
        <f>+Tabla3[[#This Row],[Site]]&amp;Tabla3[[#This Row],[Split]]</f>
        <v>(DT) Modesto9</v>
      </c>
      <c r="B486">
        <v>9</v>
      </c>
      <c r="C486">
        <v>2</v>
      </c>
      <c r="D486" t="s">
        <v>14</v>
      </c>
      <c r="E486" t="str">
        <f>VLOOKUP(Tabla3[[#This Row],[Site]],Table35[],10,FALSE)</f>
        <v>12:00 A.M.</v>
      </c>
      <c r="F486" t="str">
        <f>VLOOKUP(Tabla3[[#This Row],[Site]],Table35[],11,FALSE)</f>
        <v>PT</v>
      </c>
      <c r="G486" t="str">
        <f>VLOOKUP(Tabla3[[#This Row],[Site]],Table35[],12,FALSE)</f>
        <v>8:00 A.M.</v>
      </c>
      <c r="H486" s="1" t="s">
        <v>96</v>
      </c>
      <c r="I486" s="70" t="str">
        <f>HYPERLINK(VLOOKUP(Tabla3[[#This Row],[Site]],Table35[#All],9,FALSE))</f>
        <v>https://tools.sig.systems/site/details/267</v>
      </c>
      <c r="J486">
        <f>VLOOKUP(Tabla3[[#This Row],[Site]],Table35[],14,FALSE)</f>
        <v>0</v>
      </c>
      <c r="L486" s="34">
        <f>VLOOKUP(Tabla3[[#This Row],[Site]],Table35[#All],2,FALSE)</f>
        <v>10</v>
      </c>
      <c r="M486" s="34" t="str">
        <f>VLOOKUP(Tabla3[[#This Row],[Site]],Table35[#All],3,FALSE)</f>
        <v>5, 6</v>
      </c>
      <c r="N486" s="34" t="str">
        <f>VLOOKUP(Tabla3[[#This Row],[Site]],Table35[#All],4,FALSE)</f>
        <v>-</v>
      </c>
      <c r="O486" s="34" t="str">
        <f>VLOOKUP(Tabla3[[#This Row],[Site]],Table35[#All],5,FALSE)</f>
        <v>-</v>
      </c>
      <c r="P486" s="34" t="str">
        <f>VLOOKUP(Tabla3[[#This Row],[Site]],Table35[#All],6,FALSE)</f>
        <v>2, 3, 5, 10</v>
      </c>
      <c r="Q486" s="34" t="str">
        <f>VLOOKUP(Tabla3[[#This Row],[Site]],Table35[#All],8,FALSE)</f>
        <v>267</v>
      </c>
      <c r="R486"/>
    </row>
    <row r="487" spans="1:18" hidden="1" x14ac:dyDescent="0.25">
      <c r="A487" t="str">
        <f>+Tabla3[[#This Row],[Site]]&amp;Tabla3[[#This Row],[Split]]</f>
        <v>(KG) Ken Garff Kia of Avondale9</v>
      </c>
      <c r="B487">
        <v>9</v>
      </c>
      <c r="C487">
        <v>2</v>
      </c>
      <c r="D487" t="s">
        <v>300</v>
      </c>
      <c r="E487" t="str">
        <f>VLOOKUP(Tabla3[[#This Row],[Site]],Table35[],10,FALSE)</f>
        <v>12:00 A.M.</v>
      </c>
      <c r="F487" t="str">
        <f>VLOOKUP(Tabla3[[#This Row],[Site]],Table35[],11,FALSE)</f>
        <v>MST</v>
      </c>
      <c r="G487" t="str">
        <f>VLOOKUP(Tabla3[[#This Row],[Site]],Table35[],12,FALSE)</f>
        <v>8:00 A.M.</v>
      </c>
      <c r="H487" s="1" t="s">
        <v>96</v>
      </c>
      <c r="I487" s="70" t="str">
        <f>HYPERLINK(VLOOKUP(Tabla3[[#This Row],[Site]],Table35[#All],9,FALSE))</f>
        <v>https://tools.sig.systems/site/details/283</v>
      </c>
      <c r="J487" t="str">
        <f>VLOOKUP(Tabla3[[#This Row],[Site]],Table35[],14,FALSE)</f>
        <v>https://www.google.com/maps/d/viewer?mid=1bDs0QGFZwL3vEeGKxjVMk_j4azr0-lg&amp;ll=33.4593758581648%2C-112.28793780000001&amp;z=18</v>
      </c>
      <c r="L487" s="34" t="str">
        <f>VLOOKUP(Tabla3[[#This Row],[Site]],Table35[#All],2,FALSE)</f>
        <v>5, 19</v>
      </c>
      <c r="M487" s="34" t="str">
        <f>VLOOKUP(Tabla3[[#This Row],[Site]],Table35[#All],3,FALSE)</f>
        <v>-</v>
      </c>
      <c r="N487" s="34" t="str">
        <f>VLOOKUP(Tabla3[[#This Row],[Site]],Table35[#All],4,FALSE)</f>
        <v>-</v>
      </c>
      <c r="O487" s="34" t="str">
        <f>VLOOKUP(Tabla3[[#This Row],[Site]],Table35[#All],5,FALSE)</f>
        <v>3, 5</v>
      </c>
      <c r="P487" s="34" t="str">
        <f>VLOOKUP(Tabla3[[#This Row],[Site]],Table35[#All],6,FALSE)</f>
        <v>1, 6, 7, 12, 15, 17, 21</v>
      </c>
      <c r="Q487" s="34" t="str">
        <f>VLOOKUP(Tabla3[[#This Row],[Site]],Table35[#All],8,FALSE)</f>
        <v>283</v>
      </c>
      <c r="R487"/>
    </row>
    <row r="488" spans="1:18" hidden="1" x14ac:dyDescent="0.25">
      <c r="A488" t="str">
        <f>+Tabla3[[#This Row],[Site]]&amp;Tabla3[[#This Row],[Split]]</f>
        <v>(LT) Luther Genesis of Minneapolis9</v>
      </c>
      <c r="B488">
        <v>9</v>
      </c>
      <c r="C488">
        <v>2</v>
      </c>
      <c r="D488" t="s">
        <v>264</v>
      </c>
      <c r="E488" t="str">
        <f>VLOOKUP(Tabla3[[#This Row],[Site]],Table35[],10,FALSE)</f>
        <v>10:00 P.M.</v>
      </c>
      <c r="F488" t="str">
        <f>VLOOKUP(Tabla3[[#This Row],[Site]],Table35[],11,FALSE)</f>
        <v>CT</v>
      </c>
      <c r="G488" t="str">
        <f>VLOOKUP(Tabla3[[#This Row],[Site]],Table35[],12,FALSE)</f>
        <v>6:00 A.M.</v>
      </c>
      <c r="H488" s="1" t="s">
        <v>96</v>
      </c>
      <c r="I488" s="70" t="str">
        <f>HYPERLINK(VLOOKUP(Tabla3[[#This Row],[Site]],Table35[#All],9,FALSE))</f>
        <v>https://tools.sig.systems/site/details/315</v>
      </c>
      <c r="J488">
        <f>VLOOKUP(Tabla3[[#This Row],[Site]],Table35[],14,FALSE)</f>
        <v>0</v>
      </c>
      <c r="L488" s="34" t="str">
        <f>VLOOKUP(Tabla3[[#This Row],[Site]],Table35[#All],2,FALSE)</f>
        <v>-</v>
      </c>
      <c r="M488" s="34" t="str">
        <f>VLOOKUP(Tabla3[[#This Row],[Site]],Table35[#All],3,FALSE)</f>
        <v>1,2,3,18</v>
      </c>
      <c r="N488" s="34" t="str">
        <f>VLOOKUP(Tabla3[[#This Row],[Site]],Table35[#All],4,FALSE)</f>
        <v>-</v>
      </c>
      <c r="O488" s="34" t="str">
        <f>VLOOKUP(Tabla3[[#This Row],[Site]],Table35[#All],5,FALSE)</f>
        <v>-</v>
      </c>
      <c r="P488" s="34" t="str">
        <f>VLOOKUP(Tabla3[[#This Row],[Site]],Table35[#All],6,FALSE)</f>
        <v>1,2,3,5,16,18</v>
      </c>
      <c r="Q488" s="34" t="str">
        <f>VLOOKUP(Tabla3[[#This Row],[Site]],Table35[#All],8,FALSE)</f>
        <v>315</v>
      </c>
      <c r="R488"/>
    </row>
    <row r="489" spans="1:18" hidden="1" x14ac:dyDescent="0.25">
      <c r="A489" t="str">
        <f>+Tabla3[[#This Row],[Site]]&amp;Tabla3[[#This Row],[Split]]</f>
        <v>(AS) Koons MB of Catonsville (NO TOURS)9</v>
      </c>
      <c r="B489">
        <v>9</v>
      </c>
      <c r="C489">
        <v>3</v>
      </c>
      <c r="D489" t="s">
        <v>236</v>
      </c>
      <c r="E489" t="str">
        <f>VLOOKUP(Tabla3[[#This Row],[Site]],Table35[],10,FALSE)</f>
        <v>9:00 P.M.</v>
      </c>
      <c r="F489" t="str">
        <f>VLOOKUP(Tabla3[[#This Row],[Site]],Table35[],11,FALSE)</f>
        <v>ET</v>
      </c>
      <c r="G489" t="str">
        <f>VLOOKUP(Tabla3[[#This Row],[Site]],Table35[],12,FALSE)</f>
        <v>5:00 A.M.</v>
      </c>
      <c r="H489" s="1" t="s">
        <v>96</v>
      </c>
      <c r="I489" s="70" t="str">
        <f>HYPERLINK(VLOOKUP(Tabla3[[#This Row],[Site]],Table35[#All],9,FALSE))</f>
        <v>https://tools.sig.systems/site/details/303</v>
      </c>
      <c r="J489">
        <f>VLOOKUP(Tabla3[[#This Row],[Site]],Table35[],14,FALSE)</f>
        <v>0</v>
      </c>
      <c r="L489" s="34" t="str">
        <f>VLOOKUP(Tabla3[[#This Row],[Site]],Table35[#All],2,FALSE)</f>
        <v>-</v>
      </c>
      <c r="M489" s="34" t="str">
        <f>VLOOKUP(Tabla3[[#This Row],[Site]],Table35[#All],3,FALSE)</f>
        <v>15, 16, 17, 29</v>
      </c>
      <c r="N489" s="34">
        <f>VLOOKUP(Tabla3[[#This Row],[Site]],Table35[#All],4,FALSE)</f>
        <v>29</v>
      </c>
      <c r="O489" s="34">
        <f>VLOOKUP(Tabla3[[#This Row],[Site]],Table35[#All],5,FALSE)</f>
        <v>5</v>
      </c>
      <c r="P489" s="34" t="str">
        <f>VLOOKUP(Tabla3[[#This Row],[Site]],Table35[#All],6,FALSE)</f>
        <v>1, 7, 8, 12, 19, 32</v>
      </c>
      <c r="Q489" s="34" t="str">
        <f>VLOOKUP(Tabla3[[#This Row],[Site]],Table35[#All],8,FALSE)</f>
        <v>303</v>
      </c>
      <c r="R489"/>
    </row>
    <row r="490" spans="1:18" hidden="1" x14ac:dyDescent="0.25">
      <c r="A490" t="str">
        <f>+Tabla3[[#This Row],[Site]]&amp;Tabla3[[#This Row],[Split]]</f>
        <v>(AS) Koons Tysons Toyota - Main Dealership (NO TOURS)9</v>
      </c>
      <c r="B490">
        <v>9</v>
      </c>
      <c r="C490">
        <v>3</v>
      </c>
      <c r="D490" t="s">
        <v>431</v>
      </c>
      <c r="E490" t="str">
        <f>VLOOKUP(Tabla3[[#This Row],[Site]],Table35[],10,FALSE)</f>
        <v>9:00 P.M.</v>
      </c>
      <c r="F490" t="str">
        <f>VLOOKUP(Tabla3[[#This Row],[Site]],Table35[],11,FALSE)</f>
        <v>ET</v>
      </c>
      <c r="G490" t="str">
        <f>VLOOKUP(Tabla3[[#This Row],[Site]],Table35[],12,FALSE)</f>
        <v>5:00 A.M.</v>
      </c>
      <c r="H490" s="1" t="s">
        <v>96</v>
      </c>
      <c r="I490" s="70" t="str">
        <f>HYPERLINK(VLOOKUP(Tabla3[[#This Row],[Site]],Table35[#All],9,FALSE))</f>
        <v>https://tools.sig.systems/site/details/344</v>
      </c>
      <c r="J490" t="str">
        <f>VLOOKUP(Tabla3[[#This Row],[Site]],Table35[],14,FALSE)</f>
        <v>-</v>
      </c>
      <c r="L490" s="34" t="str">
        <f>VLOOKUP(Tabla3[[#This Row],[Site]],Table35[#All],2,FALSE)</f>
        <v>-</v>
      </c>
      <c r="M490" s="34" t="str">
        <f>VLOOKUP(Tabla3[[#This Row],[Site]],Table35[#All],3,FALSE)</f>
        <v>1, 25</v>
      </c>
      <c r="N490" s="34" t="str">
        <f>VLOOKUP(Tabla3[[#This Row],[Site]],Table35[#All],4,FALSE)</f>
        <v>-</v>
      </c>
      <c r="O490" s="34" t="str">
        <f>VLOOKUP(Tabla3[[#This Row],[Site]],Table35[#All],5,FALSE)</f>
        <v>-</v>
      </c>
      <c r="P490" s="34" t="str">
        <f>VLOOKUP(Tabla3[[#This Row],[Site]],Table35[#All],6,FALSE)</f>
        <v>13, 22, 27</v>
      </c>
      <c r="Q490" s="34" t="str">
        <f>VLOOKUP(Tabla3[[#This Row],[Site]],Table35[#All],8,FALSE)</f>
        <v>344</v>
      </c>
      <c r="R490"/>
    </row>
    <row r="491" spans="1:18" hidden="1" x14ac:dyDescent="0.25">
      <c r="A491" t="str">
        <f>+Tabla3[[#This Row],[Site]]&amp;Tabla3[[#This Row],[Split]]</f>
        <v>(AS) Koons White Marsh Chevrolet (NO TOURS)9</v>
      </c>
      <c r="B491">
        <v>9</v>
      </c>
      <c r="C491">
        <v>3</v>
      </c>
      <c r="D491" t="s">
        <v>389</v>
      </c>
      <c r="E491" t="str">
        <f>VLOOKUP(Tabla3[[#This Row],[Site]],Table35[],10,FALSE)</f>
        <v>9:00 P.M.</v>
      </c>
      <c r="F491" t="str">
        <f>VLOOKUP(Tabla3[[#This Row],[Site]],Table35[],11,FALSE)</f>
        <v>ET</v>
      </c>
      <c r="G491" t="str">
        <f>VLOOKUP(Tabla3[[#This Row],[Site]],Table35[],12,FALSE)</f>
        <v>5:00 A.M.</v>
      </c>
      <c r="H491" s="1" t="s">
        <v>96</v>
      </c>
      <c r="I491" s="70" t="str">
        <f>HYPERLINK(VLOOKUP(Tabla3[[#This Row],[Site]],Table35[#All],9,FALSE))</f>
        <v>https://tools.sig.systems/site/details/339</v>
      </c>
      <c r="J491" t="str">
        <f>VLOOKUP(Tabla3[[#This Row],[Site]],Table35[],14,FALSE)</f>
        <v>-</v>
      </c>
      <c r="L491" s="34">
        <f>VLOOKUP(Tabla3[[#This Row],[Site]],Table35[#All],2,FALSE)</f>
        <v>25</v>
      </c>
      <c r="M491" s="34">
        <f>VLOOKUP(Tabla3[[#This Row],[Site]],Table35[#All],3,FALSE)</f>
        <v>10</v>
      </c>
      <c r="N491" s="34" t="str">
        <f>VLOOKUP(Tabla3[[#This Row],[Site]],Table35[#All],4,FALSE)</f>
        <v>-</v>
      </c>
      <c r="O491" s="34" t="str">
        <f>VLOOKUP(Tabla3[[#This Row],[Site]],Table35[#All],5,FALSE)</f>
        <v>-</v>
      </c>
      <c r="P491" s="34">
        <f>VLOOKUP(Tabla3[[#This Row],[Site]],Table35[#All],6,FALSE)</f>
        <v>12</v>
      </c>
      <c r="Q491" s="34" t="str">
        <f>VLOOKUP(Tabla3[[#This Row],[Site]],Table35[#All],8,FALSE)</f>
        <v>339</v>
      </c>
      <c r="R491"/>
    </row>
    <row r="492" spans="1:18" hidden="1" x14ac:dyDescent="0.25">
      <c r="A492" t="str">
        <f>+Tabla3[[#This Row],[Site]]&amp;Tabla3[[#This Row],[Split]]</f>
        <v>(AS) Plaza Collision ST Louis (NO TOURS)9</v>
      </c>
      <c r="B492">
        <v>9</v>
      </c>
      <c r="C492">
        <v>3</v>
      </c>
      <c r="D492" t="s">
        <v>436</v>
      </c>
      <c r="E492" t="str">
        <f>VLOOKUP(Tabla3[[#This Row],[Site]],Table35[],10,FALSE)</f>
        <v>10:00 P.M.</v>
      </c>
      <c r="F492" t="str">
        <f>VLOOKUP(Tabla3[[#This Row],[Site]],Table35[],11,FALSE)</f>
        <v>CT</v>
      </c>
      <c r="G492" t="str">
        <f>VLOOKUP(Tabla3[[#This Row],[Site]],Table35[],12,FALSE)</f>
        <v>6:00 A.M.</v>
      </c>
      <c r="H492" s="1" t="s">
        <v>96</v>
      </c>
      <c r="I492" s="70" t="str">
        <f>HYPERLINK(VLOOKUP(Tabla3[[#This Row],[Site]],Table35[#All],9,FALSE))</f>
        <v>https://tools.sig.systems/site/details/350</v>
      </c>
      <c r="J492" t="str">
        <f>VLOOKUP(Tabla3[[#This Row],[Site]],Table35[],14,FALSE)</f>
        <v>-</v>
      </c>
      <c r="L492" s="34" t="str">
        <f>VLOOKUP(Tabla3[[#This Row],[Site]],Table35[#All],2,FALSE)</f>
        <v>2, 6</v>
      </c>
      <c r="M492" s="34">
        <f>VLOOKUP(Tabla3[[#This Row],[Site]],Table35[#All],3,FALSE)</f>
        <v>1</v>
      </c>
      <c r="N492" s="34" t="str">
        <f>VLOOKUP(Tabla3[[#This Row],[Site]],Table35[#All],4,FALSE)</f>
        <v>-</v>
      </c>
      <c r="O492" s="34" t="str">
        <f>VLOOKUP(Tabla3[[#This Row],[Site]],Table35[#All],5,FALSE)</f>
        <v>-</v>
      </c>
      <c r="P492" s="34">
        <f>VLOOKUP(Tabla3[[#This Row],[Site]],Table35[#All],6,FALSE)</f>
        <v>3</v>
      </c>
      <c r="Q492" s="34" t="str">
        <f>VLOOKUP(Tabla3[[#This Row],[Site]],Table35[#All],8,FALSE)</f>
        <v>350</v>
      </c>
      <c r="R492"/>
    </row>
    <row r="493" spans="1:18" hidden="1" x14ac:dyDescent="0.25">
      <c r="A493" t="str">
        <f>+Tabla3[[#This Row],[Site]]&amp;Tabla3[[#This Row],[Split]]</f>
        <v>(LT) Luther Hopkins Honda (NO TOURS)9</v>
      </c>
      <c r="B493">
        <v>9</v>
      </c>
      <c r="C493">
        <v>3</v>
      </c>
      <c r="D493" t="s">
        <v>306</v>
      </c>
      <c r="E493" t="str">
        <f>VLOOKUP(Tabla3[[#This Row],[Site]],Table35[],10,FALSE)</f>
        <v>8:00 P.M.</v>
      </c>
      <c r="F493" t="str">
        <f>VLOOKUP(Tabla3[[#This Row],[Site]],Table35[],11,FALSE)</f>
        <v>CT</v>
      </c>
      <c r="G493" t="str">
        <f>VLOOKUP(Tabla3[[#This Row],[Site]],Table35[],12,FALSE)</f>
        <v>6:00 A.M.</v>
      </c>
      <c r="H493" s="1" t="s">
        <v>96</v>
      </c>
      <c r="I493" s="70" t="str">
        <f>HYPERLINK(VLOOKUP(Tabla3[[#This Row],[Site]],Table35[#All],9,FALSE))</f>
        <v>https://tools.sig.systems/site/details/288</v>
      </c>
      <c r="J493">
        <f>VLOOKUP(Tabla3[[#This Row],[Site]],Table35[],14,FALSE)</f>
        <v>0</v>
      </c>
      <c r="L493" s="34" t="str">
        <f>VLOOKUP(Tabla3[[#This Row],[Site]],Table35[#All],2,FALSE)</f>
        <v>-</v>
      </c>
      <c r="M493" s="34" t="str">
        <f>VLOOKUP(Tabla3[[#This Row],[Site]],Table35[#All],3,FALSE)</f>
        <v>9, 36</v>
      </c>
      <c r="N493" s="34" t="str">
        <f>VLOOKUP(Tabla3[[#This Row],[Site]],Table35[#All],4,FALSE)</f>
        <v>38, 39</v>
      </c>
      <c r="O493" s="34" t="str">
        <f>VLOOKUP(Tabla3[[#This Row],[Site]],Table35[#All],5,FALSE)</f>
        <v>3, 26</v>
      </c>
      <c r="P493" s="34" t="str">
        <f>VLOOKUP(Tabla3[[#This Row],[Site]],Table35[#All],6,FALSE)</f>
        <v>1, 4, 11, 18, 23, 25, 31</v>
      </c>
      <c r="Q493" s="34" t="str">
        <f>VLOOKUP(Tabla3[[#This Row],[Site]],Table35[#All],8,FALSE)</f>
        <v>288</v>
      </c>
      <c r="R493"/>
    </row>
    <row r="494" spans="1:18" hidden="1" x14ac:dyDescent="0.25">
      <c r="A494" t="str">
        <f>+Tabla3[[#This Row],[Site]]&amp;Tabla3[[#This Row],[Split]]</f>
        <v>(AS) Coggin Honda of Orlando (NO TOURS)9</v>
      </c>
      <c r="B494">
        <v>9</v>
      </c>
      <c r="C494">
        <v>4</v>
      </c>
      <c r="D494" t="s">
        <v>384</v>
      </c>
      <c r="E494" t="str">
        <f>VLOOKUP(Tabla3[[#This Row],[Site]],Table35[],10,FALSE)</f>
        <v>9:00 P.M.</v>
      </c>
      <c r="F494" t="str">
        <f>VLOOKUP(Tabla3[[#This Row],[Site]],Table35[],11,FALSE)</f>
        <v>ET</v>
      </c>
      <c r="G494" t="str">
        <f>VLOOKUP(Tabla3[[#This Row],[Site]],Table35[],12,FALSE)</f>
        <v>5:00 A.M.</v>
      </c>
      <c r="H494" s="1" t="s">
        <v>96</v>
      </c>
      <c r="I494" s="70" t="str">
        <f>HYPERLINK(VLOOKUP(Tabla3[[#This Row],[Site]],Table35[#All],9,FALSE))</f>
        <v>https://tools.sig.systems/site/details/324</v>
      </c>
      <c r="J494">
        <f>VLOOKUP(Tabla3[[#This Row],[Site]],Table35[],14,FALSE)</f>
        <v>0</v>
      </c>
      <c r="L494" s="34" t="str">
        <f>VLOOKUP(Tabla3[[#This Row],[Site]],Table35[#All],2,FALSE)</f>
        <v>2, 10, 12B, 14, 38</v>
      </c>
      <c r="M494" s="34" t="str">
        <f>VLOOKUP(Tabla3[[#This Row],[Site]],Table35[#All],3,FALSE)</f>
        <v>-</v>
      </c>
      <c r="N494" s="34" t="str">
        <f>VLOOKUP(Tabla3[[#This Row],[Site]],Table35[#All],4,FALSE)</f>
        <v>-</v>
      </c>
      <c r="O494" s="34" t="str">
        <f>VLOOKUP(Tabla3[[#This Row],[Site]],Table35[#All],5,FALSE)</f>
        <v>12, 31</v>
      </c>
      <c r="P494" s="34" t="str">
        <f>VLOOKUP(Tabla3[[#This Row],[Site]],Table35[#All],6,FALSE)</f>
        <v>12B, 26, 37, 19</v>
      </c>
      <c r="Q494" s="34" t="str">
        <f>VLOOKUP(Tabla3[[#This Row],[Site]],Table35[#All],8,FALSE)</f>
        <v>324</v>
      </c>
      <c r="R494"/>
    </row>
    <row r="495" spans="1:18" hidden="1" x14ac:dyDescent="0.25">
      <c r="A495" t="str">
        <f>+Tabla3[[#This Row],[Site]]&amp;Tabla3[[#This Row],[Split]]</f>
        <v>(AS) Koons Easton Toyota - Main Dealership (NO TOURS)9</v>
      </c>
      <c r="B495">
        <v>9</v>
      </c>
      <c r="C495">
        <v>4</v>
      </c>
      <c r="D495" t="s">
        <v>426</v>
      </c>
      <c r="E495" t="str">
        <f>VLOOKUP(Tabla3[[#This Row],[Site]],Table35[],10,FALSE)</f>
        <v>9:00 P.M.</v>
      </c>
      <c r="F495" t="str">
        <f>VLOOKUP(Tabla3[[#This Row],[Site]],Table35[],11,FALSE)</f>
        <v>ET</v>
      </c>
      <c r="G495" t="str">
        <f>VLOOKUP(Tabla3[[#This Row],[Site]],Table35[],12,FALSE)</f>
        <v>5:00 A.M.</v>
      </c>
      <c r="H495" s="1" t="s">
        <v>96</v>
      </c>
      <c r="I495" s="70" t="str">
        <f>HYPERLINK(VLOOKUP(Tabla3[[#This Row],[Site]],Table35[#All],9,FALSE))</f>
        <v>https://tools.sig.systems/site/details/340</v>
      </c>
      <c r="J495" t="str">
        <f>VLOOKUP(Tabla3[[#This Row],[Site]],Table35[],14,FALSE)</f>
        <v>-</v>
      </c>
      <c r="L495" s="34" t="str">
        <f>VLOOKUP(Tabla3[[#This Row],[Site]],Table35[#All],2,FALSE)</f>
        <v>-</v>
      </c>
      <c r="M495" s="34" t="str">
        <f>VLOOKUP(Tabla3[[#This Row],[Site]],Table35[#All],3,FALSE)</f>
        <v>4, 5</v>
      </c>
      <c r="N495" s="34" t="str">
        <f>VLOOKUP(Tabla3[[#This Row],[Site]],Table35[#All],4,FALSE)</f>
        <v>-</v>
      </c>
      <c r="O495" s="34" t="str">
        <f>VLOOKUP(Tabla3[[#This Row],[Site]],Table35[#All],5,FALSE)</f>
        <v>-</v>
      </c>
      <c r="P495" s="34" t="str">
        <f>VLOOKUP(Tabla3[[#This Row],[Site]],Table35[#All],6,FALSE)</f>
        <v>8, 15</v>
      </c>
      <c r="Q495" s="34" t="str">
        <f>VLOOKUP(Tabla3[[#This Row],[Site]],Table35[#All],8,FALSE)</f>
        <v>340</v>
      </c>
      <c r="R495"/>
    </row>
    <row r="496" spans="1:18" hidden="1" x14ac:dyDescent="0.25">
      <c r="A496" t="str">
        <f>+Tabla3[[#This Row],[Site]]&amp;Tabla3[[#This Row],[Split]]</f>
        <v>(AS) Koons Falls Church Ford (NO TOURS)9</v>
      </c>
      <c r="B496">
        <v>9</v>
      </c>
      <c r="C496">
        <v>4</v>
      </c>
      <c r="D496" t="s">
        <v>386</v>
      </c>
      <c r="E496" t="str">
        <f>VLOOKUP(Tabla3[[#This Row],[Site]],Table35[],10,FALSE)</f>
        <v>9:00 P.M.</v>
      </c>
      <c r="F496" t="str">
        <f>VLOOKUP(Tabla3[[#This Row],[Site]],Table35[],11,FALSE)</f>
        <v>ET</v>
      </c>
      <c r="G496" t="str">
        <f>VLOOKUP(Tabla3[[#This Row],[Site]],Table35[],12,FALSE)</f>
        <v>5:00 A.M.</v>
      </c>
      <c r="H496" s="1" t="s">
        <v>96</v>
      </c>
      <c r="I496" s="70" t="str">
        <f>HYPERLINK(VLOOKUP(Tabla3[[#This Row],[Site]],Table35[#All],9,FALSE))</f>
        <v>https://tools.sig.systems/site/details/345</v>
      </c>
      <c r="J496" t="str">
        <f>VLOOKUP(Tabla3[[#This Row],[Site]],Table35[],14,FALSE)</f>
        <v>-</v>
      </c>
      <c r="L496" s="34" t="str">
        <f>VLOOKUP(Tabla3[[#This Row],[Site]],Table35[#All],2,FALSE)</f>
        <v>-</v>
      </c>
      <c r="M496" s="34">
        <f>VLOOKUP(Tabla3[[#This Row],[Site]],Table35[#All],3,FALSE)</f>
        <v>1</v>
      </c>
      <c r="N496" s="34" t="str">
        <f>VLOOKUP(Tabla3[[#This Row],[Site]],Table35[#All],4,FALSE)</f>
        <v>-</v>
      </c>
      <c r="O496" s="34" t="str">
        <f>VLOOKUP(Tabla3[[#This Row],[Site]],Table35[#All],5,FALSE)</f>
        <v>-</v>
      </c>
      <c r="P496" s="34" t="str">
        <f>VLOOKUP(Tabla3[[#This Row],[Site]],Table35[#All],6,FALSE)</f>
        <v>-</v>
      </c>
      <c r="Q496" s="34" t="str">
        <f>VLOOKUP(Tabla3[[#This Row],[Site]],Table35[#All],8,FALSE)</f>
        <v>345</v>
      </c>
      <c r="R496"/>
    </row>
    <row r="497" spans="1:18" hidden="1" x14ac:dyDescent="0.25">
      <c r="A497" t="str">
        <f>+Tabla3[[#This Row],[Site]]&amp;Tabla3[[#This Row],[Split]]</f>
        <v>(AS) Koons Owings Mills Kia (NO TOURS)9</v>
      </c>
      <c r="B497">
        <v>9</v>
      </c>
      <c r="C497">
        <v>4</v>
      </c>
      <c r="D497" t="s">
        <v>416</v>
      </c>
      <c r="E497" t="str">
        <f>VLOOKUP(Tabla3[[#This Row],[Site]],Table35[],10,FALSE)</f>
        <v>9:00 P.M.</v>
      </c>
      <c r="F497" t="str">
        <f>VLOOKUP(Tabla3[[#This Row],[Site]],Table35[],11,FALSE)</f>
        <v>ET</v>
      </c>
      <c r="G497" t="str">
        <f>VLOOKUP(Tabla3[[#This Row],[Site]],Table35[],12,FALSE)</f>
        <v>5:00 A.M.</v>
      </c>
      <c r="H497" s="1" t="s">
        <v>96</v>
      </c>
      <c r="I497" s="70" t="str">
        <f>HYPERLINK(VLOOKUP(Tabla3[[#This Row],[Site]],Table35[#All],9,FALSE))</f>
        <v>https://tools.sig.systems/site/details/336</v>
      </c>
      <c r="J497" t="str">
        <f>VLOOKUP(Tabla3[[#This Row],[Site]],Table35[],14,FALSE)</f>
        <v>-</v>
      </c>
      <c r="L497" s="34">
        <f>VLOOKUP(Tabla3[[#This Row],[Site]],Table35[#All],2,FALSE)</f>
        <v>12</v>
      </c>
      <c r="M497" s="34" t="str">
        <f>VLOOKUP(Tabla3[[#This Row],[Site]],Table35[#All],3,FALSE)</f>
        <v>2, 18</v>
      </c>
      <c r="N497" s="34" t="str">
        <f>VLOOKUP(Tabla3[[#This Row],[Site]],Table35[#All],4,FALSE)</f>
        <v>-</v>
      </c>
      <c r="O497" s="34" t="str">
        <f>VLOOKUP(Tabla3[[#This Row],[Site]],Table35[#All],5,FALSE)</f>
        <v>-</v>
      </c>
      <c r="P497" s="34" t="str">
        <f>VLOOKUP(Tabla3[[#This Row],[Site]],Table35[#All],6,FALSE)</f>
        <v>7, 14</v>
      </c>
      <c r="Q497" s="34" t="str">
        <f>VLOOKUP(Tabla3[[#This Row],[Site]],Table35[#All],8,FALSE)</f>
        <v>336</v>
      </c>
      <c r="R497"/>
    </row>
    <row r="498" spans="1:18" hidden="1" x14ac:dyDescent="0.25">
      <c r="A498" t="str">
        <f>+Tabla3[[#This Row],[Site]]&amp;Tabla3[[#This Row],[Split]]</f>
        <v>(LT) Landers Kia of Little Rock9</v>
      </c>
      <c r="B498">
        <v>9</v>
      </c>
      <c r="C498">
        <v>4</v>
      </c>
      <c r="D498" t="s">
        <v>249</v>
      </c>
      <c r="E498" t="str">
        <f>VLOOKUP(Tabla3[[#This Row],[Site]],Table35[],10,FALSE)</f>
        <v>10:00 P.M.</v>
      </c>
      <c r="F498" t="str">
        <f>VLOOKUP(Tabla3[[#This Row],[Site]],Table35[],11,FALSE)</f>
        <v>CT</v>
      </c>
      <c r="G498" t="str">
        <f>VLOOKUP(Tabla3[[#This Row],[Site]],Table35[],12,FALSE)</f>
        <v>6:00 A.M.</v>
      </c>
      <c r="H498" s="1" t="s">
        <v>96</v>
      </c>
      <c r="I498" s="70" t="str">
        <f>HYPERLINK(VLOOKUP(Tabla3[[#This Row],[Site]],Table35[#All],9,FALSE))</f>
        <v>https://tools.sig.systems/site/details/322</v>
      </c>
      <c r="J498" t="str">
        <f>VLOOKUP(Tabla3[[#This Row],[Site]],Table35[],14,FALSE)</f>
        <v>https://www.google.com/maps/d/u/1/edit?mid=1-zEzsc6U6nZom08edp0XAd3_HYFvAyk&amp;usp=sharing</v>
      </c>
      <c r="L498" s="34" t="str">
        <f>VLOOKUP(Tabla3[[#This Row],[Site]],Table35[#All],2,FALSE)</f>
        <v>5, 9, 33, 19</v>
      </c>
      <c r="M498" s="34" t="str">
        <f>VLOOKUP(Tabla3[[#This Row],[Site]],Table35[#All],3,FALSE)</f>
        <v>-</v>
      </c>
      <c r="N498" s="34" t="str">
        <f>VLOOKUP(Tabla3[[#This Row],[Site]],Table35[#All],4,FALSE)</f>
        <v>4, 10</v>
      </c>
      <c r="O498" s="34" t="str">
        <f>VLOOKUP(Tabla3[[#This Row],[Site]],Table35[#All],5,FALSE)</f>
        <v>1, 35</v>
      </c>
      <c r="P498" s="34" t="str">
        <f>VLOOKUP(Tabla3[[#This Row],[Site]],Table35[#All],6,FALSE)</f>
        <v>5, 9, 12, 14, 18, 26, 29</v>
      </c>
      <c r="Q498" s="34" t="str">
        <f>VLOOKUP(Tabla3[[#This Row],[Site]],Table35[#All],8,FALSE)</f>
        <v>322</v>
      </c>
      <c r="R498"/>
    </row>
    <row r="499" spans="1:18" hidden="1" x14ac:dyDescent="0.25">
      <c r="A499" t="str">
        <f>+Tabla3[[#This Row],[Site]]&amp;Tabla3[[#This Row],[Split]]</f>
        <v>(PE) JLR Englewood (NO TOURS)9</v>
      </c>
      <c r="B499">
        <v>9</v>
      </c>
      <c r="C499">
        <v>4</v>
      </c>
      <c r="D499" t="s">
        <v>218</v>
      </c>
      <c r="E499" t="str">
        <f>VLOOKUP(Tabla3[[#This Row],[Site]],Table35[],10,FALSE)</f>
        <v>8:00 P.M.</v>
      </c>
      <c r="F499" t="str">
        <f>VLOOKUP(Tabla3[[#This Row],[Site]],Table35[],11,FALSE)</f>
        <v>ET</v>
      </c>
      <c r="G499" t="str">
        <f>VLOOKUP(Tabla3[[#This Row],[Site]],Table35[],12,FALSE)</f>
        <v>5:00 A.M.</v>
      </c>
      <c r="H499" s="1" t="s">
        <v>96</v>
      </c>
      <c r="I499" s="70" t="str">
        <f>HYPERLINK(VLOOKUP(Tabla3[[#This Row],[Site]],Table35[#All],9,FALSE))</f>
        <v>https://tools.sig.systems/site/details/178</v>
      </c>
      <c r="J499" t="str">
        <f>VLOOKUP(Tabla3[[#This Row],[Site]],Table35[],14,FALSE)</f>
        <v>https://www.google.com/maps/d/viewer?mid=1ubI2iKs1JyYXssuT4oLPnVvFnyLPi_s&amp;ll=40.878808846788026%2C-73.98560655&amp;z=17</v>
      </c>
      <c r="L499" s="34" t="str">
        <f>VLOOKUP(Tabla3[[#This Row],[Site]],Table35[#All],2,FALSE)</f>
        <v>1, 2</v>
      </c>
      <c r="M499" s="34" t="str">
        <f>VLOOKUP(Tabla3[[#This Row],[Site]],Table35[#All],3,FALSE)</f>
        <v>-</v>
      </c>
      <c r="N499" s="34" t="str">
        <f>VLOOKUP(Tabla3[[#This Row],[Site]],Table35[#All],4,FALSE)</f>
        <v>-</v>
      </c>
      <c r="O499" s="34" t="str">
        <f>VLOOKUP(Tabla3[[#This Row],[Site]],Table35[#All],5,FALSE)</f>
        <v>-</v>
      </c>
      <c r="P499" s="34" t="str">
        <f>VLOOKUP(Tabla3[[#This Row],[Site]],Table35[#All],6,FALSE)</f>
        <v>-</v>
      </c>
      <c r="Q499" s="34" t="str">
        <f>VLOOKUP(Tabla3[[#This Row],[Site]],Table35[#All],8,FALSE)</f>
        <v>178</v>
      </c>
      <c r="R499"/>
    </row>
    <row r="500" spans="1:18" hidden="1" x14ac:dyDescent="0.25">
      <c r="A500" t="str">
        <f>+Tabla3[[#This Row],[Site]]&amp;Tabla3[[#This Row],[Split]]</f>
        <v>(AS) Hare Chevrolet (NO TOURS)9</v>
      </c>
      <c r="B500">
        <v>9</v>
      </c>
      <c r="C500">
        <v>5</v>
      </c>
      <c r="D500" t="s">
        <v>379</v>
      </c>
      <c r="E500" t="str">
        <f>VLOOKUP(Tabla3[[#This Row],[Site]],Table35[],10,FALSE)</f>
        <v>9:00 P.M.</v>
      </c>
      <c r="F500" t="str">
        <f>VLOOKUP(Tabla3[[#This Row],[Site]],Table35[],11,FALSE)</f>
        <v>ET</v>
      </c>
      <c r="G500" t="str">
        <f>VLOOKUP(Tabla3[[#This Row],[Site]],Table35[],12,FALSE)</f>
        <v>5:00 A.M.</v>
      </c>
      <c r="H500" s="1" t="s">
        <v>96</v>
      </c>
      <c r="I500" s="70" t="str">
        <f>HYPERLINK(VLOOKUP(Tabla3[[#This Row],[Site]],Table35[#All],9,FALSE))</f>
        <v>https://tools.sig.systems/site/details/301</v>
      </c>
      <c r="J500" t="str">
        <f>VLOOKUP(Tabla3[[#This Row],[Site]],Table35[],14,FALSE)</f>
        <v>https://www.google.com/maps/d/edit?mid=1hsX5GGrNcCQgAuzDCDz1OWgEkhsAc78&amp;usp=sharing</v>
      </c>
      <c r="L500" s="34" t="str">
        <f>VLOOKUP(Tabla3[[#This Row],[Site]],Table35[#All],2,FALSE)</f>
        <v>18, 24</v>
      </c>
      <c r="M500" s="34" t="str">
        <f>VLOOKUP(Tabla3[[#This Row],[Site]],Table35[#All],3,FALSE)</f>
        <v>2, 3</v>
      </c>
      <c r="N500" s="34" t="str">
        <f>VLOOKUP(Tabla3[[#This Row],[Site]],Table35[#All],4,FALSE)</f>
        <v>-</v>
      </c>
      <c r="O500" s="34">
        <f>VLOOKUP(Tabla3[[#This Row],[Site]],Table35[#All],5,FALSE)</f>
        <v>5</v>
      </c>
      <c r="P500" s="34" t="str">
        <f>VLOOKUP(Tabla3[[#This Row],[Site]],Table35[#All],6,FALSE)</f>
        <v>1, 5, 7, 8, 21, 29</v>
      </c>
      <c r="Q500" s="34" t="str">
        <f>VLOOKUP(Tabla3[[#This Row],[Site]],Table35[#All],8,FALSE)</f>
        <v>301</v>
      </c>
      <c r="R500"/>
    </row>
    <row r="501" spans="1:18" x14ac:dyDescent="0.25">
      <c r="A501" t="str">
        <f>+Tabla3[[#This Row],[Site]]&amp;Tabla3[[#This Row],[Split]]</f>
        <v>(LT) Luther Bloomington Hyundai (NO TOURS)9</v>
      </c>
      <c r="B501">
        <v>9</v>
      </c>
      <c r="C501">
        <v>5</v>
      </c>
      <c r="D501" t="s">
        <v>456</v>
      </c>
      <c r="E501" t="str">
        <f>VLOOKUP(Tabla3[[#This Row],[Site]],Table35[],10,FALSE)</f>
        <v>10:00 P.M.</v>
      </c>
      <c r="F501" t="str">
        <f>VLOOKUP(Tabla3[[#This Row],[Site]],Table35[],11,FALSE)</f>
        <v>CT</v>
      </c>
      <c r="G501" t="str">
        <f>VLOOKUP(Tabla3[[#This Row],[Site]],Table35[],12,FALSE)</f>
        <v>4:00 A.M.</v>
      </c>
      <c r="H501" s="1" t="s">
        <v>96</v>
      </c>
      <c r="I501" s="70" t="str">
        <f>HYPERLINK(VLOOKUP(Tabla3[[#This Row],[Site]],Table35[#All],9,FALSE))</f>
        <v>https://tools.sig.systems/site/details/318</v>
      </c>
      <c r="J501">
        <f>VLOOKUP(Tabla3[[#This Row],[Site]],Table35[],14,FALSE)</f>
        <v>0</v>
      </c>
      <c r="L501" s="34" t="str">
        <f>VLOOKUP(Tabla3[[#This Row],[Site]],Table35[#All],2,FALSE)</f>
        <v>-</v>
      </c>
      <c r="M501" s="34" t="str">
        <f>VLOOKUP(Tabla3[[#This Row],[Site]],Table35[#All],3,FALSE)</f>
        <v>6, 9, 13</v>
      </c>
      <c r="N501" s="34" t="str">
        <f>VLOOKUP(Tabla3[[#This Row],[Site]],Table35[#All],4,FALSE)</f>
        <v>58, 59</v>
      </c>
      <c r="O501" s="34">
        <f>VLOOKUP(Tabla3[[#This Row],[Site]],Table35[#All],5,FALSE)</f>
        <v>10</v>
      </c>
      <c r="P501" s="34" t="str">
        <f>VLOOKUP(Tabla3[[#This Row],[Site]],Table35[#All],6,FALSE)</f>
        <v>11, 18</v>
      </c>
      <c r="Q501" s="34" t="str">
        <f>VLOOKUP(Tabla3[[#This Row],[Site]],Table35[#All],8,FALSE)</f>
        <v>318</v>
      </c>
      <c r="R501"/>
    </row>
    <row r="502" spans="1:18" hidden="1" x14ac:dyDescent="0.25">
      <c r="A502" t="str">
        <f>+Tabla3[[#This Row],[Site]]&amp;Tabla3[[#This Row],[Split]]</f>
        <v>(LT) Luther Landers Recon Center9</v>
      </c>
      <c r="B502">
        <v>9</v>
      </c>
      <c r="C502">
        <v>5</v>
      </c>
      <c r="D502" t="s">
        <v>255</v>
      </c>
      <c r="E502" t="str">
        <f>VLOOKUP(Tabla3[[#This Row],[Site]],Table35[],10,FALSE)</f>
        <v>10:00 P.M.</v>
      </c>
      <c r="F502" t="str">
        <f>VLOOKUP(Tabla3[[#This Row],[Site]],Table35[],11,FALSE)</f>
        <v>CT</v>
      </c>
      <c r="G502" t="str">
        <f>VLOOKUP(Tabla3[[#This Row],[Site]],Table35[],12,FALSE)</f>
        <v>6:00 A.M.</v>
      </c>
      <c r="H502" s="1" t="s">
        <v>96</v>
      </c>
      <c r="I502" s="70" t="str">
        <f>HYPERLINK(VLOOKUP(Tabla3[[#This Row],[Site]],Table35[#All],9,FALSE))</f>
        <v>https://tools.sig.systems/site/details/323</v>
      </c>
      <c r="J502" t="str">
        <f>VLOOKUP(Tabla3[[#This Row],[Site]],Table35[],14,FALSE)</f>
        <v>https://www.google.com/maps/d/u/1/edit?mid=1-zEzsc6U6nZom08edp0XAd3_HYFvAyk&amp;usp=sharing</v>
      </c>
      <c r="L502" s="34" t="str">
        <f>VLOOKUP(Tabla3[[#This Row],[Site]],Table35[#All],2,FALSE)</f>
        <v>2, 4</v>
      </c>
      <c r="M502" s="34" t="str">
        <f>VLOOKUP(Tabla3[[#This Row],[Site]],Table35[#All],3,FALSE)</f>
        <v>-</v>
      </c>
      <c r="N502" s="34" t="str">
        <f>VLOOKUP(Tabla3[[#This Row],[Site]],Table35[#All],4,FALSE)</f>
        <v>-</v>
      </c>
      <c r="O502" s="34" t="str">
        <f>VLOOKUP(Tabla3[[#This Row],[Site]],Table35[#All],5,FALSE)</f>
        <v>-</v>
      </c>
      <c r="P502" s="34" t="str">
        <f>VLOOKUP(Tabla3[[#This Row],[Site]],Table35[#All],6,FALSE)</f>
        <v>3, 9, 11</v>
      </c>
      <c r="Q502" s="34" t="str">
        <f>VLOOKUP(Tabla3[[#This Row],[Site]],Table35[#All],8,FALSE)</f>
        <v>323</v>
      </c>
      <c r="R502"/>
    </row>
    <row r="503" spans="1:18" hidden="1" x14ac:dyDescent="0.25">
      <c r="A503" t="str">
        <f>+Tabla3[[#This Row],[Site]]&amp;Tabla3[[#This Row],[Split]]</f>
        <v>(SCH) Schumacher of Delray I &amp; III9</v>
      </c>
      <c r="B503">
        <v>9</v>
      </c>
      <c r="C503">
        <v>5</v>
      </c>
      <c r="D503" t="s">
        <v>385</v>
      </c>
      <c r="E503" t="str">
        <f>VLOOKUP(Tabla3[[#This Row],[Site]],Table35[],10,FALSE)</f>
        <v>9:00 P.M.</v>
      </c>
      <c r="F503" t="str">
        <f>VLOOKUP(Tabla3[[#This Row],[Site]],Table35[],11,FALSE)</f>
        <v>ET</v>
      </c>
      <c r="G503" t="str">
        <f>VLOOKUP(Tabla3[[#This Row],[Site]],Table35[],12,FALSE)</f>
        <v>5:00 A.M.</v>
      </c>
      <c r="H503" s="1" t="s">
        <v>96</v>
      </c>
      <c r="I503" s="70" t="str">
        <f>HYPERLINK(VLOOKUP(Tabla3[[#This Row],[Site]],Table35[#All],9,FALSE))</f>
        <v>https://tools.sig.systems/site/details/159</v>
      </c>
      <c r="J503" t="str">
        <f>VLOOKUP(Tabla3[[#This Row],[Site]],Table35[],14,FALSE)</f>
        <v>https://www.google.com/maps/d/viewer?mid=1ZLGV-cDM9aCfovhmXHIAXgVOKts0dEI&amp;ll=26.438859950088858%2C-80.07968125000001&amp;z=16</v>
      </c>
      <c r="L503" s="34" t="str">
        <f>VLOOKUP(Tabla3[[#This Row],[Site]],Table35[#All],2,FALSE)</f>
        <v>11, 21, 22, 57, 69</v>
      </c>
      <c r="M503" s="34" t="str">
        <f>VLOOKUP(Tabla3[[#This Row],[Site]],Table35[#All],3,FALSE)</f>
        <v>2, 16, 46</v>
      </c>
      <c r="N503" s="34" t="str">
        <f>VLOOKUP(Tabla3[[#This Row],[Site]],Table35[#All],4,FALSE)</f>
        <v>-</v>
      </c>
      <c r="O503" s="34" t="str">
        <f>VLOOKUP(Tabla3[[#This Row],[Site]],Table35[#All],5,FALSE)</f>
        <v>-</v>
      </c>
      <c r="P503" s="34" t="str">
        <f>VLOOKUP(Tabla3[[#This Row],[Site]],Table35[#All],6,FALSE)</f>
        <v>24, 39</v>
      </c>
      <c r="Q503" s="34" t="str">
        <f>VLOOKUP(Tabla3[[#This Row],[Site]],Table35[#All],8,FALSE)</f>
        <v>159</v>
      </c>
      <c r="R503"/>
    </row>
    <row r="504" spans="1:18" hidden="1" x14ac:dyDescent="0.25">
      <c r="A504" t="str">
        <f>+Tabla3[[#This Row],[Site]]&amp;Tabla3[[#This Row],[Split]]</f>
        <v>(AS) Hare Truck Center (NO TOURS)9</v>
      </c>
      <c r="B504">
        <v>9</v>
      </c>
      <c r="C504">
        <v>6</v>
      </c>
      <c r="D504" t="s">
        <v>380</v>
      </c>
      <c r="E504" t="str">
        <f>VLOOKUP(Tabla3[[#This Row],[Site]],Table35[],10,FALSE)</f>
        <v>9:00 P.M.</v>
      </c>
      <c r="F504" t="str">
        <f>VLOOKUP(Tabla3[[#This Row],[Site]],Table35[],11,FALSE)</f>
        <v>ET</v>
      </c>
      <c r="G504" t="str">
        <f>VLOOKUP(Tabla3[[#This Row],[Site]],Table35[],12,FALSE)</f>
        <v>5:00 A.M.</v>
      </c>
      <c r="H504" s="1" t="s">
        <v>96</v>
      </c>
      <c r="I504" s="70" t="str">
        <f>HYPERLINK(VLOOKUP(Tabla3[[#This Row],[Site]],Table35[#All],9,FALSE))</f>
        <v>https://tools.sig.systems/site/details/300</v>
      </c>
      <c r="J504" t="str">
        <f>VLOOKUP(Tabla3[[#This Row],[Site]],Table35[],14,FALSE)</f>
        <v>https://www.google.com/maps/d/edit?mid=1hsX5GGrNcCQgAuzDCDz1OWgEkhsAc78&amp;usp=sharing</v>
      </c>
      <c r="L504" s="34" t="str">
        <f>VLOOKUP(Tabla3[[#This Row],[Site]],Table35[#All],2,FALSE)</f>
        <v>-</v>
      </c>
      <c r="M504" s="34" t="str">
        <f>VLOOKUP(Tabla3[[#This Row],[Site]],Table35[#All],3,FALSE)</f>
        <v>1, 5</v>
      </c>
      <c r="N504" s="34" t="str">
        <f>VLOOKUP(Tabla3[[#This Row],[Site]],Table35[#All],4,FALSE)</f>
        <v>-</v>
      </c>
      <c r="O504" s="34" t="str">
        <f>VLOOKUP(Tabla3[[#This Row],[Site]],Table35[#All],5,FALSE)</f>
        <v>-</v>
      </c>
      <c r="P504" s="34" t="str">
        <f>VLOOKUP(Tabla3[[#This Row],[Site]],Table35[#All],6,FALSE)</f>
        <v xml:space="preserve">2, 6, 10, 12, 17 </v>
      </c>
      <c r="Q504" s="34" t="str">
        <f>VLOOKUP(Tabla3[[#This Row],[Site]],Table35[#All],8,FALSE)</f>
        <v>300</v>
      </c>
      <c r="R504"/>
    </row>
    <row r="505" spans="1:18" hidden="1" x14ac:dyDescent="0.25">
      <c r="A505" t="str">
        <f>+Tabla3[[#This Row],[Site]]&amp;Tabla3[[#This Row],[Split]]</f>
        <v>(AS) Koons Sterling Ford - Main Dealership (NO TOURS)9</v>
      </c>
      <c r="B505">
        <v>9</v>
      </c>
      <c r="C505">
        <v>6</v>
      </c>
      <c r="D505" t="s">
        <v>408</v>
      </c>
      <c r="E505" t="str">
        <f>VLOOKUP(Tabla3[[#This Row],[Site]],Table35[],10,FALSE)</f>
        <v>9:00 P.M.</v>
      </c>
      <c r="F505" t="str">
        <f>VLOOKUP(Tabla3[[#This Row],[Site]],Table35[],11,FALSE)</f>
        <v>ET</v>
      </c>
      <c r="G505" t="str">
        <f>VLOOKUP(Tabla3[[#This Row],[Site]],Table35[],12,FALSE)</f>
        <v>5:00 A.M.</v>
      </c>
      <c r="H505" s="1" t="s">
        <v>96</v>
      </c>
      <c r="I505" s="70" t="str">
        <f>HYPERLINK(VLOOKUP(Tabla3[[#This Row],[Site]],Table35[#All],9,FALSE))</f>
        <v>https://tools.sig.systems/site/details/348</v>
      </c>
      <c r="J505">
        <f>VLOOKUP(Tabla3[[#This Row],[Site]],Table35[],14,FALSE)</f>
        <v>0</v>
      </c>
      <c r="L505" s="34">
        <f>VLOOKUP(Tabla3[[#This Row],[Site]],Table35[#All],2,FALSE)</f>
        <v>19</v>
      </c>
      <c r="M505" s="34">
        <f>VLOOKUP(Tabla3[[#This Row],[Site]],Table35[#All],3,FALSE)</f>
        <v>3</v>
      </c>
      <c r="N505" s="34" t="str">
        <f>VLOOKUP(Tabla3[[#This Row],[Site]],Table35[#All],4,FALSE)</f>
        <v>-</v>
      </c>
      <c r="O505" s="34" t="str">
        <f>VLOOKUP(Tabla3[[#This Row],[Site]],Table35[#All],5,FALSE)</f>
        <v>4, 21</v>
      </c>
      <c r="P505" s="34" t="str">
        <f>VLOOKUP(Tabla3[[#This Row],[Site]],Table35[#All],6,FALSE)</f>
        <v>7, 8</v>
      </c>
      <c r="Q505" s="34" t="str">
        <f>VLOOKUP(Tabla3[[#This Row],[Site]],Table35[#All],8,FALSE)</f>
        <v>348</v>
      </c>
      <c r="R505"/>
    </row>
    <row r="506" spans="1:18" hidden="1" x14ac:dyDescent="0.25">
      <c r="A506" t="str">
        <f>+Tabla3[[#This Row],[Site]]&amp;Tabla3[[#This Row],[Split]]</f>
        <v>(KG) Big Star Hyundai Houston9</v>
      </c>
      <c r="B506">
        <v>9</v>
      </c>
      <c r="C506">
        <v>6</v>
      </c>
      <c r="D506" t="s">
        <v>129</v>
      </c>
      <c r="E506" t="str">
        <f>VLOOKUP(Tabla3[[#This Row],[Site]],Table35[],10,FALSE)</f>
        <v>10:00 P.M.</v>
      </c>
      <c r="F506" t="str">
        <f>VLOOKUP(Tabla3[[#This Row],[Site]],Table35[],11,FALSE)</f>
        <v>CT</v>
      </c>
      <c r="G506" t="str">
        <f>VLOOKUP(Tabla3[[#This Row],[Site]],Table35[],12,FALSE)</f>
        <v>6:00 A.M.</v>
      </c>
      <c r="H506" s="1" t="s">
        <v>96</v>
      </c>
      <c r="I506" s="70" t="str">
        <f>HYPERLINK(VLOOKUP(Tabla3[[#This Row],[Site]],Table35[#All],9,FALSE))</f>
        <v>https://tools.sig.systems/site/details/287</v>
      </c>
      <c r="J506" t="str">
        <f>VLOOKUP(Tabla3[[#This Row],[Site]],Table35[],14,FALSE)</f>
        <v>https://www.google.com/maps/d/edit?hl=en&amp;mid=1jIRkMUnWNPuTgDjQgDP-f33LClT85NU&amp;ll=29.55731827236326%2C-95.1601644&amp;z=17</v>
      </c>
      <c r="L506" s="34" t="str">
        <f>VLOOKUP(Tabla3[[#This Row],[Site]],Table35[#All],2,FALSE)</f>
        <v>3, 12, 17</v>
      </c>
      <c r="M506" s="34" t="str">
        <f>VLOOKUP(Tabla3[[#This Row],[Site]],Table35[#All],3,FALSE)</f>
        <v>23, 35</v>
      </c>
      <c r="N506" s="34" t="str">
        <f>VLOOKUP(Tabla3[[#This Row],[Site]],Table35[#All],4,FALSE)</f>
        <v>-</v>
      </c>
      <c r="O506" s="34" t="str">
        <f>VLOOKUP(Tabla3[[#This Row],[Site]],Table35[#All],5,FALSE)</f>
        <v>1, 75</v>
      </c>
      <c r="P506" s="34" t="str">
        <f>VLOOKUP(Tabla3[[#This Row],[Site]],Table35[#All],6,FALSE)</f>
        <v xml:space="preserve">5, 11, 16, 20, 26, 30, 32, 34 </v>
      </c>
      <c r="Q506" s="34" t="str">
        <f>VLOOKUP(Tabla3[[#This Row],[Site]],Table35[#All],8,FALSE)</f>
        <v>287</v>
      </c>
      <c r="R506"/>
    </row>
    <row r="507" spans="1:18" hidden="1" x14ac:dyDescent="0.25">
      <c r="A507" t="str">
        <f>+Tabla3[[#This Row],[Site]]&amp;Tabla3[[#This Row],[Split]]</f>
        <v>(LT) Luther Bloomington Subaru - Acura9</v>
      </c>
      <c r="B507">
        <v>9</v>
      </c>
      <c r="C507">
        <v>6</v>
      </c>
      <c r="D507" t="s">
        <v>124</v>
      </c>
      <c r="E507" t="str">
        <f>VLOOKUP(Tabla3[[#This Row],[Site]],Table35[],10,FALSE)</f>
        <v>8:00 P.M.</v>
      </c>
      <c r="F507" t="str">
        <f>VLOOKUP(Tabla3[[#This Row],[Site]],Table35[],11,FALSE)</f>
        <v>CT</v>
      </c>
      <c r="G507" t="str">
        <f>VLOOKUP(Tabla3[[#This Row],[Site]],Table35[],12,FALSE)</f>
        <v>4:00 A.M.</v>
      </c>
      <c r="H507" s="1" t="s">
        <v>96</v>
      </c>
      <c r="I507" s="70" t="str">
        <f>HYPERLINK(VLOOKUP(Tabla3[[#This Row],[Site]],Table35[#All],9,FALSE))</f>
        <v>https://tools.sig.systems/site/details/289</v>
      </c>
      <c r="J507">
        <f>VLOOKUP(Tabla3[[#This Row],[Site]],Table35[],14,FALSE)</f>
        <v>0</v>
      </c>
      <c r="L507" s="34">
        <f>VLOOKUP(Tabla3[[#This Row],[Site]],Table35[#All],2,FALSE)</f>
        <v>29</v>
      </c>
      <c r="M507" s="34" t="str">
        <f>VLOOKUP(Tabla3[[#This Row],[Site]],Table35[#All],3,FALSE)</f>
        <v>5, 8, 33</v>
      </c>
      <c r="N507" s="34" t="str">
        <f>VLOOKUP(Tabla3[[#This Row],[Site]],Table35[#All],4,FALSE)</f>
        <v>4, 7, 35</v>
      </c>
      <c r="O507" s="34" t="str">
        <f>VLOOKUP(Tabla3[[#This Row],[Site]],Table35[#All],5,FALSE)</f>
        <v>-</v>
      </c>
      <c r="P507" s="34" t="str">
        <f>VLOOKUP(Tabla3[[#This Row],[Site]],Table35[#All],6,FALSE)</f>
        <v xml:space="preserve">1, 2, 14, 24, 34  </v>
      </c>
      <c r="Q507" s="34" t="str">
        <f>VLOOKUP(Tabla3[[#This Row],[Site]],Table35[#All],8,FALSE)</f>
        <v>289</v>
      </c>
      <c r="R507"/>
    </row>
    <row r="508" spans="1:18" hidden="1" x14ac:dyDescent="0.25">
      <c r="A508" t="str">
        <f>+Tabla3[[#This Row],[Site]]&amp;Tabla3[[#This Row],[Split]]</f>
        <v>(LT) Luther St. Cloud Subaru9</v>
      </c>
      <c r="B508">
        <v>9</v>
      </c>
      <c r="C508">
        <v>6</v>
      </c>
      <c r="D508" t="s">
        <v>128</v>
      </c>
      <c r="E508" t="str">
        <f>VLOOKUP(Tabla3[[#This Row],[Site]],Table35[],10,FALSE)</f>
        <v>10:00 P.M.</v>
      </c>
      <c r="F508" t="str">
        <f>VLOOKUP(Tabla3[[#This Row],[Site]],Table35[],11,FALSE)</f>
        <v>CT</v>
      </c>
      <c r="G508" t="str">
        <f>VLOOKUP(Tabla3[[#This Row],[Site]],Table35[],12,FALSE)</f>
        <v>5:30 A.M.</v>
      </c>
      <c r="H508" s="1" t="s">
        <v>96</v>
      </c>
      <c r="I508" s="70" t="str">
        <f>HYPERLINK(VLOOKUP(Tabla3[[#This Row],[Site]],Table35[#All],9,FALSE))</f>
        <v>https://tools.sig.systems/site/details/295</v>
      </c>
      <c r="J508">
        <f>VLOOKUP(Tabla3[[#This Row],[Site]],Table35[],14,FALSE)</f>
        <v>0</v>
      </c>
      <c r="L508" s="34" t="str">
        <f>VLOOKUP(Tabla3[[#This Row],[Site]],Table35[#All],2,FALSE)</f>
        <v>25, 31</v>
      </c>
      <c r="M508" s="34" t="str">
        <f>VLOOKUP(Tabla3[[#This Row],[Site]],Table35[#All],3,FALSE)</f>
        <v>9, 13, 20</v>
      </c>
      <c r="N508" s="34" t="str">
        <f>VLOOKUP(Tabla3[[#This Row],[Site]],Table35[#All],4,FALSE)</f>
        <v>38, 39, 40, 41</v>
      </c>
      <c r="O508" s="34">
        <f>VLOOKUP(Tabla3[[#This Row],[Site]],Table35[#All],5,FALSE)</f>
        <v>27</v>
      </c>
      <c r="P508" s="34" t="str">
        <f>VLOOKUP(Tabla3[[#This Row],[Site]],Table35[#All],6,FALSE)</f>
        <v>2, 6, 8, 11, 14, 19, 23, 26</v>
      </c>
      <c r="Q508" s="34" t="str">
        <f>VLOOKUP(Tabla3[[#This Row],[Site]],Table35[#All],8,FALSE)</f>
        <v>295</v>
      </c>
      <c r="R508"/>
    </row>
    <row r="509" spans="1:18" hidden="1" x14ac:dyDescent="0.25">
      <c r="A509" t="str">
        <f>+Tabla3[[#This Row],[Site]]&amp;Tabla3[[#This Row],[Split]]</f>
        <v>(TC) Lamborghini South Dade9</v>
      </c>
      <c r="B509">
        <v>9</v>
      </c>
      <c r="C509">
        <v>6</v>
      </c>
      <c r="D509" t="s">
        <v>237</v>
      </c>
      <c r="E509" t="str">
        <f>VLOOKUP(Tabla3[[#This Row],[Site]],Table35[],10,FALSE)</f>
        <v>9:00 P.M.</v>
      </c>
      <c r="F509" t="str">
        <f>VLOOKUP(Tabla3[[#This Row],[Site]],Table35[],11,FALSE)</f>
        <v>ET</v>
      </c>
      <c r="G509" t="str">
        <f>VLOOKUP(Tabla3[[#This Row],[Site]],Table35[],12,FALSE)</f>
        <v>5:00 A.M.</v>
      </c>
      <c r="H509" s="1" t="s">
        <v>96</v>
      </c>
      <c r="I509" s="70" t="str">
        <f>HYPERLINK(VLOOKUP(Tabla3[[#This Row],[Site]],Table35[#All],9,FALSE))</f>
        <v>https://tools.sig.systems/site/details/313</v>
      </c>
      <c r="J509">
        <f>VLOOKUP(Tabla3[[#This Row],[Site]],Table35[],14,FALSE)</f>
        <v>0</v>
      </c>
      <c r="L509" s="34" t="str">
        <f>VLOOKUP(Tabla3[[#This Row],[Site]],Table35[#All],2,FALSE)</f>
        <v>-</v>
      </c>
      <c r="M509" s="34" t="str">
        <f>VLOOKUP(Tabla3[[#This Row],[Site]],Table35[#All],3,FALSE)</f>
        <v>9, 11</v>
      </c>
      <c r="N509" s="34" t="str">
        <f>VLOOKUP(Tabla3[[#This Row],[Site]],Table35[#All],4,FALSE)</f>
        <v>-</v>
      </c>
      <c r="O509" s="34" t="str">
        <f>VLOOKUP(Tabla3[[#This Row],[Site]],Table35[#All],5,FALSE)</f>
        <v>-</v>
      </c>
      <c r="P509" s="34" t="str">
        <f>VLOOKUP(Tabla3[[#This Row],[Site]],Table35[#All],6,FALSE)</f>
        <v>-</v>
      </c>
      <c r="Q509" s="34" t="str">
        <f>VLOOKUP(Tabla3[[#This Row],[Site]],Table35[#All],8,FALSE)</f>
        <v>313</v>
      </c>
      <c r="R509"/>
    </row>
    <row r="510" spans="1:18" hidden="1" x14ac:dyDescent="0.25">
      <c r="A510" t="str">
        <f>+Tabla3[[#This Row],[Site]]&amp;Tabla3[[#This Row],[Split]]</f>
        <v>(AS) Kahlo CDJR (NO TOURS)9</v>
      </c>
      <c r="B510">
        <v>9</v>
      </c>
      <c r="C510">
        <v>7</v>
      </c>
      <c r="D510" t="s">
        <v>381</v>
      </c>
      <c r="E510" t="str">
        <f>VLOOKUP(Tabla3[[#This Row],[Site]],Table35[],10,FALSE)</f>
        <v>9:00 P.M.</v>
      </c>
      <c r="F510" t="str">
        <f>VLOOKUP(Tabla3[[#This Row],[Site]],Table35[],11,FALSE)</f>
        <v>ET</v>
      </c>
      <c r="G510" t="str">
        <f>VLOOKUP(Tabla3[[#This Row],[Site]],Table35[],12,FALSE)</f>
        <v>5:00 A.M.</v>
      </c>
      <c r="H510" s="1" t="s">
        <v>96</v>
      </c>
      <c r="I510" s="70" t="str">
        <f>HYPERLINK(VLOOKUP(Tabla3[[#This Row],[Site]],Table35[#All],9,FALSE))</f>
        <v>https://tools.sig.systems/site/details/282</v>
      </c>
      <c r="J510" t="str">
        <f>VLOOKUP(Tabla3[[#This Row],[Site]],Table35[],14,FALSE)</f>
        <v>https://www.google.com/maps/d/edit?mid=1hsX5GGrNcCQgAuzDCDz1OWgEkhsAc78&amp;usp=sharing</v>
      </c>
      <c r="L510" s="34" t="str">
        <f>VLOOKUP(Tabla3[[#This Row],[Site]],Table35[#All],2,FALSE)</f>
        <v>-</v>
      </c>
      <c r="M510" s="34" t="str">
        <f>VLOOKUP(Tabla3[[#This Row],[Site]],Table35[#All],3,FALSE)</f>
        <v>12, 25</v>
      </c>
      <c r="N510" s="34" t="str">
        <f>VLOOKUP(Tabla3[[#This Row],[Site]],Table35[#All],4,FALSE)</f>
        <v>15, 16</v>
      </c>
      <c r="O510" s="34">
        <f>VLOOKUP(Tabla3[[#This Row],[Site]],Table35[#All],5,FALSE)</f>
        <v>20</v>
      </c>
      <c r="P510" s="34" t="str">
        <f>VLOOKUP(Tabla3[[#This Row],[Site]],Table35[#All],6,FALSE)</f>
        <v>1, 2, 9, 22, 31, 57</v>
      </c>
      <c r="Q510" s="34" t="str">
        <f>VLOOKUP(Tabla3[[#This Row],[Site]],Table35[#All],8,FALSE)</f>
        <v>282</v>
      </c>
      <c r="R510"/>
    </row>
    <row r="511" spans="1:18" hidden="1" x14ac:dyDescent="0.25">
      <c r="A511" t="str">
        <f>+Tabla3[[#This Row],[Site]]&amp;Tabla3[[#This Row],[Split]]</f>
        <v>(AS) Koons Chevrolet Buick GMC - Tysons (NO TOURS)9</v>
      </c>
      <c r="B511">
        <v>9</v>
      </c>
      <c r="C511">
        <v>7</v>
      </c>
      <c r="D511" t="s">
        <v>377</v>
      </c>
      <c r="E511" t="str">
        <f>VLOOKUP(Tabla3[[#This Row],[Site]],Table35[],10,FALSE)</f>
        <v>9:00 P.M.</v>
      </c>
      <c r="F511" t="str">
        <f>VLOOKUP(Tabla3[[#This Row],[Site]],Table35[],11,FALSE)</f>
        <v>ET</v>
      </c>
      <c r="G511" t="str">
        <f>VLOOKUP(Tabla3[[#This Row],[Site]],Table35[],12,FALSE)</f>
        <v>5:00 A.M.</v>
      </c>
      <c r="H511" s="1" t="s">
        <v>96</v>
      </c>
      <c r="I511" s="70" t="str">
        <f>HYPERLINK(VLOOKUP(Tabla3[[#This Row],[Site]],Table35[#All],9,FALSE))</f>
        <v>https://tools.sig.systems/site/details/352</v>
      </c>
      <c r="J511" t="str">
        <f>VLOOKUP(Tabla3[[#This Row],[Site]],Table35[],14,FALSE)</f>
        <v>-</v>
      </c>
      <c r="L511" s="34" t="str">
        <f>VLOOKUP(Tabla3[[#This Row],[Site]],Table35[#All],2,FALSE)</f>
        <v>-</v>
      </c>
      <c r="M511" s="34" t="str">
        <f>VLOOKUP(Tabla3[[#This Row],[Site]],Table35[#All],3,FALSE)</f>
        <v>3, 6</v>
      </c>
      <c r="N511" s="34" t="str">
        <f>VLOOKUP(Tabla3[[#This Row],[Site]],Table35[#All],4,FALSE)</f>
        <v>-</v>
      </c>
      <c r="O511" s="34">
        <f>VLOOKUP(Tabla3[[#This Row],[Site]],Table35[#All],5,FALSE)</f>
        <v>4</v>
      </c>
      <c r="P511" s="34" t="str">
        <f>VLOOKUP(Tabla3[[#This Row],[Site]],Table35[#All],6,FALSE)</f>
        <v xml:space="preserve">2, 9, 17 </v>
      </c>
      <c r="Q511" s="34" t="str">
        <f>VLOOKUP(Tabla3[[#This Row],[Site]],Table35[#All],8,FALSE)</f>
        <v>352</v>
      </c>
      <c r="R511"/>
    </row>
    <row r="512" spans="1:18" hidden="1" x14ac:dyDescent="0.25">
      <c r="A512" t="str">
        <f>+Tabla3[[#This Row],[Site]]&amp;Tabla3[[#This Row],[Split]]</f>
        <v>(AS) Koons Woodbridge Kia (NO TOURS)9</v>
      </c>
      <c r="B512">
        <v>9</v>
      </c>
      <c r="C512">
        <v>7</v>
      </c>
      <c r="D512" t="s">
        <v>407</v>
      </c>
      <c r="E512" t="str">
        <f>VLOOKUP(Tabla3[[#This Row],[Site]],Table35[],10,FALSE)</f>
        <v>9:00 P.M.</v>
      </c>
      <c r="F512" t="str">
        <f>VLOOKUP(Tabla3[[#This Row],[Site]],Table35[],11,FALSE)</f>
        <v>ET</v>
      </c>
      <c r="G512" t="str">
        <f>VLOOKUP(Tabla3[[#This Row],[Site]],Table35[],12,FALSE)</f>
        <v>5:00 A.M.</v>
      </c>
      <c r="H512" s="1" t="s">
        <v>96</v>
      </c>
      <c r="I512" s="70" t="str">
        <f>HYPERLINK(VLOOKUP(Tabla3[[#This Row],[Site]],Table35[#All],9,FALSE))</f>
        <v>https://tools.sig.systems/site/details/346</v>
      </c>
      <c r="J512" t="str">
        <f>VLOOKUP(Tabla3[[#This Row],[Site]],Table35[],14,FALSE)</f>
        <v>-</v>
      </c>
      <c r="L512" s="34" t="str">
        <f>VLOOKUP(Tabla3[[#This Row],[Site]],Table35[#All],2,FALSE)</f>
        <v>-</v>
      </c>
      <c r="M512" s="34">
        <f>VLOOKUP(Tabla3[[#This Row],[Site]],Table35[#All],3,FALSE)</f>
        <v>2</v>
      </c>
      <c r="N512" s="34" t="str">
        <f>VLOOKUP(Tabla3[[#This Row],[Site]],Table35[#All],4,FALSE)</f>
        <v>-</v>
      </c>
      <c r="O512" s="34" t="str">
        <f>VLOOKUP(Tabla3[[#This Row],[Site]],Table35[#All],5,FALSE)</f>
        <v>-</v>
      </c>
      <c r="P512" s="34">
        <f>VLOOKUP(Tabla3[[#This Row],[Site]],Table35[#All],6,FALSE)</f>
        <v>5</v>
      </c>
      <c r="Q512" s="34" t="str">
        <f>VLOOKUP(Tabla3[[#This Row],[Site]],Table35[#All],8,FALSE)</f>
        <v>346</v>
      </c>
      <c r="R512"/>
    </row>
    <row r="513" spans="1:18" hidden="1" x14ac:dyDescent="0.25">
      <c r="A513" t="str">
        <f>+Tabla3[[#This Row],[Site]]&amp;Tabla3[[#This Row],[Split]]</f>
        <v>(KG) Big Star Cadillac9</v>
      </c>
      <c r="B513">
        <v>9</v>
      </c>
      <c r="C513">
        <v>7</v>
      </c>
      <c r="D513" t="s">
        <v>240</v>
      </c>
      <c r="E513" t="str">
        <f>VLOOKUP(Tabla3[[#This Row],[Site]],Table35[],10,FALSE)</f>
        <v>10:00 P.M.</v>
      </c>
      <c r="F513" t="str">
        <f>VLOOKUP(Tabla3[[#This Row],[Site]],Table35[],11,FALSE)</f>
        <v>CT</v>
      </c>
      <c r="G513" t="str">
        <f>VLOOKUP(Tabla3[[#This Row],[Site]],Table35[],12,FALSE)</f>
        <v>6:00 A.M.</v>
      </c>
      <c r="H513" s="1" t="s">
        <v>96</v>
      </c>
      <c r="I513" s="70" t="str">
        <f>HYPERLINK(VLOOKUP(Tabla3[[#This Row],[Site]],Table35[#All],9,FALSE))</f>
        <v>https://tools.sig.systems/site/details/316</v>
      </c>
      <c r="J513" t="str">
        <f>VLOOKUP(Tabla3[[#This Row],[Site]],Table35[],14,FALSE)</f>
        <v>https://www.google.com/maps/d/edit?mid=1jIRkMUnWNPuTgDjQgDP-f33LClT85NU&amp;usp=sharing</v>
      </c>
      <c r="L513" s="34" t="str">
        <f>VLOOKUP(Tabla3[[#This Row],[Site]],Table35[#All],2,FALSE)</f>
        <v>1, 4, 16</v>
      </c>
      <c r="M513" s="34" t="str">
        <f>VLOOKUP(Tabla3[[#This Row],[Site]],Table35[#All],3,FALSE)</f>
        <v>-</v>
      </c>
      <c r="N513" s="34" t="str">
        <f>VLOOKUP(Tabla3[[#This Row],[Site]],Table35[#All],4,FALSE)</f>
        <v>-</v>
      </c>
      <c r="O513" s="34" t="str">
        <f>VLOOKUP(Tabla3[[#This Row],[Site]],Table35[#All],5,FALSE)</f>
        <v>-</v>
      </c>
      <c r="P513" s="34" t="str">
        <f>VLOOKUP(Tabla3[[#This Row],[Site]],Table35[#All],6,FALSE)</f>
        <v>15, 16, 19, 20</v>
      </c>
      <c r="Q513" s="34" t="str">
        <f>VLOOKUP(Tabla3[[#This Row],[Site]],Table35[#All],8,FALSE)</f>
        <v>316</v>
      </c>
      <c r="R513"/>
    </row>
    <row r="514" spans="1:18" hidden="1" x14ac:dyDescent="0.25">
      <c r="A514" t="str">
        <f>+Tabla3[[#This Row],[Site]]&amp;Tabla3[[#This Row],[Split]]</f>
        <v>(LT) Luther Brookdale Honda (NO TOURS)9</v>
      </c>
      <c r="B514">
        <v>9</v>
      </c>
      <c r="C514">
        <v>7</v>
      </c>
      <c r="D514" t="s">
        <v>274</v>
      </c>
      <c r="E514" t="str">
        <f>VLOOKUP(Tabla3[[#This Row],[Site]],Table35[],10,FALSE)</f>
        <v>7:00 P.M.</v>
      </c>
      <c r="F514" t="str">
        <f>VLOOKUP(Tabla3[[#This Row],[Site]],Table35[],11,FALSE)</f>
        <v>CT</v>
      </c>
      <c r="G514" t="str">
        <f>VLOOKUP(Tabla3[[#This Row],[Site]],Table35[],12,FALSE)</f>
        <v>6:00 A.M.</v>
      </c>
      <c r="H514" s="1" t="s">
        <v>96</v>
      </c>
      <c r="I514" s="70" t="str">
        <f>HYPERLINK(VLOOKUP(Tabla3[[#This Row],[Site]],Table35[#All],9,FALSE))</f>
        <v>https://tools.sig.systems/site/details/280</v>
      </c>
      <c r="J514" t="str">
        <f>VLOOKUP(Tabla3[[#This Row],[Site]],Table35[],14,FALSE)</f>
        <v>https://www.google.com/maps/d/viewer?mid=1ot0ILX76JMuvd9yMuqkb4_e0yH1n7TA&amp;ll=45.07815812965141%2C-93.33506855000002&amp;z=17</v>
      </c>
      <c r="L514" s="34" t="str">
        <f>VLOOKUP(Tabla3[[#This Row],[Site]],Table35[#All],2,FALSE)</f>
        <v>-</v>
      </c>
      <c r="M514" s="34" t="str">
        <f>VLOOKUP(Tabla3[[#This Row],[Site]],Table35[#All],3,FALSE)</f>
        <v>1, 21</v>
      </c>
      <c r="N514" s="34" t="str">
        <f>VLOOKUP(Tabla3[[#This Row],[Site]],Table35[#All],4,FALSE)</f>
        <v>38, 39, 40</v>
      </c>
      <c r="O514" s="34" t="str">
        <f>VLOOKUP(Tabla3[[#This Row],[Site]],Table35[#All],5,FALSE)</f>
        <v>2, 10, 19</v>
      </c>
      <c r="P514" s="34" t="str">
        <f>VLOOKUP(Tabla3[[#This Row],[Site]],Table35[#All],6,FALSE)</f>
        <v>4, 5, 7, 11, 13, 20, 24, 36</v>
      </c>
      <c r="Q514" s="34" t="str">
        <f>VLOOKUP(Tabla3[[#This Row],[Site]],Table35[#All],8,FALSE)</f>
        <v>280</v>
      </c>
      <c r="R514"/>
    </row>
    <row r="515" spans="1:18" hidden="1" x14ac:dyDescent="0.25">
      <c r="A515" t="str">
        <f>+Tabla3[[#This Row],[Site]]&amp;Tabla3[[#This Row],[Split]]</f>
        <v>(ML) Joe Machens Hyundai9</v>
      </c>
      <c r="B515">
        <v>9</v>
      </c>
      <c r="C515">
        <v>7</v>
      </c>
      <c r="D515" t="s">
        <v>125</v>
      </c>
      <c r="E515" t="str">
        <f>VLOOKUP(Tabla3[[#This Row],[Site]],Table35[],10,FALSE)</f>
        <v>10:00 P.M.</v>
      </c>
      <c r="F515" t="str">
        <f>VLOOKUP(Tabla3[[#This Row],[Site]],Table35[],11,FALSE)</f>
        <v>CT</v>
      </c>
      <c r="G515" t="str">
        <f>VLOOKUP(Tabla3[[#This Row],[Site]],Table35[],12,FALSE)</f>
        <v>6:00 A.M.</v>
      </c>
      <c r="H515" s="1" t="s">
        <v>96</v>
      </c>
      <c r="I515" s="70" t="str">
        <f>HYPERLINK(VLOOKUP(Tabla3[[#This Row],[Site]],Table35[#All],9,FALSE))</f>
        <v>https://tools.sig.systems/site/details/286</v>
      </c>
      <c r="J515" t="str">
        <f>VLOOKUP(Tabla3[[#This Row],[Site]],Table35[],14,FALSE)</f>
        <v>https://www.google.com/maps/d/viewer?hl=es&amp;mid=1C1oZdjH3dNvCvqdpIv_Lk0Yn1OCVn-4&amp;ll=38.965368114274455%2C-92.3405954&amp;z=15</v>
      </c>
      <c r="L515" s="34" t="str">
        <f>VLOOKUP(Tabla3[[#This Row],[Site]],Table35[#All],2,FALSE)</f>
        <v>-</v>
      </c>
      <c r="M515" s="34" t="str">
        <f>VLOOKUP(Tabla3[[#This Row],[Site]],Table35[#All],3,FALSE)</f>
        <v>3, 4, 14, 25</v>
      </c>
      <c r="N515" s="34" t="str">
        <f>VLOOKUP(Tabla3[[#This Row],[Site]],Table35[#All],4,FALSE)</f>
        <v>-</v>
      </c>
      <c r="O515" s="34">
        <f>VLOOKUP(Tabla3[[#This Row],[Site]],Table35[#All],5,FALSE)</f>
        <v>17</v>
      </c>
      <c r="P515" s="34" t="str">
        <f>VLOOKUP(Tabla3[[#This Row],[Site]],Table35[#All],6,FALSE)</f>
        <v>1, 11, 12, 13, 15</v>
      </c>
      <c r="Q515" s="34" t="str">
        <f>VLOOKUP(Tabla3[[#This Row],[Site]],Table35[#All],8,FALSE)</f>
        <v>286</v>
      </c>
      <c r="R515"/>
    </row>
    <row r="516" spans="1:18" hidden="1" x14ac:dyDescent="0.25">
      <c r="A516" t="str">
        <f>+Tabla3[[#This Row],[Site]]&amp;Tabla3[[#This Row],[Split]]</f>
        <v>Mario Residence9</v>
      </c>
      <c r="B516">
        <v>9</v>
      </c>
      <c r="C516">
        <v>7</v>
      </c>
      <c r="D516" t="s">
        <v>100</v>
      </c>
      <c r="E516" t="str">
        <f>VLOOKUP(Tabla3[[#This Row],[Site]],Table35[],10,FALSE)</f>
        <v>24H</v>
      </c>
      <c r="F516" t="str">
        <f>VLOOKUP(Tabla3[[#This Row],[Site]],Table35[],11,FALSE)</f>
        <v>ET</v>
      </c>
      <c r="G516" t="str">
        <f>VLOOKUP(Tabla3[[#This Row],[Site]],Table35[],12,FALSE)</f>
        <v>-</v>
      </c>
      <c r="H516" s="1" t="s">
        <v>96</v>
      </c>
      <c r="I516" s="70" t="str">
        <f>HYPERLINK(VLOOKUP(Tabla3[[#This Row],[Site]],Table35[#All],9,FALSE))</f>
        <v>https://tools.sig.systems/site/details/148</v>
      </c>
      <c r="J516" t="str">
        <f>VLOOKUP(Tabla3[[#This Row],[Site]],Table35[],14,FALSE)</f>
        <v>https://www.google.com/maps/d/edit?hl=es&amp;mid=13OmECPqyeB7fXgZmEoM9cnG34HU_v5g&amp;ll=26.046837034777553%2C-80.38753458591658&amp;z=19</v>
      </c>
      <c r="L516" s="34" t="str">
        <f>VLOOKUP(Tabla3[[#This Row],[Site]],Table35[#All],2,FALSE)</f>
        <v>7, 8</v>
      </c>
      <c r="M516" s="34" t="str">
        <f>VLOOKUP(Tabla3[[#This Row],[Site]],Table35[#All],3,FALSE)</f>
        <v>7, 8</v>
      </c>
      <c r="N516" s="34" t="str">
        <f>VLOOKUP(Tabla3[[#This Row],[Site]],Table35[#All],4,FALSE)</f>
        <v>-</v>
      </c>
      <c r="O516" s="34" t="str">
        <f>VLOOKUP(Tabla3[[#This Row],[Site]],Table35[#All],5,FALSE)</f>
        <v>-</v>
      </c>
      <c r="P516" s="34" t="str">
        <f>VLOOKUP(Tabla3[[#This Row],[Site]],Table35[#All],6,FALSE)</f>
        <v>4,12,13</v>
      </c>
      <c r="Q516" s="34" t="str">
        <f>VLOOKUP(Tabla3[[#This Row],[Site]],Table35[#All],8,FALSE)</f>
        <v>148</v>
      </c>
      <c r="R516"/>
    </row>
    <row r="517" spans="1:18" hidden="1" x14ac:dyDescent="0.25">
      <c r="A517" t="str">
        <f>+Tabla3[[#This Row],[Site]]&amp;Tabla3[[#This Row],[Split]]</f>
        <v>(AS) Koons Annapolis Toyota (NO TOURS)9</v>
      </c>
      <c r="B517">
        <v>9</v>
      </c>
      <c r="C517">
        <v>8</v>
      </c>
      <c r="D517" t="s">
        <v>447</v>
      </c>
      <c r="E517" t="str">
        <f>VLOOKUP(Tabla3[[#This Row],[Site]],Table35[],10,FALSE)</f>
        <v>9:00 P.M.</v>
      </c>
      <c r="F517" t="str">
        <f>VLOOKUP(Tabla3[[#This Row],[Site]],Table35[],11,FALSE)</f>
        <v>ET</v>
      </c>
      <c r="G517" t="str">
        <f>VLOOKUP(Tabla3[[#This Row],[Site]],Table35[],12,FALSE)</f>
        <v>5:00 A.M.</v>
      </c>
      <c r="H517" s="1" t="s">
        <v>96</v>
      </c>
      <c r="I517" s="70" t="str">
        <f>HYPERLINK(VLOOKUP(Tabla3[[#This Row],[Site]],Table35[#All],9,FALSE))</f>
        <v>https://tools.sig.systems/site/details/337</v>
      </c>
      <c r="J517" t="str">
        <f>VLOOKUP(Tabla3[[#This Row],[Site]],Table35[],14,FALSE)</f>
        <v>-</v>
      </c>
      <c r="L517" s="34">
        <f>VLOOKUP(Tabla3[[#This Row],[Site]],Table35[#All],2,FALSE)</f>
        <v>6</v>
      </c>
      <c r="M517" s="34" t="str">
        <f>VLOOKUP(Tabla3[[#This Row],[Site]],Table35[#All],3,FALSE)</f>
        <v>1, 6, 21</v>
      </c>
      <c r="N517" s="34" t="str">
        <f>VLOOKUP(Tabla3[[#This Row],[Site]],Table35[#All],4,FALSE)</f>
        <v>-</v>
      </c>
      <c r="O517" s="34" t="str">
        <f>VLOOKUP(Tabla3[[#This Row],[Site]],Table35[#All],5,FALSE)</f>
        <v>-</v>
      </c>
      <c r="P517" s="34" t="str">
        <f>VLOOKUP(Tabla3[[#This Row],[Site]],Table35[#All],6,FALSE)</f>
        <v>3, 5, 7, 19</v>
      </c>
      <c r="Q517" s="34" t="str">
        <f>VLOOKUP(Tabla3[[#This Row],[Site]],Table35[#All],8,FALSE)</f>
        <v>337</v>
      </c>
      <c r="R517"/>
    </row>
    <row r="518" spans="1:18" hidden="1" x14ac:dyDescent="0.25">
      <c r="A518" t="str">
        <f>+Tabla3[[#This Row],[Site]]&amp;Tabla3[[#This Row],[Split]]</f>
        <v>(AS) Koons Arlington Toyota - New Car (NO TOURS)9</v>
      </c>
      <c r="B518">
        <v>9</v>
      </c>
      <c r="C518">
        <v>8</v>
      </c>
      <c r="D518" t="s">
        <v>375</v>
      </c>
      <c r="E518" t="str">
        <f>VLOOKUP(Tabla3[[#This Row],[Site]],Table35[],10,FALSE)</f>
        <v>9:00 P.M.</v>
      </c>
      <c r="F518" t="str">
        <f>VLOOKUP(Tabla3[[#This Row],[Site]],Table35[],11,FALSE)</f>
        <v>ET</v>
      </c>
      <c r="G518" t="str">
        <f>VLOOKUP(Tabla3[[#This Row],[Site]],Table35[],12,FALSE)</f>
        <v>5:00 A.M.</v>
      </c>
      <c r="H518" s="1" t="s">
        <v>96</v>
      </c>
      <c r="I518" s="70" t="str">
        <f>HYPERLINK(VLOOKUP(Tabla3[[#This Row],[Site]],Table35[#All],9,FALSE))</f>
        <v>https://tools.sig.systems/site/details/334</v>
      </c>
      <c r="J518" t="str">
        <f>VLOOKUP(Tabla3[[#This Row],[Site]],Table35[],14,FALSE)</f>
        <v>-</v>
      </c>
      <c r="L518" s="34" t="str">
        <f>VLOOKUP(Tabla3[[#This Row],[Site]],Table35[#All],2,FALSE)</f>
        <v>-</v>
      </c>
      <c r="M518" s="34" t="str">
        <f>VLOOKUP(Tabla3[[#This Row],[Site]],Table35[#All],3,FALSE)</f>
        <v>1, 3, 12, 15, 17</v>
      </c>
      <c r="N518" s="34" t="str">
        <f>VLOOKUP(Tabla3[[#This Row],[Site]],Table35[#All],4,FALSE)</f>
        <v>-</v>
      </c>
      <c r="O518" s="34" t="str">
        <f>VLOOKUP(Tabla3[[#This Row],[Site]],Table35[#All],5,FALSE)</f>
        <v>-</v>
      </c>
      <c r="P518" s="34" t="str">
        <f>VLOOKUP(Tabla3[[#This Row],[Site]],Table35[#All],6,FALSE)</f>
        <v>2, 6, 18, 20</v>
      </c>
      <c r="Q518" s="34" t="str">
        <f>VLOOKUP(Tabla3[[#This Row],[Site]],Table35[#All],8,FALSE)</f>
        <v>334</v>
      </c>
      <c r="R518"/>
    </row>
    <row r="519" spans="1:18" hidden="1" x14ac:dyDescent="0.25">
      <c r="A519" t="str">
        <f>+Tabla3[[#This Row],[Site]]&amp;Tabla3[[#This Row],[Split]]</f>
        <v>(AS) Koons Chevrolet Buick GMC - Tysons Remote Lot (NO TOURS)9</v>
      </c>
      <c r="B519">
        <v>9</v>
      </c>
      <c r="C519">
        <v>8</v>
      </c>
      <c r="D519" t="s">
        <v>374</v>
      </c>
      <c r="E519" t="str">
        <f>VLOOKUP(Tabla3[[#This Row],[Site]],Table35[],10,FALSE)</f>
        <v>9:00 P.M.</v>
      </c>
      <c r="F519" t="str">
        <f>VLOOKUP(Tabla3[[#This Row],[Site]],Table35[],11,FALSE)</f>
        <v>ET</v>
      </c>
      <c r="G519" t="str">
        <f>VLOOKUP(Tabla3[[#This Row],[Site]],Table35[],12,FALSE)</f>
        <v>5:00 A.M.</v>
      </c>
      <c r="H519" s="1" t="s">
        <v>96</v>
      </c>
      <c r="I519" s="70" t="str">
        <f>HYPERLINK(VLOOKUP(Tabla3[[#This Row],[Site]],Table35[#All],9,FALSE))</f>
        <v>https://tools.sig.systems/site/details/333</v>
      </c>
      <c r="J519" t="str">
        <f>VLOOKUP(Tabla3[[#This Row],[Site]],Table35[],14,FALSE)</f>
        <v>-</v>
      </c>
      <c r="L519" s="34" t="str">
        <f>VLOOKUP(Tabla3[[#This Row],[Site]],Table35[#All],2,FALSE)</f>
        <v>-</v>
      </c>
      <c r="M519" s="34">
        <f>VLOOKUP(Tabla3[[#This Row],[Site]],Table35[#All],3,FALSE)</f>
        <v>6</v>
      </c>
      <c r="N519" s="34" t="str">
        <f>VLOOKUP(Tabla3[[#This Row],[Site]],Table35[#All],4,FALSE)</f>
        <v>1, 2, 3</v>
      </c>
      <c r="O519" s="34" t="str">
        <f>VLOOKUP(Tabla3[[#This Row],[Site]],Table35[#All],5,FALSE)</f>
        <v>7, 10, 16, 29</v>
      </c>
      <c r="P519" s="34" t="str">
        <f>VLOOKUP(Tabla3[[#This Row],[Site]],Table35[#All],6,FALSE)</f>
        <v>14, 17, 30</v>
      </c>
      <c r="Q519" s="34" t="str">
        <f>VLOOKUP(Tabla3[[#This Row],[Site]],Table35[#All],8,FALSE)</f>
        <v>333</v>
      </c>
      <c r="R519"/>
    </row>
    <row r="520" spans="1:18" hidden="1" x14ac:dyDescent="0.25">
      <c r="A520" t="str">
        <f>+Tabla3[[#This Row],[Site]]&amp;Tabla3[[#This Row],[Split]]</f>
        <v>(AS) Koons Volvo Cars White Marsh (NO TOURS)9</v>
      </c>
      <c r="B520">
        <v>9</v>
      </c>
      <c r="C520">
        <v>8</v>
      </c>
      <c r="D520" t="s">
        <v>376</v>
      </c>
      <c r="E520" t="str">
        <f>VLOOKUP(Tabla3[[#This Row],[Site]],Table35[],10,FALSE)</f>
        <v>9:00 P.M.</v>
      </c>
      <c r="F520" t="str">
        <f>VLOOKUP(Tabla3[[#This Row],[Site]],Table35[],11,FALSE)</f>
        <v>ET</v>
      </c>
      <c r="G520" t="str">
        <f>VLOOKUP(Tabla3[[#This Row],[Site]],Table35[],12,FALSE)</f>
        <v>5:00 A.M.</v>
      </c>
      <c r="H520" s="1" t="s">
        <v>96</v>
      </c>
      <c r="I520" s="70" t="str">
        <f>HYPERLINK(VLOOKUP(Tabla3[[#This Row],[Site]],Table35[#All],9,FALSE))</f>
        <v>https://tools.sig.systems/site/details/338</v>
      </c>
      <c r="J520">
        <f>VLOOKUP(Tabla3[[#This Row],[Site]],Table35[],14,FALSE)</f>
        <v>0</v>
      </c>
      <c r="L520" s="34" t="str">
        <f>VLOOKUP(Tabla3[[#This Row],[Site]],Table35[#All],2,FALSE)</f>
        <v>-</v>
      </c>
      <c r="M520" s="34" t="str">
        <f>VLOOKUP(Tabla3[[#This Row],[Site]],Table35[#All],3,FALSE)</f>
        <v>5, 7, 9</v>
      </c>
      <c r="N520" s="34" t="str">
        <f>VLOOKUP(Tabla3[[#This Row],[Site]],Table35[#All],4,FALSE)</f>
        <v>-</v>
      </c>
      <c r="O520" s="34" t="str">
        <f>VLOOKUP(Tabla3[[#This Row],[Site]],Table35[#All],5,FALSE)</f>
        <v>-</v>
      </c>
      <c r="P520" s="34" t="str">
        <f>VLOOKUP(Tabla3[[#This Row],[Site]],Table35[#All],6,FALSE)</f>
        <v>6, 10, 1</v>
      </c>
      <c r="Q520" s="34" t="str">
        <f>VLOOKUP(Tabla3[[#This Row],[Site]],Table35[#All],8,FALSE)</f>
        <v>338</v>
      </c>
      <c r="R520"/>
    </row>
    <row r="521" spans="1:18" hidden="1" x14ac:dyDescent="0.25">
      <c r="A521" t="str">
        <f>+Tabla3[[#This Row],[Site]]&amp;Tabla3[[#This Row],[Split]]</f>
        <v>(AS) Larry H Miller CDJR Fiat (NO TOURS)9</v>
      </c>
      <c r="B521">
        <v>9</v>
      </c>
      <c r="C521">
        <v>8</v>
      </c>
      <c r="D521" t="s">
        <v>217</v>
      </c>
      <c r="E521" t="str">
        <f>VLOOKUP(Tabla3[[#This Row],[Site]],Table35[],10,FALSE)</f>
        <v>11:00 P.M.</v>
      </c>
      <c r="F521" t="str">
        <f>VLOOKUP(Tabla3[[#This Row],[Site]],Table35[],11,FALSE)</f>
        <v>MT</v>
      </c>
      <c r="G521" t="str">
        <f>VLOOKUP(Tabla3[[#This Row],[Site]],Table35[],12,FALSE)</f>
        <v>7:00 A.M.</v>
      </c>
      <c r="H521" s="1" t="s">
        <v>96</v>
      </c>
      <c r="I521" s="70" t="str">
        <f>HYPERLINK(VLOOKUP(Tabla3[[#This Row],[Site]],Table35[#All],9,FALSE))</f>
        <v>https://tools.sig.systems/site/details/298</v>
      </c>
      <c r="J521">
        <f>VLOOKUP(Tabla3[[#This Row],[Site]],Table35[],14,FALSE)</f>
        <v>0</v>
      </c>
      <c r="L521" s="34" t="str">
        <f>VLOOKUP(Tabla3[[#This Row],[Site]],Table35[#All],2,FALSE)</f>
        <v>7, 11</v>
      </c>
      <c r="M521" s="34" t="str">
        <f>VLOOKUP(Tabla3[[#This Row],[Site]],Table35[#All],3,FALSE)</f>
        <v>2, 3</v>
      </c>
      <c r="N521" s="34" t="str">
        <f>VLOOKUP(Tabla3[[#This Row],[Site]],Table35[#All],4,FALSE)</f>
        <v>-</v>
      </c>
      <c r="O521" s="34" t="str">
        <f>VLOOKUP(Tabla3[[#This Row],[Site]],Table35[#All],5,FALSE)</f>
        <v>-</v>
      </c>
      <c r="P521" s="34" t="str">
        <f>VLOOKUP(Tabla3[[#This Row],[Site]],Table35[#All],6,FALSE)</f>
        <v xml:space="preserve">2, 6, 10, 15, 18 </v>
      </c>
      <c r="Q521" s="34" t="str">
        <f>VLOOKUP(Tabla3[[#This Row],[Site]],Table35[#All],8,FALSE)</f>
        <v>298</v>
      </c>
      <c r="R521"/>
    </row>
    <row r="522" spans="1:18" hidden="1" x14ac:dyDescent="0.25">
      <c r="A522" t="str">
        <f>+Tabla3[[#This Row],[Site]]&amp;Tabla3[[#This Row],[Split]]</f>
        <v>(DT) Arlington9</v>
      </c>
      <c r="B522">
        <v>9</v>
      </c>
      <c r="C522">
        <v>8</v>
      </c>
      <c r="D522" t="s">
        <v>18</v>
      </c>
      <c r="E522" t="str">
        <f>VLOOKUP(Tabla3[[#This Row],[Site]],Table35[],10,FALSE)</f>
        <v>10:00 P.M.</v>
      </c>
      <c r="F522" t="str">
        <f>VLOOKUP(Tabla3[[#This Row],[Site]],Table35[],11,FALSE)</f>
        <v>CT</v>
      </c>
      <c r="G522" t="str">
        <f>VLOOKUP(Tabla3[[#This Row],[Site]],Table35[],12,FALSE)</f>
        <v>6:00 A.M.</v>
      </c>
      <c r="H522" s="1" t="s">
        <v>96</v>
      </c>
      <c r="I522" s="70" t="str">
        <f>HYPERLINK(VLOOKUP(Tabla3[[#This Row],[Site]],Table35[#All],9,FALSE))</f>
        <v>https://tools.sig.systems/site/details/199</v>
      </c>
      <c r="J522" t="str">
        <f>VLOOKUP(Tabla3[[#This Row],[Site]],Table35[],14,FALSE)</f>
        <v>-</v>
      </c>
      <c r="L522" s="34" t="str">
        <f>VLOOKUP(Tabla3[[#This Row],[Site]],Table35[#All],2,FALSE)</f>
        <v>3,8</v>
      </c>
      <c r="M522" s="34" t="str">
        <f>VLOOKUP(Tabla3[[#This Row],[Site]],Table35[#All],3,FALSE)</f>
        <v>-</v>
      </c>
      <c r="N522" s="34" t="str">
        <f>VLOOKUP(Tabla3[[#This Row],[Site]],Table35[#All],4,FALSE)</f>
        <v>-</v>
      </c>
      <c r="O522" s="34" t="str">
        <f>VLOOKUP(Tabla3[[#This Row],[Site]],Table35[#All],5,FALSE)</f>
        <v>-</v>
      </c>
      <c r="P522" s="34" t="str">
        <f>VLOOKUP(Tabla3[[#This Row],[Site]],Table35[#All],6,FALSE)</f>
        <v>3, 8, 7</v>
      </c>
      <c r="Q522" s="34" t="str">
        <f>VLOOKUP(Tabla3[[#This Row],[Site]],Table35[#All],8,FALSE)</f>
        <v>199</v>
      </c>
      <c r="R522"/>
    </row>
    <row r="523" spans="1:18" hidden="1" x14ac:dyDescent="0.25">
      <c r="A523" t="str">
        <f>+Tabla3[[#This Row],[Site]]&amp;Tabla3[[#This Row],[Split]]</f>
        <v>(KG) Ken Garff Volkswagen of Gilbert9</v>
      </c>
      <c r="B523">
        <v>9</v>
      </c>
      <c r="C523">
        <v>8</v>
      </c>
      <c r="D523" t="s">
        <v>130</v>
      </c>
      <c r="E523" t="str">
        <f>VLOOKUP(Tabla3[[#This Row],[Site]],Table35[],10,FALSE)</f>
        <v>12:00 A.M.</v>
      </c>
      <c r="F523" t="str">
        <f>VLOOKUP(Tabla3[[#This Row],[Site]],Table35[],11,FALSE)</f>
        <v>MST</v>
      </c>
      <c r="G523" t="str">
        <f>VLOOKUP(Tabla3[[#This Row],[Site]],Table35[],12,FALSE)</f>
        <v>8:00 A.M.</v>
      </c>
      <c r="H523" s="1" t="s">
        <v>96</v>
      </c>
      <c r="I523" s="70" t="str">
        <f>HYPERLINK(VLOOKUP(Tabla3[[#This Row],[Site]],Table35[#All],9,FALSE))</f>
        <v>https://tools.sig.systems/site/details/284</v>
      </c>
      <c r="J523" t="str">
        <f>VLOOKUP(Tabla3[[#This Row],[Site]],Table35[],14,FALSE)</f>
        <v>https://www.google.com/maps/d/viewer?hl=es&amp;mid=19SU7XE9Cg8jhVFpEI21Vi9Zfgdih9Ds&amp;ll=33.29158262977276%2C-111.75783630000002&amp;z=17</v>
      </c>
      <c r="L523" s="34" t="str">
        <f>VLOOKUP(Tabla3[[#This Row],[Site]],Table35[#All],2,FALSE)</f>
        <v>4, 6</v>
      </c>
      <c r="M523" s="34" t="str">
        <f>VLOOKUP(Tabla3[[#This Row],[Site]],Table35[#All],3,FALSE)</f>
        <v>-</v>
      </c>
      <c r="N523" s="34" t="str">
        <f>VLOOKUP(Tabla3[[#This Row],[Site]],Table35[#All],4,FALSE)</f>
        <v>-</v>
      </c>
      <c r="O523" s="34" t="str">
        <f>VLOOKUP(Tabla3[[#This Row],[Site]],Table35[#All],5,FALSE)</f>
        <v>2, 14</v>
      </c>
      <c r="P523" s="34" t="str">
        <f>VLOOKUP(Tabla3[[#This Row],[Site]],Table35[#All],6,FALSE)</f>
        <v>1, 5, 8, 9, 17, 19, 21</v>
      </c>
      <c r="Q523" s="34" t="str">
        <f>VLOOKUP(Tabla3[[#This Row],[Site]],Table35[#All],8,FALSE)</f>
        <v>284</v>
      </c>
      <c r="R523"/>
    </row>
    <row r="524" spans="1:18" hidden="1" x14ac:dyDescent="0.25">
      <c r="A524" t="str">
        <f>+Tabla3[[#This Row],[Site]]&amp;Tabla3[[#This Row],[Split]]</f>
        <v>(PE) JLR Darien (NO TOURS)9</v>
      </c>
      <c r="B524">
        <v>9</v>
      </c>
      <c r="C524">
        <v>8</v>
      </c>
      <c r="D524" t="s">
        <v>368</v>
      </c>
      <c r="E524" t="str">
        <f>VLOOKUP(Tabla3[[#This Row],[Site]],Table35[],10,FALSE)</f>
        <v>8:00 P.M.</v>
      </c>
      <c r="F524" t="str">
        <f>VLOOKUP(Tabla3[[#This Row],[Site]],Table35[],11,FALSE)</f>
        <v>ET</v>
      </c>
      <c r="G524" t="str">
        <f>VLOOKUP(Tabla3[[#This Row],[Site]],Table35[],12,FALSE)</f>
        <v>5:00 A.M.</v>
      </c>
      <c r="H524" t="str">
        <f>VLOOKUP(Tabla3[[#This Row],[Site]],Table35[],13,FALSE)</f>
        <v>-</v>
      </c>
      <c r="I524" s="70" t="str">
        <f>HYPERLINK(VLOOKUP(Tabla3[[#This Row],[Site]],Table35[#All],9,FALSE))</f>
        <v>https://tools.sig.systems/site/details/189</v>
      </c>
      <c r="J524" t="str">
        <f>VLOOKUP(Tabla3[[#This Row],[Site]],Table35[],14,FALSE)</f>
        <v>-</v>
      </c>
      <c r="L524" s="34" t="str">
        <f>VLOOKUP(Tabla3[[#This Row],[Site]],Table35[#All],2,FALSE)</f>
        <v>1, 13</v>
      </c>
      <c r="M524" s="34" t="str">
        <f>VLOOKUP(Tabla3[[#This Row],[Site]],Table35[#All],3,FALSE)</f>
        <v>-</v>
      </c>
      <c r="N524" s="34" t="str">
        <f>VLOOKUP(Tabla3[[#This Row],[Site]],Table35[#All],4,FALSE)</f>
        <v>-</v>
      </c>
      <c r="O524" s="34" t="str">
        <f>VLOOKUP(Tabla3[[#This Row],[Site]],Table35[#All],5,FALSE)</f>
        <v>-</v>
      </c>
      <c r="P524" s="34" t="str">
        <f>VLOOKUP(Tabla3[[#This Row],[Site]],Table35[#All],6,FALSE)</f>
        <v>-</v>
      </c>
      <c r="Q524" s="34" t="str">
        <f>VLOOKUP(Tabla3[[#This Row],[Site]],Table35[#All],8,FALSE)</f>
        <v>189</v>
      </c>
      <c r="R524"/>
    </row>
    <row r="525" spans="1:18" hidden="1" x14ac:dyDescent="0.25">
      <c r="A525" t="str">
        <f>+Tabla3[[#This Row],[Site]]&amp;Tabla3[[#This Row],[Split]]</f>
        <v>(PE) JLR Paramus (NO TOURS)9</v>
      </c>
      <c r="B525">
        <v>9</v>
      </c>
      <c r="C525">
        <v>8</v>
      </c>
      <c r="D525" t="s">
        <v>212</v>
      </c>
      <c r="E525" t="str">
        <f>VLOOKUP(Tabla3[[#This Row],[Site]],Table35[],10,FALSE)</f>
        <v>8:00 P.M.</v>
      </c>
      <c r="F525" t="str">
        <f>VLOOKUP(Tabla3[[#This Row],[Site]],Table35[],11,FALSE)</f>
        <v>ET</v>
      </c>
      <c r="G525" t="str">
        <f>VLOOKUP(Tabla3[[#This Row],[Site]],Table35[],12,FALSE)</f>
        <v>5:00 A.M.</v>
      </c>
      <c r="H525" t="str">
        <f>VLOOKUP(Tabla3[[#This Row],[Site]],Table35[],13,FALSE)</f>
        <v>-</v>
      </c>
      <c r="I525" s="70" t="str">
        <f>HYPERLINK(VLOOKUP(Tabla3[[#This Row],[Site]],Table35[#All],9,FALSE))</f>
        <v>https://tools.sig.systems/site/details/177</v>
      </c>
      <c r="J525">
        <f>VLOOKUP(Tabla3[[#This Row],[Site]],Table35[],14,FALSE)</f>
        <v>0</v>
      </c>
      <c r="L525" s="34" t="str">
        <f>VLOOKUP(Tabla3[[#This Row],[Site]],Table35[#All],2,FALSE)</f>
        <v>1, 17</v>
      </c>
      <c r="M525" s="34" t="str">
        <f>VLOOKUP(Tabla3[[#This Row],[Site]],Table35[#All],3,FALSE)</f>
        <v>-</v>
      </c>
      <c r="N525" s="34" t="str">
        <f>VLOOKUP(Tabla3[[#This Row],[Site]],Table35[#All],4,FALSE)</f>
        <v>-</v>
      </c>
      <c r="O525" s="34" t="str">
        <f>VLOOKUP(Tabla3[[#This Row],[Site]],Table35[#All],5,FALSE)</f>
        <v>-</v>
      </c>
      <c r="P525" s="34" t="str">
        <f>VLOOKUP(Tabla3[[#This Row],[Site]],Table35[#All],6,FALSE)</f>
        <v>1, 17</v>
      </c>
      <c r="Q525" s="34" t="str">
        <f>VLOOKUP(Tabla3[[#This Row],[Site]],Table35[#All],8,FALSE)</f>
        <v>177</v>
      </c>
      <c r="R525"/>
    </row>
    <row r="526" spans="1:18" hidden="1" x14ac:dyDescent="0.25">
      <c r="A526" t="str">
        <f>+Tabla3[[#This Row],[Site]]&amp;Tabla3[[#This Row],[Split]]</f>
        <v>(AS) Coggin Collision Center of Kissimmee (NO TOURS)9</v>
      </c>
      <c r="B526">
        <v>9</v>
      </c>
      <c r="C526">
        <v>9</v>
      </c>
      <c r="D526" t="s">
        <v>288</v>
      </c>
      <c r="E526" t="str">
        <f>VLOOKUP(Tabla3[[#This Row],[Site]],Table35[],10,FALSE)</f>
        <v>9:00 P.M.</v>
      </c>
      <c r="F526" t="str">
        <f>VLOOKUP(Tabla3[[#This Row],[Site]],Table35[],11,FALSE)</f>
        <v>ET</v>
      </c>
      <c r="G526" t="str">
        <f>VLOOKUP(Tabla3[[#This Row],[Site]],Table35[],12,FALSE)</f>
        <v>5:00 A.M.</v>
      </c>
      <c r="H526" t="str">
        <f>VLOOKUP(Tabla3[[#This Row],[Site]],Table35[],13,FALSE)</f>
        <v>-</v>
      </c>
      <c r="I526" s="70" t="str">
        <f>HYPERLINK(VLOOKUP(Tabla3[[#This Row],[Site]],Table35[#All],9,FALSE))</f>
        <v>https://tools.sig.systems/site/details/331</v>
      </c>
      <c r="J526">
        <f>VLOOKUP(Tabla3[[#This Row],[Site]],Table35[],14,FALSE)</f>
        <v>0</v>
      </c>
      <c r="L526" s="34" t="str">
        <f>VLOOKUP(Tabla3[[#This Row],[Site]],Table35[#All],2,FALSE)</f>
        <v>1, 12</v>
      </c>
      <c r="M526" s="34" t="str">
        <f>VLOOKUP(Tabla3[[#This Row],[Site]],Table35[#All],3,FALSE)</f>
        <v>-</v>
      </c>
      <c r="N526" s="34" t="str">
        <f>VLOOKUP(Tabla3[[#This Row],[Site]],Table35[#All],4,FALSE)</f>
        <v>-</v>
      </c>
      <c r="O526" s="34" t="str">
        <f>VLOOKUP(Tabla3[[#This Row],[Site]],Table35[#All],5,FALSE)</f>
        <v>-</v>
      </c>
      <c r="P526" s="34" t="str">
        <f>VLOOKUP(Tabla3[[#This Row],[Site]],Table35[#All],6,FALSE)</f>
        <v>2, 7, 9</v>
      </c>
      <c r="Q526" s="34" t="str">
        <f>VLOOKUP(Tabla3[[#This Row],[Site]],Table35[#All],8,FALSE)</f>
        <v>331</v>
      </c>
      <c r="R526"/>
    </row>
    <row r="527" spans="1:18" hidden="1" x14ac:dyDescent="0.25">
      <c r="A527" t="str">
        <f>+Tabla3[[#This Row],[Site]]&amp;Tabla3[[#This Row],[Split]]</f>
        <v>(AS) Koons Woodbridge Ford (NO TOURS)9</v>
      </c>
      <c r="B527">
        <v>9</v>
      </c>
      <c r="C527">
        <v>9</v>
      </c>
      <c r="D527" t="s">
        <v>373</v>
      </c>
      <c r="E527" t="str">
        <f>VLOOKUP(Tabla3[[#This Row],[Site]],Table35[],10,FALSE)</f>
        <v>9:00 P.M.</v>
      </c>
      <c r="F527" t="str">
        <f>VLOOKUP(Tabla3[[#This Row],[Site]],Table35[],11,FALSE)</f>
        <v>ET</v>
      </c>
      <c r="G527" t="str">
        <f>VLOOKUP(Tabla3[[#This Row],[Site]],Table35[],12,FALSE)</f>
        <v>5:00 A.M.</v>
      </c>
      <c r="H527" t="str">
        <f>VLOOKUP(Tabla3[[#This Row],[Site]],Table35[],13,FALSE)</f>
        <v>9:00 A.M.</v>
      </c>
      <c r="I527" s="70" t="str">
        <f>HYPERLINK(VLOOKUP(Tabla3[[#This Row],[Site]],Table35[#All],9,FALSE))</f>
        <v>https://tools.sig.systems/site/details/342</v>
      </c>
      <c r="J527">
        <f>VLOOKUP(Tabla3[[#This Row],[Site]],Table35[],14,FALSE)</f>
        <v>0</v>
      </c>
      <c r="L527" s="34" t="str">
        <f>VLOOKUP(Tabla3[[#This Row],[Site]],Table35[#All],2,FALSE)</f>
        <v>-</v>
      </c>
      <c r="M527" s="34" t="str">
        <f>VLOOKUP(Tabla3[[#This Row],[Site]],Table35[#All],3,FALSE)</f>
        <v>3, 24, 26, 27, 31, 36</v>
      </c>
      <c r="N527" s="34" t="str">
        <f>VLOOKUP(Tabla3[[#This Row],[Site]],Table35[#All],4,FALSE)</f>
        <v>-</v>
      </c>
      <c r="O527" s="34" t="str">
        <f>VLOOKUP(Tabla3[[#This Row],[Site]],Table35[#All],5,FALSE)</f>
        <v>-</v>
      </c>
      <c r="P527" s="34" t="str">
        <f>VLOOKUP(Tabla3[[#This Row],[Site]],Table35[#All],6,FALSE)</f>
        <v>13, 26, 29</v>
      </c>
      <c r="Q527" s="34" t="str">
        <f>VLOOKUP(Tabla3[[#This Row],[Site]],Table35[#All],8,FALSE)</f>
        <v>342</v>
      </c>
      <c r="R527"/>
    </row>
    <row r="528" spans="1:18" hidden="1" x14ac:dyDescent="0.25">
      <c r="A528" t="str">
        <f>+Tabla3[[#This Row],[Site]]&amp;Tabla3[[#This Row],[Split]]</f>
        <v>(AS) Koons Woodbridge Hyundai (NO TOURS)9</v>
      </c>
      <c r="B528">
        <v>9</v>
      </c>
      <c r="C528">
        <v>9</v>
      </c>
      <c r="D528" t="s">
        <v>406</v>
      </c>
      <c r="E528" t="str">
        <f>VLOOKUP(Tabla3[[#This Row],[Site]],Table35[],10,FALSE)</f>
        <v>9:00 P.M.</v>
      </c>
      <c r="F528" t="str">
        <f>VLOOKUP(Tabla3[[#This Row],[Site]],Table35[],11,FALSE)</f>
        <v>ET</v>
      </c>
      <c r="G528" t="str">
        <f>VLOOKUP(Tabla3[[#This Row],[Site]],Table35[],12,FALSE)</f>
        <v>5:00 A.M.</v>
      </c>
      <c r="H528" t="str">
        <f>VLOOKUP(Tabla3[[#This Row],[Site]],Table35[],13,FALSE)</f>
        <v>8:00 A.M.</v>
      </c>
      <c r="I528" s="70" t="str">
        <f>HYPERLINK(VLOOKUP(Tabla3[[#This Row],[Site]],Table35[#All],9,FALSE))</f>
        <v>https://tools.sig.systems/site/details/347</v>
      </c>
      <c r="J528" t="str">
        <f>VLOOKUP(Tabla3[[#This Row],[Site]],Table35[],14,FALSE)</f>
        <v>-</v>
      </c>
      <c r="L528" s="34" t="str">
        <f>VLOOKUP(Tabla3[[#This Row],[Site]],Table35[#All],2,FALSE)</f>
        <v>-</v>
      </c>
      <c r="M528" s="34" t="str">
        <f>VLOOKUP(Tabla3[[#This Row],[Site]],Table35[#All],3,FALSE)</f>
        <v>1, 17</v>
      </c>
      <c r="N528" s="34" t="str">
        <f>VLOOKUP(Tabla3[[#This Row],[Site]],Table35[#All],4,FALSE)</f>
        <v>-</v>
      </c>
      <c r="O528" s="34" t="str">
        <f>VLOOKUP(Tabla3[[#This Row],[Site]],Table35[#All],5,FALSE)</f>
        <v>-</v>
      </c>
      <c r="P528" s="34" t="str">
        <f>VLOOKUP(Tabla3[[#This Row],[Site]],Table35[#All],6,FALSE)</f>
        <v>4, 14, 22</v>
      </c>
      <c r="Q528" s="34" t="str">
        <f>VLOOKUP(Tabla3[[#This Row],[Site]],Table35[#All],8,FALSE)</f>
        <v>347</v>
      </c>
      <c r="R528"/>
    </row>
    <row r="529" spans="1:18" hidden="1" x14ac:dyDescent="0.25">
      <c r="A529" t="str">
        <f>+Tabla3[[#This Row],[Site]]&amp;Tabla3[[#This Row],[Split]]</f>
        <v>(AS) Plaza Mercedes Benz West (NO TOURS)9</v>
      </c>
      <c r="B529">
        <v>9</v>
      </c>
      <c r="C529">
        <v>9</v>
      </c>
      <c r="D529" t="s">
        <v>396</v>
      </c>
      <c r="E529" t="str">
        <f>VLOOKUP(Tabla3[[#This Row],[Site]],Table35[],10,FALSE)</f>
        <v>10:00 P.M.</v>
      </c>
      <c r="F529" t="str">
        <f>VLOOKUP(Tabla3[[#This Row],[Site]],Table35[],11,FALSE)</f>
        <v>CT</v>
      </c>
      <c r="G529" t="str">
        <f>VLOOKUP(Tabla3[[#This Row],[Site]],Table35[],12,FALSE)</f>
        <v>6:00 A.M.</v>
      </c>
      <c r="H529" s="1" t="s">
        <v>96</v>
      </c>
      <c r="I529" s="70" t="str">
        <f>HYPERLINK(VLOOKUP(Tabla3[[#This Row],[Site]],Table35[#All],9,FALSE))</f>
        <v>https://tools.sig.systems/site/details/349</v>
      </c>
      <c r="J529" t="str">
        <f>VLOOKUP(Tabla3[[#This Row],[Site]],Table35[],14,FALSE)</f>
        <v>-</v>
      </c>
      <c r="L529" s="34" t="str">
        <f>VLOOKUP(Tabla3[[#This Row],[Site]],Table35[#All],2,FALSE)</f>
        <v>-</v>
      </c>
      <c r="M529" s="34" t="str">
        <f>VLOOKUP(Tabla3[[#This Row],[Site]],Table35[#All],3,FALSE)</f>
        <v>1, 7</v>
      </c>
      <c r="N529" s="34" t="str">
        <f>VLOOKUP(Tabla3[[#This Row],[Site]],Table35[#All],4,FALSE)</f>
        <v>-</v>
      </c>
      <c r="O529" s="34">
        <f>VLOOKUP(Tabla3[[#This Row],[Site]],Table35[#All],5,FALSE)</f>
        <v>17</v>
      </c>
      <c r="P529" s="34" t="str">
        <f>VLOOKUP(Tabla3[[#This Row],[Site]],Table35[#All],6,FALSE)</f>
        <v>6, 21</v>
      </c>
      <c r="Q529" s="34" t="str">
        <f>VLOOKUP(Tabla3[[#This Row],[Site]],Table35[#All],8,FALSE)</f>
        <v>349</v>
      </c>
      <c r="R529"/>
    </row>
    <row r="530" spans="1:18" hidden="1" x14ac:dyDescent="0.25">
      <c r="A530" t="str">
        <f>+Tabla3[[#This Row],[Site]]&amp;Tabla3[[#This Row],[Split]]</f>
        <v>(BRL) Shoemakersville9</v>
      </c>
      <c r="B530">
        <v>9</v>
      </c>
      <c r="C530">
        <v>9</v>
      </c>
      <c r="D530" t="s">
        <v>120</v>
      </c>
      <c r="E530" t="str">
        <f>VLOOKUP(Tabla3[[#This Row],[Site]],Table35[],10,FALSE)</f>
        <v>24H</v>
      </c>
      <c r="F530" t="str">
        <f>VLOOKUP(Tabla3[[#This Row],[Site]],Table35[],11,FALSE)</f>
        <v>ET</v>
      </c>
      <c r="G530" t="str">
        <f>VLOOKUP(Tabla3[[#This Row],[Site]],Table35[],12,FALSE)</f>
        <v>-</v>
      </c>
      <c r="H530" s="1" t="s">
        <v>96</v>
      </c>
      <c r="I530" s="70" t="str">
        <f>HYPERLINK(VLOOKUP(Tabla3[[#This Row],[Site]],Table35[#All],9,FALSE))</f>
        <v>https://tools.sig.systems/site/details/302</v>
      </c>
      <c r="J530">
        <f>VLOOKUP(Tabla3[[#This Row],[Site]],Table35[],14,FALSE)</f>
        <v>0</v>
      </c>
      <c r="L530" s="34" t="str">
        <f>VLOOKUP(Tabla3[[#This Row],[Site]],Table35[#All],2,FALSE)</f>
        <v>-</v>
      </c>
      <c r="M530" s="34" t="str">
        <f>VLOOKUP(Tabla3[[#This Row],[Site]],Table35[#All],3,FALSE)</f>
        <v>8, 11</v>
      </c>
      <c r="N530" s="34" t="str">
        <f>VLOOKUP(Tabla3[[#This Row],[Site]],Table35[#All],4,FALSE)</f>
        <v>-</v>
      </c>
      <c r="O530" s="34" t="str">
        <f>VLOOKUP(Tabla3[[#This Row],[Site]],Table35[#All],5,FALSE)</f>
        <v>1, 6, 13A, 15, 18A</v>
      </c>
      <c r="P530" s="34" t="str">
        <f>VLOOKUP(Tabla3[[#This Row],[Site]],Table35[#All],6,FALSE)</f>
        <v>13B, 23</v>
      </c>
      <c r="Q530" s="34" t="str">
        <f>VLOOKUP(Tabla3[[#This Row],[Site]],Table35[#All],8,FALSE)</f>
        <v>302</v>
      </c>
      <c r="R530"/>
    </row>
    <row r="531" spans="1:18" hidden="1" x14ac:dyDescent="0.25">
      <c r="A531" t="str">
        <f>+Tabla3[[#This Row],[Site]]&amp;Tabla3[[#This Row],[Split]]</f>
        <v>(LT) Luther North Country Ford9</v>
      </c>
      <c r="B531">
        <v>9</v>
      </c>
      <c r="C531">
        <v>9</v>
      </c>
      <c r="D531" t="s">
        <v>127</v>
      </c>
      <c r="E531" t="str">
        <f>VLOOKUP(Tabla3[[#This Row],[Site]],Table35[],10,FALSE)</f>
        <v>10:00 P.M.</v>
      </c>
      <c r="F531" t="str">
        <f>VLOOKUP(Tabla3[[#This Row],[Site]],Table35[],11,FALSE)</f>
        <v>CT</v>
      </c>
      <c r="G531" t="str">
        <f>VLOOKUP(Tabla3[[#This Row],[Site]],Table35[],12,FALSE)</f>
        <v>6:00 A.M.</v>
      </c>
      <c r="H531" s="1" t="s">
        <v>68</v>
      </c>
      <c r="I531" s="70" t="str">
        <f>HYPERLINK(VLOOKUP(Tabla3[[#This Row],[Site]],Table35[#All],9,FALSE))</f>
        <v>https://tools.sig.systems/site/details/292</v>
      </c>
      <c r="J531">
        <f>VLOOKUP(Tabla3[[#This Row],[Site]],Table35[],14,FALSE)</f>
        <v>0</v>
      </c>
      <c r="L531" s="34" t="str">
        <f>VLOOKUP(Tabla3[[#This Row],[Site]],Table35[#All],2,FALSE)</f>
        <v>-</v>
      </c>
      <c r="M531" s="34" t="str">
        <f>VLOOKUP(Tabla3[[#This Row],[Site]],Table35[#All],3,FALSE)</f>
        <v>7, 14, 19</v>
      </c>
      <c r="N531" s="34" t="str">
        <f>VLOOKUP(Tabla3[[#This Row],[Site]],Table35[#All],4,FALSE)</f>
        <v>30, 31, 32</v>
      </c>
      <c r="O531" s="34" t="str">
        <f>VLOOKUP(Tabla3[[#This Row],[Site]],Table35[#All],5,FALSE)</f>
        <v>-</v>
      </c>
      <c r="P531" s="34" t="str">
        <f>VLOOKUP(Tabla3[[#This Row],[Site]],Table35[#All],6,FALSE)</f>
        <v>1, 4, 9, 13, 15, 16B, 25</v>
      </c>
      <c r="Q531" s="34" t="str">
        <f>VLOOKUP(Tabla3[[#This Row],[Site]],Table35[#All],8,FALSE)</f>
        <v>292</v>
      </c>
      <c r="R531"/>
    </row>
    <row r="532" spans="1:18" hidden="1" x14ac:dyDescent="0.25">
      <c r="A532" t="str">
        <f>+Tabla3[[#This Row],[Site]]&amp;Tabla3[[#This Row],[Split]]</f>
        <v>(PE) Porsche Audi Fairfield (NO TOURS)9</v>
      </c>
      <c r="B532">
        <v>9</v>
      </c>
      <c r="C532">
        <v>9</v>
      </c>
      <c r="D532" t="s">
        <v>446</v>
      </c>
      <c r="E532" t="str">
        <f>VLOOKUP(Tabla3[[#This Row],[Site]],Table35[],10,FALSE)</f>
        <v>8:00 P.M.</v>
      </c>
      <c r="F532" t="str">
        <f>VLOOKUP(Tabla3[[#This Row],[Site]],Table35[],11,FALSE)</f>
        <v>ET</v>
      </c>
      <c r="G532" t="str">
        <f>VLOOKUP(Tabla3[[#This Row],[Site]],Table35[],12,FALSE)</f>
        <v>5:00 A.M.</v>
      </c>
      <c r="H532" s="1" t="s">
        <v>96</v>
      </c>
      <c r="I532" s="70" t="str">
        <f>HYPERLINK(VLOOKUP(Tabla3[[#This Row],[Site]],Table35[#All],9,FALSE))</f>
        <v>https://tools.sig.systems/site/details/194</v>
      </c>
      <c r="J532" t="str">
        <f>VLOOKUP(Tabla3[[#This Row],[Site]],Table35[],14,FALSE)</f>
        <v>-</v>
      </c>
      <c r="L532" s="34" t="str">
        <f>VLOOKUP(Tabla3[[#This Row],[Site]],Table35[#All],2,FALSE)</f>
        <v>1, 18</v>
      </c>
      <c r="M532" s="34" t="str">
        <f>VLOOKUP(Tabla3[[#This Row],[Site]],Table35[#All],3,FALSE)</f>
        <v>-</v>
      </c>
      <c r="N532" s="34" t="str">
        <f>VLOOKUP(Tabla3[[#This Row],[Site]],Table35[#All],4,FALSE)</f>
        <v>-</v>
      </c>
      <c r="O532" s="34">
        <f>VLOOKUP(Tabla3[[#This Row],[Site]],Table35[#All],5,FALSE)</f>
        <v>20</v>
      </c>
      <c r="P532" s="34">
        <f>VLOOKUP(Tabla3[[#This Row],[Site]],Table35[#All],6,FALSE)</f>
        <v>15</v>
      </c>
      <c r="Q532" s="34">
        <f>VLOOKUP(Tabla3[[#This Row],[Site]],Table35[#All],8,FALSE)</f>
        <v>194</v>
      </c>
      <c r="R532"/>
    </row>
    <row r="533" spans="1:18" hidden="1" x14ac:dyDescent="0.25">
      <c r="A533" t="str">
        <f>+Tabla3[[#This Row],[Site]]&amp;Tabla3[[#This Row],[Split]]</f>
        <v>(AS) Koons Tysons Toyota - UC Recon (NO TOURS)1</v>
      </c>
      <c r="B533">
        <v>1</v>
      </c>
      <c r="C533">
        <v>1</v>
      </c>
      <c r="D533" t="s">
        <v>452</v>
      </c>
      <c r="E533" t="str">
        <f>VLOOKUP(Tabla3[[#This Row],[Site]],Table35[],10,FALSE)</f>
        <v>9:00 P.M.</v>
      </c>
      <c r="F533" t="str">
        <f>VLOOKUP(Tabla3[[#This Row],[Site]],Table35[],11,FALSE)</f>
        <v>ET</v>
      </c>
      <c r="G533" t="str">
        <f>VLOOKUP(Tabla3[[#This Row],[Site]],Table35[],12,FALSE)</f>
        <v>5:00 A.M.</v>
      </c>
      <c r="H533" t="str">
        <f>VLOOKUP(Tabla3[[#This Row],[Site]],Table35[],13,FALSE)</f>
        <v>-</v>
      </c>
      <c r="I533" s="70" t="str">
        <f>HYPERLINK(VLOOKUP(Tabla3[[#This Row],[Site]],Table35[#All],9,FALSE))</f>
        <v>https://tools.sig.systems/site/details/355</v>
      </c>
      <c r="J533" t="str">
        <f>VLOOKUP(Tabla3[[#This Row],[Site]],Table35[],14,FALSE)</f>
        <v>-</v>
      </c>
      <c r="L533" s="34" t="str">
        <f>VLOOKUP(Tabla3[[#This Row],[Site]],Table35[#All],2,FALSE)</f>
        <v>-</v>
      </c>
      <c r="M533" s="34" t="str">
        <f>VLOOKUP(Tabla3[[#This Row],[Site]],Table35[#All],3,FALSE)</f>
        <v>37, 38</v>
      </c>
      <c r="N533" s="34" t="str">
        <f>VLOOKUP(Tabla3[[#This Row],[Site]],Table35[#All],4,FALSE)</f>
        <v>-</v>
      </c>
      <c r="O533" s="34" t="str">
        <f>VLOOKUP(Tabla3[[#This Row],[Site]],Table35[#All],5,FALSE)</f>
        <v>-</v>
      </c>
      <c r="P533" s="34" t="str">
        <f>VLOOKUP(Tabla3[[#This Row],[Site]],Table35[#All],6,FALSE)</f>
        <v>-</v>
      </c>
      <c r="Q533" s="34" t="str">
        <f>VLOOKUP(Tabla3[[#This Row],[Site]],Table35[#All],8,FALSE)</f>
        <v>355</v>
      </c>
      <c r="R533"/>
    </row>
    <row r="534" spans="1:18" hidden="1" x14ac:dyDescent="0.25">
      <c r="A534" t="str">
        <f>+Tabla3[[#This Row],[Site]]&amp;Tabla3[[#This Row],[Split]]</f>
        <v>(AS) Koons Tysons Toyota - UC Recon (NO TOURS)2</v>
      </c>
      <c r="B534">
        <v>2</v>
      </c>
      <c r="C534">
        <v>2</v>
      </c>
      <c r="D534" t="s">
        <v>452</v>
      </c>
      <c r="E534" t="str">
        <f>VLOOKUP(Tabla3[[#This Row],[Site]],Table35[],10,FALSE)</f>
        <v>9:00 P.M.</v>
      </c>
      <c r="F534" t="str">
        <f>VLOOKUP(Tabla3[[#This Row],[Site]],Table35[],11,FALSE)</f>
        <v>ET</v>
      </c>
      <c r="G534" t="str">
        <f>VLOOKUP(Tabla3[[#This Row],[Site]],Table35[],12,FALSE)</f>
        <v>5:00 A.M.</v>
      </c>
      <c r="H534" t="str">
        <f>VLOOKUP(Tabla3[[#This Row],[Site]],Table35[],13,FALSE)</f>
        <v>-</v>
      </c>
      <c r="I534" s="70" t="str">
        <f>HYPERLINK(VLOOKUP(Tabla3[[#This Row],[Site]],Table35[#All],9,FALSE))</f>
        <v>https://tools.sig.systems/site/details/355</v>
      </c>
      <c r="J534" t="str">
        <f>VLOOKUP(Tabla3[[#This Row],[Site]],Table35[],14,FALSE)</f>
        <v>-</v>
      </c>
      <c r="L534" s="34" t="str">
        <f>VLOOKUP(Tabla3[[#This Row],[Site]],Table35[#All],2,FALSE)</f>
        <v>-</v>
      </c>
      <c r="M534" s="34" t="str">
        <f>VLOOKUP(Tabla3[[#This Row],[Site]],Table35[#All],3,FALSE)</f>
        <v>37, 38</v>
      </c>
      <c r="N534" s="34" t="str">
        <f>VLOOKUP(Tabla3[[#This Row],[Site]],Table35[#All],4,FALSE)</f>
        <v>-</v>
      </c>
      <c r="O534" s="34" t="str">
        <f>VLOOKUP(Tabla3[[#This Row],[Site]],Table35[#All],5,FALSE)</f>
        <v>-</v>
      </c>
      <c r="P534" s="34" t="str">
        <f>VLOOKUP(Tabla3[[#This Row],[Site]],Table35[#All],6,FALSE)</f>
        <v>-</v>
      </c>
      <c r="Q534" s="34" t="str">
        <f>VLOOKUP(Tabla3[[#This Row],[Site]],Table35[#All],8,FALSE)</f>
        <v>355</v>
      </c>
      <c r="R534"/>
    </row>
    <row r="535" spans="1:18" hidden="1" x14ac:dyDescent="0.25">
      <c r="A535" t="str">
        <f>+Tabla3[[#This Row],[Site]]&amp;Tabla3[[#This Row],[Split]]</f>
        <v>(AS) Koons Tysons Toyota - UC Recon (NO TOURS)3</v>
      </c>
      <c r="B535">
        <v>3</v>
      </c>
      <c r="C535">
        <v>3</v>
      </c>
      <c r="D535" t="s">
        <v>452</v>
      </c>
      <c r="E535" t="str">
        <f>VLOOKUP(Tabla3[[#This Row],[Site]],Table35[],10,FALSE)</f>
        <v>9:00 P.M.</v>
      </c>
      <c r="F535" t="str">
        <f>VLOOKUP(Tabla3[[#This Row],[Site]],Table35[],11,FALSE)</f>
        <v>ET</v>
      </c>
      <c r="G535" t="str">
        <f>VLOOKUP(Tabla3[[#This Row],[Site]],Table35[],12,FALSE)</f>
        <v>5:00 A.M.</v>
      </c>
      <c r="H535" t="str">
        <f>VLOOKUP(Tabla3[[#This Row],[Site]],Table35[],13,FALSE)</f>
        <v>-</v>
      </c>
      <c r="I535" s="70" t="str">
        <f>HYPERLINK(VLOOKUP(Tabla3[[#This Row],[Site]],Table35[#All],9,FALSE))</f>
        <v>https://tools.sig.systems/site/details/355</v>
      </c>
      <c r="J535" t="str">
        <f>VLOOKUP(Tabla3[[#This Row],[Site]],Table35[],14,FALSE)</f>
        <v>-</v>
      </c>
      <c r="L535" s="34" t="str">
        <f>VLOOKUP(Tabla3[[#This Row],[Site]],Table35[#All],2,FALSE)</f>
        <v>-</v>
      </c>
      <c r="M535" s="34" t="str">
        <f>VLOOKUP(Tabla3[[#This Row],[Site]],Table35[#All],3,FALSE)</f>
        <v>37, 38</v>
      </c>
      <c r="N535" s="34" t="str">
        <f>VLOOKUP(Tabla3[[#This Row],[Site]],Table35[#All],4,FALSE)</f>
        <v>-</v>
      </c>
      <c r="O535" s="34" t="str">
        <f>VLOOKUP(Tabla3[[#This Row],[Site]],Table35[#All],5,FALSE)</f>
        <v>-</v>
      </c>
      <c r="P535" s="34" t="str">
        <f>VLOOKUP(Tabla3[[#This Row],[Site]],Table35[#All],6,FALSE)</f>
        <v>-</v>
      </c>
      <c r="Q535" s="34" t="str">
        <f>VLOOKUP(Tabla3[[#This Row],[Site]],Table35[#All],8,FALSE)</f>
        <v>355</v>
      </c>
      <c r="R535"/>
    </row>
    <row r="536" spans="1:18" hidden="1" x14ac:dyDescent="0.25">
      <c r="A536" t="str">
        <f>+Tabla3[[#This Row],[Site]]&amp;Tabla3[[#This Row],[Split]]</f>
        <v>(AS) Koons Tysons Toyota - UC Recon (NO TOURS)4</v>
      </c>
      <c r="B536">
        <v>4</v>
      </c>
      <c r="C536">
        <v>1</v>
      </c>
      <c r="D536" t="s">
        <v>452</v>
      </c>
      <c r="E536" t="str">
        <f>VLOOKUP(Tabla3[[#This Row],[Site]],Table35[],10,FALSE)</f>
        <v>9:00 P.M.</v>
      </c>
      <c r="F536" t="str">
        <f>VLOOKUP(Tabla3[[#This Row],[Site]],Table35[],11,FALSE)</f>
        <v>ET</v>
      </c>
      <c r="G536" t="str">
        <f>VLOOKUP(Tabla3[[#This Row],[Site]],Table35[],12,FALSE)</f>
        <v>5:00 A.M.</v>
      </c>
      <c r="H536" t="str">
        <f>VLOOKUP(Tabla3[[#This Row],[Site]],Table35[],13,FALSE)</f>
        <v>-</v>
      </c>
      <c r="I536" s="70" t="str">
        <f>HYPERLINK(VLOOKUP(Tabla3[[#This Row],[Site]],Table35[#All],9,FALSE))</f>
        <v>https://tools.sig.systems/site/details/355</v>
      </c>
      <c r="J536" t="str">
        <f>VLOOKUP(Tabla3[[#This Row],[Site]],Table35[],14,FALSE)</f>
        <v>-</v>
      </c>
      <c r="L536" s="34" t="str">
        <f>VLOOKUP(Tabla3[[#This Row],[Site]],Table35[#All],2,FALSE)</f>
        <v>-</v>
      </c>
      <c r="M536" s="34" t="str">
        <f>VLOOKUP(Tabla3[[#This Row],[Site]],Table35[#All],3,FALSE)</f>
        <v>37, 38</v>
      </c>
      <c r="N536" s="34" t="str">
        <f>VLOOKUP(Tabla3[[#This Row],[Site]],Table35[#All],4,FALSE)</f>
        <v>-</v>
      </c>
      <c r="O536" s="34" t="str">
        <f>VLOOKUP(Tabla3[[#This Row],[Site]],Table35[#All],5,FALSE)</f>
        <v>-</v>
      </c>
      <c r="P536" s="34" t="str">
        <f>VLOOKUP(Tabla3[[#This Row],[Site]],Table35[#All],6,FALSE)</f>
        <v>-</v>
      </c>
      <c r="Q536" s="34" t="str">
        <f>VLOOKUP(Tabla3[[#This Row],[Site]],Table35[#All],8,FALSE)</f>
        <v>355</v>
      </c>
      <c r="R536"/>
    </row>
    <row r="537" spans="1:18" hidden="1" x14ac:dyDescent="0.25">
      <c r="A537" t="str">
        <f>+Tabla3[[#This Row],[Site]]&amp;Tabla3[[#This Row],[Split]]</f>
        <v>(AS) Koons Tysons Toyota - UC Recon (NO TOURS)5</v>
      </c>
      <c r="B537">
        <v>5</v>
      </c>
      <c r="C537">
        <v>3</v>
      </c>
      <c r="D537" t="s">
        <v>452</v>
      </c>
      <c r="E537" t="str">
        <f>VLOOKUP(Tabla3[[#This Row],[Site]],Table35[],10,FALSE)</f>
        <v>9:00 P.M.</v>
      </c>
      <c r="F537" t="str">
        <f>VLOOKUP(Tabla3[[#This Row],[Site]],Table35[],11,FALSE)</f>
        <v>ET</v>
      </c>
      <c r="G537" t="str">
        <f>VLOOKUP(Tabla3[[#This Row],[Site]],Table35[],12,FALSE)</f>
        <v>5:00 A.M.</v>
      </c>
      <c r="H537" t="str">
        <f>VLOOKUP(Tabla3[[#This Row],[Site]],Table35[],13,FALSE)</f>
        <v>-</v>
      </c>
      <c r="I537" s="70" t="str">
        <f>HYPERLINK(VLOOKUP(Tabla3[[#This Row],[Site]],Table35[#All],9,FALSE))</f>
        <v>https://tools.sig.systems/site/details/355</v>
      </c>
      <c r="J537" t="str">
        <f>VLOOKUP(Tabla3[[#This Row],[Site]],Table35[],14,FALSE)</f>
        <v>-</v>
      </c>
      <c r="L537" s="34" t="str">
        <f>VLOOKUP(Tabla3[[#This Row],[Site]],Table35[#All],2,FALSE)</f>
        <v>-</v>
      </c>
      <c r="M537" s="34" t="str">
        <f>VLOOKUP(Tabla3[[#This Row],[Site]],Table35[#All],3,FALSE)</f>
        <v>37, 38</v>
      </c>
      <c r="N537" s="34" t="str">
        <f>VLOOKUP(Tabla3[[#This Row],[Site]],Table35[#All],4,FALSE)</f>
        <v>-</v>
      </c>
      <c r="O537" s="34" t="str">
        <f>VLOOKUP(Tabla3[[#This Row],[Site]],Table35[#All],5,FALSE)</f>
        <v>-</v>
      </c>
      <c r="P537" s="34" t="str">
        <f>VLOOKUP(Tabla3[[#This Row],[Site]],Table35[#All],6,FALSE)</f>
        <v>-</v>
      </c>
      <c r="Q537" s="34" t="str">
        <f>VLOOKUP(Tabla3[[#This Row],[Site]],Table35[#All],8,FALSE)</f>
        <v>355</v>
      </c>
      <c r="R537"/>
    </row>
    <row r="538" spans="1:18" hidden="1" x14ac:dyDescent="0.25">
      <c r="A538" t="str">
        <f>+Tabla3[[#This Row],[Site]]&amp;Tabla3[[#This Row],[Split]]</f>
        <v>(AS) Koons Tysons Toyota - UC Recon (NO TOURS)6</v>
      </c>
      <c r="B538">
        <v>6</v>
      </c>
      <c r="C538">
        <v>3</v>
      </c>
      <c r="D538" t="s">
        <v>452</v>
      </c>
      <c r="E538" t="str">
        <f>VLOOKUP(Tabla3[[#This Row],[Site]],Table35[],10,FALSE)</f>
        <v>9:00 P.M.</v>
      </c>
      <c r="F538" t="str">
        <f>VLOOKUP(Tabla3[[#This Row],[Site]],Table35[],11,FALSE)</f>
        <v>ET</v>
      </c>
      <c r="G538" t="str">
        <f>VLOOKUP(Tabla3[[#This Row],[Site]],Table35[],12,FALSE)</f>
        <v>5:00 A.M.</v>
      </c>
      <c r="H538" s="1" t="s">
        <v>96</v>
      </c>
      <c r="I538" s="70" t="str">
        <f>HYPERLINK(VLOOKUP(Tabla3[[#This Row],[Site]],Table35[#All],9,FALSE))</f>
        <v>https://tools.sig.systems/site/details/355</v>
      </c>
      <c r="J538" t="str">
        <f>VLOOKUP(Tabla3[[#This Row],[Site]],Table35[],14,FALSE)</f>
        <v>-</v>
      </c>
      <c r="L538" s="34" t="str">
        <f>VLOOKUP(Tabla3[[#This Row],[Site]],Table35[#All],2,FALSE)</f>
        <v>-</v>
      </c>
      <c r="M538" s="34" t="str">
        <f>VLOOKUP(Tabla3[[#This Row],[Site]],Table35[#All],3,FALSE)</f>
        <v>37, 38</v>
      </c>
      <c r="N538" s="34" t="str">
        <f>VLOOKUP(Tabla3[[#This Row],[Site]],Table35[#All],4,FALSE)</f>
        <v>-</v>
      </c>
      <c r="O538" s="34" t="str">
        <f>VLOOKUP(Tabla3[[#This Row],[Site]],Table35[#All],5,FALSE)</f>
        <v>-</v>
      </c>
      <c r="P538" s="34" t="str">
        <f>VLOOKUP(Tabla3[[#This Row],[Site]],Table35[#All],6,FALSE)</f>
        <v>-</v>
      </c>
      <c r="Q538" s="34" t="str">
        <f>VLOOKUP(Tabla3[[#This Row],[Site]],Table35[#All],8,FALSE)</f>
        <v>355</v>
      </c>
      <c r="R538"/>
    </row>
    <row r="539" spans="1:18" hidden="1" x14ac:dyDescent="0.25">
      <c r="A539" t="str">
        <f>+Tabla3[[#This Row],[Site]]&amp;Tabla3[[#This Row],[Split]]</f>
        <v>(AS) Koons Tysons Toyota - UC Recon (NO TOURS)7</v>
      </c>
      <c r="B539">
        <v>7</v>
      </c>
      <c r="C539">
        <v>3</v>
      </c>
      <c r="D539" t="s">
        <v>452</v>
      </c>
      <c r="E539" t="str">
        <f>VLOOKUP(Tabla3[[#This Row],[Site]],Table35[],10,FALSE)</f>
        <v>9:00 P.M.</v>
      </c>
      <c r="F539" t="str">
        <f>VLOOKUP(Tabla3[[#This Row],[Site]],Table35[],11,FALSE)</f>
        <v>ET</v>
      </c>
      <c r="G539" t="str">
        <f>VLOOKUP(Tabla3[[#This Row],[Site]],Table35[],12,FALSE)</f>
        <v>5:00 A.M.</v>
      </c>
      <c r="H539" s="1" t="s">
        <v>96</v>
      </c>
      <c r="I539" s="70" t="str">
        <f>HYPERLINK(VLOOKUP(Tabla3[[#This Row],[Site]],Table35[#All],9,FALSE))</f>
        <v>https://tools.sig.systems/site/details/355</v>
      </c>
      <c r="J539" t="str">
        <f>VLOOKUP(Tabla3[[#This Row],[Site]],Table35[],14,FALSE)</f>
        <v>-</v>
      </c>
      <c r="L539" s="34" t="str">
        <f>VLOOKUP(Tabla3[[#This Row],[Site]],Table35[#All],2,FALSE)</f>
        <v>-</v>
      </c>
      <c r="M539" s="34" t="str">
        <f>VLOOKUP(Tabla3[[#This Row],[Site]],Table35[#All],3,FALSE)</f>
        <v>37, 38</v>
      </c>
      <c r="N539" s="34" t="str">
        <f>VLOOKUP(Tabla3[[#This Row],[Site]],Table35[#All],4,FALSE)</f>
        <v>-</v>
      </c>
      <c r="O539" s="34" t="str">
        <f>VLOOKUP(Tabla3[[#This Row],[Site]],Table35[#All],5,FALSE)</f>
        <v>-</v>
      </c>
      <c r="P539" s="34" t="str">
        <f>VLOOKUP(Tabla3[[#This Row],[Site]],Table35[#All],6,FALSE)</f>
        <v>-</v>
      </c>
      <c r="Q539" s="34" t="str">
        <f>VLOOKUP(Tabla3[[#This Row],[Site]],Table35[#All],8,FALSE)</f>
        <v>355</v>
      </c>
      <c r="R539"/>
    </row>
    <row r="540" spans="1:18" hidden="1" x14ac:dyDescent="0.25">
      <c r="A540" t="str">
        <f>+Tabla3[[#This Row],[Site]]&amp;Tabla3[[#This Row],[Split]]</f>
        <v>(AS) Koons Tysons Toyota - UC Recon (NO TOURS)8</v>
      </c>
      <c r="B540">
        <v>8</v>
      </c>
      <c r="C540">
        <v>7</v>
      </c>
      <c r="D540" t="s">
        <v>452</v>
      </c>
      <c r="E540" t="str">
        <f>VLOOKUP(Tabla3[[#This Row],[Site]],Table35[],10,FALSE)</f>
        <v>9:00 P.M.</v>
      </c>
      <c r="F540" t="str">
        <f>VLOOKUP(Tabla3[[#This Row],[Site]],Table35[],11,FALSE)</f>
        <v>ET</v>
      </c>
      <c r="G540" t="str">
        <f>VLOOKUP(Tabla3[[#This Row],[Site]],Table35[],12,FALSE)</f>
        <v>5:00 A.M.</v>
      </c>
      <c r="H540" s="1" t="s">
        <v>68</v>
      </c>
      <c r="I540" s="70" t="str">
        <f>HYPERLINK(VLOOKUP(Tabla3[[#This Row],[Site]],Table35[#All],9,FALSE))</f>
        <v>https://tools.sig.systems/site/details/355</v>
      </c>
      <c r="J540" t="str">
        <f>VLOOKUP(Tabla3[[#This Row],[Site]],Table35[],14,FALSE)</f>
        <v>-</v>
      </c>
      <c r="L540" s="34" t="str">
        <f>VLOOKUP(Tabla3[[#This Row],[Site]],Table35[#All],2,FALSE)</f>
        <v>-</v>
      </c>
      <c r="M540" s="34" t="str">
        <f>VLOOKUP(Tabla3[[#This Row],[Site]],Table35[#All],3,FALSE)</f>
        <v>37, 38</v>
      </c>
      <c r="N540" s="34" t="str">
        <f>VLOOKUP(Tabla3[[#This Row],[Site]],Table35[#All],4,FALSE)</f>
        <v>-</v>
      </c>
      <c r="O540" s="34" t="str">
        <f>VLOOKUP(Tabla3[[#This Row],[Site]],Table35[#All],5,FALSE)</f>
        <v>-</v>
      </c>
      <c r="P540" s="34" t="str">
        <f>VLOOKUP(Tabla3[[#This Row],[Site]],Table35[#All],6,FALSE)</f>
        <v>-</v>
      </c>
      <c r="Q540" s="34" t="str">
        <f>VLOOKUP(Tabla3[[#This Row],[Site]],Table35[#All],8,FALSE)</f>
        <v>355</v>
      </c>
      <c r="R540"/>
    </row>
    <row r="541" spans="1:18" hidden="1" x14ac:dyDescent="0.25">
      <c r="A541" t="str">
        <f>+Tabla3[[#This Row],[Site]]&amp;Tabla3[[#This Row],[Split]]</f>
        <v>(AS) Koons Tysons Toyota - UC Recon (NO TOURS)9</v>
      </c>
      <c r="B541">
        <v>9</v>
      </c>
      <c r="C541">
        <v>3</v>
      </c>
      <c r="D541" t="s">
        <v>452</v>
      </c>
      <c r="E541" t="str">
        <f>VLOOKUP(Tabla3[[#This Row],[Site]],Table35[],10,FALSE)</f>
        <v>9:00 P.M.</v>
      </c>
      <c r="F541" t="str">
        <f>VLOOKUP(Tabla3[[#This Row],[Site]],Table35[],11,FALSE)</f>
        <v>ET</v>
      </c>
      <c r="G541" t="str">
        <f>VLOOKUP(Tabla3[[#This Row],[Site]],Table35[],12,FALSE)</f>
        <v>5:00 A.M.</v>
      </c>
      <c r="H541" s="1" t="s">
        <v>68</v>
      </c>
      <c r="I541" s="70" t="str">
        <f>HYPERLINK(VLOOKUP(Tabla3[[#This Row],[Site]],Table35[#All],9,FALSE))</f>
        <v>https://tools.sig.systems/site/details/355</v>
      </c>
      <c r="J541" t="str">
        <f>VLOOKUP(Tabla3[[#This Row],[Site]],Table35[],14,FALSE)</f>
        <v>-</v>
      </c>
      <c r="L541" s="34" t="str">
        <f>VLOOKUP(Tabla3[[#This Row],[Site]],Table35[#All],2,FALSE)</f>
        <v>-</v>
      </c>
      <c r="M541" s="34" t="str">
        <f>VLOOKUP(Tabla3[[#This Row],[Site]],Table35[#All],3,FALSE)</f>
        <v>37, 38</v>
      </c>
      <c r="N541" s="34" t="str">
        <f>VLOOKUP(Tabla3[[#This Row],[Site]],Table35[#All],4,FALSE)</f>
        <v>-</v>
      </c>
      <c r="O541" s="34" t="str">
        <f>VLOOKUP(Tabla3[[#This Row],[Site]],Table35[#All],5,FALSE)</f>
        <v>-</v>
      </c>
      <c r="P541" s="34" t="str">
        <f>VLOOKUP(Tabla3[[#This Row],[Site]],Table35[#All],6,FALSE)</f>
        <v>-</v>
      </c>
      <c r="Q541" s="34" t="str">
        <f>VLOOKUP(Tabla3[[#This Row],[Site]],Table35[#All],8,FALSE)</f>
        <v>355</v>
      </c>
      <c r="R541"/>
    </row>
    <row r="542" spans="1:18" hidden="1" x14ac:dyDescent="0.25">
      <c r="A542" t="str">
        <f>+Tabla3[[#This Row],[Site]]&amp;Tabla3[[#This Row],[Split]]</f>
        <v/>
      </c>
      <c r="E542" t="e">
        <f>VLOOKUP(Tabla3[[#This Row],[Site]],Table35[],10,FALSE)</f>
        <v>#N/A</v>
      </c>
      <c r="F542" t="e">
        <f>VLOOKUP(Tabla3[[#This Row],[Site]],Table35[],11,FALSE)</f>
        <v>#N/A</v>
      </c>
      <c r="G542" t="e">
        <f>VLOOKUP(Tabla3[[#This Row],[Site]],Table35[],12,FALSE)</f>
        <v>#N/A</v>
      </c>
      <c r="H542" s="1" t="s">
        <v>68</v>
      </c>
      <c r="I542" s="70" t="e">
        <f>HYPERLINK(VLOOKUP(Tabla3[[#This Row],[Site]],Table35[#All],9,FALSE))</f>
        <v>#N/A</v>
      </c>
      <c r="J542" t="e">
        <f>VLOOKUP(Tabla3[[#This Row],[Site]],Table35[],14,FALSE)</f>
        <v>#N/A</v>
      </c>
      <c r="L542" s="34" t="e">
        <f>VLOOKUP(Tabla3[[#This Row],[Site]],Table35[#All],2,FALSE)</f>
        <v>#N/A</v>
      </c>
      <c r="M542" s="34" t="e">
        <f>VLOOKUP(Tabla3[[#This Row],[Site]],Table35[#All],3,FALSE)</f>
        <v>#N/A</v>
      </c>
      <c r="N542" s="34" t="e">
        <f>VLOOKUP(Tabla3[[#This Row],[Site]],Table35[#All],4,FALSE)</f>
        <v>#N/A</v>
      </c>
      <c r="O542" s="34" t="e">
        <f>VLOOKUP(Tabla3[[#This Row],[Site]],Table35[#All],5,FALSE)</f>
        <v>#N/A</v>
      </c>
      <c r="P542" s="34" t="e">
        <f>VLOOKUP(Tabla3[[#This Row],[Site]],Table35[#All],6,FALSE)</f>
        <v>#N/A</v>
      </c>
      <c r="Q542" s="34" t="e">
        <f>VLOOKUP(Tabla3[[#This Row],[Site]],Table35[#All],8,FALSE)</f>
        <v>#N/A</v>
      </c>
      <c r="R542"/>
    </row>
    <row r="543" spans="1:18" hidden="1" x14ac:dyDescent="0.25">
      <c r="A543" t="str">
        <f>+Tabla3[[#This Row],[Site]]&amp;Tabla3[[#This Row],[Split]]</f>
        <v/>
      </c>
      <c r="E543" t="e">
        <f>VLOOKUP(Tabla3[[#This Row],[Site]],Table35[],10,FALSE)</f>
        <v>#N/A</v>
      </c>
      <c r="F543" t="e">
        <f>VLOOKUP(Tabla3[[#This Row],[Site]],Table35[],11,FALSE)</f>
        <v>#N/A</v>
      </c>
      <c r="G543" t="e">
        <f>VLOOKUP(Tabla3[[#This Row],[Site]],Table35[],12,FALSE)</f>
        <v>#N/A</v>
      </c>
      <c r="H543" s="1" t="s">
        <v>68</v>
      </c>
      <c r="I543" s="70" t="e">
        <f>HYPERLINK(VLOOKUP(Tabla3[[#This Row],[Site]],Table35[#All],9,FALSE))</f>
        <v>#N/A</v>
      </c>
      <c r="J543" t="e">
        <f>VLOOKUP(Tabla3[[#This Row],[Site]],Table35[],14,FALSE)</f>
        <v>#N/A</v>
      </c>
      <c r="L543" s="34" t="e">
        <f>VLOOKUP(Tabla3[[#This Row],[Site]],Table35[#All],2,FALSE)</f>
        <v>#N/A</v>
      </c>
      <c r="M543" s="34" t="e">
        <f>VLOOKUP(Tabla3[[#This Row],[Site]],Table35[#All],3,FALSE)</f>
        <v>#N/A</v>
      </c>
      <c r="N543" s="34" t="e">
        <f>VLOOKUP(Tabla3[[#This Row],[Site]],Table35[#All],4,FALSE)</f>
        <v>#N/A</v>
      </c>
      <c r="O543" s="34" t="e">
        <f>VLOOKUP(Tabla3[[#This Row],[Site]],Table35[#All],5,FALSE)</f>
        <v>#N/A</v>
      </c>
      <c r="P543" s="34" t="e">
        <f>VLOOKUP(Tabla3[[#This Row],[Site]],Table35[#All],6,FALSE)</f>
        <v>#N/A</v>
      </c>
      <c r="Q543" s="34" t="e">
        <f>VLOOKUP(Tabla3[[#This Row],[Site]],Table35[#All],8,FALSE)</f>
        <v>#N/A</v>
      </c>
      <c r="R543"/>
    </row>
    <row r="544" spans="1:18" hidden="1" x14ac:dyDescent="0.25">
      <c r="A544" t="str">
        <f>+Tabla3[[#This Row],[Site]]&amp;Tabla3[[#This Row],[Split]]</f>
        <v/>
      </c>
      <c r="E544" t="e">
        <f>VLOOKUP(Tabla3[[#This Row],[Site]],Table35[],10,FALSE)</f>
        <v>#N/A</v>
      </c>
      <c r="F544" t="e">
        <f>VLOOKUP(Tabla3[[#This Row],[Site]],Table35[],11,FALSE)</f>
        <v>#N/A</v>
      </c>
      <c r="G544" t="e">
        <f>VLOOKUP(Tabla3[[#This Row],[Site]],Table35[],12,FALSE)</f>
        <v>#N/A</v>
      </c>
      <c r="H544" s="1" t="s">
        <v>68</v>
      </c>
      <c r="I544" s="70" t="e">
        <f>HYPERLINK(VLOOKUP(Tabla3[[#This Row],[Site]],Table35[#All],9,FALSE))</f>
        <v>#N/A</v>
      </c>
      <c r="J544" t="e">
        <f>VLOOKUP(Tabla3[[#This Row],[Site]],Table35[],14,FALSE)</f>
        <v>#N/A</v>
      </c>
      <c r="L544" s="34" t="e">
        <f>VLOOKUP(Tabla3[[#This Row],[Site]],Table35[#All],2,FALSE)</f>
        <v>#N/A</v>
      </c>
      <c r="M544" s="34" t="e">
        <f>VLOOKUP(Tabla3[[#This Row],[Site]],Table35[#All],3,FALSE)</f>
        <v>#N/A</v>
      </c>
      <c r="N544" s="34" t="e">
        <f>VLOOKUP(Tabla3[[#This Row],[Site]],Table35[#All],4,FALSE)</f>
        <v>#N/A</v>
      </c>
      <c r="O544" s="34" t="e">
        <f>VLOOKUP(Tabla3[[#This Row],[Site]],Table35[#All],5,FALSE)</f>
        <v>#N/A</v>
      </c>
      <c r="P544" s="34" t="e">
        <f>VLOOKUP(Tabla3[[#This Row],[Site]],Table35[#All],6,FALSE)</f>
        <v>#N/A</v>
      </c>
      <c r="Q544" s="34" t="e">
        <f>VLOOKUP(Tabla3[[#This Row],[Site]],Table35[#All],8,FALSE)</f>
        <v>#N/A</v>
      </c>
      <c r="R544"/>
    </row>
    <row r="545" spans="1:18" hidden="1" x14ac:dyDescent="0.25">
      <c r="A545" t="str">
        <f>+Tabla3[[#This Row],[Site]]&amp;Tabla3[[#This Row],[Split]]</f>
        <v/>
      </c>
      <c r="E545" t="e">
        <f>VLOOKUP(Tabla3[[#This Row],[Site]],Table35[],10,FALSE)</f>
        <v>#N/A</v>
      </c>
      <c r="F545" t="e">
        <f>VLOOKUP(Tabla3[[#This Row],[Site]],Table35[],11,FALSE)</f>
        <v>#N/A</v>
      </c>
      <c r="G545" t="e">
        <f>VLOOKUP(Tabla3[[#This Row],[Site]],Table35[],12,FALSE)</f>
        <v>#N/A</v>
      </c>
      <c r="H545" s="1" t="s">
        <v>68</v>
      </c>
      <c r="I545" s="70" t="e">
        <f>HYPERLINK(VLOOKUP(Tabla3[[#This Row],[Site]],Table35[#All],9,FALSE))</f>
        <v>#N/A</v>
      </c>
      <c r="J545" t="e">
        <f>VLOOKUP(Tabla3[[#This Row],[Site]],Table35[],14,FALSE)</f>
        <v>#N/A</v>
      </c>
      <c r="L545" s="34" t="e">
        <f>VLOOKUP(Tabla3[[#This Row],[Site]],Table35[#All],2,FALSE)</f>
        <v>#N/A</v>
      </c>
      <c r="M545" s="34" t="e">
        <f>VLOOKUP(Tabla3[[#This Row],[Site]],Table35[#All],3,FALSE)</f>
        <v>#N/A</v>
      </c>
      <c r="N545" s="34" t="e">
        <f>VLOOKUP(Tabla3[[#This Row],[Site]],Table35[#All],4,FALSE)</f>
        <v>#N/A</v>
      </c>
      <c r="O545" s="34" t="e">
        <f>VLOOKUP(Tabla3[[#This Row],[Site]],Table35[#All],5,FALSE)</f>
        <v>#N/A</v>
      </c>
      <c r="P545" s="34" t="e">
        <f>VLOOKUP(Tabla3[[#This Row],[Site]],Table35[#All],6,FALSE)</f>
        <v>#N/A</v>
      </c>
      <c r="Q545" s="34" t="e">
        <f>VLOOKUP(Tabla3[[#This Row],[Site]],Table35[#All],8,FALSE)</f>
        <v>#N/A</v>
      </c>
      <c r="R545"/>
    </row>
    <row r="546" spans="1:18" hidden="1" x14ac:dyDescent="0.25">
      <c r="A546" t="str">
        <f>+Tabla3[[#This Row],[Site]]&amp;Tabla3[[#This Row],[Split]]</f>
        <v/>
      </c>
      <c r="E546" t="e">
        <f>VLOOKUP(Tabla3[[#This Row],[Site]],Table35[],10,FALSE)</f>
        <v>#N/A</v>
      </c>
      <c r="F546" t="e">
        <f>VLOOKUP(Tabla3[[#This Row],[Site]],Table35[],11,FALSE)</f>
        <v>#N/A</v>
      </c>
      <c r="G546" t="e">
        <f>VLOOKUP(Tabla3[[#This Row],[Site]],Table35[],12,FALSE)</f>
        <v>#N/A</v>
      </c>
      <c r="H546" s="1" t="s">
        <v>68</v>
      </c>
      <c r="I546" s="70" t="e">
        <f>HYPERLINK(VLOOKUP(Tabla3[[#This Row],[Site]],Table35[#All],9,FALSE))</f>
        <v>#N/A</v>
      </c>
      <c r="J546" t="e">
        <f>VLOOKUP(Tabla3[[#This Row],[Site]],Table35[],14,FALSE)</f>
        <v>#N/A</v>
      </c>
      <c r="L546" s="34" t="e">
        <f>VLOOKUP(Tabla3[[#This Row],[Site]],Table35[#All],2,FALSE)</f>
        <v>#N/A</v>
      </c>
      <c r="M546" s="34" t="e">
        <f>VLOOKUP(Tabla3[[#This Row],[Site]],Table35[#All],3,FALSE)</f>
        <v>#N/A</v>
      </c>
      <c r="N546" s="34" t="e">
        <f>VLOOKUP(Tabla3[[#This Row],[Site]],Table35[#All],4,FALSE)</f>
        <v>#N/A</v>
      </c>
      <c r="O546" s="34" t="e">
        <f>VLOOKUP(Tabla3[[#This Row],[Site]],Table35[#All],5,FALSE)</f>
        <v>#N/A</v>
      </c>
      <c r="P546" s="34" t="e">
        <f>VLOOKUP(Tabla3[[#This Row],[Site]],Table35[#All],6,FALSE)</f>
        <v>#N/A</v>
      </c>
      <c r="Q546" s="34" t="e">
        <f>VLOOKUP(Tabla3[[#This Row],[Site]],Table35[#All],8,FALSE)</f>
        <v>#N/A</v>
      </c>
      <c r="R546"/>
    </row>
    <row r="547" spans="1:18" hidden="1" x14ac:dyDescent="0.25">
      <c r="A547" t="str">
        <f>+Tabla3[[#This Row],[Site]]&amp;Tabla3[[#This Row],[Split]]</f>
        <v/>
      </c>
      <c r="E547" t="e">
        <f>VLOOKUP(Tabla3[[#This Row],[Site]],Table35[],10,FALSE)</f>
        <v>#N/A</v>
      </c>
      <c r="F547" t="e">
        <f>VLOOKUP(Tabla3[[#This Row],[Site]],Table35[],11,FALSE)</f>
        <v>#N/A</v>
      </c>
      <c r="G547" t="e">
        <f>VLOOKUP(Tabla3[[#This Row],[Site]],Table35[],12,FALSE)</f>
        <v>#N/A</v>
      </c>
      <c r="H547" s="1" t="s">
        <v>68</v>
      </c>
      <c r="I547" s="70" t="e">
        <f>HYPERLINK(VLOOKUP(Tabla3[[#This Row],[Site]],Table35[#All],9,FALSE))</f>
        <v>#N/A</v>
      </c>
      <c r="J547" t="e">
        <f>VLOOKUP(Tabla3[[#This Row],[Site]],Table35[],14,FALSE)</f>
        <v>#N/A</v>
      </c>
      <c r="L547" s="34" t="e">
        <f>VLOOKUP(Tabla3[[#This Row],[Site]],Table35[#All],2,FALSE)</f>
        <v>#N/A</v>
      </c>
      <c r="M547" s="34" t="e">
        <f>VLOOKUP(Tabla3[[#This Row],[Site]],Table35[#All],3,FALSE)</f>
        <v>#N/A</v>
      </c>
      <c r="N547" s="34" t="e">
        <f>VLOOKUP(Tabla3[[#This Row],[Site]],Table35[#All],4,FALSE)</f>
        <v>#N/A</v>
      </c>
      <c r="O547" s="34" t="e">
        <f>VLOOKUP(Tabla3[[#This Row],[Site]],Table35[#All],5,FALSE)</f>
        <v>#N/A</v>
      </c>
      <c r="P547" s="34" t="e">
        <f>VLOOKUP(Tabla3[[#This Row],[Site]],Table35[#All],6,FALSE)</f>
        <v>#N/A</v>
      </c>
      <c r="Q547" s="34" t="e">
        <f>VLOOKUP(Tabla3[[#This Row],[Site]],Table35[#All],8,FALSE)</f>
        <v>#N/A</v>
      </c>
      <c r="R547"/>
    </row>
    <row r="548" spans="1:18" hidden="1" x14ac:dyDescent="0.25">
      <c r="A548" t="str">
        <f>+Tabla3[[#This Row],[Site]]&amp;Tabla3[[#This Row],[Split]]</f>
        <v/>
      </c>
      <c r="E548" t="e">
        <f>VLOOKUP(Tabla3[[#This Row],[Site]],Table35[],10,FALSE)</f>
        <v>#N/A</v>
      </c>
      <c r="F548" t="e">
        <f>VLOOKUP(Tabla3[[#This Row],[Site]],Table35[],11,FALSE)</f>
        <v>#N/A</v>
      </c>
      <c r="G548" t="e">
        <f>VLOOKUP(Tabla3[[#This Row],[Site]],Table35[],12,FALSE)</f>
        <v>#N/A</v>
      </c>
      <c r="H548" s="1" t="s">
        <v>68</v>
      </c>
      <c r="I548" s="70" t="e">
        <f>HYPERLINK(VLOOKUP(Tabla3[[#This Row],[Site]],Table35[#All],9,FALSE))</f>
        <v>#N/A</v>
      </c>
      <c r="J548" t="e">
        <f>VLOOKUP(Tabla3[[#This Row],[Site]],Table35[],14,FALSE)</f>
        <v>#N/A</v>
      </c>
      <c r="L548" s="34" t="e">
        <f>VLOOKUP(Tabla3[[#This Row],[Site]],Table35[#All],2,FALSE)</f>
        <v>#N/A</v>
      </c>
      <c r="M548" s="34" t="e">
        <f>VLOOKUP(Tabla3[[#This Row],[Site]],Table35[#All],3,FALSE)</f>
        <v>#N/A</v>
      </c>
      <c r="N548" s="34" t="e">
        <f>VLOOKUP(Tabla3[[#This Row],[Site]],Table35[#All],4,FALSE)</f>
        <v>#N/A</v>
      </c>
      <c r="O548" s="34" t="e">
        <f>VLOOKUP(Tabla3[[#This Row],[Site]],Table35[#All],5,FALSE)</f>
        <v>#N/A</v>
      </c>
      <c r="P548" s="34" t="e">
        <f>VLOOKUP(Tabla3[[#This Row],[Site]],Table35[#All],6,FALSE)</f>
        <v>#N/A</v>
      </c>
      <c r="Q548" s="34" t="e">
        <f>VLOOKUP(Tabla3[[#This Row],[Site]],Table35[#All],8,FALSE)</f>
        <v>#N/A</v>
      </c>
      <c r="R548"/>
    </row>
    <row r="549" spans="1:18" hidden="1" x14ac:dyDescent="0.25">
      <c r="A549" t="str">
        <f>+Tabla3[[#This Row],[Site]]&amp;Tabla3[[#This Row],[Split]]</f>
        <v/>
      </c>
      <c r="E549" t="e">
        <f>VLOOKUP(Tabla3[[#This Row],[Site]],Table35[],10,FALSE)</f>
        <v>#N/A</v>
      </c>
      <c r="F549" t="e">
        <f>VLOOKUP(Tabla3[[#This Row],[Site]],Table35[],11,FALSE)</f>
        <v>#N/A</v>
      </c>
      <c r="G549" t="e">
        <f>VLOOKUP(Tabla3[[#This Row],[Site]],Table35[],12,FALSE)</f>
        <v>#N/A</v>
      </c>
      <c r="H549" s="1" t="s">
        <v>68</v>
      </c>
      <c r="I549" s="70" t="e">
        <f>HYPERLINK(VLOOKUP(Tabla3[[#This Row],[Site]],Table35[#All],9,FALSE))</f>
        <v>#N/A</v>
      </c>
      <c r="J549" t="e">
        <f>VLOOKUP(Tabla3[[#This Row],[Site]],Table35[],14,FALSE)</f>
        <v>#N/A</v>
      </c>
      <c r="L549" s="34" t="e">
        <f>VLOOKUP(Tabla3[[#This Row],[Site]],Table35[#All],2,FALSE)</f>
        <v>#N/A</v>
      </c>
      <c r="M549" s="34" t="e">
        <f>VLOOKUP(Tabla3[[#This Row],[Site]],Table35[#All],3,FALSE)</f>
        <v>#N/A</v>
      </c>
      <c r="N549" s="34" t="e">
        <f>VLOOKUP(Tabla3[[#This Row],[Site]],Table35[#All],4,FALSE)</f>
        <v>#N/A</v>
      </c>
      <c r="O549" s="34" t="e">
        <f>VLOOKUP(Tabla3[[#This Row],[Site]],Table35[#All],5,FALSE)</f>
        <v>#N/A</v>
      </c>
      <c r="P549" s="34" t="e">
        <f>VLOOKUP(Tabla3[[#This Row],[Site]],Table35[#All],6,FALSE)</f>
        <v>#N/A</v>
      </c>
      <c r="Q549" s="34" t="e">
        <f>VLOOKUP(Tabla3[[#This Row],[Site]],Table35[#All],8,FALSE)</f>
        <v>#N/A</v>
      </c>
      <c r="R549"/>
    </row>
    <row r="550" spans="1:18" hidden="1" x14ac:dyDescent="0.25">
      <c r="A550" t="str">
        <f>+Tabla3[[#This Row],[Site]]&amp;Tabla3[[#This Row],[Split]]</f>
        <v/>
      </c>
      <c r="E550" t="e">
        <f>VLOOKUP(Tabla3[[#This Row],[Site]],Table35[],10,FALSE)</f>
        <v>#N/A</v>
      </c>
      <c r="F550" t="e">
        <f>VLOOKUP(Tabla3[[#This Row],[Site]],Table35[],11,FALSE)</f>
        <v>#N/A</v>
      </c>
      <c r="G550" t="e">
        <f>VLOOKUP(Tabla3[[#This Row],[Site]],Table35[],12,FALSE)</f>
        <v>#N/A</v>
      </c>
      <c r="H550" s="1" t="s">
        <v>68</v>
      </c>
      <c r="I550" s="70" t="e">
        <f>HYPERLINK(VLOOKUP(Tabla3[[#This Row],[Site]],Table35[#All],9,FALSE))</f>
        <v>#N/A</v>
      </c>
      <c r="J550" t="e">
        <f>VLOOKUP(Tabla3[[#This Row],[Site]],Table35[],14,FALSE)</f>
        <v>#N/A</v>
      </c>
      <c r="L550" s="34" t="e">
        <f>VLOOKUP(Tabla3[[#This Row],[Site]],Table35[#All],2,FALSE)</f>
        <v>#N/A</v>
      </c>
      <c r="M550" s="34" t="e">
        <f>VLOOKUP(Tabla3[[#This Row],[Site]],Table35[#All],3,FALSE)</f>
        <v>#N/A</v>
      </c>
      <c r="N550" s="34" t="e">
        <f>VLOOKUP(Tabla3[[#This Row],[Site]],Table35[#All],4,FALSE)</f>
        <v>#N/A</v>
      </c>
      <c r="O550" s="34" t="e">
        <f>VLOOKUP(Tabla3[[#This Row],[Site]],Table35[#All],5,FALSE)</f>
        <v>#N/A</v>
      </c>
      <c r="P550" s="34" t="e">
        <f>VLOOKUP(Tabla3[[#This Row],[Site]],Table35[#All],6,FALSE)</f>
        <v>#N/A</v>
      </c>
      <c r="Q550" s="34" t="e">
        <f>VLOOKUP(Tabla3[[#This Row],[Site]],Table35[#All],8,FALSE)</f>
        <v>#N/A</v>
      </c>
      <c r="R550"/>
    </row>
    <row r="551" spans="1:18" hidden="1" x14ac:dyDescent="0.25">
      <c r="A551" t="str">
        <f>+Tabla3[[#This Row],[Site]]&amp;Tabla3[[#This Row],[Split]]</f>
        <v/>
      </c>
      <c r="E551" t="e">
        <f>VLOOKUP(Tabla3[[#This Row],[Site]],Table35[],10,FALSE)</f>
        <v>#N/A</v>
      </c>
      <c r="F551" t="e">
        <f>VLOOKUP(Tabla3[[#This Row],[Site]],Table35[],11,FALSE)</f>
        <v>#N/A</v>
      </c>
      <c r="G551" t="e">
        <f>VLOOKUP(Tabla3[[#This Row],[Site]],Table35[],12,FALSE)</f>
        <v>#N/A</v>
      </c>
      <c r="H551" s="1" t="s">
        <v>68</v>
      </c>
      <c r="I551" s="70" t="e">
        <f>HYPERLINK(VLOOKUP(Tabla3[[#This Row],[Site]],Table35[#All],9,FALSE))</f>
        <v>#N/A</v>
      </c>
      <c r="J551" t="e">
        <f>VLOOKUP(Tabla3[[#This Row],[Site]],Table35[],14,FALSE)</f>
        <v>#N/A</v>
      </c>
      <c r="L551" s="34" t="e">
        <f>VLOOKUP(Tabla3[[#This Row],[Site]],Table35[#All],2,FALSE)</f>
        <v>#N/A</v>
      </c>
      <c r="M551" s="34" t="e">
        <f>VLOOKUP(Tabla3[[#This Row],[Site]],Table35[#All],3,FALSE)</f>
        <v>#N/A</v>
      </c>
      <c r="N551" s="34" t="e">
        <f>VLOOKUP(Tabla3[[#This Row],[Site]],Table35[#All],4,FALSE)</f>
        <v>#N/A</v>
      </c>
      <c r="O551" s="34" t="e">
        <f>VLOOKUP(Tabla3[[#This Row],[Site]],Table35[#All],5,FALSE)</f>
        <v>#N/A</v>
      </c>
      <c r="P551" s="34" t="e">
        <f>VLOOKUP(Tabla3[[#This Row],[Site]],Table35[#All],6,FALSE)</f>
        <v>#N/A</v>
      </c>
      <c r="Q551" s="34" t="e">
        <f>VLOOKUP(Tabla3[[#This Row],[Site]],Table35[#All],8,FALSE)</f>
        <v>#N/A</v>
      </c>
      <c r="R551"/>
    </row>
    <row r="552" spans="1:18" hidden="1" x14ac:dyDescent="0.25">
      <c r="A552" t="str">
        <f>+Tabla3[[#This Row],[Site]]&amp;Tabla3[[#This Row],[Split]]</f>
        <v/>
      </c>
      <c r="E552" t="e">
        <f>VLOOKUP(Tabla3[[#This Row],[Site]],Table35[],10,FALSE)</f>
        <v>#N/A</v>
      </c>
      <c r="F552" t="e">
        <f>VLOOKUP(Tabla3[[#This Row],[Site]],Table35[],11,FALSE)</f>
        <v>#N/A</v>
      </c>
      <c r="G552" t="e">
        <f>VLOOKUP(Tabla3[[#This Row],[Site]],Table35[],12,FALSE)</f>
        <v>#N/A</v>
      </c>
      <c r="H552" s="1" t="s">
        <v>68</v>
      </c>
      <c r="I552" s="70" t="e">
        <f>HYPERLINK(VLOOKUP(Tabla3[[#This Row],[Site]],Table35[#All],9,FALSE))</f>
        <v>#N/A</v>
      </c>
      <c r="J552" t="e">
        <f>VLOOKUP(Tabla3[[#This Row],[Site]],Table35[],14,FALSE)</f>
        <v>#N/A</v>
      </c>
      <c r="L552" s="34" t="e">
        <f>VLOOKUP(Tabla3[[#This Row],[Site]],Table35[#All],2,FALSE)</f>
        <v>#N/A</v>
      </c>
      <c r="M552" s="34" t="e">
        <f>VLOOKUP(Tabla3[[#This Row],[Site]],Table35[#All],3,FALSE)</f>
        <v>#N/A</v>
      </c>
      <c r="N552" s="34" t="e">
        <f>VLOOKUP(Tabla3[[#This Row],[Site]],Table35[#All],4,FALSE)</f>
        <v>#N/A</v>
      </c>
      <c r="O552" s="34" t="e">
        <f>VLOOKUP(Tabla3[[#This Row],[Site]],Table35[#All],5,FALSE)</f>
        <v>#N/A</v>
      </c>
      <c r="P552" s="34" t="e">
        <f>VLOOKUP(Tabla3[[#This Row],[Site]],Table35[#All],6,FALSE)</f>
        <v>#N/A</v>
      </c>
      <c r="Q552" s="34" t="e">
        <f>VLOOKUP(Tabla3[[#This Row],[Site]],Table35[#All],8,FALSE)</f>
        <v>#N/A</v>
      </c>
      <c r="R552"/>
    </row>
    <row r="553" spans="1:18" hidden="1" x14ac:dyDescent="0.25">
      <c r="A553" t="str">
        <f>+Tabla3[[#This Row],[Site]]&amp;Tabla3[[#This Row],[Split]]</f>
        <v/>
      </c>
      <c r="E553" t="e">
        <f>VLOOKUP(Tabla3[[#This Row],[Site]],Table35[],10,FALSE)</f>
        <v>#N/A</v>
      </c>
      <c r="F553" t="e">
        <f>VLOOKUP(Tabla3[[#This Row],[Site]],Table35[],11,FALSE)</f>
        <v>#N/A</v>
      </c>
      <c r="G553" t="e">
        <f>VLOOKUP(Tabla3[[#This Row],[Site]],Table35[],12,FALSE)</f>
        <v>#N/A</v>
      </c>
      <c r="H553" s="1" t="s">
        <v>68</v>
      </c>
      <c r="I553" s="70" t="e">
        <f>HYPERLINK(VLOOKUP(Tabla3[[#This Row],[Site]],Table35[#All],9,FALSE))</f>
        <v>#N/A</v>
      </c>
      <c r="J553" t="e">
        <f>VLOOKUP(Tabla3[[#This Row],[Site]],Table35[],14,FALSE)</f>
        <v>#N/A</v>
      </c>
      <c r="L553" s="34" t="e">
        <f>VLOOKUP(Tabla3[[#This Row],[Site]],Table35[#All],2,FALSE)</f>
        <v>#N/A</v>
      </c>
      <c r="M553" s="34" t="e">
        <f>VLOOKUP(Tabla3[[#This Row],[Site]],Table35[#All],3,FALSE)</f>
        <v>#N/A</v>
      </c>
      <c r="N553" s="34" t="e">
        <f>VLOOKUP(Tabla3[[#This Row],[Site]],Table35[#All],4,FALSE)</f>
        <v>#N/A</v>
      </c>
      <c r="O553" s="34" t="e">
        <f>VLOOKUP(Tabla3[[#This Row],[Site]],Table35[#All],5,FALSE)</f>
        <v>#N/A</v>
      </c>
      <c r="P553" s="34" t="e">
        <f>VLOOKUP(Tabla3[[#This Row],[Site]],Table35[#All],6,FALSE)</f>
        <v>#N/A</v>
      </c>
      <c r="Q553" s="34" t="e">
        <f>VLOOKUP(Tabla3[[#This Row],[Site]],Table35[#All],8,FALSE)</f>
        <v>#N/A</v>
      </c>
      <c r="R553"/>
    </row>
    <row r="554" spans="1:18" hidden="1" x14ac:dyDescent="0.25">
      <c r="A554" t="str">
        <f>+Tabla3[[#This Row],[Site]]&amp;Tabla3[[#This Row],[Split]]</f>
        <v/>
      </c>
      <c r="E554" t="e">
        <f>VLOOKUP(Tabla3[[#This Row],[Site]],Table35[],10,FALSE)</f>
        <v>#N/A</v>
      </c>
      <c r="F554" t="e">
        <f>VLOOKUP(Tabla3[[#This Row],[Site]],Table35[],11,FALSE)</f>
        <v>#N/A</v>
      </c>
      <c r="G554" t="e">
        <f>VLOOKUP(Tabla3[[#This Row],[Site]],Table35[],12,FALSE)</f>
        <v>#N/A</v>
      </c>
      <c r="H554" s="1" t="s">
        <v>68</v>
      </c>
      <c r="I554" s="70" t="e">
        <f>HYPERLINK(VLOOKUP(Tabla3[[#This Row],[Site]],Table35[#All],9,FALSE))</f>
        <v>#N/A</v>
      </c>
      <c r="J554" t="e">
        <f>VLOOKUP(Tabla3[[#This Row],[Site]],Table35[],14,FALSE)</f>
        <v>#N/A</v>
      </c>
      <c r="L554" s="34" t="e">
        <f>VLOOKUP(Tabla3[[#This Row],[Site]],Table35[#All],2,FALSE)</f>
        <v>#N/A</v>
      </c>
      <c r="M554" s="34" t="e">
        <f>VLOOKUP(Tabla3[[#This Row],[Site]],Table35[#All],3,FALSE)</f>
        <v>#N/A</v>
      </c>
      <c r="N554" s="34" t="e">
        <f>VLOOKUP(Tabla3[[#This Row],[Site]],Table35[#All],4,FALSE)</f>
        <v>#N/A</v>
      </c>
      <c r="O554" s="34" t="e">
        <f>VLOOKUP(Tabla3[[#This Row],[Site]],Table35[#All],5,FALSE)</f>
        <v>#N/A</v>
      </c>
      <c r="P554" s="34" t="e">
        <f>VLOOKUP(Tabla3[[#This Row],[Site]],Table35[#All],6,FALSE)</f>
        <v>#N/A</v>
      </c>
      <c r="Q554" s="34" t="e">
        <f>VLOOKUP(Tabla3[[#This Row],[Site]],Table35[#All],8,FALSE)</f>
        <v>#N/A</v>
      </c>
      <c r="R554"/>
    </row>
    <row r="555" spans="1:18" hidden="1" x14ac:dyDescent="0.25">
      <c r="A555" t="str">
        <f>+Tabla3[[#This Row],[Site]]&amp;Tabla3[[#This Row],[Split]]</f>
        <v/>
      </c>
      <c r="E555" t="e">
        <f>VLOOKUP(Tabla3[[#This Row],[Site]],Table35[],10,FALSE)</f>
        <v>#N/A</v>
      </c>
      <c r="F555" t="e">
        <f>VLOOKUP(Tabla3[[#This Row],[Site]],Table35[],11,FALSE)</f>
        <v>#N/A</v>
      </c>
      <c r="G555" t="e">
        <f>VLOOKUP(Tabla3[[#This Row],[Site]],Table35[],12,FALSE)</f>
        <v>#N/A</v>
      </c>
      <c r="H555" s="1" t="s">
        <v>68</v>
      </c>
      <c r="I555" s="70" t="e">
        <f>HYPERLINK(VLOOKUP(Tabla3[[#This Row],[Site]],Table35[#All],9,FALSE))</f>
        <v>#N/A</v>
      </c>
      <c r="J555" t="e">
        <f>VLOOKUP(Tabla3[[#This Row],[Site]],Table35[],14,FALSE)</f>
        <v>#N/A</v>
      </c>
      <c r="L555" s="34" t="e">
        <f>VLOOKUP(Tabla3[[#This Row],[Site]],Table35[#All],2,FALSE)</f>
        <v>#N/A</v>
      </c>
      <c r="M555" s="34" t="e">
        <f>VLOOKUP(Tabla3[[#This Row],[Site]],Table35[#All],3,FALSE)</f>
        <v>#N/A</v>
      </c>
      <c r="N555" s="34" t="e">
        <f>VLOOKUP(Tabla3[[#This Row],[Site]],Table35[#All],4,FALSE)</f>
        <v>#N/A</v>
      </c>
      <c r="O555" s="34" t="e">
        <f>VLOOKUP(Tabla3[[#This Row],[Site]],Table35[#All],5,FALSE)</f>
        <v>#N/A</v>
      </c>
      <c r="P555" s="34" t="e">
        <f>VLOOKUP(Tabla3[[#This Row],[Site]],Table35[#All],6,FALSE)</f>
        <v>#N/A</v>
      </c>
      <c r="Q555" s="34" t="e">
        <f>VLOOKUP(Tabla3[[#This Row],[Site]],Table35[#All],8,FALSE)</f>
        <v>#N/A</v>
      </c>
      <c r="R555"/>
    </row>
    <row r="556" spans="1:18" hidden="1" x14ac:dyDescent="0.25">
      <c r="A556" t="str">
        <f>+Tabla3[[#This Row],[Site]]&amp;Tabla3[[#This Row],[Split]]</f>
        <v/>
      </c>
      <c r="E556" t="e">
        <f>VLOOKUP(Tabla3[[#This Row],[Site]],Table35[],10,FALSE)</f>
        <v>#N/A</v>
      </c>
      <c r="F556" t="e">
        <f>VLOOKUP(Tabla3[[#This Row],[Site]],Table35[],11,FALSE)</f>
        <v>#N/A</v>
      </c>
      <c r="G556" t="e">
        <f>VLOOKUP(Tabla3[[#This Row],[Site]],Table35[],12,FALSE)</f>
        <v>#N/A</v>
      </c>
      <c r="H556" s="1" t="s">
        <v>68</v>
      </c>
      <c r="I556" s="70" t="e">
        <f>HYPERLINK(VLOOKUP(Tabla3[[#This Row],[Site]],Table35[#All],9,FALSE))</f>
        <v>#N/A</v>
      </c>
      <c r="J556" t="e">
        <f>VLOOKUP(Tabla3[[#This Row],[Site]],Table35[],14,FALSE)</f>
        <v>#N/A</v>
      </c>
      <c r="L556" s="34" t="e">
        <f>VLOOKUP(Tabla3[[#This Row],[Site]],Table35[#All],2,FALSE)</f>
        <v>#N/A</v>
      </c>
      <c r="M556" s="34" t="e">
        <f>VLOOKUP(Tabla3[[#This Row],[Site]],Table35[#All],3,FALSE)</f>
        <v>#N/A</v>
      </c>
      <c r="N556" s="34" t="e">
        <f>VLOOKUP(Tabla3[[#This Row],[Site]],Table35[#All],4,FALSE)</f>
        <v>#N/A</v>
      </c>
      <c r="O556" s="34" t="e">
        <f>VLOOKUP(Tabla3[[#This Row],[Site]],Table35[#All],5,FALSE)</f>
        <v>#N/A</v>
      </c>
      <c r="P556" s="34" t="e">
        <f>VLOOKUP(Tabla3[[#This Row],[Site]],Table35[#All],6,FALSE)</f>
        <v>#N/A</v>
      </c>
      <c r="Q556" s="34" t="e">
        <f>VLOOKUP(Tabla3[[#This Row],[Site]],Table35[#All],8,FALSE)</f>
        <v>#N/A</v>
      </c>
      <c r="R556"/>
    </row>
    <row r="557" spans="1:18" hidden="1" x14ac:dyDescent="0.25">
      <c r="A557" t="str">
        <f>+Tabla3[[#This Row],[Site]]&amp;Tabla3[[#This Row],[Split]]</f>
        <v/>
      </c>
      <c r="E557" t="e">
        <f>VLOOKUP(Tabla3[[#This Row],[Site]],Table35[],10,FALSE)</f>
        <v>#N/A</v>
      </c>
      <c r="F557" t="e">
        <f>VLOOKUP(Tabla3[[#This Row],[Site]],Table35[],11,FALSE)</f>
        <v>#N/A</v>
      </c>
      <c r="G557" t="e">
        <f>VLOOKUP(Tabla3[[#This Row],[Site]],Table35[],12,FALSE)</f>
        <v>#N/A</v>
      </c>
      <c r="H557" s="1" t="s">
        <v>68</v>
      </c>
      <c r="I557" s="70" t="e">
        <f>HYPERLINK(VLOOKUP(Tabla3[[#This Row],[Site]],Table35[#All],9,FALSE))</f>
        <v>#N/A</v>
      </c>
      <c r="J557" t="e">
        <f>VLOOKUP(Tabla3[[#This Row],[Site]],Table35[],14,FALSE)</f>
        <v>#N/A</v>
      </c>
      <c r="L557" s="34" t="e">
        <f>VLOOKUP(Tabla3[[#This Row],[Site]],Table35[#All],2,FALSE)</f>
        <v>#N/A</v>
      </c>
      <c r="M557" s="34" t="e">
        <f>VLOOKUP(Tabla3[[#This Row],[Site]],Table35[#All],3,FALSE)</f>
        <v>#N/A</v>
      </c>
      <c r="N557" s="34" t="e">
        <f>VLOOKUP(Tabla3[[#This Row],[Site]],Table35[#All],4,FALSE)</f>
        <v>#N/A</v>
      </c>
      <c r="O557" s="34" t="e">
        <f>VLOOKUP(Tabla3[[#This Row],[Site]],Table35[#All],5,FALSE)</f>
        <v>#N/A</v>
      </c>
      <c r="P557" s="34" t="e">
        <f>VLOOKUP(Tabla3[[#This Row],[Site]],Table35[#All],6,FALSE)</f>
        <v>#N/A</v>
      </c>
      <c r="Q557" s="34" t="e">
        <f>VLOOKUP(Tabla3[[#This Row],[Site]],Table35[#All],8,FALSE)</f>
        <v>#N/A</v>
      </c>
      <c r="R557"/>
    </row>
    <row r="558" spans="1:18" hidden="1" x14ac:dyDescent="0.25">
      <c r="A558" t="str">
        <f>+Tabla3[[#This Row],[Site]]&amp;Tabla3[[#This Row],[Split]]</f>
        <v/>
      </c>
      <c r="E558" t="e">
        <f>VLOOKUP(Tabla3[[#This Row],[Site]],Table35[],10,FALSE)</f>
        <v>#N/A</v>
      </c>
      <c r="F558" t="e">
        <f>VLOOKUP(Tabla3[[#This Row],[Site]],Table35[],11,FALSE)</f>
        <v>#N/A</v>
      </c>
      <c r="G558" t="e">
        <f>VLOOKUP(Tabla3[[#This Row],[Site]],Table35[],12,FALSE)</f>
        <v>#N/A</v>
      </c>
      <c r="H558" s="1" t="s">
        <v>68</v>
      </c>
      <c r="I558" s="70" t="e">
        <f>HYPERLINK(VLOOKUP(Tabla3[[#This Row],[Site]],Table35[#All],9,FALSE))</f>
        <v>#N/A</v>
      </c>
      <c r="J558" t="e">
        <f>VLOOKUP(Tabla3[[#This Row],[Site]],Table35[],14,FALSE)</f>
        <v>#N/A</v>
      </c>
      <c r="L558" s="34" t="e">
        <f>VLOOKUP(Tabla3[[#This Row],[Site]],Table35[#All],2,FALSE)</f>
        <v>#N/A</v>
      </c>
      <c r="M558" s="34" t="e">
        <f>VLOOKUP(Tabla3[[#This Row],[Site]],Table35[#All],3,FALSE)</f>
        <v>#N/A</v>
      </c>
      <c r="N558" s="34" t="e">
        <f>VLOOKUP(Tabla3[[#This Row],[Site]],Table35[#All],4,FALSE)</f>
        <v>#N/A</v>
      </c>
      <c r="O558" s="34" t="e">
        <f>VLOOKUP(Tabla3[[#This Row],[Site]],Table35[#All],5,FALSE)</f>
        <v>#N/A</v>
      </c>
      <c r="P558" s="34" t="e">
        <f>VLOOKUP(Tabla3[[#This Row],[Site]],Table35[#All],6,FALSE)</f>
        <v>#N/A</v>
      </c>
      <c r="Q558" s="34" t="e">
        <f>VLOOKUP(Tabla3[[#This Row],[Site]],Table35[#All],8,FALSE)</f>
        <v>#N/A</v>
      </c>
      <c r="R558"/>
    </row>
    <row r="559" spans="1:18" hidden="1" x14ac:dyDescent="0.25">
      <c r="A559" t="str">
        <f>+Tabla3[[#This Row],[Site]]&amp;Tabla3[[#This Row],[Split]]</f>
        <v/>
      </c>
      <c r="E559" t="e">
        <f>VLOOKUP(Tabla3[[#This Row],[Site]],Table35[],10,FALSE)</f>
        <v>#N/A</v>
      </c>
      <c r="F559" t="e">
        <f>VLOOKUP(Tabla3[[#This Row],[Site]],Table35[],11,FALSE)</f>
        <v>#N/A</v>
      </c>
      <c r="G559" t="e">
        <f>VLOOKUP(Tabla3[[#This Row],[Site]],Table35[],12,FALSE)</f>
        <v>#N/A</v>
      </c>
      <c r="H559" s="1" t="s">
        <v>68</v>
      </c>
      <c r="I559" s="70" t="e">
        <f>HYPERLINK(VLOOKUP(Tabla3[[#This Row],[Site]],Table35[#All],9,FALSE))</f>
        <v>#N/A</v>
      </c>
      <c r="J559" t="e">
        <f>VLOOKUP(Tabla3[[#This Row],[Site]],Table35[],14,FALSE)</f>
        <v>#N/A</v>
      </c>
      <c r="L559" s="34" t="e">
        <f>VLOOKUP(Tabla3[[#This Row],[Site]],Table35[#All],2,FALSE)</f>
        <v>#N/A</v>
      </c>
      <c r="M559" s="34" t="e">
        <f>VLOOKUP(Tabla3[[#This Row],[Site]],Table35[#All],3,FALSE)</f>
        <v>#N/A</v>
      </c>
      <c r="N559" s="34" t="e">
        <f>VLOOKUP(Tabla3[[#This Row],[Site]],Table35[#All],4,FALSE)</f>
        <v>#N/A</v>
      </c>
      <c r="O559" s="34" t="e">
        <f>VLOOKUP(Tabla3[[#This Row],[Site]],Table35[#All],5,FALSE)</f>
        <v>#N/A</v>
      </c>
      <c r="P559" s="34" t="e">
        <f>VLOOKUP(Tabla3[[#This Row],[Site]],Table35[#All],6,FALSE)</f>
        <v>#N/A</v>
      </c>
      <c r="Q559" s="34" t="e">
        <f>VLOOKUP(Tabla3[[#This Row],[Site]],Table35[#All],8,FALSE)</f>
        <v>#N/A</v>
      </c>
      <c r="R559"/>
    </row>
    <row r="560" spans="1:18" hidden="1" x14ac:dyDescent="0.25">
      <c r="A560" t="str">
        <f>+Tabla3[[#This Row],[Site]]&amp;Tabla3[[#This Row],[Split]]</f>
        <v/>
      </c>
      <c r="E560" t="e">
        <f>VLOOKUP(Tabla3[[#This Row],[Site]],Table35[],10,FALSE)</f>
        <v>#N/A</v>
      </c>
      <c r="F560" t="e">
        <f>VLOOKUP(Tabla3[[#This Row],[Site]],Table35[],11,FALSE)</f>
        <v>#N/A</v>
      </c>
      <c r="G560" t="e">
        <f>VLOOKUP(Tabla3[[#This Row],[Site]],Table35[],12,FALSE)</f>
        <v>#N/A</v>
      </c>
      <c r="H560" s="1" t="s">
        <v>68</v>
      </c>
      <c r="I560" s="70" t="e">
        <f>HYPERLINK(VLOOKUP(Tabla3[[#This Row],[Site]],Table35[#All],9,FALSE))</f>
        <v>#N/A</v>
      </c>
      <c r="J560" t="e">
        <f>VLOOKUP(Tabla3[[#This Row],[Site]],Table35[],14,FALSE)</f>
        <v>#N/A</v>
      </c>
      <c r="L560" s="34" t="e">
        <f>VLOOKUP(Tabla3[[#This Row],[Site]],Table35[#All],2,FALSE)</f>
        <v>#N/A</v>
      </c>
      <c r="M560" s="34" t="e">
        <f>VLOOKUP(Tabla3[[#This Row],[Site]],Table35[#All],3,FALSE)</f>
        <v>#N/A</v>
      </c>
      <c r="N560" s="34" t="e">
        <f>VLOOKUP(Tabla3[[#This Row],[Site]],Table35[#All],4,FALSE)</f>
        <v>#N/A</v>
      </c>
      <c r="O560" s="34" t="e">
        <f>VLOOKUP(Tabla3[[#This Row],[Site]],Table35[#All],5,FALSE)</f>
        <v>#N/A</v>
      </c>
      <c r="P560" s="34" t="e">
        <f>VLOOKUP(Tabla3[[#This Row],[Site]],Table35[#All],6,FALSE)</f>
        <v>#N/A</v>
      </c>
      <c r="Q560" s="34" t="e">
        <f>VLOOKUP(Tabla3[[#This Row],[Site]],Table35[#All],8,FALSE)</f>
        <v>#N/A</v>
      </c>
      <c r="R560"/>
    </row>
    <row r="561" spans="1:18" hidden="1" x14ac:dyDescent="0.25">
      <c r="A561" t="str">
        <f>+Tabla3[[#This Row],[Site]]&amp;Tabla3[[#This Row],[Split]]</f>
        <v/>
      </c>
      <c r="E561" t="e">
        <f>VLOOKUP(Tabla3[[#This Row],[Site]],Table35[],10,FALSE)</f>
        <v>#N/A</v>
      </c>
      <c r="F561" t="e">
        <f>VLOOKUP(Tabla3[[#This Row],[Site]],Table35[],11,FALSE)</f>
        <v>#N/A</v>
      </c>
      <c r="G561" t="e">
        <f>VLOOKUP(Tabla3[[#This Row],[Site]],Table35[],12,FALSE)</f>
        <v>#N/A</v>
      </c>
      <c r="H561" s="1" t="s">
        <v>68</v>
      </c>
      <c r="I561" s="70" t="e">
        <f>HYPERLINK(VLOOKUP(Tabla3[[#This Row],[Site]],Table35[#All],9,FALSE))</f>
        <v>#N/A</v>
      </c>
      <c r="J561" t="e">
        <f>VLOOKUP(Tabla3[[#This Row],[Site]],Table35[],14,FALSE)</f>
        <v>#N/A</v>
      </c>
      <c r="L561" s="34" t="e">
        <f>VLOOKUP(Tabla3[[#This Row],[Site]],Table35[#All],2,FALSE)</f>
        <v>#N/A</v>
      </c>
      <c r="M561" s="34" t="e">
        <f>VLOOKUP(Tabla3[[#This Row],[Site]],Table35[#All],3,FALSE)</f>
        <v>#N/A</v>
      </c>
      <c r="N561" s="34" t="e">
        <f>VLOOKUP(Tabla3[[#This Row],[Site]],Table35[#All],4,FALSE)</f>
        <v>#N/A</v>
      </c>
      <c r="O561" s="34" t="e">
        <f>VLOOKUP(Tabla3[[#This Row],[Site]],Table35[#All],5,FALSE)</f>
        <v>#N/A</v>
      </c>
      <c r="P561" s="34" t="e">
        <f>VLOOKUP(Tabla3[[#This Row],[Site]],Table35[#All],6,FALSE)</f>
        <v>#N/A</v>
      </c>
      <c r="Q561" s="34" t="e">
        <f>VLOOKUP(Tabla3[[#This Row],[Site]],Table35[#All],8,FALSE)</f>
        <v>#N/A</v>
      </c>
      <c r="R561"/>
    </row>
    <row r="562" spans="1:18" hidden="1" x14ac:dyDescent="0.25">
      <c r="A562" t="str">
        <f>+Tabla3[[#This Row],[Site]]&amp;Tabla3[[#This Row],[Split]]</f>
        <v/>
      </c>
      <c r="E562" t="e">
        <f>VLOOKUP(Tabla3[[#This Row],[Site]],Table35[],10,FALSE)</f>
        <v>#N/A</v>
      </c>
      <c r="F562" t="e">
        <f>VLOOKUP(Tabla3[[#This Row],[Site]],Table35[],11,FALSE)</f>
        <v>#N/A</v>
      </c>
      <c r="G562" t="e">
        <f>VLOOKUP(Tabla3[[#This Row],[Site]],Table35[],12,FALSE)</f>
        <v>#N/A</v>
      </c>
      <c r="H562" s="1" t="s">
        <v>68</v>
      </c>
      <c r="I562" s="70" t="e">
        <f>HYPERLINK(VLOOKUP(Tabla3[[#This Row],[Site]],Table35[#All],9,FALSE))</f>
        <v>#N/A</v>
      </c>
      <c r="J562" t="e">
        <f>VLOOKUP(Tabla3[[#This Row],[Site]],Table35[],14,FALSE)</f>
        <v>#N/A</v>
      </c>
      <c r="L562" s="34" t="e">
        <f>VLOOKUP(Tabla3[[#This Row],[Site]],Table35[#All],2,FALSE)</f>
        <v>#N/A</v>
      </c>
      <c r="M562" s="34" t="e">
        <f>VLOOKUP(Tabla3[[#This Row],[Site]],Table35[#All],3,FALSE)</f>
        <v>#N/A</v>
      </c>
      <c r="N562" s="34" t="e">
        <f>VLOOKUP(Tabla3[[#This Row],[Site]],Table35[#All],4,FALSE)</f>
        <v>#N/A</v>
      </c>
      <c r="O562" s="34" t="e">
        <f>VLOOKUP(Tabla3[[#This Row],[Site]],Table35[#All],5,FALSE)</f>
        <v>#N/A</v>
      </c>
      <c r="P562" s="34" t="e">
        <f>VLOOKUP(Tabla3[[#This Row],[Site]],Table35[#All],6,FALSE)</f>
        <v>#N/A</v>
      </c>
      <c r="Q562" s="34" t="e">
        <f>VLOOKUP(Tabla3[[#This Row],[Site]],Table35[#All],8,FALSE)</f>
        <v>#N/A</v>
      </c>
      <c r="R562"/>
    </row>
    <row r="563" spans="1:18" hidden="1" x14ac:dyDescent="0.25">
      <c r="A563" t="str">
        <f>+Tabla3[[#This Row],[Site]]&amp;Tabla3[[#This Row],[Split]]</f>
        <v/>
      </c>
      <c r="E563" t="e">
        <f>VLOOKUP(Tabla3[[#This Row],[Site]],Table35[],10,FALSE)</f>
        <v>#N/A</v>
      </c>
      <c r="F563" t="e">
        <f>VLOOKUP(Tabla3[[#This Row],[Site]],Table35[],11,FALSE)</f>
        <v>#N/A</v>
      </c>
      <c r="G563" t="e">
        <f>VLOOKUP(Tabla3[[#This Row],[Site]],Table35[],12,FALSE)</f>
        <v>#N/A</v>
      </c>
      <c r="H563" s="1" t="s">
        <v>68</v>
      </c>
      <c r="I563" s="70" t="e">
        <f>HYPERLINK(VLOOKUP(Tabla3[[#This Row],[Site]],Table35[#All],9,FALSE))</f>
        <v>#N/A</v>
      </c>
      <c r="J563" t="e">
        <f>VLOOKUP(Tabla3[[#This Row],[Site]],Table35[],14,FALSE)</f>
        <v>#N/A</v>
      </c>
      <c r="L563" s="34" t="e">
        <f>VLOOKUP(Tabla3[[#This Row],[Site]],Table35[#All],2,FALSE)</f>
        <v>#N/A</v>
      </c>
      <c r="M563" s="34" t="e">
        <f>VLOOKUP(Tabla3[[#This Row],[Site]],Table35[#All],3,FALSE)</f>
        <v>#N/A</v>
      </c>
      <c r="N563" s="34" t="e">
        <f>VLOOKUP(Tabla3[[#This Row],[Site]],Table35[#All],4,FALSE)</f>
        <v>#N/A</v>
      </c>
      <c r="O563" s="34" t="e">
        <f>VLOOKUP(Tabla3[[#This Row],[Site]],Table35[#All],5,FALSE)</f>
        <v>#N/A</v>
      </c>
      <c r="P563" s="34" t="e">
        <f>VLOOKUP(Tabla3[[#This Row],[Site]],Table35[#All],6,FALSE)</f>
        <v>#N/A</v>
      </c>
      <c r="Q563" s="34" t="e">
        <f>VLOOKUP(Tabla3[[#This Row],[Site]],Table35[#All],8,FALSE)</f>
        <v>#N/A</v>
      </c>
      <c r="R563"/>
    </row>
    <row r="564" spans="1:18" hidden="1" x14ac:dyDescent="0.25">
      <c r="A564" t="str">
        <f>+Tabla3[[#This Row],[Site]]&amp;Tabla3[[#This Row],[Split]]</f>
        <v/>
      </c>
      <c r="E564" t="e">
        <f>VLOOKUP(Tabla3[[#This Row],[Site]],Table35[],10,FALSE)</f>
        <v>#N/A</v>
      </c>
      <c r="F564" t="e">
        <f>VLOOKUP(Tabla3[[#This Row],[Site]],Table35[],11,FALSE)</f>
        <v>#N/A</v>
      </c>
      <c r="G564" t="e">
        <f>VLOOKUP(Tabla3[[#This Row],[Site]],Table35[],12,FALSE)</f>
        <v>#N/A</v>
      </c>
      <c r="H564" s="1" t="s">
        <v>68</v>
      </c>
      <c r="I564" s="70" t="e">
        <f>HYPERLINK(VLOOKUP(Tabla3[[#This Row],[Site]],Table35[#All],9,FALSE))</f>
        <v>#N/A</v>
      </c>
      <c r="J564" t="e">
        <f>VLOOKUP(Tabla3[[#This Row],[Site]],Table35[],14,FALSE)</f>
        <v>#N/A</v>
      </c>
      <c r="L564" s="34" t="e">
        <f>VLOOKUP(Tabla3[[#This Row],[Site]],Table35[#All],2,FALSE)</f>
        <v>#N/A</v>
      </c>
      <c r="M564" s="34" t="e">
        <f>VLOOKUP(Tabla3[[#This Row],[Site]],Table35[#All],3,FALSE)</f>
        <v>#N/A</v>
      </c>
      <c r="N564" s="34" t="e">
        <f>VLOOKUP(Tabla3[[#This Row],[Site]],Table35[#All],4,FALSE)</f>
        <v>#N/A</v>
      </c>
      <c r="O564" s="34" t="e">
        <f>VLOOKUP(Tabla3[[#This Row],[Site]],Table35[#All],5,FALSE)</f>
        <v>#N/A</v>
      </c>
      <c r="P564" s="34" t="e">
        <f>VLOOKUP(Tabla3[[#This Row],[Site]],Table35[#All],6,FALSE)</f>
        <v>#N/A</v>
      </c>
      <c r="Q564" s="34" t="e">
        <f>VLOOKUP(Tabla3[[#This Row],[Site]],Table35[#All],8,FALSE)</f>
        <v>#N/A</v>
      </c>
      <c r="R564"/>
    </row>
    <row r="565" spans="1:18" hidden="1" x14ac:dyDescent="0.25">
      <c r="A565" t="str">
        <f>+Tabla3[[#This Row],[Site]]&amp;Tabla3[[#This Row],[Split]]</f>
        <v/>
      </c>
      <c r="E565" t="e">
        <f>VLOOKUP(Tabla3[[#This Row],[Site]],Table35[],10,FALSE)</f>
        <v>#N/A</v>
      </c>
      <c r="F565" t="e">
        <f>VLOOKUP(Tabla3[[#This Row],[Site]],Table35[],11,FALSE)</f>
        <v>#N/A</v>
      </c>
      <c r="G565" t="e">
        <f>VLOOKUP(Tabla3[[#This Row],[Site]],Table35[],12,FALSE)</f>
        <v>#N/A</v>
      </c>
      <c r="H565" s="1" t="s">
        <v>68</v>
      </c>
      <c r="I565" s="70" t="e">
        <f>HYPERLINK(VLOOKUP(Tabla3[[#This Row],[Site]],Table35[#All],9,FALSE))</f>
        <v>#N/A</v>
      </c>
      <c r="J565" t="e">
        <f>VLOOKUP(Tabla3[[#This Row],[Site]],Table35[],14,FALSE)</f>
        <v>#N/A</v>
      </c>
      <c r="L565" s="34" t="e">
        <f>VLOOKUP(Tabla3[[#This Row],[Site]],Table35[#All],2,FALSE)</f>
        <v>#N/A</v>
      </c>
      <c r="M565" s="34" t="e">
        <f>VLOOKUP(Tabla3[[#This Row],[Site]],Table35[#All],3,FALSE)</f>
        <v>#N/A</v>
      </c>
      <c r="N565" s="34" t="e">
        <f>VLOOKUP(Tabla3[[#This Row],[Site]],Table35[#All],4,FALSE)</f>
        <v>#N/A</v>
      </c>
      <c r="O565" s="34" t="e">
        <f>VLOOKUP(Tabla3[[#This Row],[Site]],Table35[#All],5,FALSE)</f>
        <v>#N/A</v>
      </c>
      <c r="P565" s="34" t="e">
        <f>VLOOKUP(Tabla3[[#This Row],[Site]],Table35[#All],6,FALSE)</f>
        <v>#N/A</v>
      </c>
      <c r="Q565" s="34" t="e">
        <f>VLOOKUP(Tabla3[[#This Row],[Site]],Table35[#All],8,FALSE)</f>
        <v>#N/A</v>
      </c>
      <c r="R565"/>
    </row>
    <row r="566" spans="1:18" hidden="1" x14ac:dyDescent="0.25">
      <c r="A566" t="str">
        <f>+Tabla3[[#This Row],[Site]]&amp;Tabla3[[#This Row],[Split]]</f>
        <v/>
      </c>
      <c r="E566" t="e">
        <f>VLOOKUP(Tabla3[[#This Row],[Site]],Table35[],10,FALSE)</f>
        <v>#N/A</v>
      </c>
      <c r="F566" t="e">
        <f>VLOOKUP(Tabla3[[#This Row],[Site]],Table35[],11,FALSE)</f>
        <v>#N/A</v>
      </c>
      <c r="G566" t="e">
        <f>VLOOKUP(Tabla3[[#This Row],[Site]],Table35[],12,FALSE)</f>
        <v>#N/A</v>
      </c>
      <c r="H566" s="1" t="s">
        <v>68</v>
      </c>
      <c r="I566" s="70" t="e">
        <f>HYPERLINK(VLOOKUP(Tabla3[[#This Row],[Site]],Table35[#All],9,FALSE))</f>
        <v>#N/A</v>
      </c>
      <c r="J566" t="e">
        <f>VLOOKUP(Tabla3[[#This Row],[Site]],Table35[],14,FALSE)</f>
        <v>#N/A</v>
      </c>
      <c r="L566" s="34" t="e">
        <f>VLOOKUP(Tabla3[[#This Row],[Site]],Table35[#All],2,FALSE)</f>
        <v>#N/A</v>
      </c>
      <c r="M566" s="34" t="e">
        <f>VLOOKUP(Tabla3[[#This Row],[Site]],Table35[#All],3,FALSE)</f>
        <v>#N/A</v>
      </c>
      <c r="N566" s="34" t="e">
        <f>VLOOKUP(Tabla3[[#This Row],[Site]],Table35[#All],4,FALSE)</f>
        <v>#N/A</v>
      </c>
      <c r="O566" s="34" t="e">
        <f>VLOOKUP(Tabla3[[#This Row],[Site]],Table35[#All],5,FALSE)</f>
        <v>#N/A</v>
      </c>
      <c r="P566" s="34" t="e">
        <f>VLOOKUP(Tabla3[[#This Row],[Site]],Table35[#All],6,FALSE)</f>
        <v>#N/A</v>
      </c>
      <c r="Q566" s="34" t="e">
        <f>VLOOKUP(Tabla3[[#This Row],[Site]],Table35[#All],8,FALSE)</f>
        <v>#N/A</v>
      </c>
      <c r="R566"/>
    </row>
    <row r="567" spans="1:18" hidden="1" x14ac:dyDescent="0.25">
      <c r="A567" t="str">
        <f>+Tabla3[[#This Row],[Site]]&amp;Tabla3[[#This Row],[Split]]</f>
        <v/>
      </c>
      <c r="E567" t="e">
        <f>VLOOKUP(Tabla3[[#This Row],[Site]],Table35[],10,FALSE)</f>
        <v>#N/A</v>
      </c>
      <c r="F567" t="e">
        <f>VLOOKUP(Tabla3[[#This Row],[Site]],Table35[],11,FALSE)</f>
        <v>#N/A</v>
      </c>
      <c r="G567" t="e">
        <f>VLOOKUP(Tabla3[[#This Row],[Site]],Table35[],12,FALSE)</f>
        <v>#N/A</v>
      </c>
      <c r="H567" s="1" t="s">
        <v>68</v>
      </c>
      <c r="I567" s="70" t="e">
        <f>HYPERLINK(VLOOKUP(Tabla3[[#This Row],[Site]],Table35[#All],9,FALSE))</f>
        <v>#N/A</v>
      </c>
      <c r="J567" t="e">
        <f>VLOOKUP(Tabla3[[#This Row],[Site]],Table35[],14,FALSE)</f>
        <v>#N/A</v>
      </c>
      <c r="L567" s="34" t="e">
        <f>VLOOKUP(Tabla3[[#This Row],[Site]],Table35[#All],2,FALSE)</f>
        <v>#N/A</v>
      </c>
      <c r="M567" s="34" t="e">
        <f>VLOOKUP(Tabla3[[#This Row],[Site]],Table35[#All],3,FALSE)</f>
        <v>#N/A</v>
      </c>
      <c r="N567" s="34" t="e">
        <f>VLOOKUP(Tabla3[[#This Row],[Site]],Table35[#All],4,FALSE)</f>
        <v>#N/A</v>
      </c>
      <c r="O567" s="34" t="e">
        <f>VLOOKUP(Tabla3[[#This Row],[Site]],Table35[#All],5,FALSE)</f>
        <v>#N/A</v>
      </c>
      <c r="P567" s="34" t="e">
        <f>VLOOKUP(Tabla3[[#This Row],[Site]],Table35[#All],6,FALSE)</f>
        <v>#N/A</v>
      </c>
      <c r="Q567" s="34" t="e">
        <f>VLOOKUP(Tabla3[[#This Row],[Site]],Table35[#All],8,FALSE)</f>
        <v>#N/A</v>
      </c>
      <c r="R567"/>
    </row>
    <row r="568" spans="1:18" hidden="1" x14ac:dyDescent="0.25">
      <c r="A568" t="str">
        <f>+Tabla3[[#This Row],[Site]]&amp;Tabla3[[#This Row],[Split]]</f>
        <v/>
      </c>
      <c r="E568" t="e">
        <f>VLOOKUP(Tabla3[[#This Row],[Site]],Table35[],10,FALSE)</f>
        <v>#N/A</v>
      </c>
      <c r="F568" t="e">
        <f>VLOOKUP(Tabla3[[#This Row],[Site]],Table35[],11,FALSE)</f>
        <v>#N/A</v>
      </c>
      <c r="G568" t="e">
        <f>VLOOKUP(Tabla3[[#This Row],[Site]],Table35[],12,FALSE)</f>
        <v>#N/A</v>
      </c>
      <c r="H568" s="1" t="s">
        <v>68</v>
      </c>
      <c r="I568" s="70" t="e">
        <f>HYPERLINK(VLOOKUP(Tabla3[[#This Row],[Site]],Table35[#All],9,FALSE))</f>
        <v>#N/A</v>
      </c>
      <c r="J568" t="e">
        <f>VLOOKUP(Tabla3[[#This Row],[Site]],Table35[],14,FALSE)</f>
        <v>#N/A</v>
      </c>
      <c r="L568" s="34" t="e">
        <f>VLOOKUP(Tabla3[[#This Row],[Site]],Table35[#All],2,FALSE)</f>
        <v>#N/A</v>
      </c>
      <c r="M568" s="34" t="e">
        <f>VLOOKUP(Tabla3[[#This Row],[Site]],Table35[#All],3,FALSE)</f>
        <v>#N/A</v>
      </c>
      <c r="N568" s="34" t="e">
        <f>VLOOKUP(Tabla3[[#This Row],[Site]],Table35[#All],4,FALSE)</f>
        <v>#N/A</v>
      </c>
      <c r="O568" s="34" t="e">
        <f>VLOOKUP(Tabla3[[#This Row],[Site]],Table35[#All],5,FALSE)</f>
        <v>#N/A</v>
      </c>
      <c r="P568" s="34" t="e">
        <f>VLOOKUP(Tabla3[[#This Row],[Site]],Table35[#All],6,FALSE)</f>
        <v>#N/A</v>
      </c>
      <c r="Q568" s="34" t="e">
        <f>VLOOKUP(Tabla3[[#This Row],[Site]],Table35[#All],8,FALSE)</f>
        <v>#N/A</v>
      </c>
      <c r="R568"/>
    </row>
    <row r="569" spans="1:18" hidden="1" x14ac:dyDescent="0.25">
      <c r="A569" t="str">
        <f>+Tabla3[[#This Row],[Site]]&amp;Tabla3[[#This Row],[Split]]</f>
        <v/>
      </c>
      <c r="E569" t="e">
        <f>VLOOKUP(Tabla3[[#This Row],[Site]],Table35[],10,FALSE)</f>
        <v>#N/A</v>
      </c>
      <c r="F569" t="e">
        <f>VLOOKUP(Tabla3[[#This Row],[Site]],Table35[],11,FALSE)</f>
        <v>#N/A</v>
      </c>
      <c r="G569" t="e">
        <f>VLOOKUP(Tabla3[[#This Row],[Site]],Table35[],12,FALSE)</f>
        <v>#N/A</v>
      </c>
      <c r="H569" s="1" t="s">
        <v>68</v>
      </c>
      <c r="I569" s="70" t="e">
        <f>HYPERLINK(VLOOKUP(Tabla3[[#This Row],[Site]],Table35[#All],9,FALSE))</f>
        <v>#N/A</v>
      </c>
      <c r="J569" t="e">
        <f>VLOOKUP(Tabla3[[#This Row],[Site]],Table35[],14,FALSE)</f>
        <v>#N/A</v>
      </c>
      <c r="L569" s="34" t="e">
        <f>VLOOKUP(Tabla3[[#This Row],[Site]],Table35[#All],2,FALSE)</f>
        <v>#N/A</v>
      </c>
      <c r="M569" s="34" t="e">
        <f>VLOOKUP(Tabla3[[#This Row],[Site]],Table35[#All],3,FALSE)</f>
        <v>#N/A</v>
      </c>
      <c r="N569" s="34" t="e">
        <f>VLOOKUP(Tabla3[[#This Row],[Site]],Table35[#All],4,FALSE)</f>
        <v>#N/A</v>
      </c>
      <c r="O569" s="34" t="e">
        <f>VLOOKUP(Tabla3[[#This Row],[Site]],Table35[#All],5,FALSE)</f>
        <v>#N/A</v>
      </c>
      <c r="P569" s="34" t="e">
        <f>VLOOKUP(Tabla3[[#This Row],[Site]],Table35[#All],6,FALSE)</f>
        <v>#N/A</v>
      </c>
      <c r="Q569" s="34" t="e">
        <f>VLOOKUP(Tabla3[[#This Row],[Site]],Table35[#All],8,FALSE)</f>
        <v>#N/A</v>
      </c>
      <c r="R569"/>
    </row>
    <row r="570" spans="1:18" hidden="1" x14ac:dyDescent="0.25">
      <c r="A570" t="str">
        <f>+Tabla3[[#This Row],[Site]]&amp;Tabla3[[#This Row],[Split]]</f>
        <v/>
      </c>
      <c r="E570" t="e">
        <f>VLOOKUP(Tabla3[[#This Row],[Site]],Table35[],10,FALSE)</f>
        <v>#N/A</v>
      </c>
      <c r="F570" t="e">
        <f>VLOOKUP(Tabla3[[#This Row],[Site]],Table35[],11,FALSE)</f>
        <v>#N/A</v>
      </c>
      <c r="G570" t="e">
        <f>VLOOKUP(Tabla3[[#This Row],[Site]],Table35[],12,FALSE)</f>
        <v>#N/A</v>
      </c>
      <c r="H570" s="1" t="s">
        <v>68</v>
      </c>
      <c r="I570" s="70" t="e">
        <f>HYPERLINK(VLOOKUP(Tabla3[[#This Row],[Site]],Table35[#All],9,FALSE))</f>
        <v>#N/A</v>
      </c>
      <c r="J570" t="e">
        <f>VLOOKUP(Tabla3[[#This Row],[Site]],Table35[],14,FALSE)</f>
        <v>#N/A</v>
      </c>
      <c r="L570" s="34" t="e">
        <f>VLOOKUP(Tabla3[[#This Row],[Site]],Table35[#All],2,FALSE)</f>
        <v>#N/A</v>
      </c>
      <c r="M570" s="34" t="e">
        <f>VLOOKUP(Tabla3[[#This Row],[Site]],Table35[#All],3,FALSE)</f>
        <v>#N/A</v>
      </c>
      <c r="N570" s="34" t="e">
        <f>VLOOKUP(Tabla3[[#This Row],[Site]],Table35[#All],4,FALSE)</f>
        <v>#N/A</v>
      </c>
      <c r="O570" s="34" t="e">
        <f>VLOOKUP(Tabla3[[#This Row],[Site]],Table35[#All],5,FALSE)</f>
        <v>#N/A</v>
      </c>
      <c r="P570" s="34" t="e">
        <f>VLOOKUP(Tabla3[[#This Row],[Site]],Table35[#All],6,FALSE)</f>
        <v>#N/A</v>
      </c>
      <c r="Q570" s="34" t="e">
        <f>VLOOKUP(Tabla3[[#This Row],[Site]],Table35[#All],8,FALSE)</f>
        <v>#N/A</v>
      </c>
      <c r="R570"/>
    </row>
    <row r="571" spans="1:18" hidden="1" x14ac:dyDescent="0.25">
      <c r="A571" t="str">
        <f>+Tabla3[[#This Row],[Site]]&amp;Tabla3[[#This Row],[Split]]</f>
        <v/>
      </c>
      <c r="E571" t="e">
        <f>VLOOKUP(Tabla3[[#This Row],[Site]],Table35[],10,FALSE)</f>
        <v>#N/A</v>
      </c>
      <c r="F571" t="e">
        <f>VLOOKUP(Tabla3[[#This Row],[Site]],Table35[],11,FALSE)</f>
        <v>#N/A</v>
      </c>
      <c r="G571" t="e">
        <f>VLOOKUP(Tabla3[[#This Row],[Site]],Table35[],12,FALSE)</f>
        <v>#N/A</v>
      </c>
      <c r="H571" s="1" t="s">
        <v>68</v>
      </c>
      <c r="I571" s="70" t="e">
        <f>HYPERLINK(VLOOKUP(Tabla3[[#This Row],[Site]],Table35[#All],9,FALSE))</f>
        <v>#N/A</v>
      </c>
      <c r="J571" t="e">
        <f>VLOOKUP(Tabla3[[#This Row],[Site]],Table35[],14,FALSE)</f>
        <v>#N/A</v>
      </c>
      <c r="L571" s="34" t="e">
        <f>VLOOKUP(Tabla3[[#This Row],[Site]],Table35[#All],2,FALSE)</f>
        <v>#N/A</v>
      </c>
      <c r="M571" s="34" t="e">
        <f>VLOOKUP(Tabla3[[#This Row],[Site]],Table35[#All],3,FALSE)</f>
        <v>#N/A</v>
      </c>
      <c r="N571" s="34" t="e">
        <f>VLOOKUP(Tabla3[[#This Row],[Site]],Table35[#All],4,FALSE)</f>
        <v>#N/A</v>
      </c>
      <c r="O571" s="34" t="e">
        <f>VLOOKUP(Tabla3[[#This Row],[Site]],Table35[#All],5,FALSE)</f>
        <v>#N/A</v>
      </c>
      <c r="P571" s="34" t="e">
        <f>VLOOKUP(Tabla3[[#This Row],[Site]],Table35[#All],6,FALSE)</f>
        <v>#N/A</v>
      </c>
      <c r="Q571" s="34" t="e">
        <f>VLOOKUP(Tabla3[[#This Row],[Site]],Table35[#All],8,FALSE)</f>
        <v>#N/A</v>
      </c>
      <c r="R571"/>
    </row>
    <row r="572" spans="1:18" hidden="1" x14ac:dyDescent="0.25">
      <c r="A572" t="str">
        <f>+Tabla3[[#This Row],[Site]]&amp;Tabla3[[#This Row],[Split]]</f>
        <v/>
      </c>
      <c r="E572" t="e">
        <f>VLOOKUP(Tabla3[[#This Row],[Site]],Table35[],10,FALSE)</f>
        <v>#N/A</v>
      </c>
      <c r="F572" t="e">
        <f>VLOOKUP(Tabla3[[#This Row],[Site]],Table35[],11,FALSE)</f>
        <v>#N/A</v>
      </c>
      <c r="G572" t="e">
        <f>VLOOKUP(Tabla3[[#This Row],[Site]],Table35[],12,FALSE)</f>
        <v>#N/A</v>
      </c>
      <c r="H572" s="1" t="s">
        <v>68</v>
      </c>
      <c r="I572" s="70" t="e">
        <f>HYPERLINK(VLOOKUP(Tabla3[[#This Row],[Site]],Table35[#All],9,FALSE))</f>
        <v>#N/A</v>
      </c>
      <c r="J572" t="e">
        <f>VLOOKUP(Tabla3[[#This Row],[Site]],Table35[],14,FALSE)</f>
        <v>#N/A</v>
      </c>
      <c r="L572" s="34" t="e">
        <f>VLOOKUP(Tabla3[[#This Row],[Site]],Table35[#All],2,FALSE)</f>
        <v>#N/A</v>
      </c>
      <c r="M572" s="34" t="e">
        <f>VLOOKUP(Tabla3[[#This Row],[Site]],Table35[#All],3,FALSE)</f>
        <v>#N/A</v>
      </c>
      <c r="N572" s="34" t="e">
        <f>VLOOKUP(Tabla3[[#This Row],[Site]],Table35[#All],4,FALSE)</f>
        <v>#N/A</v>
      </c>
      <c r="O572" s="34" t="e">
        <f>VLOOKUP(Tabla3[[#This Row],[Site]],Table35[#All],5,FALSE)</f>
        <v>#N/A</v>
      </c>
      <c r="P572" s="34" t="e">
        <f>VLOOKUP(Tabla3[[#This Row],[Site]],Table35[#All],6,FALSE)</f>
        <v>#N/A</v>
      </c>
      <c r="Q572" s="34" t="e">
        <f>VLOOKUP(Tabla3[[#This Row],[Site]],Table35[#All],8,FALSE)</f>
        <v>#N/A</v>
      </c>
      <c r="R572"/>
    </row>
    <row r="573" spans="1:18" hidden="1" x14ac:dyDescent="0.25">
      <c r="A573" t="str">
        <f>+Tabla3[[#This Row],[Site]]&amp;Tabla3[[#This Row],[Split]]</f>
        <v/>
      </c>
      <c r="E573" t="e">
        <f>VLOOKUP(Tabla3[[#This Row],[Site]],Table35[],10,FALSE)</f>
        <v>#N/A</v>
      </c>
      <c r="F573" t="e">
        <f>VLOOKUP(Tabla3[[#This Row],[Site]],Table35[],11,FALSE)</f>
        <v>#N/A</v>
      </c>
      <c r="G573" t="e">
        <f>VLOOKUP(Tabla3[[#This Row],[Site]],Table35[],12,FALSE)</f>
        <v>#N/A</v>
      </c>
      <c r="H573" s="1" t="s">
        <v>68</v>
      </c>
      <c r="I573" s="70" t="e">
        <f>HYPERLINK(VLOOKUP(Tabla3[[#This Row],[Site]],Table35[#All],9,FALSE))</f>
        <v>#N/A</v>
      </c>
      <c r="J573" t="e">
        <f>VLOOKUP(Tabla3[[#This Row],[Site]],Table35[],14,FALSE)</f>
        <v>#N/A</v>
      </c>
      <c r="L573" s="34" t="e">
        <f>VLOOKUP(Tabla3[[#This Row],[Site]],Table35[#All],2,FALSE)</f>
        <v>#N/A</v>
      </c>
      <c r="M573" s="34" t="e">
        <f>VLOOKUP(Tabla3[[#This Row],[Site]],Table35[#All],3,FALSE)</f>
        <v>#N/A</v>
      </c>
      <c r="N573" s="34" t="e">
        <f>VLOOKUP(Tabla3[[#This Row],[Site]],Table35[#All],4,FALSE)</f>
        <v>#N/A</v>
      </c>
      <c r="O573" s="34" t="e">
        <f>VLOOKUP(Tabla3[[#This Row],[Site]],Table35[#All],5,FALSE)</f>
        <v>#N/A</v>
      </c>
      <c r="P573" s="34" t="e">
        <f>VLOOKUP(Tabla3[[#This Row],[Site]],Table35[#All],6,FALSE)</f>
        <v>#N/A</v>
      </c>
      <c r="Q573" s="34" t="e">
        <f>VLOOKUP(Tabla3[[#This Row],[Site]],Table35[#All],8,FALSE)</f>
        <v>#N/A</v>
      </c>
      <c r="R573"/>
    </row>
    <row r="574" spans="1:18" hidden="1" x14ac:dyDescent="0.25">
      <c r="A574" t="str">
        <f>+Tabla3[[#This Row],[Site]]&amp;Tabla3[[#This Row],[Split]]</f>
        <v/>
      </c>
      <c r="E574" t="e">
        <f>VLOOKUP(Tabla3[[#This Row],[Site]],Table35[],10,FALSE)</f>
        <v>#N/A</v>
      </c>
      <c r="F574" t="e">
        <f>VLOOKUP(Tabla3[[#This Row],[Site]],Table35[],11,FALSE)</f>
        <v>#N/A</v>
      </c>
      <c r="G574" t="e">
        <f>VLOOKUP(Tabla3[[#This Row],[Site]],Table35[],12,FALSE)</f>
        <v>#N/A</v>
      </c>
      <c r="H574" s="1" t="s">
        <v>68</v>
      </c>
      <c r="I574" s="70" t="e">
        <f>HYPERLINK(VLOOKUP(Tabla3[[#This Row],[Site]],Table35[#All],9,FALSE))</f>
        <v>#N/A</v>
      </c>
      <c r="J574" t="e">
        <f>VLOOKUP(Tabla3[[#This Row],[Site]],Table35[],14,FALSE)</f>
        <v>#N/A</v>
      </c>
      <c r="L574" s="34" t="e">
        <f>VLOOKUP(Tabla3[[#This Row],[Site]],Table35[#All],2,FALSE)</f>
        <v>#N/A</v>
      </c>
      <c r="M574" s="34" t="e">
        <f>VLOOKUP(Tabla3[[#This Row],[Site]],Table35[#All],3,FALSE)</f>
        <v>#N/A</v>
      </c>
      <c r="N574" s="34" t="e">
        <f>VLOOKUP(Tabla3[[#This Row],[Site]],Table35[#All],4,FALSE)</f>
        <v>#N/A</v>
      </c>
      <c r="O574" s="34" t="e">
        <f>VLOOKUP(Tabla3[[#This Row],[Site]],Table35[#All],5,FALSE)</f>
        <v>#N/A</v>
      </c>
      <c r="P574" s="34" t="e">
        <f>VLOOKUP(Tabla3[[#This Row],[Site]],Table35[#All],6,FALSE)</f>
        <v>#N/A</v>
      </c>
      <c r="Q574" s="34" t="e">
        <f>VLOOKUP(Tabla3[[#This Row],[Site]],Table35[#All],8,FALSE)</f>
        <v>#N/A</v>
      </c>
      <c r="R574"/>
    </row>
    <row r="575" spans="1:18" hidden="1" x14ac:dyDescent="0.25">
      <c r="A575" t="str">
        <f>+Tabla3[[#This Row],[Site]]&amp;Tabla3[[#This Row],[Split]]</f>
        <v/>
      </c>
      <c r="E575" t="e">
        <f>VLOOKUP(Tabla3[[#This Row],[Site]],Table35[],10,FALSE)</f>
        <v>#N/A</v>
      </c>
      <c r="F575" t="e">
        <f>VLOOKUP(Tabla3[[#This Row],[Site]],Table35[],11,FALSE)</f>
        <v>#N/A</v>
      </c>
      <c r="G575" t="e">
        <f>VLOOKUP(Tabla3[[#This Row],[Site]],Table35[],12,FALSE)</f>
        <v>#N/A</v>
      </c>
      <c r="H575" s="1" t="s">
        <v>68</v>
      </c>
      <c r="I575" s="70" t="e">
        <f>HYPERLINK(VLOOKUP(Tabla3[[#This Row],[Site]],Table35[#All],9,FALSE))</f>
        <v>#N/A</v>
      </c>
      <c r="J575" t="e">
        <f>VLOOKUP(Tabla3[[#This Row],[Site]],Table35[],14,FALSE)</f>
        <v>#N/A</v>
      </c>
      <c r="L575" s="34" t="e">
        <f>VLOOKUP(Tabla3[[#This Row],[Site]],Table35[#All],2,FALSE)</f>
        <v>#N/A</v>
      </c>
      <c r="M575" s="34" t="e">
        <f>VLOOKUP(Tabla3[[#This Row],[Site]],Table35[#All],3,FALSE)</f>
        <v>#N/A</v>
      </c>
      <c r="N575" s="34" t="e">
        <f>VLOOKUP(Tabla3[[#This Row],[Site]],Table35[#All],4,FALSE)</f>
        <v>#N/A</v>
      </c>
      <c r="O575" s="34" t="e">
        <f>VLOOKUP(Tabla3[[#This Row],[Site]],Table35[#All],5,FALSE)</f>
        <v>#N/A</v>
      </c>
      <c r="P575" s="34" t="e">
        <f>VLOOKUP(Tabla3[[#This Row],[Site]],Table35[#All],6,FALSE)</f>
        <v>#N/A</v>
      </c>
      <c r="Q575" s="34" t="e">
        <f>VLOOKUP(Tabla3[[#This Row],[Site]],Table35[#All],8,FALSE)</f>
        <v>#N/A</v>
      </c>
      <c r="R575"/>
    </row>
  </sheetData>
  <phoneticPr fontId="21"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CAA4F-CF6B-4982-A681-BCAAB66CBAC5}">
  <sheetPr>
    <pageSetUpPr fitToPage="1"/>
  </sheetPr>
  <dimension ref="A1:N64"/>
  <sheetViews>
    <sheetView showGridLines="0" zoomScale="55" zoomScaleNormal="55" workbookViewId="0">
      <pane ySplit="1" topLeftCell="A39" activePane="bottomLeft" state="frozen"/>
      <selection activeCell="D79" sqref="D79:D501"/>
      <selection pane="bottomLeft" activeCell="D79" sqref="D79:D501"/>
    </sheetView>
  </sheetViews>
  <sheetFormatPr defaultColWidth="8.85546875" defaultRowHeight="33.75" x14ac:dyDescent="0.5"/>
  <cols>
    <col min="1" max="1" width="149.5703125" style="76" customWidth="1"/>
    <col min="2" max="2" width="38.5703125" style="71" bestFit="1" customWidth="1"/>
    <col min="3" max="3" width="43.7109375" style="71" bestFit="1" customWidth="1"/>
    <col min="4" max="4" width="32.85546875" style="38" bestFit="1" customWidth="1"/>
    <col min="5" max="5" width="39.140625" style="39" bestFit="1" customWidth="1"/>
    <col min="6" max="6" width="41.28515625" customWidth="1"/>
    <col min="7" max="7" width="23.140625" customWidth="1"/>
    <col min="8" max="8" width="13.5703125" customWidth="1"/>
    <col min="9" max="9" width="89.28515625" bestFit="1" customWidth="1"/>
    <col min="10" max="14" width="21.42578125" customWidth="1"/>
  </cols>
  <sheetData>
    <row r="1" spans="1:14" x14ac:dyDescent="0.25">
      <c r="A1" s="75" t="s">
        <v>108</v>
      </c>
      <c r="B1" s="64" t="s">
        <v>107</v>
      </c>
      <c r="C1" s="64" t="s">
        <v>106</v>
      </c>
      <c r="D1" s="64" t="s">
        <v>105</v>
      </c>
      <c r="E1" s="64" t="s">
        <v>102</v>
      </c>
      <c r="F1" s="64" t="s">
        <v>103</v>
      </c>
      <c r="G1" s="64" t="s">
        <v>104</v>
      </c>
      <c r="H1" s="66" t="s">
        <v>289</v>
      </c>
      <c r="I1" s="67" t="s">
        <v>290</v>
      </c>
      <c r="J1" s="78" t="s">
        <v>443</v>
      </c>
      <c r="K1" s="64" t="s">
        <v>444</v>
      </c>
      <c r="L1" s="64" t="s">
        <v>445</v>
      </c>
      <c r="M1" s="79" t="s">
        <v>28</v>
      </c>
      <c r="N1" s="67" t="s">
        <v>442</v>
      </c>
    </row>
    <row r="2" spans="1:14" x14ac:dyDescent="0.25">
      <c r="A2" s="68" t="s">
        <v>378</v>
      </c>
      <c r="B2" s="65" t="s">
        <v>96</v>
      </c>
      <c r="C2" s="65" t="s">
        <v>161</v>
      </c>
      <c r="D2" s="65" t="s">
        <v>96</v>
      </c>
      <c r="E2" s="65" t="s">
        <v>96</v>
      </c>
      <c r="F2" s="65" t="s">
        <v>162</v>
      </c>
      <c r="G2" s="65" t="s">
        <v>96</v>
      </c>
      <c r="H2" s="69">
        <v>305</v>
      </c>
      <c r="I2" s="65" t="s">
        <v>148</v>
      </c>
      <c r="J2" s="65" t="s">
        <v>65</v>
      </c>
      <c r="K2" s="65" t="s">
        <v>4</v>
      </c>
      <c r="L2" s="65" t="s">
        <v>72</v>
      </c>
      <c r="M2" s="65" t="s">
        <v>96</v>
      </c>
      <c r="N2" s="65" t="s">
        <v>233</v>
      </c>
    </row>
    <row r="3" spans="1:14" x14ac:dyDescent="0.25">
      <c r="A3" s="68" t="s">
        <v>122</v>
      </c>
      <c r="B3" s="65" t="s">
        <v>163</v>
      </c>
      <c r="C3" s="65" t="s">
        <v>96</v>
      </c>
      <c r="D3" s="65" t="s">
        <v>96</v>
      </c>
      <c r="E3" s="65">
        <v>2</v>
      </c>
      <c r="F3" s="65" t="s">
        <v>164</v>
      </c>
      <c r="G3" s="65" t="s">
        <v>96</v>
      </c>
      <c r="H3" s="69" t="s">
        <v>291</v>
      </c>
      <c r="I3" s="65" t="s">
        <v>144</v>
      </c>
      <c r="J3" s="65" t="s">
        <v>63</v>
      </c>
      <c r="K3" s="65" t="s">
        <v>2</v>
      </c>
      <c r="L3" s="65" t="s">
        <v>258</v>
      </c>
      <c r="M3" s="65" t="s">
        <v>96</v>
      </c>
      <c r="N3" s="65" t="s">
        <v>58</v>
      </c>
    </row>
    <row r="4" spans="1:14" x14ac:dyDescent="0.25">
      <c r="A4" s="68" t="s">
        <v>288</v>
      </c>
      <c r="B4" s="65" t="s">
        <v>275</v>
      </c>
      <c r="C4" s="65" t="s">
        <v>96</v>
      </c>
      <c r="D4" s="65" t="s">
        <v>96</v>
      </c>
      <c r="E4" s="65" t="s">
        <v>96</v>
      </c>
      <c r="F4" s="65" t="s">
        <v>276</v>
      </c>
      <c r="G4" s="65" t="s">
        <v>277</v>
      </c>
      <c r="H4" s="69" t="s">
        <v>329</v>
      </c>
      <c r="I4" s="65" t="s">
        <v>278</v>
      </c>
      <c r="J4" s="65" t="s">
        <v>63</v>
      </c>
      <c r="K4" s="65" t="s">
        <v>2</v>
      </c>
      <c r="L4" s="65" t="s">
        <v>258</v>
      </c>
      <c r="M4" s="65" t="s">
        <v>96</v>
      </c>
      <c r="N4" s="65">
        <v>0</v>
      </c>
    </row>
    <row r="5" spans="1:14" x14ac:dyDescent="0.25">
      <c r="A5" s="68" t="s">
        <v>384</v>
      </c>
      <c r="B5" s="65" t="s">
        <v>270</v>
      </c>
      <c r="C5" s="65" t="s">
        <v>96</v>
      </c>
      <c r="D5" s="65" t="s">
        <v>96</v>
      </c>
      <c r="E5" s="65" t="s">
        <v>271</v>
      </c>
      <c r="F5" s="65" t="s">
        <v>272</v>
      </c>
      <c r="G5" s="65" t="s">
        <v>96</v>
      </c>
      <c r="H5" s="69" t="s">
        <v>328</v>
      </c>
      <c r="I5" s="65" t="s">
        <v>273</v>
      </c>
      <c r="J5" s="65" t="s">
        <v>63</v>
      </c>
      <c r="K5" s="65" t="s">
        <v>2</v>
      </c>
      <c r="L5" s="65" t="s">
        <v>258</v>
      </c>
      <c r="M5" s="65" t="s">
        <v>69</v>
      </c>
      <c r="N5" s="65">
        <v>0</v>
      </c>
    </row>
    <row r="6" spans="1:14" x14ac:dyDescent="0.25">
      <c r="A6" s="68" t="s">
        <v>379</v>
      </c>
      <c r="B6" s="65" t="s">
        <v>170</v>
      </c>
      <c r="C6" s="65" t="s">
        <v>171</v>
      </c>
      <c r="D6" s="65" t="s">
        <v>96</v>
      </c>
      <c r="E6" s="65">
        <v>5</v>
      </c>
      <c r="F6" s="65" t="s">
        <v>172</v>
      </c>
      <c r="G6" s="65" t="s">
        <v>96</v>
      </c>
      <c r="H6" s="69" t="s">
        <v>292</v>
      </c>
      <c r="I6" s="65" t="s">
        <v>149</v>
      </c>
      <c r="J6" s="65" t="s">
        <v>63</v>
      </c>
      <c r="K6" s="65" t="s">
        <v>2</v>
      </c>
      <c r="L6" s="65" t="s">
        <v>258</v>
      </c>
      <c r="M6" s="65" t="s">
        <v>96</v>
      </c>
      <c r="N6" s="65" t="s">
        <v>143</v>
      </c>
    </row>
    <row r="7" spans="1:14" x14ac:dyDescent="0.25">
      <c r="A7" s="68" t="s">
        <v>380</v>
      </c>
      <c r="B7" s="65" t="s">
        <v>96</v>
      </c>
      <c r="C7" s="65" t="s">
        <v>173</v>
      </c>
      <c r="D7" s="65" t="s">
        <v>96</v>
      </c>
      <c r="E7" s="65" t="s">
        <v>96</v>
      </c>
      <c r="F7" s="65" t="s">
        <v>174</v>
      </c>
      <c r="G7" s="65" t="s">
        <v>96</v>
      </c>
      <c r="H7" s="69" t="s">
        <v>293</v>
      </c>
      <c r="I7" s="65" t="s">
        <v>223</v>
      </c>
      <c r="J7" s="65" t="s">
        <v>63</v>
      </c>
      <c r="K7" s="65" t="s">
        <v>2</v>
      </c>
      <c r="L7" s="65" t="s">
        <v>258</v>
      </c>
      <c r="M7" s="65" t="s">
        <v>96</v>
      </c>
      <c r="N7" s="65" t="s">
        <v>143</v>
      </c>
    </row>
    <row r="8" spans="1:14" x14ac:dyDescent="0.25">
      <c r="A8" s="68" t="s">
        <v>381</v>
      </c>
      <c r="B8" s="65" t="s">
        <v>96</v>
      </c>
      <c r="C8" s="65" t="s">
        <v>165</v>
      </c>
      <c r="D8" s="65" t="s">
        <v>166</v>
      </c>
      <c r="E8" s="65">
        <v>20</v>
      </c>
      <c r="F8" s="65" t="s">
        <v>167</v>
      </c>
      <c r="G8" s="65" t="s">
        <v>96</v>
      </c>
      <c r="H8" s="69" t="s">
        <v>294</v>
      </c>
      <c r="I8" s="65" t="s">
        <v>142</v>
      </c>
      <c r="J8" s="65" t="s">
        <v>63</v>
      </c>
      <c r="K8" s="65" t="s">
        <v>2</v>
      </c>
      <c r="L8" s="65" t="s">
        <v>258</v>
      </c>
      <c r="M8" s="65" t="s">
        <v>96</v>
      </c>
      <c r="N8" s="65" t="s">
        <v>143</v>
      </c>
    </row>
    <row r="9" spans="1:14" x14ac:dyDescent="0.25">
      <c r="A9" s="68" t="s">
        <v>447</v>
      </c>
      <c r="B9" s="65">
        <v>6</v>
      </c>
      <c r="C9" s="65" t="s">
        <v>448</v>
      </c>
      <c r="D9" s="65" t="s">
        <v>96</v>
      </c>
      <c r="E9" s="65" t="s">
        <v>96</v>
      </c>
      <c r="F9" s="65" t="s">
        <v>449</v>
      </c>
      <c r="G9" s="65" t="s">
        <v>96</v>
      </c>
      <c r="H9" s="69" t="s">
        <v>450</v>
      </c>
      <c r="I9" s="65" t="s">
        <v>451</v>
      </c>
      <c r="J9" s="65" t="s">
        <v>63</v>
      </c>
      <c r="K9" s="65" t="s">
        <v>2</v>
      </c>
      <c r="L9" s="65" t="s">
        <v>258</v>
      </c>
      <c r="M9" s="65">
        <v>0</v>
      </c>
      <c r="N9" s="65" t="s">
        <v>96</v>
      </c>
    </row>
    <row r="10" spans="1:14" x14ac:dyDescent="0.25">
      <c r="A10" s="68" t="s">
        <v>375</v>
      </c>
      <c r="B10" s="65" t="s">
        <v>96</v>
      </c>
      <c r="C10" s="65" t="s">
        <v>360</v>
      </c>
      <c r="D10" s="65" t="s">
        <v>96</v>
      </c>
      <c r="E10" s="65" t="s">
        <v>96</v>
      </c>
      <c r="F10" s="65" t="s">
        <v>361</v>
      </c>
      <c r="G10" s="65" t="s">
        <v>219</v>
      </c>
      <c r="H10" s="69" t="s">
        <v>362</v>
      </c>
      <c r="I10" s="65" t="s">
        <v>358</v>
      </c>
      <c r="J10" s="65" t="s">
        <v>63</v>
      </c>
      <c r="K10" s="65" t="s">
        <v>2</v>
      </c>
      <c r="L10" s="65" t="s">
        <v>258</v>
      </c>
      <c r="M10" s="65" t="s">
        <v>68</v>
      </c>
      <c r="N10" s="65" t="s">
        <v>96</v>
      </c>
    </row>
    <row r="11" spans="1:14" x14ac:dyDescent="0.25">
      <c r="A11" s="68" t="s">
        <v>357</v>
      </c>
      <c r="B11" s="65" t="s">
        <v>343</v>
      </c>
      <c r="C11" s="65">
        <v>1</v>
      </c>
      <c r="D11" s="65" t="s">
        <v>96</v>
      </c>
      <c r="E11" s="65" t="s">
        <v>344</v>
      </c>
      <c r="F11" s="65" t="s">
        <v>345</v>
      </c>
      <c r="G11" s="65" t="s">
        <v>96</v>
      </c>
      <c r="H11" s="69" t="s">
        <v>346</v>
      </c>
      <c r="I11" s="65" t="s">
        <v>347</v>
      </c>
      <c r="J11" s="65" t="s">
        <v>63</v>
      </c>
      <c r="K11" s="65" t="s">
        <v>2</v>
      </c>
      <c r="L11" s="65" t="s">
        <v>258</v>
      </c>
      <c r="M11" s="65" t="s">
        <v>96</v>
      </c>
      <c r="N11" s="65" t="s">
        <v>96</v>
      </c>
    </row>
    <row r="12" spans="1:14" x14ac:dyDescent="0.25">
      <c r="A12" s="68" t="s">
        <v>382</v>
      </c>
      <c r="B12" s="65" t="s">
        <v>96</v>
      </c>
      <c r="C12" s="65" t="s">
        <v>224</v>
      </c>
      <c r="D12" s="65" t="s">
        <v>96</v>
      </c>
      <c r="E12" s="65" t="s">
        <v>96</v>
      </c>
      <c r="F12" s="65" t="s">
        <v>225</v>
      </c>
      <c r="G12" s="65" t="s">
        <v>96</v>
      </c>
      <c r="H12" s="69" t="s">
        <v>323</v>
      </c>
      <c r="I12" s="65" t="s">
        <v>227</v>
      </c>
      <c r="J12" s="65" t="s">
        <v>63</v>
      </c>
      <c r="K12" s="65" t="s">
        <v>2</v>
      </c>
      <c r="L12" s="65" t="s">
        <v>258</v>
      </c>
      <c r="M12" s="65" t="s">
        <v>68</v>
      </c>
      <c r="N12" s="65" t="s">
        <v>228</v>
      </c>
    </row>
    <row r="13" spans="1:14" x14ac:dyDescent="0.25">
      <c r="A13" s="68" t="s">
        <v>415</v>
      </c>
      <c r="B13" s="65" t="s">
        <v>96</v>
      </c>
      <c r="C13" s="65" t="s">
        <v>173</v>
      </c>
      <c r="D13" s="65" t="s">
        <v>96</v>
      </c>
      <c r="E13" s="65" t="s">
        <v>96</v>
      </c>
      <c r="F13" s="65" t="s">
        <v>226</v>
      </c>
      <c r="G13" s="65" t="s">
        <v>96</v>
      </c>
      <c r="H13" s="69" t="s">
        <v>324</v>
      </c>
      <c r="I13" s="65" t="s">
        <v>230</v>
      </c>
      <c r="J13" s="65" t="s">
        <v>63</v>
      </c>
      <c r="K13" s="65" t="s">
        <v>2</v>
      </c>
      <c r="L13" s="65" t="s">
        <v>258</v>
      </c>
      <c r="M13" s="65" t="s">
        <v>68</v>
      </c>
      <c r="N13" s="65" t="s">
        <v>231</v>
      </c>
    </row>
    <row r="14" spans="1:14" x14ac:dyDescent="0.25">
      <c r="A14" s="68" t="s">
        <v>377</v>
      </c>
      <c r="B14" s="65" t="s">
        <v>96</v>
      </c>
      <c r="C14" s="65" t="s">
        <v>398</v>
      </c>
      <c r="D14" s="65" t="s">
        <v>96</v>
      </c>
      <c r="E14" s="65">
        <v>4</v>
      </c>
      <c r="F14" s="65" t="s">
        <v>399</v>
      </c>
      <c r="G14" s="65" t="s">
        <v>400</v>
      </c>
      <c r="H14" s="69" t="s">
        <v>401</v>
      </c>
      <c r="I14" s="69" t="s">
        <v>367</v>
      </c>
      <c r="J14" s="65" t="s">
        <v>63</v>
      </c>
      <c r="K14" s="65" t="s">
        <v>2</v>
      </c>
      <c r="L14" s="65" t="s">
        <v>258</v>
      </c>
      <c r="M14" s="65" t="s">
        <v>68</v>
      </c>
      <c r="N14" s="65" t="s">
        <v>96</v>
      </c>
    </row>
    <row r="15" spans="1:14" x14ac:dyDescent="0.25">
      <c r="A15" s="68" t="s">
        <v>374</v>
      </c>
      <c r="B15" s="65" t="s">
        <v>96</v>
      </c>
      <c r="C15" s="65">
        <v>6</v>
      </c>
      <c r="D15" s="65" t="s">
        <v>348</v>
      </c>
      <c r="E15" s="65" t="s">
        <v>349</v>
      </c>
      <c r="F15" s="65" t="s">
        <v>350</v>
      </c>
      <c r="G15" s="65" t="s">
        <v>96</v>
      </c>
      <c r="H15" s="69" t="s">
        <v>351</v>
      </c>
      <c r="I15" s="65" t="s">
        <v>352</v>
      </c>
      <c r="J15" s="65" t="s">
        <v>63</v>
      </c>
      <c r="K15" s="65" t="s">
        <v>2</v>
      </c>
      <c r="L15" s="65" t="s">
        <v>258</v>
      </c>
      <c r="M15" s="65" t="s">
        <v>96</v>
      </c>
      <c r="N15" s="65" t="s">
        <v>96</v>
      </c>
    </row>
    <row r="16" spans="1:14" x14ac:dyDescent="0.25">
      <c r="A16" s="68" t="s">
        <v>426</v>
      </c>
      <c r="B16" s="65" t="s">
        <v>96</v>
      </c>
      <c r="C16" s="65" t="s">
        <v>427</v>
      </c>
      <c r="D16" s="65" t="s">
        <v>96</v>
      </c>
      <c r="E16" s="65" t="s">
        <v>96</v>
      </c>
      <c r="F16" s="65" t="s">
        <v>428</v>
      </c>
      <c r="G16" s="65" t="s">
        <v>96</v>
      </c>
      <c r="H16" s="65" t="s">
        <v>429</v>
      </c>
      <c r="I16" s="65" t="s">
        <v>430</v>
      </c>
      <c r="J16" s="65" t="s">
        <v>63</v>
      </c>
      <c r="K16" s="65" t="s">
        <v>2</v>
      </c>
      <c r="L16" s="65" t="s">
        <v>258</v>
      </c>
      <c r="M16" s="65" t="s">
        <v>96</v>
      </c>
      <c r="N16" s="65" t="s">
        <v>96</v>
      </c>
    </row>
    <row r="17" spans="1:14" x14ac:dyDescent="0.25">
      <c r="A17" s="68" t="s">
        <v>386</v>
      </c>
      <c r="B17" s="65" t="s">
        <v>96</v>
      </c>
      <c r="C17" s="65">
        <v>1</v>
      </c>
      <c r="D17" s="65" t="s">
        <v>96</v>
      </c>
      <c r="E17" s="65" t="s">
        <v>96</v>
      </c>
      <c r="F17" s="65" t="s">
        <v>96</v>
      </c>
      <c r="G17" s="65" t="s">
        <v>96</v>
      </c>
      <c r="H17" s="65" t="s">
        <v>387</v>
      </c>
      <c r="I17" s="65" t="s">
        <v>388</v>
      </c>
      <c r="J17" s="65" t="s">
        <v>63</v>
      </c>
      <c r="K17" s="65" t="s">
        <v>2</v>
      </c>
      <c r="L17" s="65" t="s">
        <v>258</v>
      </c>
      <c r="M17" s="65" t="s">
        <v>68</v>
      </c>
      <c r="N17" s="65" t="s">
        <v>96</v>
      </c>
    </row>
    <row r="18" spans="1:14" x14ac:dyDescent="0.25">
      <c r="A18" s="68" t="s">
        <v>236</v>
      </c>
      <c r="B18" s="65" t="s">
        <v>96</v>
      </c>
      <c r="C18" s="65" t="s">
        <v>168</v>
      </c>
      <c r="D18" s="65">
        <v>29</v>
      </c>
      <c r="E18" s="65">
        <v>5</v>
      </c>
      <c r="F18" s="65" t="s">
        <v>169</v>
      </c>
      <c r="G18" s="65" t="s">
        <v>96</v>
      </c>
      <c r="H18" s="69" t="s">
        <v>295</v>
      </c>
      <c r="I18" s="65" t="s">
        <v>150</v>
      </c>
      <c r="J18" s="65" t="s">
        <v>63</v>
      </c>
      <c r="K18" s="65" t="s">
        <v>2</v>
      </c>
      <c r="L18" s="65" t="s">
        <v>258</v>
      </c>
      <c r="M18" s="65" t="s">
        <v>96</v>
      </c>
      <c r="N18" s="65">
        <v>0</v>
      </c>
    </row>
    <row r="19" spans="1:14" x14ac:dyDescent="0.25">
      <c r="A19" s="68" t="s">
        <v>416</v>
      </c>
      <c r="B19" s="65">
        <v>12</v>
      </c>
      <c r="C19" s="65" t="s">
        <v>418</v>
      </c>
      <c r="D19" s="65" t="s">
        <v>96</v>
      </c>
      <c r="E19" s="65" t="s">
        <v>96</v>
      </c>
      <c r="F19" s="65" t="s">
        <v>419</v>
      </c>
      <c r="G19" s="65" t="s">
        <v>96</v>
      </c>
      <c r="H19" s="69" t="s">
        <v>420</v>
      </c>
      <c r="I19" s="65" t="s">
        <v>417</v>
      </c>
      <c r="J19" s="65" t="s">
        <v>63</v>
      </c>
      <c r="K19" s="65" t="s">
        <v>2</v>
      </c>
      <c r="L19" s="65" t="s">
        <v>258</v>
      </c>
      <c r="M19" s="65" t="s">
        <v>96</v>
      </c>
      <c r="N19" s="65" t="s">
        <v>96</v>
      </c>
    </row>
    <row r="20" spans="1:14" x14ac:dyDescent="0.25">
      <c r="A20" s="68" t="s">
        <v>408</v>
      </c>
      <c r="B20" s="65">
        <v>19</v>
      </c>
      <c r="C20" s="65">
        <v>3</v>
      </c>
      <c r="D20" s="65" t="s">
        <v>96</v>
      </c>
      <c r="E20" s="65" t="s">
        <v>412</v>
      </c>
      <c r="F20" s="65" t="s">
        <v>211</v>
      </c>
      <c r="G20" s="65" t="s">
        <v>96</v>
      </c>
      <c r="H20" s="65" t="s">
        <v>413</v>
      </c>
      <c r="I20" s="65" t="s">
        <v>414</v>
      </c>
      <c r="J20" s="65" t="s">
        <v>63</v>
      </c>
      <c r="K20" s="65" t="s">
        <v>2</v>
      </c>
      <c r="L20" s="65" t="s">
        <v>258</v>
      </c>
      <c r="M20" s="65" t="s">
        <v>68</v>
      </c>
      <c r="N20" s="65">
        <v>0</v>
      </c>
    </row>
    <row r="21" spans="1:14" x14ac:dyDescent="0.25">
      <c r="A21" s="68" t="s">
        <v>431</v>
      </c>
      <c r="B21" s="65" t="s">
        <v>96</v>
      </c>
      <c r="C21" s="65" t="s">
        <v>432</v>
      </c>
      <c r="D21" s="65" t="s">
        <v>96</v>
      </c>
      <c r="E21" s="65" t="s">
        <v>96</v>
      </c>
      <c r="F21" s="65" t="s">
        <v>433</v>
      </c>
      <c r="G21" s="65" t="s">
        <v>96</v>
      </c>
      <c r="H21" s="65" t="s">
        <v>434</v>
      </c>
      <c r="I21" s="65" t="s">
        <v>435</v>
      </c>
      <c r="J21" s="65" t="s">
        <v>63</v>
      </c>
      <c r="K21" s="65" t="s">
        <v>2</v>
      </c>
      <c r="L21" s="65" t="s">
        <v>258</v>
      </c>
      <c r="M21" s="65" t="s">
        <v>96</v>
      </c>
      <c r="N21" s="65" t="s">
        <v>96</v>
      </c>
    </row>
    <row r="22" spans="1:14" x14ac:dyDescent="0.25">
      <c r="A22" s="68" t="s">
        <v>376</v>
      </c>
      <c r="B22" s="65" t="s">
        <v>96</v>
      </c>
      <c r="C22" s="65" t="s">
        <v>363</v>
      </c>
      <c r="D22" s="65" t="s">
        <v>96</v>
      </c>
      <c r="E22" s="65" t="s">
        <v>96</v>
      </c>
      <c r="F22" s="65" t="s">
        <v>364</v>
      </c>
      <c r="G22" s="65" t="s">
        <v>96</v>
      </c>
      <c r="H22" s="69" t="s">
        <v>365</v>
      </c>
      <c r="I22" s="65" t="s">
        <v>359</v>
      </c>
      <c r="J22" s="65" t="s">
        <v>63</v>
      </c>
      <c r="K22" s="65" t="s">
        <v>2</v>
      </c>
      <c r="L22" s="65" t="s">
        <v>258</v>
      </c>
      <c r="M22" s="65" t="s">
        <v>96</v>
      </c>
      <c r="N22" s="65">
        <v>0</v>
      </c>
    </row>
    <row r="23" spans="1:14" x14ac:dyDescent="0.25">
      <c r="A23" s="68" t="s">
        <v>421</v>
      </c>
      <c r="B23" s="65" t="s">
        <v>96</v>
      </c>
      <c r="C23" s="65" t="s">
        <v>422</v>
      </c>
      <c r="D23" s="65" t="s">
        <v>96</v>
      </c>
      <c r="E23" s="65" t="s">
        <v>96</v>
      </c>
      <c r="F23" s="65" t="s">
        <v>423</v>
      </c>
      <c r="G23" s="65">
        <v>20</v>
      </c>
      <c r="H23" s="65" t="s">
        <v>424</v>
      </c>
      <c r="I23" s="65" t="s">
        <v>425</v>
      </c>
      <c r="J23" s="65" t="s">
        <v>63</v>
      </c>
      <c r="K23" s="65" t="s">
        <v>2</v>
      </c>
      <c r="L23" s="65" t="s">
        <v>258</v>
      </c>
      <c r="M23" s="65" t="s">
        <v>96</v>
      </c>
      <c r="N23" s="65" t="s">
        <v>96</v>
      </c>
    </row>
    <row r="24" spans="1:14" x14ac:dyDescent="0.25">
      <c r="A24" s="68" t="s">
        <v>389</v>
      </c>
      <c r="B24" s="65">
        <v>25</v>
      </c>
      <c r="C24" s="65">
        <v>10</v>
      </c>
      <c r="D24" s="65" t="s">
        <v>96</v>
      </c>
      <c r="E24" s="65" t="s">
        <v>96</v>
      </c>
      <c r="F24" s="65">
        <v>12</v>
      </c>
      <c r="G24" s="65" t="s">
        <v>96</v>
      </c>
      <c r="H24" s="65" t="s">
        <v>390</v>
      </c>
      <c r="I24" s="65" t="s">
        <v>391</v>
      </c>
      <c r="J24" s="65" t="s">
        <v>63</v>
      </c>
      <c r="K24" s="65" t="s">
        <v>2</v>
      </c>
      <c r="L24" s="65" t="s">
        <v>258</v>
      </c>
      <c r="M24" s="65" t="s">
        <v>96</v>
      </c>
      <c r="N24" s="65" t="s">
        <v>96</v>
      </c>
    </row>
    <row r="25" spans="1:14" x14ac:dyDescent="0.25">
      <c r="A25" s="68" t="s">
        <v>373</v>
      </c>
      <c r="B25" s="65" t="s">
        <v>96</v>
      </c>
      <c r="C25" s="65" t="s">
        <v>335</v>
      </c>
      <c r="D25" s="65" t="s">
        <v>96</v>
      </c>
      <c r="E25" s="65" t="s">
        <v>96</v>
      </c>
      <c r="F25" s="65" t="s">
        <v>336</v>
      </c>
      <c r="G25" s="65" t="s">
        <v>96</v>
      </c>
      <c r="H25" s="69" t="s">
        <v>337</v>
      </c>
      <c r="I25" s="65" t="s">
        <v>338</v>
      </c>
      <c r="J25" s="65" t="s">
        <v>63</v>
      </c>
      <c r="K25" s="65" t="s">
        <v>2</v>
      </c>
      <c r="L25" s="65" t="s">
        <v>258</v>
      </c>
      <c r="M25" s="65" t="s">
        <v>74</v>
      </c>
      <c r="N25" s="65">
        <v>0</v>
      </c>
    </row>
    <row r="26" spans="1:14" x14ac:dyDescent="0.25">
      <c r="A26" s="68" t="s">
        <v>372</v>
      </c>
      <c r="B26" s="65" t="s">
        <v>96</v>
      </c>
      <c r="C26" s="65">
        <v>1</v>
      </c>
      <c r="D26" s="65" t="s">
        <v>96</v>
      </c>
      <c r="E26" s="65">
        <v>11</v>
      </c>
      <c r="F26" s="65" t="s">
        <v>332</v>
      </c>
      <c r="G26" s="65" t="s">
        <v>96</v>
      </c>
      <c r="H26" s="69" t="s">
        <v>333</v>
      </c>
      <c r="I26" s="65" t="s">
        <v>334</v>
      </c>
      <c r="J26" s="65" t="s">
        <v>63</v>
      </c>
      <c r="K26" s="65" t="s">
        <v>2</v>
      </c>
      <c r="L26" s="65" t="s">
        <v>258</v>
      </c>
      <c r="M26" s="65" t="s">
        <v>68</v>
      </c>
      <c r="N26" s="65">
        <v>0</v>
      </c>
    </row>
    <row r="27" spans="1:14" x14ac:dyDescent="0.25">
      <c r="A27" s="68" t="s">
        <v>406</v>
      </c>
      <c r="B27" s="65" t="s">
        <v>96</v>
      </c>
      <c r="C27" s="65" t="s">
        <v>213</v>
      </c>
      <c r="D27" s="65" t="s">
        <v>96</v>
      </c>
      <c r="E27" s="65" t="s">
        <v>96</v>
      </c>
      <c r="F27" s="65" t="s">
        <v>402</v>
      </c>
      <c r="G27" s="65" t="s">
        <v>403</v>
      </c>
      <c r="H27" s="65" t="s">
        <v>404</v>
      </c>
      <c r="I27" s="65" t="s">
        <v>405</v>
      </c>
      <c r="J27" s="65" t="s">
        <v>63</v>
      </c>
      <c r="K27" s="65" t="s">
        <v>2</v>
      </c>
      <c r="L27" s="65" t="s">
        <v>258</v>
      </c>
      <c r="M27" s="65" t="s">
        <v>73</v>
      </c>
      <c r="N27" s="65" t="s">
        <v>96</v>
      </c>
    </row>
    <row r="28" spans="1:14" x14ac:dyDescent="0.25">
      <c r="A28" s="68" t="s">
        <v>407</v>
      </c>
      <c r="B28" s="65" t="s">
        <v>96</v>
      </c>
      <c r="C28" s="65">
        <v>2</v>
      </c>
      <c r="D28" s="65" t="s">
        <v>96</v>
      </c>
      <c r="E28" s="65" t="s">
        <v>96</v>
      </c>
      <c r="F28" s="65">
        <v>5</v>
      </c>
      <c r="G28" s="65" t="s">
        <v>409</v>
      </c>
      <c r="H28" s="65" t="s">
        <v>410</v>
      </c>
      <c r="I28" s="65" t="s">
        <v>411</v>
      </c>
      <c r="J28" s="65" t="s">
        <v>63</v>
      </c>
      <c r="K28" s="65" t="s">
        <v>2</v>
      </c>
      <c r="L28" s="65" t="s">
        <v>258</v>
      </c>
      <c r="M28" s="65" t="s">
        <v>68</v>
      </c>
      <c r="N28" s="65" t="s">
        <v>96</v>
      </c>
    </row>
    <row r="29" spans="1:14" x14ac:dyDescent="0.25">
      <c r="A29" s="68" t="s">
        <v>217</v>
      </c>
      <c r="B29" s="65" t="s">
        <v>204</v>
      </c>
      <c r="C29" s="65" t="s">
        <v>171</v>
      </c>
      <c r="D29" s="65" t="s">
        <v>96</v>
      </c>
      <c r="E29" s="65" t="s">
        <v>96</v>
      </c>
      <c r="F29" s="65" t="s">
        <v>205</v>
      </c>
      <c r="G29" s="65" t="s">
        <v>96</v>
      </c>
      <c r="H29" s="69" t="s">
        <v>296</v>
      </c>
      <c r="I29" s="65" t="s">
        <v>134</v>
      </c>
      <c r="J29" s="65" t="s">
        <v>66</v>
      </c>
      <c r="K29" s="65" t="s">
        <v>5</v>
      </c>
      <c r="L29" s="65" t="s">
        <v>70</v>
      </c>
      <c r="M29" s="65" t="s">
        <v>96</v>
      </c>
      <c r="N29" s="65">
        <v>0</v>
      </c>
    </row>
    <row r="30" spans="1:14" x14ac:dyDescent="0.25">
      <c r="A30" s="68" t="s">
        <v>383</v>
      </c>
      <c r="B30" s="65" t="s">
        <v>96</v>
      </c>
      <c r="C30" s="65" t="s">
        <v>265</v>
      </c>
      <c r="D30" s="65" t="s">
        <v>96</v>
      </c>
      <c r="E30" s="65" t="s">
        <v>96</v>
      </c>
      <c r="F30" s="65" t="s">
        <v>266</v>
      </c>
      <c r="G30" s="65" t="s">
        <v>96</v>
      </c>
      <c r="H30" s="69" t="s">
        <v>296</v>
      </c>
      <c r="I30" s="65" t="s">
        <v>134</v>
      </c>
      <c r="J30" s="65" t="e">
        <v>#N/A</v>
      </c>
      <c r="K30" s="65" t="e">
        <v>#N/A</v>
      </c>
      <c r="L30" s="65" t="e">
        <v>#N/A</v>
      </c>
      <c r="M30" s="65" t="e">
        <v>#N/A</v>
      </c>
      <c r="N30" s="65" t="e">
        <v>#N/A</v>
      </c>
    </row>
    <row r="31" spans="1:14" x14ac:dyDescent="0.25">
      <c r="A31" s="68" t="s">
        <v>436</v>
      </c>
      <c r="B31" s="65" t="s">
        <v>438</v>
      </c>
      <c r="C31" s="65">
        <v>1</v>
      </c>
      <c r="D31" s="65" t="s">
        <v>96</v>
      </c>
      <c r="E31" s="65" t="s">
        <v>96</v>
      </c>
      <c r="F31" s="65">
        <v>3</v>
      </c>
      <c r="G31" s="65" t="s">
        <v>96</v>
      </c>
      <c r="H31" s="69" t="s">
        <v>439</v>
      </c>
      <c r="I31" s="65" t="s">
        <v>437</v>
      </c>
      <c r="J31" s="65" t="s">
        <v>65</v>
      </c>
      <c r="K31" s="65" t="s">
        <v>4</v>
      </c>
      <c r="L31" s="65" t="s">
        <v>72</v>
      </c>
      <c r="M31" s="65" t="s">
        <v>96</v>
      </c>
      <c r="N31" s="65" t="s">
        <v>96</v>
      </c>
    </row>
    <row r="32" spans="1:14" x14ac:dyDescent="0.25">
      <c r="A32" s="68" t="s">
        <v>396</v>
      </c>
      <c r="B32" s="65" t="s">
        <v>96</v>
      </c>
      <c r="C32" s="65" t="s">
        <v>394</v>
      </c>
      <c r="D32" s="65" t="s">
        <v>96</v>
      </c>
      <c r="E32" s="65">
        <v>17</v>
      </c>
      <c r="F32" s="65" t="s">
        <v>395</v>
      </c>
      <c r="G32" s="65" t="s">
        <v>96</v>
      </c>
      <c r="H32" s="69" t="s">
        <v>393</v>
      </c>
      <c r="I32" s="65" t="s">
        <v>392</v>
      </c>
      <c r="J32" s="65" t="s">
        <v>65</v>
      </c>
      <c r="K32" s="65" t="s">
        <v>4</v>
      </c>
      <c r="L32" s="65" t="s">
        <v>72</v>
      </c>
      <c r="M32" s="65" t="s">
        <v>96</v>
      </c>
      <c r="N32" s="65" t="s">
        <v>96</v>
      </c>
    </row>
    <row r="33" spans="1:14" x14ac:dyDescent="0.25">
      <c r="A33" s="68" t="s">
        <v>353</v>
      </c>
      <c r="B33" s="65" t="s">
        <v>96</v>
      </c>
      <c r="C33" s="65">
        <v>1</v>
      </c>
      <c r="D33" s="65" t="s">
        <v>96</v>
      </c>
      <c r="E33" s="65">
        <v>2</v>
      </c>
      <c r="F33" s="65" t="s">
        <v>354</v>
      </c>
      <c r="G33" s="65" t="s">
        <v>166</v>
      </c>
      <c r="H33" s="69" t="s">
        <v>355</v>
      </c>
      <c r="I33" s="65" t="s">
        <v>356</v>
      </c>
      <c r="J33" s="65" t="e">
        <v>#N/A</v>
      </c>
      <c r="K33" s="65" t="e">
        <v>#N/A</v>
      </c>
      <c r="L33" s="65" t="e">
        <v>#N/A</v>
      </c>
      <c r="M33" s="65" t="e">
        <v>#N/A</v>
      </c>
      <c r="N33" s="65" t="e">
        <v>#N/A</v>
      </c>
    </row>
    <row r="34" spans="1:14" x14ac:dyDescent="0.25">
      <c r="A34" s="68" t="s">
        <v>120</v>
      </c>
      <c r="B34" s="65" t="s">
        <v>96</v>
      </c>
      <c r="C34" s="65" t="s">
        <v>155</v>
      </c>
      <c r="D34" s="65" t="s">
        <v>96</v>
      </c>
      <c r="E34" s="65" t="s">
        <v>156</v>
      </c>
      <c r="F34" s="65" t="s">
        <v>157</v>
      </c>
      <c r="G34" s="65" t="s">
        <v>96</v>
      </c>
      <c r="H34" s="69" t="s">
        <v>297</v>
      </c>
      <c r="I34" s="65" t="s">
        <v>147</v>
      </c>
      <c r="J34" s="65" t="s">
        <v>123</v>
      </c>
      <c r="K34" s="65" t="s">
        <v>2</v>
      </c>
      <c r="L34" s="65" t="s">
        <v>96</v>
      </c>
      <c r="M34" s="65" t="s">
        <v>96</v>
      </c>
      <c r="N34" s="65">
        <v>0</v>
      </c>
    </row>
    <row r="35" spans="1:14" x14ac:dyDescent="0.25">
      <c r="A35" s="68" t="s">
        <v>18</v>
      </c>
      <c r="B35" s="65" t="s">
        <v>340</v>
      </c>
      <c r="C35" s="65" t="s">
        <v>96</v>
      </c>
      <c r="D35" s="65" t="s">
        <v>96</v>
      </c>
      <c r="E35" s="65" t="s">
        <v>96</v>
      </c>
      <c r="F35" s="65" t="s">
        <v>341</v>
      </c>
      <c r="G35" s="65" t="s">
        <v>96</v>
      </c>
      <c r="H35" s="69" t="s">
        <v>342</v>
      </c>
      <c r="I35" s="65" t="s">
        <v>339</v>
      </c>
      <c r="J35" s="65" t="s">
        <v>65</v>
      </c>
      <c r="K35" s="65" t="s">
        <v>4</v>
      </c>
      <c r="L35" s="65" t="s">
        <v>72</v>
      </c>
      <c r="M35" s="65" t="s">
        <v>96</v>
      </c>
      <c r="N35" s="65" t="s">
        <v>96</v>
      </c>
    </row>
    <row r="36" spans="1:14" x14ac:dyDescent="0.25">
      <c r="A36" s="68" t="s">
        <v>151</v>
      </c>
      <c r="B36" s="65" t="s">
        <v>175</v>
      </c>
      <c r="C36" s="65" t="s">
        <v>96</v>
      </c>
      <c r="D36" s="65" t="s">
        <v>96</v>
      </c>
      <c r="E36" s="65" t="s">
        <v>176</v>
      </c>
      <c r="F36" s="65" t="s">
        <v>177</v>
      </c>
      <c r="G36" s="65">
        <v>17</v>
      </c>
      <c r="H36" s="69" t="s">
        <v>298</v>
      </c>
      <c r="I36" s="65" t="s">
        <v>152</v>
      </c>
      <c r="J36" s="65" t="s">
        <v>63</v>
      </c>
      <c r="K36" s="65" t="s">
        <v>2</v>
      </c>
      <c r="L36" s="65" t="s">
        <v>258</v>
      </c>
      <c r="M36" s="65" t="s">
        <v>96</v>
      </c>
      <c r="N36" s="65">
        <v>0</v>
      </c>
    </row>
    <row r="37" spans="1:14" x14ac:dyDescent="0.25">
      <c r="A37" s="68" t="s">
        <v>14</v>
      </c>
      <c r="B37" s="65">
        <v>10</v>
      </c>
      <c r="C37" s="65" t="s">
        <v>280</v>
      </c>
      <c r="D37" s="65" t="s">
        <v>96</v>
      </c>
      <c r="E37" s="65" t="s">
        <v>96</v>
      </c>
      <c r="F37" s="65" t="s">
        <v>281</v>
      </c>
      <c r="G37" s="65" t="s">
        <v>96</v>
      </c>
      <c r="H37" s="69" t="s">
        <v>330</v>
      </c>
      <c r="I37" s="65" t="s">
        <v>282</v>
      </c>
      <c r="J37" s="65" t="s">
        <v>67</v>
      </c>
      <c r="K37" s="65" t="s">
        <v>6</v>
      </c>
      <c r="L37" s="65" t="s">
        <v>73</v>
      </c>
      <c r="M37" s="65" t="s">
        <v>96</v>
      </c>
      <c r="N37" s="65">
        <v>0</v>
      </c>
    </row>
    <row r="38" spans="1:14" x14ac:dyDescent="0.25">
      <c r="A38" s="68" t="s">
        <v>240</v>
      </c>
      <c r="B38" s="65" t="s">
        <v>241</v>
      </c>
      <c r="C38" s="65" t="s">
        <v>96</v>
      </c>
      <c r="D38" s="65" t="s">
        <v>96</v>
      </c>
      <c r="E38" s="65" t="s">
        <v>96</v>
      </c>
      <c r="F38" s="65" t="s">
        <v>242</v>
      </c>
      <c r="G38" s="65" t="s">
        <v>96</v>
      </c>
      <c r="H38" s="69" t="s">
        <v>326</v>
      </c>
      <c r="I38" s="65" t="s">
        <v>244</v>
      </c>
      <c r="J38" s="65" t="s">
        <v>65</v>
      </c>
      <c r="K38" s="65" t="s">
        <v>4</v>
      </c>
      <c r="L38" s="65" t="s">
        <v>72</v>
      </c>
      <c r="M38" s="65" t="s">
        <v>96</v>
      </c>
      <c r="N38" s="65" t="s">
        <v>243</v>
      </c>
    </row>
    <row r="39" spans="1:14" x14ac:dyDescent="0.25">
      <c r="A39" s="68" t="s">
        <v>129</v>
      </c>
      <c r="B39" s="65" t="s">
        <v>200</v>
      </c>
      <c r="C39" s="65" t="s">
        <v>201</v>
      </c>
      <c r="D39" s="65" t="s">
        <v>96</v>
      </c>
      <c r="E39" s="65" t="s">
        <v>202</v>
      </c>
      <c r="F39" s="65" t="s">
        <v>203</v>
      </c>
      <c r="G39" s="65" t="s">
        <v>96</v>
      </c>
      <c r="H39" s="69" t="s">
        <v>299</v>
      </c>
      <c r="I39" s="65" t="s">
        <v>222</v>
      </c>
      <c r="J39" s="65" t="s">
        <v>65</v>
      </c>
      <c r="K39" s="65" t="s">
        <v>4</v>
      </c>
      <c r="L39" s="65" t="s">
        <v>72</v>
      </c>
      <c r="M39" s="65" t="s">
        <v>96</v>
      </c>
      <c r="N39" s="65" t="s">
        <v>235</v>
      </c>
    </row>
    <row r="40" spans="1:14" x14ac:dyDescent="0.25">
      <c r="A40" s="68" t="s">
        <v>300</v>
      </c>
      <c r="B40" s="65" t="s">
        <v>208</v>
      </c>
      <c r="C40" s="65" t="s">
        <v>96</v>
      </c>
      <c r="D40" s="65" t="s">
        <v>96</v>
      </c>
      <c r="E40" s="65" t="s">
        <v>209</v>
      </c>
      <c r="F40" s="65" t="s">
        <v>210</v>
      </c>
      <c r="G40" s="65" t="s">
        <v>96</v>
      </c>
      <c r="H40" s="69" t="s">
        <v>301</v>
      </c>
      <c r="I40" s="65" t="s">
        <v>131</v>
      </c>
      <c r="J40" s="65" t="s">
        <v>67</v>
      </c>
      <c r="K40" s="65" t="s">
        <v>113</v>
      </c>
      <c r="L40" s="65" t="s">
        <v>73</v>
      </c>
      <c r="M40" s="65" t="s">
        <v>71</v>
      </c>
      <c r="N40" s="65" t="s">
        <v>98</v>
      </c>
    </row>
    <row r="41" spans="1:14" x14ac:dyDescent="0.25">
      <c r="A41" s="68" t="s">
        <v>130</v>
      </c>
      <c r="B41" s="65" t="s">
        <v>206</v>
      </c>
      <c r="C41" s="65" t="s">
        <v>96</v>
      </c>
      <c r="D41" s="65" t="s">
        <v>96</v>
      </c>
      <c r="E41" s="65" t="s">
        <v>161</v>
      </c>
      <c r="F41" s="65" t="s">
        <v>207</v>
      </c>
      <c r="G41" s="65" t="s">
        <v>96</v>
      </c>
      <c r="H41" s="69" t="s">
        <v>302</v>
      </c>
      <c r="I41" s="65" t="s">
        <v>133</v>
      </c>
      <c r="J41" s="65" t="s">
        <v>67</v>
      </c>
      <c r="K41" s="65" t="s">
        <v>113</v>
      </c>
      <c r="L41" s="65" t="s">
        <v>73</v>
      </c>
      <c r="M41" s="65" t="s">
        <v>71</v>
      </c>
      <c r="N41" s="65" t="s">
        <v>132</v>
      </c>
    </row>
    <row r="42" spans="1:14" x14ac:dyDescent="0.25">
      <c r="A42" s="68" t="s">
        <v>249</v>
      </c>
      <c r="B42" s="65" t="s">
        <v>251</v>
      </c>
      <c r="C42" s="65" t="s">
        <v>96</v>
      </c>
      <c r="D42" s="65" t="s">
        <v>252</v>
      </c>
      <c r="E42" s="65" t="s">
        <v>253</v>
      </c>
      <c r="F42" s="65" t="s">
        <v>254</v>
      </c>
      <c r="G42" s="65" t="s">
        <v>96</v>
      </c>
      <c r="H42" s="69" t="s">
        <v>308</v>
      </c>
      <c r="I42" s="65" t="s">
        <v>250</v>
      </c>
      <c r="J42" s="65" t="s">
        <v>65</v>
      </c>
      <c r="K42" s="65" t="s">
        <v>4</v>
      </c>
      <c r="L42" s="65" t="s">
        <v>72</v>
      </c>
      <c r="M42" s="65" t="s">
        <v>96</v>
      </c>
      <c r="N42" s="65" t="s">
        <v>279</v>
      </c>
    </row>
    <row r="43" spans="1:14" x14ac:dyDescent="0.25">
      <c r="A43" s="68" t="s">
        <v>456</v>
      </c>
      <c r="B43" s="65" t="s">
        <v>96</v>
      </c>
      <c r="C43" s="65" t="s">
        <v>246</v>
      </c>
      <c r="D43" s="65" t="s">
        <v>247</v>
      </c>
      <c r="E43" s="65">
        <v>10</v>
      </c>
      <c r="F43" s="65" t="s">
        <v>248</v>
      </c>
      <c r="G43" s="65">
        <v>7</v>
      </c>
      <c r="H43" s="69" t="s">
        <v>312</v>
      </c>
      <c r="I43" s="65" t="s">
        <v>245</v>
      </c>
      <c r="J43" s="65" t="s">
        <v>65</v>
      </c>
      <c r="K43" s="65" t="s">
        <v>4</v>
      </c>
      <c r="L43" s="65" t="s">
        <v>283</v>
      </c>
      <c r="M43" s="65" t="s">
        <v>96</v>
      </c>
      <c r="N43" s="65">
        <v>0</v>
      </c>
    </row>
    <row r="44" spans="1:14" x14ac:dyDescent="0.25">
      <c r="A44" s="68" t="s">
        <v>124</v>
      </c>
      <c r="B44" s="65">
        <v>29</v>
      </c>
      <c r="C44" s="65" t="s">
        <v>178</v>
      </c>
      <c r="D44" s="65" t="s">
        <v>179</v>
      </c>
      <c r="E44" s="65" t="s">
        <v>96</v>
      </c>
      <c r="F44" s="65" t="s">
        <v>180</v>
      </c>
      <c r="G44" s="65" t="s">
        <v>96</v>
      </c>
      <c r="H44" s="69" t="s">
        <v>303</v>
      </c>
      <c r="I44" s="65" t="s">
        <v>141</v>
      </c>
      <c r="J44" s="65" t="s">
        <v>62</v>
      </c>
      <c r="K44" s="65" t="s">
        <v>4</v>
      </c>
      <c r="L44" s="65" t="s">
        <v>283</v>
      </c>
      <c r="M44" s="65" t="s">
        <v>96</v>
      </c>
      <c r="N44" s="65">
        <v>0</v>
      </c>
    </row>
    <row r="45" spans="1:14" x14ac:dyDescent="0.25">
      <c r="A45" s="68" t="s">
        <v>274</v>
      </c>
      <c r="B45" s="65" t="s">
        <v>96</v>
      </c>
      <c r="C45" s="65" t="s">
        <v>183</v>
      </c>
      <c r="D45" s="65" t="s">
        <v>184</v>
      </c>
      <c r="E45" s="65" t="s">
        <v>185</v>
      </c>
      <c r="F45" s="65" t="s">
        <v>186</v>
      </c>
      <c r="G45" s="65" t="s">
        <v>96</v>
      </c>
      <c r="H45" s="69" t="s">
        <v>304</v>
      </c>
      <c r="I45" s="65" t="s">
        <v>139</v>
      </c>
      <c r="J45" s="65" t="s">
        <v>259</v>
      </c>
      <c r="K45" s="65" t="s">
        <v>4</v>
      </c>
      <c r="L45" s="65" t="s">
        <v>72</v>
      </c>
      <c r="M45" s="65" t="s">
        <v>96</v>
      </c>
      <c r="N45" s="65" t="s">
        <v>97</v>
      </c>
    </row>
    <row r="46" spans="1:14" x14ac:dyDescent="0.25">
      <c r="A46" s="68" t="s">
        <v>126</v>
      </c>
      <c r="B46" s="65" t="s">
        <v>96</v>
      </c>
      <c r="C46" s="65" t="s">
        <v>187</v>
      </c>
      <c r="D46" s="65">
        <v>29</v>
      </c>
      <c r="E46" s="65">
        <v>20</v>
      </c>
      <c r="F46" s="65" t="s">
        <v>188</v>
      </c>
      <c r="G46" s="65" t="s">
        <v>96</v>
      </c>
      <c r="H46" s="69" t="s">
        <v>305</v>
      </c>
      <c r="I46" s="65" t="s">
        <v>138</v>
      </c>
      <c r="J46" s="65" t="s">
        <v>259</v>
      </c>
      <c r="K46" s="65" t="s">
        <v>4</v>
      </c>
      <c r="L46" s="65" t="s">
        <v>258</v>
      </c>
      <c r="M46" s="65" t="s">
        <v>96</v>
      </c>
      <c r="N46" s="65" t="s">
        <v>97</v>
      </c>
    </row>
    <row r="47" spans="1:14" x14ac:dyDescent="0.25">
      <c r="A47" s="68" t="s">
        <v>284</v>
      </c>
      <c r="B47" s="65" t="s">
        <v>96</v>
      </c>
      <c r="C47" s="65" t="s">
        <v>285</v>
      </c>
      <c r="D47" s="65" t="s">
        <v>286</v>
      </c>
      <c r="E47" s="65">
        <v>7</v>
      </c>
      <c r="F47" s="65" t="s">
        <v>287</v>
      </c>
      <c r="G47" s="65" t="s">
        <v>96</v>
      </c>
      <c r="H47" s="69" t="s">
        <v>331</v>
      </c>
      <c r="I47" s="65" t="s">
        <v>229</v>
      </c>
      <c r="J47" s="65" t="s">
        <v>65</v>
      </c>
      <c r="K47" s="65" t="s">
        <v>4</v>
      </c>
      <c r="L47" s="65" t="s">
        <v>72</v>
      </c>
      <c r="M47" s="65" t="s">
        <v>96</v>
      </c>
      <c r="N47" s="65">
        <v>0</v>
      </c>
    </row>
    <row r="48" spans="1:14" x14ac:dyDescent="0.25">
      <c r="A48" s="68" t="s">
        <v>264</v>
      </c>
      <c r="B48" s="65" t="s">
        <v>96</v>
      </c>
      <c r="C48" s="65" t="s">
        <v>262</v>
      </c>
      <c r="D48" s="65" t="s">
        <v>96</v>
      </c>
      <c r="E48" s="65" t="s">
        <v>96</v>
      </c>
      <c r="F48" s="65" t="s">
        <v>263</v>
      </c>
      <c r="G48" s="65" t="s">
        <v>96</v>
      </c>
      <c r="H48" s="69" t="s">
        <v>309</v>
      </c>
      <c r="I48" s="65" t="s">
        <v>261</v>
      </c>
      <c r="J48" s="65" t="s">
        <v>65</v>
      </c>
      <c r="K48" s="65" t="s">
        <v>4</v>
      </c>
      <c r="L48" s="65" t="s">
        <v>72</v>
      </c>
      <c r="M48" s="65" t="s">
        <v>96</v>
      </c>
      <c r="N48" s="65">
        <v>0</v>
      </c>
    </row>
    <row r="49" spans="1:14" x14ac:dyDescent="0.25">
      <c r="A49" s="68" t="s">
        <v>264</v>
      </c>
      <c r="B49" s="65" t="s">
        <v>268</v>
      </c>
      <c r="C49" s="65" t="s">
        <v>96</v>
      </c>
      <c r="D49" s="65" t="s">
        <v>96</v>
      </c>
      <c r="E49" s="65" t="s">
        <v>96</v>
      </c>
      <c r="F49" s="65" t="s">
        <v>269</v>
      </c>
      <c r="G49" s="65" t="s">
        <v>96</v>
      </c>
      <c r="H49" s="69" t="s">
        <v>309</v>
      </c>
      <c r="I49" s="65" t="s">
        <v>261</v>
      </c>
      <c r="J49" s="65" t="s">
        <v>65</v>
      </c>
      <c r="K49" s="65" t="s">
        <v>4</v>
      </c>
      <c r="L49" s="65" t="s">
        <v>72</v>
      </c>
      <c r="M49" s="65" t="s">
        <v>96</v>
      </c>
      <c r="N49" s="65">
        <v>0</v>
      </c>
    </row>
    <row r="50" spans="1:14" x14ac:dyDescent="0.25">
      <c r="A50" s="68" t="s">
        <v>306</v>
      </c>
      <c r="B50" s="65" t="s">
        <v>96</v>
      </c>
      <c r="C50" s="65" t="s">
        <v>189</v>
      </c>
      <c r="D50" s="65" t="s">
        <v>190</v>
      </c>
      <c r="E50" s="65" t="s">
        <v>191</v>
      </c>
      <c r="F50" s="65" t="s">
        <v>192</v>
      </c>
      <c r="G50" s="65">
        <v>21</v>
      </c>
      <c r="H50" s="69" t="s">
        <v>307</v>
      </c>
      <c r="I50" s="65" t="s">
        <v>137</v>
      </c>
      <c r="J50" s="65" t="s">
        <v>62</v>
      </c>
      <c r="K50" s="65" t="s">
        <v>4</v>
      </c>
      <c r="L50" s="65" t="s">
        <v>72</v>
      </c>
      <c r="M50" s="65" t="s">
        <v>96</v>
      </c>
      <c r="N50" s="65">
        <v>0</v>
      </c>
    </row>
    <row r="51" spans="1:14" x14ac:dyDescent="0.25">
      <c r="A51" s="68" t="s">
        <v>255</v>
      </c>
      <c r="B51" s="65" t="s">
        <v>257</v>
      </c>
      <c r="C51" s="65" t="s">
        <v>96</v>
      </c>
      <c r="D51" s="65" t="s">
        <v>96</v>
      </c>
      <c r="E51" s="65" t="s">
        <v>96</v>
      </c>
      <c r="F51" s="65" t="s">
        <v>267</v>
      </c>
      <c r="G51" s="65" t="s">
        <v>96</v>
      </c>
      <c r="H51" s="69" t="s">
        <v>327</v>
      </c>
      <c r="I51" s="65" t="s">
        <v>256</v>
      </c>
      <c r="J51" s="65" t="s">
        <v>65</v>
      </c>
      <c r="K51" s="65" t="s">
        <v>4</v>
      </c>
      <c r="L51" s="65" t="s">
        <v>72</v>
      </c>
      <c r="M51" s="65" t="s">
        <v>96</v>
      </c>
      <c r="N51" s="65" t="s">
        <v>279</v>
      </c>
    </row>
    <row r="52" spans="1:14" x14ac:dyDescent="0.25">
      <c r="A52" s="68" t="s">
        <v>127</v>
      </c>
      <c r="B52" s="65" t="s">
        <v>96</v>
      </c>
      <c r="C52" s="65" t="s">
        <v>193</v>
      </c>
      <c r="D52" s="65" t="s">
        <v>194</v>
      </c>
      <c r="E52" s="65" t="s">
        <v>96</v>
      </c>
      <c r="F52" s="65" t="s">
        <v>195</v>
      </c>
      <c r="G52" s="65">
        <v>10</v>
      </c>
      <c r="H52" s="69" t="s">
        <v>310</v>
      </c>
      <c r="I52" s="65" t="s">
        <v>136</v>
      </c>
      <c r="J52" s="65" t="s">
        <v>65</v>
      </c>
      <c r="K52" s="65" t="s">
        <v>4</v>
      </c>
      <c r="L52" s="65" t="s">
        <v>72</v>
      </c>
      <c r="M52" s="65" t="s">
        <v>96</v>
      </c>
      <c r="N52" s="65">
        <v>0</v>
      </c>
    </row>
    <row r="53" spans="1:14" x14ac:dyDescent="0.25">
      <c r="A53" s="68" t="s">
        <v>128</v>
      </c>
      <c r="B53" s="65" t="s">
        <v>196</v>
      </c>
      <c r="C53" s="65" t="s">
        <v>197</v>
      </c>
      <c r="D53" s="65" t="s">
        <v>198</v>
      </c>
      <c r="E53" s="65">
        <v>27</v>
      </c>
      <c r="F53" s="65" t="s">
        <v>199</v>
      </c>
      <c r="G53" s="65" t="s">
        <v>96</v>
      </c>
      <c r="H53" s="69" t="s">
        <v>311</v>
      </c>
      <c r="I53" s="65" t="s">
        <v>135</v>
      </c>
      <c r="J53" s="65" t="s">
        <v>65</v>
      </c>
      <c r="K53" s="65" t="s">
        <v>4</v>
      </c>
      <c r="L53" s="65" t="s">
        <v>260</v>
      </c>
      <c r="M53" s="65" t="s">
        <v>96</v>
      </c>
      <c r="N53" s="65">
        <v>0</v>
      </c>
    </row>
    <row r="54" spans="1:14" x14ac:dyDescent="0.25">
      <c r="A54" s="68" t="s">
        <v>125</v>
      </c>
      <c r="B54" s="65" t="s">
        <v>96</v>
      </c>
      <c r="C54" s="65" t="s">
        <v>181</v>
      </c>
      <c r="D54" s="65" t="s">
        <v>96</v>
      </c>
      <c r="E54" s="65">
        <v>17</v>
      </c>
      <c r="F54" s="65" t="s">
        <v>182</v>
      </c>
      <c r="G54" s="65" t="s">
        <v>96</v>
      </c>
      <c r="H54" s="69" t="s">
        <v>313</v>
      </c>
      <c r="I54" s="65" t="s">
        <v>140</v>
      </c>
      <c r="J54" s="65" t="s">
        <v>65</v>
      </c>
      <c r="K54" s="65" t="s">
        <v>4</v>
      </c>
      <c r="L54" s="65" t="s">
        <v>72</v>
      </c>
      <c r="M54" s="65" t="s">
        <v>96</v>
      </c>
      <c r="N54" s="65" t="s">
        <v>111</v>
      </c>
    </row>
    <row r="55" spans="1:14" x14ac:dyDescent="0.25">
      <c r="A55" s="68" t="s">
        <v>39</v>
      </c>
      <c r="B55" s="65">
        <v>3</v>
      </c>
      <c r="C55" s="65" t="s">
        <v>96</v>
      </c>
      <c r="D55" s="65" t="s">
        <v>96</v>
      </c>
      <c r="E55" s="65" t="s">
        <v>96</v>
      </c>
      <c r="F55" s="65" t="s">
        <v>215</v>
      </c>
      <c r="G55" s="65"/>
      <c r="H55" s="69" t="s">
        <v>314</v>
      </c>
      <c r="I55" s="65" t="s">
        <v>216</v>
      </c>
      <c r="J55" s="65" t="s">
        <v>62</v>
      </c>
      <c r="K55" s="65" t="s">
        <v>2</v>
      </c>
      <c r="L55" s="65" t="s">
        <v>258</v>
      </c>
      <c r="M55" s="65" t="s">
        <v>96</v>
      </c>
      <c r="N55" s="65" t="s">
        <v>234</v>
      </c>
    </row>
    <row r="56" spans="1:14" x14ac:dyDescent="0.25">
      <c r="A56" s="68" t="s">
        <v>368</v>
      </c>
      <c r="B56" s="65" t="s">
        <v>369</v>
      </c>
      <c r="C56" s="65" t="s">
        <v>96</v>
      </c>
      <c r="D56" s="65" t="s">
        <v>96</v>
      </c>
      <c r="E56" s="65" t="s">
        <v>96</v>
      </c>
      <c r="F56" s="65" t="s">
        <v>96</v>
      </c>
      <c r="G56" s="65" t="s">
        <v>96</v>
      </c>
      <c r="H56" s="69" t="s">
        <v>370</v>
      </c>
      <c r="I56" s="65" t="s">
        <v>371</v>
      </c>
      <c r="J56" s="65" t="s">
        <v>62</v>
      </c>
      <c r="K56" s="65" t="s">
        <v>2</v>
      </c>
      <c r="L56" s="65" t="s">
        <v>258</v>
      </c>
      <c r="M56" s="65" t="s">
        <v>96</v>
      </c>
      <c r="N56" s="65" t="s">
        <v>96</v>
      </c>
    </row>
    <row r="57" spans="1:14" x14ac:dyDescent="0.25">
      <c r="A57" s="68" t="s">
        <v>218</v>
      </c>
      <c r="B57" s="65" t="s">
        <v>219</v>
      </c>
      <c r="C57" s="65" t="s">
        <v>96</v>
      </c>
      <c r="D57" s="65" t="s">
        <v>96</v>
      </c>
      <c r="E57" s="65" t="s">
        <v>96</v>
      </c>
      <c r="F57" s="65" t="s">
        <v>96</v>
      </c>
      <c r="G57" s="65"/>
      <c r="H57" s="69" t="s">
        <v>315</v>
      </c>
      <c r="I57" s="65" t="s">
        <v>220</v>
      </c>
      <c r="J57" s="65" t="s">
        <v>62</v>
      </c>
      <c r="K57" s="65" t="s">
        <v>2</v>
      </c>
      <c r="L57" s="65" t="s">
        <v>258</v>
      </c>
      <c r="M57" s="65" t="s">
        <v>96</v>
      </c>
      <c r="N57" s="65" t="s">
        <v>221</v>
      </c>
    </row>
    <row r="58" spans="1:14" x14ac:dyDescent="0.25">
      <c r="A58" s="68" t="s">
        <v>212</v>
      </c>
      <c r="B58" s="65" t="s">
        <v>213</v>
      </c>
      <c r="C58" s="65" t="s">
        <v>96</v>
      </c>
      <c r="D58" s="65" t="s">
        <v>96</v>
      </c>
      <c r="E58" s="65" t="s">
        <v>96</v>
      </c>
      <c r="F58" s="65" t="s">
        <v>213</v>
      </c>
      <c r="G58" s="65" t="s">
        <v>96</v>
      </c>
      <c r="H58" s="69" t="s">
        <v>316</v>
      </c>
      <c r="I58" s="65" t="s">
        <v>214</v>
      </c>
      <c r="J58" s="65" t="s">
        <v>62</v>
      </c>
      <c r="K58" s="65" t="s">
        <v>2</v>
      </c>
      <c r="L58" s="65" t="s">
        <v>258</v>
      </c>
      <c r="M58" s="65" t="s">
        <v>96</v>
      </c>
      <c r="N58" s="65">
        <v>0</v>
      </c>
    </row>
    <row r="59" spans="1:14" x14ac:dyDescent="0.25">
      <c r="A59" s="68" t="s">
        <v>121</v>
      </c>
      <c r="B59" s="65" t="s">
        <v>158</v>
      </c>
      <c r="C59" s="65" t="s">
        <v>159</v>
      </c>
      <c r="D59" s="65" t="s">
        <v>96</v>
      </c>
      <c r="E59" s="65" t="s">
        <v>96</v>
      </c>
      <c r="F59" s="65">
        <v>29</v>
      </c>
      <c r="G59" s="65" t="s">
        <v>160</v>
      </c>
      <c r="H59" s="69" t="s">
        <v>317</v>
      </c>
      <c r="I59" s="65" t="s">
        <v>146</v>
      </c>
      <c r="J59" s="65" t="s">
        <v>62</v>
      </c>
      <c r="K59" s="65" t="s">
        <v>2</v>
      </c>
      <c r="L59" s="65" t="s">
        <v>258</v>
      </c>
      <c r="M59" s="65" t="s">
        <v>96</v>
      </c>
      <c r="N59" s="65" t="s">
        <v>234</v>
      </c>
    </row>
    <row r="60" spans="1:14" x14ac:dyDescent="0.25">
      <c r="A60" s="68" t="s">
        <v>446</v>
      </c>
      <c r="B60" s="65" t="s">
        <v>397</v>
      </c>
      <c r="C60" s="65" t="s">
        <v>96</v>
      </c>
      <c r="D60" s="65" t="s">
        <v>96</v>
      </c>
      <c r="E60" s="65">
        <v>20</v>
      </c>
      <c r="F60" s="65">
        <v>15</v>
      </c>
      <c r="G60" s="65" t="s">
        <v>96</v>
      </c>
      <c r="H60" s="65">
        <v>194</v>
      </c>
      <c r="I60" s="69" t="s">
        <v>366</v>
      </c>
      <c r="J60" s="65" t="s">
        <v>62</v>
      </c>
      <c r="K60" s="65" t="s">
        <v>2</v>
      </c>
      <c r="L60" s="65" t="s">
        <v>258</v>
      </c>
      <c r="M60" s="65" t="s">
        <v>96</v>
      </c>
      <c r="N60" s="65" t="s">
        <v>96</v>
      </c>
    </row>
    <row r="61" spans="1:14" x14ac:dyDescent="0.25">
      <c r="A61" s="68" t="s">
        <v>385</v>
      </c>
      <c r="B61" s="65" t="s">
        <v>318</v>
      </c>
      <c r="C61" s="65" t="s">
        <v>319</v>
      </c>
      <c r="D61" s="65" t="s">
        <v>96</v>
      </c>
      <c r="E61" s="65" t="s">
        <v>96</v>
      </c>
      <c r="F61" s="65" t="s">
        <v>320</v>
      </c>
      <c r="G61" s="65" t="s">
        <v>96</v>
      </c>
      <c r="H61" s="69" t="s">
        <v>321</v>
      </c>
      <c r="I61" s="65" t="s">
        <v>112</v>
      </c>
      <c r="J61" s="65" t="s">
        <v>63</v>
      </c>
      <c r="K61" s="65" t="s">
        <v>2</v>
      </c>
      <c r="L61" s="65" t="s">
        <v>258</v>
      </c>
      <c r="M61" s="65" t="s">
        <v>69</v>
      </c>
      <c r="N61" s="65" t="s">
        <v>145</v>
      </c>
    </row>
    <row r="62" spans="1:14" x14ac:dyDescent="0.25">
      <c r="A62" s="68" t="s">
        <v>237</v>
      </c>
      <c r="B62" s="65" t="s">
        <v>96</v>
      </c>
      <c r="C62" s="65" t="s">
        <v>238</v>
      </c>
      <c r="D62" s="65" t="s">
        <v>96</v>
      </c>
      <c r="E62" s="65" t="s">
        <v>96</v>
      </c>
      <c r="F62" s="65" t="s">
        <v>96</v>
      </c>
      <c r="G62" s="65" t="s">
        <v>96</v>
      </c>
      <c r="H62" s="69" t="s">
        <v>325</v>
      </c>
      <c r="I62" s="65" t="s">
        <v>239</v>
      </c>
      <c r="J62" s="65" t="s">
        <v>63</v>
      </c>
      <c r="K62" s="65" t="s">
        <v>2</v>
      </c>
      <c r="L62" s="65" t="s">
        <v>258</v>
      </c>
      <c r="M62" s="65" t="s">
        <v>96</v>
      </c>
      <c r="N62" s="65">
        <v>0</v>
      </c>
    </row>
    <row r="63" spans="1:14" x14ac:dyDescent="0.25">
      <c r="A63" s="68" t="s">
        <v>100</v>
      </c>
      <c r="B63" s="65" t="s">
        <v>211</v>
      </c>
      <c r="C63" s="65" t="s">
        <v>211</v>
      </c>
      <c r="D63" s="65" t="s">
        <v>96</v>
      </c>
      <c r="E63" s="65" t="s">
        <v>96</v>
      </c>
      <c r="F63" s="65" t="s">
        <v>154</v>
      </c>
      <c r="G63" s="65" t="s">
        <v>96</v>
      </c>
      <c r="H63" s="69" t="s">
        <v>322</v>
      </c>
      <c r="I63" s="65" t="s">
        <v>119</v>
      </c>
      <c r="J63" s="65" t="s">
        <v>123</v>
      </c>
      <c r="K63" s="65" t="s">
        <v>2</v>
      </c>
      <c r="L63" s="65" t="s">
        <v>96</v>
      </c>
      <c r="M63" s="65" t="s">
        <v>96</v>
      </c>
      <c r="N63" s="65" t="s">
        <v>232</v>
      </c>
    </row>
    <row r="64" spans="1:14" x14ac:dyDescent="0.25">
      <c r="A64" s="68" t="s">
        <v>452</v>
      </c>
      <c r="B64" s="65" t="s">
        <v>96</v>
      </c>
      <c r="C64" s="65" t="s">
        <v>453</v>
      </c>
      <c r="D64" s="65" t="s">
        <v>96</v>
      </c>
      <c r="E64" s="65" t="s">
        <v>96</v>
      </c>
      <c r="F64" s="65" t="s">
        <v>96</v>
      </c>
      <c r="G64" s="65" t="s">
        <v>96</v>
      </c>
      <c r="H64" s="69" t="s">
        <v>454</v>
      </c>
      <c r="I64" s="83" t="s">
        <v>455</v>
      </c>
      <c r="J64" s="65" t="s">
        <v>63</v>
      </c>
      <c r="K64" s="65" t="s">
        <v>2</v>
      </c>
      <c r="L64" s="65" t="s">
        <v>258</v>
      </c>
      <c r="M64" s="65" t="s">
        <v>96</v>
      </c>
      <c r="N64" s="65" t="s">
        <v>96</v>
      </c>
    </row>
  </sheetData>
  <sortState xmlns:xlrd2="http://schemas.microsoft.com/office/spreadsheetml/2017/richdata2" ref="A2:G32">
    <sortCondition ref="A32"/>
  </sortState>
  <hyperlinks>
    <hyperlink ref="I2" r:id="rId1" xr:uid="{041AF49B-2577-4D75-8500-41DC9D163AED}"/>
    <hyperlink ref="I26" r:id="rId2" xr:uid="{F20203D2-0BB3-4E64-8172-AD641FBB600A}"/>
    <hyperlink ref="I25" r:id="rId3" xr:uid="{5DC51AA6-DE81-47C1-9098-4F1A7F26FB93}"/>
    <hyperlink ref="I35" r:id="rId4" xr:uid="{0BFF4162-DB69-4C29-B186-E9A85B107A56}"/>
    <hyperlink ref="I22" r:id="rId5" xr:uid="{9E0BC272-4FEF-4CDB-830E-24B386FC3020}"/>
    <hyperlink ref="I10" r:id="rId6" xr:uid="{219D3342-5D6F-4EDF-83D2-1FD687035DC9}"/>
    <hyperlink ref="I32" r:id="rId7" xr:uid="{D823CF83-7601-43F2-AC74-B043F7C8894D}"/>
    <hyperlink ref="I39" r:id="rId8" xr:uid="{235471E9-B589-429F-9FD3-A3FFE42B70F5}"/>
    <hyperlink ref="I3" r:id="rId9" xr:uid="{686325D6-1147-447A-8D9F-BD23BC4CBE93}"/>
    <hyperlink ref="I4" r:id="rId10" xr:uid="{756AFA08-6B8E-4F27-B67F-C776736CEA0C}"/>
    <hyperlink ref="I5" r:id="rId11" xr:uid="{04D7B8AF-C832-4E71-8613-2CD3FA852590}"/>
    <hyperlink ref="I6" r:id="rId12" xr:uid="{D2584998-BE2F-40FC-93AD-5B8128A2FA01}"/>
    <hyperlink ref="I7" r:id="rId13" xr:uid="{9AD7EF87-6AD1-411D-8F8E-3DDA90F2B584}"/>
    <hyperlink ref="I8" r:id="rId14" xr:uid="{21FE7DAD-1E8C-4B26-9A82-6F725767FBEC}"/>
    <hyperlink ref="I11" r:id="rId15" xr:uid="{30D238F3-5BD2-4EB9-844A-5E2A78E2B9F2}"/>
    <hyperlink ref="I12" r:id="rId16" xr:uid="{E354BCB2-75F2-493B-9177-53369782B4F6}"/>
    <hyperlink ref="I15" r:id="rId17" xr:uid="{A87B8596-7D5D-432B-ADCE-5F585995E18F}"/>
    <hyperlink ref="I13" r:id="rId18" xr:uid="{611EBE0E-DC94-49B0-9E09-7A37C76B47E8}"/>
    <hyperlink ref="I17" r:id="rId19" xr:uid="{0DA3E5D5-B663-408E-8EBB-51FDF621B921}"/>
    <hyperlink ref="I18" r:id="rId20" xr:uid="{699DE31E-036F-4735-B381-FD14186661CE}"/>
    <hyperlink ref="I24" r:id="rId21" xr:uid="{1DE39F93-6314-488B-9C0D-FF07F17C914A}"/>
    <hyperlink ref="I29" r:id="rId22" xr:uid="{7C5FE07D-4442-4353-B7C9-09216AE41B4E}"/>
    <hyperlink ref="I34" r:id="rId23" xr:uid="{5D868E90-388A-4A91-B38C-4A26943EE753}"/>
    <hyperlink ref="I36" r:id="rId24" xr:uid="{E9F99CA7-C0B9-4050-B80B-BE3A9BF395FE}"/>
    <hyperlink ref="I37" r:id="rId25" xr:uid="{137C2D05-6EFE-4EED-B6A7-29961562938D}"/>
    <hyperlink ref="I38" r:id="rId26" xr:uid="{1266C215-220D-499A-B8BF-F3027B171C8C}"/>
    <hyperlink ref="I40" r:id="rId27" xr:uid="{FCC651E4-B148-46EB-B0B2-FEB3A5FA1BBE}"/>
    <hyperlink ref="I41" r:id="rId28" xr:uid="{1B888533-7467-4C7A-B464-EF69692840C6}"/>
    <hyperlink ref="I42" r:id="rId29" xr:uid="{EFC66052-F0C3-43C3-BB27-1801DE739992}"/>
    <hyperlink ref="I43" r:id="rId30" xr:uid="{C0664CA2-FB62-43F1-8FDD-E6F556454827}"/>
    <hyperlink ref="I44" r:id="rId31" xr:uid="{5B3FAEC0-4BF2-47FD-BA0E-62401F8B2A95}"/>
    <hyperlink ref="I45" r:id="rId32" xr:uid="{00751B5C-8F24-4926-8A41-371D6205A5A1}"/>
    <hyperlink ref="I46" r:id="rId33" xr:uid="{5A7913A2-0902-4FFE-AFCA-A192CDE7C243}"/>
    <hyperlink ref="I47" r:id="rId34" xr:uid="{49A5A798-D982-4315-B5E8-8CB7AA753806}"/>
    <hyperlink ref="I48" r:id="rId35" xr:uid="{32D3C6D4-9F87-4A62-9544-81638F5FBB6D}"/>
    <hyperlink ref="I50" r:id="rId36" xr:uid="{4AABBBF5-0116-4B55-8792-E0ACDC2565E8}"/>
    <hyperlink ref="I51" r:id="rId37" xr:uid="{C293579F-2A2F-4942-A8F2-F61453FE4149}"/>
    <hyperlink ref="I52" r:id="rId38" xr:uid="{4C46D633-D6BF-47A0-B350-131F8AAB7C34}"/>
    <hyperlink ref="I53" r:id="rId39" xr:uid="{41563537-BDB5-4A8A-8426-A1E3C5175B5A}"/>
    <hyperlink ref="I54" r:id="rId40" xr:uid="{72B8F7DC-0189-40BB-9485-D5EC54672BE4}"/>
    <hyperlink ref="I55" r:id="rId41" xr:uid="{CAE18C71-5AD7-4F37-9ACA-E9103342785E}"/>
    <hyperlink ref="I56" r:id="rId42" xr:uid="{733684E1-8838-46E0-AF19-D59D45C3C617}"/>
    <hyperlink ref="I57" r:id="rId43" xr:uid="{66195662-D4C4-4234-855E-C4E39E3A0FD1}"/>
    <hyperlink ref="I58" r:id="rId44" xr:uid="{F03413EB-A167-43BF-BD68-D5A877513A88}"/>
    <hyperlink ref="I59" r:id="rId45" xr:uid="{FE699302-BE7A-4E55-AB68-C30E4A6F461F}"/>
    <hyperlink ref="I61" r:id="rId46" xr:uid="{DFF11A1E-C6C1-4B2C-B34F-3E34A9DA8D7E}"/>
    <hyperlink ref="I62" r:id="rId47" xr:uid="{6E019E1D-29B9-4878-BEC9-1C5C288BE2D7}"/>
    <hyperlink ref="I63" r:id="rId48" xr:uid="{50022ECF-9D4F-4B41-BDF2-EF26F3F4AD10}"/>
    <hyperlink ref="I14" r:id="rId49" xr:uid="{B68D6ABA-6512-4272-9179-009D24627457}"/>
    <hyperlink ref="I19" r:id="rId50" xr:uid="{E1FAB6E0-BCDF-4641-9201-4B8CFB0FF86D}"/>
    <hyperlink ref="I31" r:id="rId51" xr:uid="{6E29301C-CB74-4FA4-807B-7383FF7FA917}"/>
    <hyperlink ref="I9" r:id="rId52" xr:uid="{523C6BBA-1E4A-4AD0-A694-F7107D3F3E5D}"/>
    <hyperlink ref="I64" r:id="rId53" xr:uid="{8E1F98C0-5412-4F4E-AC05-5EC0CFEACA18}"/>
  </hyperlinks>
  <pageMargins left="0.7" right="0.7" top="0.75" bottom="0.75" header="0.3" footer="0.3"/>
  <pageSetup scale="35" fitToHeight="0" orientation="portrait" r:id="rId54"/>
  <tableParts count="1">
    <tablePart r:id="rId5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A501"/>
  <sheetViews>
    <sheetView showGridLines="0" zoomScale="80" zoomScaleNormal="80" zoomScaleSheetLayoutView="100" zoomScalePageLayoutView="55" workbookViewId="0">
      <selection activeCell="H24" sqref="H24"/>
    </sheetView>
  </sheetViews>
  <sheetFormatPr defaultColWidth="0" defaultRowHeight="15" zeroHeight="1" outlineLevelCol="1" x14ac:dyDescent="0.25"/>
  <cols>
    <col min="1" max="1" width="14.42578125" bestFit="1" customWidth="1"/>
    <col min="2" max="2" width="17.5703125" style="3" bestFit="1" customWidth="1"/>
    <col min="3" max="3" width="57.85546875" style="3" customWidth="1"/>
    <col min="4" max="4" width="23.7109375" style="3" hidden="1" customWidth="1"/>
    <col min="5" max="5" width="23.140625" style="3" customWidth="1"/>
    <col min="6" max="6" width="15.28515625" style="3" bestFit="1" customWidth="1"/>
    <col min="7" max="7" width="17.85546875" customWidth="1"/>
    <col min="8" max="8" width="47.7109375" hidden="1" customWidth="1"/>
    <col min="9" max="9" width="39.140625" hidden="1" customWidth="1"/>
    <col min="10" max="10" width="42.5703125" customWidth="1"/>
    <col min="11" max="11" width="8.85546875" customWidth="1"/>
    <col min="12" max="12" width="20.140625" bestFit="1" customWidth="1"/>
    <col min="13" max="13" width="12" hidden="1" customWidth="1"/>
    <col min="14" max="14" width="12" customWidth="1"/>
    <col min="15" max="15" width="12" hidden="1" customWidth="1"/>
    <col min="16" max="16" width="3.5703125" hidden="1" customWidth="1"/>
    <col min="17" max="17" width="15.85546875" hidden="1" customWidth="1"/>
    <col min="18" max="18" width="51.7109375" hidden="1" customWidth="1"/>
    <col min="19" max="19" width="13.85546875" style="3" hidden="1" customWidth="1"/>
    <col min="20" max="20" width="14.5703125" style="3" hidden="1" customWidth="1"/>
    <col min="21" max="21" width="15.140625" style="3" hidden="1" customWidth="1"/>
    <col min="22" max="22" width="55.7109375" style="3" hidden="1" customWidth="1" outlineLevel="1"/>
    <col min="23" max="23" width="7.85546875" style="3" hidden="1" customWidth="1" collapsed="1"/>
    <col min="24" max="24" width="14.5703125" style="3" hidden="1" customWidth="1"/>
    <col min="25" max="25" width="8.85546875" hidden="1" customWidth="1"/>
    <col min="26" max="27" width="0" hidden="1" customWidth="1"/>
    <col min="28" max="16384" width="11.5703125" hidden="1"/>
  </cols>
  <sheetData>
    <row r="1" spans="1:24" ht="19.5" x14ac:dyDescent="0.3">
      <c r="A1" s="101" t="s">
        <v>89</v>
      </c>
      <c r="B1" s="102"/>
      <c r="C1" s="102"/>
      <c r="F1" s="22"/>
      <c r="M1" s="11" t="s">
        <v>46</v>
      </c>
      <c r="Q1" s="6"/>
      <c r="R1" s="6"/>
      <c r="V1" s="19" t="s">
        <v>61</v>
      </c>
    </row>
    <row r="2" spans="1:24" ht="19.5" x14ac:dyDescent="0.3">
      <c r="B2"/>
      <c r="C2" s="1"/>
      <c r="F2" s="21"/>
      <c r="Q2" s="6"/>
      <c r="R2" s="6"/>
      <c r="V2" s="118" t="s">
        <v>27</v>
      </c>
    </row>
    <row r="3" spans="1:24" ht="18.75" x14ac:dyDescent="0.3">
      <c r="B3"/>
      <c r="C3" s="1"/>
      <c r="G3" s="7" t="s">
        <v>60</v>
      </c>
      <c r="I3" s="4" t="s">
        <v>27</v>
      </c>
      <c r="J3" s="3" t="s">
        <v>100</v>
      </c>
      <c r="S3"/>
      <c r="T3"/>
      <c r="V3" s="117" t="s">
        <v>384</v>
      </c>
      <c r="X3"/>
    </row>
    <row r="4" spans="1:24" x14ac:dyDescent="0.25">
      <c r="B4"/>
      <c r="C4" s="1"/>
      <c r="G4" s="3"/>
      <c r="S4"/>
      <c r="T4"/>
      <c r="V4" s="117" t="s">
        <v>381</v>
      </c>
      <c r="X4"/>
    </row>
    <row r="5" spans="1:24" ht="18.75" x14ac:dyDescent="0.3">
      <c r="B5"/>
      <c r="C5" s="1"/>
      <c r="G5" s="94" t="s">
        <v>57</v>
      </c>
      <c r="I5" s="4" t="s">
        <v>56</v>
      </c>
      <c r="J5" s="7" t="str">
        <f>+I5</f>
        <v xml:space="preserve"> Station</v>
      </c>
      <c r="S5"/>
      <c r="T5"/>
      <c r="V5" s="117" t="s">
        <v>375</v>
      </c>
      <c r="X5"/>
    </row>
    <row r="6" spans="1:24" ht="18.75" x14ac:dyDescent="0.3">
      <c r="B6"/>
      <c r="C6" s="1"/>
      <c r="G6" s="99"/>
      <c r="I6" s="84">
        <v>33</v>
      </c>
      <c r="J6" s="18">
        <f>I6</f>
        <v>33</v>
      </c>
      <c r="V6" s="117" t="s">
        <v>357</v>
      </c>
    </row>
    <row r="7" spans="1:24" x14ac:dyDescent="0.25">
      <c r="B7"/>
      <c r="C7" s="1"/>
      <c r="F7"/>
      <c r="I7" s="3"/>
      <c r="V7" s="117" t="s">
        <v>374</v>
      </c>
    </row>
    <row r="8" spans="1:24" x14ac:dyDescent="0.25">
      <c r="B8"/>
      <c r="C8" s="1"/>
      <c r="F8"/>
      <c r="V8" s="117" t="s">
        <v>426</v>
      </c>
    </row>
    <row r="9" spans="1:24" x14ac:dyDescent="0.25">
      <c r="B9"/>
      <c r="C9" s="1"/>
      <c r="F9"/>
      <c r="V9" s="117" t="s">
        <v>376</v>
      </c>
    </row>
    <row r="10" spans="1:24" ht="18.75" x14ac:dyDescent="0.3">
      <c r="F10"/>
      <c r="V10" s="108" t="s">
        <v>14</v>
      </c>
    </row>
    <row r="11" spans="1:24" x14ac:dyDescent="0.25">
      <c r="B11"/>
      <c r="F11"/>
      <c r="G11" s="3" t="str">
        <f>+IF(D11="","",IFERROR(IF(#REF!="#N/D","Log Out",""),"Log Out"))</f>
        <v/>
      </c>
      <c r="V11" s="117" t="s">
        <v>249</v>
      </c>
    </row>
    <row r="12" spans="1:24" ht="18.75" x14ac:dyDescent="0.3">
      <c r="A12" s="2" t="s">
        <v>79</v>
      </c>
      <c r="B12" s="2" t="s">
        <v>80</v>
      </c>
      <c r="C12" s="2" t="s">
        <v>81</v>
      </c>
      <c r="D12"/>
      <c r="E12"/>
      <c r="F12"/>
      <c r="S12"/>
      <c r="T12"/>
      <c r="U12"/>
      <c r="V12" s="117" t="s">
        <v>124</v>
      </c>
      <c r="W12"/>
      <c r="X12"/>
    </row>
    <row r="13" spans="1:24" ht="18.75" x14ac:dyDescent="0.3">
      <c r="A13" s="40" t="s">
        <v>75</v>
      </c>
      <c r="B13" s="40">
        <v>1</v>
      </c>
      <c r="C13" s="55">
        <v>4</v>
      </c>
      <c r="D13" s="54">
        <v>5</v>
      </c>
      <c r="E13" s="54">
        <v>6</v>
      </c>
      <c r="F13" s="54">
        <v>7</v>
      </c>
      <c r="G13" s="54">
        <v>8</v>
      </c>
      <c r="H13" s="54">
        <v>9</v>
      </c>
      <c r="I13" s="54">
        <v>1</v>
      </c>
      <c r="J13" s="54">
        <v>2</v>
      </c>
      <c r="K13" s="54">
        <v>3</v>
      </c>
      <c r="L13" s="53" t="s">
        <v>440</v>
      </c>
      <c r="S13"/>
      <c r="T13"/>
      <c r="U13"/>
      <c r="V13" s="117" t="s">
        <v>306</v>
      </c>
      <c r="W13"/>
      <c r="X13"/>
    </row>
    <row r="14" spans="1:24" x14ac:dyDescent="0.25">
      <c r="B14"/>
      <c r="C14" s="1"/>
      <c r="F14"/>
      <c r="Q14" s="23"/>
      <c r="S14"/>
      <c r="T14"/>
      <c r="U14"/>
      <c r="V14" s="117" t="s">
        <v>127</v>
      </c>
      <c r="W14"/>
      <c r="X14"/>
    </row>
    <row r="15" spans="1:24" ht="19.5" x14ac:dyDescent="0.3">
      <c r="A15" s="13" t="s">
        <v>25</v>
      </c>
      <c r="B15" s="11" t="s">
        <v>26</v>
      </c>
      <c r="C15" s="14" t="s">
        <v>51</v>
      </c>
      <c r="D15" s="15" t="s">
        <v>55</v>
      </c>
      <c r="E15" s="28" t="s">
        <v>82</v>
      </c>
      <c r="F15" s="103" t="s">
        <v>1</v>
      </c>
      <c r="G15" s="104"/>
      <c r="H15" s="11" t="s">
        <v>26</v>
      </c>
      <c r="I15" s="14" t="s">
        <v>51</v>
      </c>
      <c r="J15" s="16" t="s">
        <v>30</v>
      </c>
      <c r="K15" s="16" t="s">
        <v>54</v>
      </c>
      <c r="L15" s="11" t="s">
        <v>28</v>
      </c>
      <c r="M15" t="s">
        <v>59</v>
      </c>
      <c r="S15"/>
      <c r="T15" s="12"/>
      <c r="U15" s="25"/>
      <c r="V15" s="117" t="s">
        <v>385</v>
      </c>
      <c r="W15"/>
      <c r="X15"/>
    </row>
    <row r="16" spans="1:24" ht="18.75" x14ac:dyDescent="0.3">
      <c r="A16" s="29" t="s">
        <v>75</v>
      </c>
      <c r="B16" s="43" t="s">
        <v>0</v>
      </c>
      <c r="C16" s="27" t="s">
        <v>13</v>
      </c>
      <c r="D16" s="27">
        <v>1</v>
      </c>
      <c r="E16" s="3" t="str">
        <f>IFERROR(VLOOKUP(C16&amp;'H.A. Dynamic Split'!$C$13,'Flat Base'!A2:C575,3,0),"")</f>
        <v/>
      </c>
      <c r="F16" s="30" t="str">
        <f>IFERROR(HYPERLINK(VLOOKUP(C16,'Flat Base'!D:J,3,0),"SIG TOOLS"),"")</f>
        <v/>
      </c>
      <c r="G16" s="30" t="str">
        <f>IFERROR(HYPERLINK(VLOOKUP(C16,'Flat Base'!D:J,4,0),"SITE MAP"),"")</f>
        <v/>
      </c>
      <c r="H16" s="27" t="s">
        <v>0</v>
      </c>
      <c r="I16" s="27" t="s">
        <v>13</v>
      </c>
      <c r="J16" s="10" t="s">
        <v>3</v>
      </c>
      <c r="K16" s="10" t="s">
        <v>5</v>
      </c>
      <c r="L16" s="10" t="s">
        <v>3</v>
      </c>
      <c r="M16">
        <v>1</v>
      </c>
      <c r="N16" s="26"/>
      <c r="O16" s="26"/>
      <c r="S16"/>
      <c r="T16" s="8"/>
      <c r="U16" s="24"/>
      <c r="V16"/>
      <c r="W16"/>
      <c r="X16"/>
    </row>
    <row r="17" spans="1:24" ht="18.75" x14ac:dyDescent="0.3">
      <c r="A17" s="29"/>
      <c r="B17" s="47"/>
      <c r="C17" s="27" t="s">
        <v>100</v>
      </c>
      <c r="D17" s="27">
        <v>1</v>
      </c>
      <c r="E17" s="3">
        <f>IFERROR(VLOOKUP(C17&amp;'H.A. Dynamic Split'!$C$13,'Flat Base'!A2:C575,3,0),"")</f>
        <v>3</v>
      </c>
      <c r="F17" s="30" t="str">
        <f>IFERROR(HYPERLINK(VLOOKUP(C17,'Flat Base'!D:J,3,0),"SIG TOOLS"),"")</f>
        <v>SIG TOOLS</v>
      </c>
      <c r="G17" s="30" t="str">
        <f>IFERROR(HYPERLINK(VLOOKUP(C17,'Flat Base'!D:J,4,0),"SITE MAP"),"")</f>
        <v>SITE MAP</v>
      </c>
      <c r="H17" s="27"/>
      <c r="I17" t="s">
        <v>100</v>
      </c>
      <c r="J17" s="10" t="s">
        <v>3</v>
      </c>
      <c r="K17" s="20" t="s">
        <v>2</v>
      </c>
      <c r="L17" s="10" t="s">
        <v>3</v>
      </c>
      <c r="M17" s="26">
        <v>1</v>
      </c>
      <c r="N17" s="26"/>
      <c r="O17" s="26"/>
      <c r="S17"/>
      <c r="T17" s="8"/>
      <c r="U17" s="8"/>
      <c r="V17"/>
      <c r="W17"/>
      <c r="X17"/>
    </row>
    <row r="18" spans="1:24" ht="18.75" x14ac:dyDescent="0.3">
      <c r="A18" s="29"/>
      <c r="B18" s="47"/>
      <c r="C18" s="27" t="s">
        <v>101</v>
      </c>
      <c r="D18" s="27">
        <v>1</v>
      </c>
      <c r="E18" s="10" t="str">
        <f>IFERROR(VLOOKUP(C18&amp;'H.A. Dynamic Split'!$C$13,'Flat Base'!A3:C11,3,0),"")</f>
        <v/>
      </c>
      <c r="F18" s="30" t="str">
        <f>IFERROR(HYPERLINK(VLOOKUP(C18,'Flat Base'!D:J,3,0),"SIG TOOLS"),"")</f>
        <v/>
      </c>
      <c r="G18" s="30" t="str">
        <f>IFERROR(HYPERLINK(VLOOKUP(C18,'Flat Base'!D:J,4,0),"SITE MAP"),"")</f>
        <v/>
      </c>
      <c r="H18" s="27"/>
      <c r="I18" t="s">
        <v>101</v>
      </c>
      <c r="J18" s="10" t="s">
        <v>3</v>
      </c>
      <c r="K18" s="20" t="s">
        <v>2</v>
      </c>
      <c r="L18" s="10" t="s">
        <v>3</v>
      </c>
      <c r="M18" s="26">
        <v>1</v>
      </c>
      <c r="S18"/>
      <c r="T18" s="8"/>
      <c r="U18" s="8"/>
      <c r="V18"/>
      <c r="W18"/>
      <c r="X18"/>
    </row>
    <row r="19" spans="1:24" ht="18.75" x14ac:dyDescent="0.3">
      <c r="A19" s="29"/>
      <c r="B19" s="41"/>
      <c r="C19" s="27" t="s">
        <v>110</v>
      </c>
      <c r="D19" s="27">
        <v>1</v>
      </c>
      <c r="E19" s="10" t="str">
        <f>IFERROR(VLOOKUP(C19&amp;'H.A. Dynamic Split'!$C$13,'Flat Base'!A4:C11,3,0),"")</f>
        <v/>
      </c>
      <c r="F19" s="30" t="str">
        <f>IFERROR(HYPERLINK(VLOOKUP(C19,'Flat Base'!D:J,3,0),"SIG TOOLS"),"")</f>
        <v/>
      </c>
      <c r="G19" s="30" t="str">
        <f>IFERROR(HYPERLINK(VLOOKUP(C19,'Flat Base'!D:J,4,0),"SITE MAP"),"")</f>
        <v/>
      </c>
      <c r="H19" s="27"/>
      <c r="I19" t="s">
        <v>110</v>
      </c>
      <c r="J19" s="10" t="s">
        <v>3</v>
      </c>
      <c r="K19" s="20" t="s">
        <v>2</v>
      </c>
      <c r="L19" s="10" t="s">
        <v>3</v>
      </c>
      <c r="M19" s="26">
        <v>1</v>
      </c>
      <c r="S19"/>
      <c r="T19" s="8"/>
      <c r="U19" s="24"/>
      <c r="V19"/>
      <c r="W19"/>
      <c r="X19"/>
    </row>
    <row r="20" spans="1:24" ht="18.75" x14ac:dyDescent="0.3">
      <c r="A20" s="29"/>
      <c r="B20" s="31" t="s">
        <v>63</v>
      </c>
      <c r="C20" s="27" t="s">
        <v>40</v>
      </c>
      <c r="D20" s="27">
        <v>1</v>
      </c>
      <c r="E20" s="10" t="str">
        <f>IFERROR(VLOOKUP(C20&amp;'H.A. Dynamic Split'!$C$13,'Flat Base'!A5:C11,3,0),"")</f>
        <v/>
      </c>
      <c r="F20" s="30" t="str">
        <f>IFERROR(HYPERLINK(VLOOKUP(C20,'Flat Base'!D:J,3,0),"SIG TOOLS"),"")</f>
        <v/>
      </c>
      <c r="G20" s="30" t="str">
        <f>IFERROR(HYPERLINK(VLOOKUP(C20,'Flat Base'!D:J,4,0),"SITE MAP"),"")</f>
        <v/>
      </c>
      <c r="H20" s="27" t="s">
        <v>63</v>
      </c>
      <c r="I20" s="27" t="s">
        <v>40</v>
      </c>
      <c r="J20" s="10" t="s">
        <v>72</v>
      </c>
      <c r="K20" s="20" t="s">
        <v>2</v>
      </c>
      <c r="L20" s="10" t="s">
        <v>3</v>
      </c>
      <c r="M20" s="26">
        <v>1</v>
      </c>
      <c r="S20"/>
      <c r="T20" s="8"/>
      <c r="U20" s="8"/>
      <c r="V20"/>
      <c r="W20"/>
      <c r="X20"/>
    </row>
    <row r="21" spans="1:24" ht="18.75" x14ac:dyDescent="0.3">
      <c r="A21" s="29"/>
      <c r="B21" s="32"/>
      <c r="C21" s="27" t="s">
        <v>95</v>
      </c>
      <c r="D21" s="27">
        <v>1</v>
      </c>
      <c r="E21" s="10" t="str">
        <f>IFERROR(VLOOKUP(C21&amp;'H.A. Dynamic Split'!$C$13,'Flat Base'!A6:C11,3,0),"")</f>
        <v/>
      </c>
      <c r="F21" s="30" t="str">
        <f>IFERROR(HYPERLINK(VLOOKUP(C21,'Flat Base'!D:J,3,0),"SIG TOOLS"),"")</f>
        <v/>
      </c>
      <c r="G21" s="30" t="str">
        <f>IFERROR(HYPERLINK(VLOOKUP(C21,'Flat Base'!D:J,4,0),"SITE MAP"),"")</f>
        <v/>
      </c>
      <c r="H21" s="27"/>
      <c r="I21" t="s">
        <v>95</v>
      </c>
      <c r="J21" s="10" t="s">
        <v>72</v>
      </c>
      <c r="K21" s="20" t="s">
        <v>2</v>
      </c>
      <c r="L21" s="10" t="s">
        <v>69</v>
      </c>
      <c r="M21" s="26">
        <v>1</v>
      </c>
      <c r="S21"/>
      <c r="T21" s="8"/>
      <c r="U21" s="8"/>
      <c r="V21"/>
      <c r="W21"/>
      <c r="X21"/>
    </row>
    <row r="22" spans="1:24" ht="18.75" x14ac:dyDescent="0.3">
      <c r="A22" s="29"/>
      <c r="B22" s="32" t="s">
        <v>65</v>
      </c>
      <c r="C22" s="27" t="s">
        <v>20</v>
      </c>
      <c r="D22" s="27">
        <v>1</v>
      </c>
      <c r="E22" s="10" t="str">
        <f>IFERROR(VLOOKUP(C22&amp;'H.A. Dynamic Split'!$C$13,'Flat Base'!A7:C11,3,0),"")</f>
        <v/>
      </c>
      <c r="F22" s="30" t="str">
        <f>IFERROR(HYPERLINK(VLOOKUP(C22,'Flat Base'!D:J,3,0),"SIG TOOLS"),"")</f>
        <v/>
      </c>
      <c r="G22" s="30" t="str">
        <f>IFERROR(HYPERLINK(VLOOKUP(C22,'Flat Base'!D:J,4,0),"SITE MAP"),"")</f>
        <v/>
      </c>
      <c r="H22" s="27" t="s">
        <v>65</v>
      </c>
      <c r="I22" s="27" t="s">
        <v>20</v>
      </c>
      <c r="J22" s="10" t="s">
        <v>70</v>
      </c>
      <c r="K22" s="10" t="s">
        <v>4</v>
      </c>
      <c r="L22" s="10" t="s">
        <v>3</v>
      </c>
      <c r="M22">
        <v>1</v>
      </c>
      <c r="S22"/>
      <c r="T22" s="8"/>
      <c r="U22" s="8"/>
      <c r="V22"/>
      <c r="W22"/>
      <c r="X22"/>
    </row>
    <row r="23" spans="1:24" ht="18.75" x14ac:dyDescent="0.3">
      <c r="A23" s="29"/>
      <c r="B23" s="46" t="s">
        <v>66</v>
      </c>
      <c r="C23" s="27" t="s">
        <v>17</v>
      </c>
      <c r="D23" s="27">
        <v>1</v>
      </c>
      <c r="E23" s="10" t="str">
        <f>IFERROR(VLOOKUP(C23&amp;'H.A. Dynamic Split'!$C$13,'Flat Base'!A11:C11,3,0),"")</f>
        <v/>
      </c>
      <c r="F23" s="30" t="str">
        <f>IFERROR(HYPERLINK(VLOOKUP(C23,'Flat Base'!D:J,3,0),"SIG TOOLS"),"")</f>
        <v/>
      </c>
      <c r="G23" s="30" t="str">
        <f>IFERROR(HYPERLINK(VLOOKUP(C23,'Flat Base'!D:J,4,0),"SITE MAP"),"")</f>
        <v/>
      </c>
      <c r="H23" s="27" t="s">
        <v>66</v>
      </c>
      <c r="I23" t="s">
        <v>17</v>
      </c>
      <c r="J23" s="10" t="s">
        <v>70</v>
      </c>
      <c r="K23" s="10" t="s">
        <v>4</v>
      </c>
      <c r="L23" s="10" t="s">
        <v>3</v>
      </c>
      <c r="M23">
        <v>1</v>
      </c>
      <c r="S23"/>
      <c r="T23" s="8"/>
      <c r="U23" s="8"/>
      <c r="V23"/>
      <c r="W23" s="8"/>
      <c r="X23" s="8"/>
    </row>
    <row r="24" spans="1:24" ht="18.75" x14ac:dyDescent="0.3">
      <c r="A24" s="29"/>
      <c r="B24" s="42"/>
      <c r="C24" s="27" t="s">
        <v>43</v>
      </c>
      <c r="D24" s="27">
        <v>1</v>
      </c>
      <c r="E24" s="10" t="str">
        <f>IFERROR(VLOOKUP(C24&amp;'H.A. Dynamic Split'!$C$13,'Flat Base'!#REF!,3,0),"")</f>
        <v/>
      </c>
      <c r="F24" s="30" t="str">
        <f>IFERROR(HYPERLINK(VLOOKUP(C24,'Flat Base'!D:J,3,0),"SIG TOOLS"),"")</f>
        <v/>
      </c>
      <c r="G24" s="30" t="str">
        <f>IFERROR(HYPERLINK(VLOOKUP(C24,'Flat Base'!D:J,4,0),"SITE MAP"),"")</f>
        <v/>
      </c>
      <c r="H24" s="27"/>
      <c r="I24" t="s">
        <v>43</v>
      </c>
      <c r="J24" s="10" t="s">
        <v>70</v>
      </c>
      <c r="K24" s="10" t="s">
        <v>4</v>
      </c>
      <c r="L24" s="10" t="s">
        <v>3</v>
      </c>
      <c r="M24">
        <v>1</v>
      </c>
      <c r="S24"/>
      <c r="T24" s="8"/>
      <c r="U24" s="24"/>
      <c r="V24"/>
      <c r="W24" s="8"/>
      <c r="X24" s="8"/>
    </row>
    <row r="25" spans="1:24" ht="18.75" x14ac:dyDescent="0.3">
      <c r="A25" s="29"/>
      <c r="B25" s="32" t="s">
        <v>67</v>
      </c>
      <c r="C25" s="27" t="s">
        <v>33</v>
      </c>
      <c r="D25" s="27">
        <v>1</v>
      </c>
      <c r="E25" s="10" t="str">
        <f>IFERROR(VLOOKUP(C25&amp;'H.A. Dynamic Split'!$C$13,'Flat Base'!#REF!,3,0),"")</f>
        <v/>
      </c>
      <c r="F25" s="30" t="str">
        <f>IFERROR(HYPERLINK(VLOOKUP(C25,'Flat Base'!D:J,3,0),"SIG TOOLS"),"")</f>
        <v/>
      </c>
      <c r="G25" s="30" t="str">
        <f>IFERROR(HYPERLINK(VLOOKUP(C25,'Flat Base'!D:J,4,0),"SITE MAP"),"")</f>
        <v/>
      </c>
      <c r="H25" s="27" t="s">
        <v>67</v>
      </c>
      <c r="I25" s="27" t="s">
        <v>33</v>
      </c>
      <c r="J25" s="10" t="s">
        <v>73</v>
      </c>
      <c r="K25" s="10" t="s">
        <v>5</v>
      </c>
      <c r="L25" s="10" t="s">
        <v>3</v>
      </c>
      <c r="M25">
        <v>1</v>
      </c>
      <c r="S25"/>
      <c r="T25" s="8"/>
      <c r="U25" s="24"/>
      <c r="V25"/>
      <c r="W25" s="8"/>
      <c r="X25" s="8"/>
    </row>
    <row r="26" spans="1:24" ht="18.75" x14ac:dyDescent="0.3">
      <c r="B26"/>
      <c r="C26"/>
      <c r="D26"/>
      <c r="E26" s="10" t="str">
        <f>IFERROR(VLOOKUP(C26&amp;'H.A. Dynamic Split'!$C$13,'Flat Base'!#REF!,3,0),"")</f>
        <v/>
      </c>
      <c r="F26" s="30" t="str">
        <f>IFERROR(HYPERLINK(VLOOKUP(C26,'Flat Base'!D:J,3,0),"SIG TOOLS"),"")</f>
        <v/>
      </c>
      <c r="G26" s="30" t="str">
        <f>IFERROR(HYPERLINK(VLOOKUP(C26,'Flat Base'!D:J,4,0),"SITE MAP"),"")</f>
        <v/>
      </c>
      <c r="S26"/>
      <c r="T26" s="8"/>
      <c r="U26" s="8"/>
      <c r="V26"/>
      <c r="W26" s="8"/>
      <c r="X26" s="8"/>
    </row>
    <row r="27" spans="1:24" ht="18.75" x14ac:dyDescent="0.3">
      <c r="B27"/>
      <c r="C27"/>
      <c r="D27"/>
      <c r="E27" s="10" t="str">
        <f>IFERROR(VLOOKUP(C27&amp;'H.A. Dynamic Split'!$C$13,'Flat Base'!#REF!,3,0),"")</f>
        <v/>
      </c>
      <c r="F27" s="30" t="str">
        <f>IFERROR(HYPERLINK(VLOOKUP(C27,'Flat Base'!D:J,3,0),"SIG TOOLS"),"")</f>
        <v/>
      </c>
      <c r="G27" s="30" t="str">
        <f>IFERROR(HYPERLINK(VLOOKUP(C27,'Flat Base'!D:J,4,0),"SITE MAP"),"")</f>
        <v/>
      </c>
      <c r="L27" s="10"/>
      <c r="S27"/>
      <c r="T27" s="8"/>
      <c r="U27" s="8"/>
      <c r="V27"/>
      <c r="W27" s="8"/>
      <c r="X27" s="8"/>
    </row>
    <row r="28" spans="1:24" ht="18.75" x14ac:dyDescent="0.3">
      <c r="B28"/>
      <c r="C28"/>
      <c r="D28"/>
      <c r="E28" s="10" t="str">
        <f>IFERROR(VLOOKUP(C28&amp;'H.A. Dynamic Split'!$C$13,'Flat Base'!#REF!,3,0),"")</f>
        <v/>
      </c>
      <c r="F28" s="30" t="str">
        <f>IFERROR(HYPERLINK(VLOOKUP(C28,'Flat Base'!D:J,3,0),"SIG TOOLS"),"")</f>
        <v/>
      </c>
      <c r="G28" s="30" t="str">
        <f>IFERROR(HYPERLINK(VLOOKUP(C28,'Flat Base'!D:J,4,0),"SITE MAP"),"")</f>
        <v/>
      </c>
      <c r="S28"/>
      <c r="T28" s="8"/>
      <c r="U28" s="8"/>
      <c r="V28"/>
      <c r="W28" s="8"/>
      <c r="X28" s="8"/>
    </row>
    <row r="29" spans="1:24" ht="18.75" x14ac:dyDescent="0.3">
      <c r="B29"/>
      <c r="C29"/>
      <c r="D29"/>
      <c r="E29" s="10" t="str">
        <f>IFERROR(VLOOKUP(C29&amp;'H.A. Dynamic Split'!$C$13,'Flat Base'!#REF!,3,0),"")</f>
        <v/>
      </c>
      <c r="F29" s="30" t="str">
        <f>IFERROR(HYPERLINK(VLOOKUP(C29,'Flat Base'!D:J,3,0),"SIG TOOLS"),"")</f>
        <v/>
      </c>
      <c r="G29" s="30" t="str">
        <f>IFERROR(HYPERLINK(VLOOKUP(C29,'Flat Base'!D:J,4,0),"SITE MAP"),"")</f>
        <v/>
      </c>
      <c r="S29"/>
      <c r="T29" s="8"/>
      <c r="U29" s="8"/>
      <c r="V29"/>
      <c r="W29" s="8"/>
      <c r="X29" s="8"/>
    </row>
    <row r="30" spans="1:24" ht="18.75" x14ac:dyDescent="0.3">
      <c r="B30"/>
      <c r="C30"/>
      <c r="D30"/>
      <c r="E30" s="10" t="str">
        <f>IFERROR(VLOOKUP(C30&amp;'H.A. Dynamic Split'!$C$13,'Flat Base'!#REF!,3,0),"")</f>
        <v/>
      </c>
      <c r="F30" s="30" t="str">
        <f>IFERROR(HYPERLINK(VLOOKUP(C30,'Flat Base'!D:J,3,0),"SIG TOOLS"),"")</f>
        <v/>
      </c>
      <c r="G30" s="30" t="str">
        <f>IFERROR(HYPERLINK(VLOOKUP(C30,'Flat Base'!D:J,4,0),"SITE MAP"),"")</f>
        <v/>
      </c>
      <c r="S30"/>
      <c r="T30" s="8"/>
      <c r="U30" s="8"/>
      <c r="V30"/>
      <c r="W30" s="8"/>
      <c r="X30" s="8"/>
    </row>
    <row r="31" spans="1:24" ht="18.75" x14ac:dyDescent="0.3">
      <c r="B31"/>
      <c r="C31"/>
      <c r="D31"/>
      <c r="E31" s="10" t="str">
        <f>IFERROR(VLOOKUP(C31&amp;'H.A. Dynamic Split'!$C$13,'Flat Base'!#REF!,3,0),"")</f>
        <v/>
      </c>
      <c r="F31" s="30" t="str">
        <f>IFERROR(HYPERLINK(VLOOKUP(C31,'Flat Base'!D:J,3,0),"SIG TOOLS"),"")</f>
        <v/>
      </c>
      <c r="G31" s="30" t="str">
        <f>IFERROR(HYPERLINK(VLOOKUP(C31,'Flat Base'!D:J,4,0),"SITE MAP"),"")</f>
        <v/>
      </c>
      <c r="S31"/>
      <c r="T31" s="8"/>
      <c r="U31" s="8"/>
      <c r="V31"/>
      <c r="W31" s="8"/>
      <c r="X31" s="8"/>
    </row>
    <row r="32" spans="1:24" ht="18.75" x14ac:dyDescent="0.3">
      <c r="B32"/>
      <c r="C32"/>
      <c r="D32"/>
      <c r="E32" s="10" t="str">
        <f>IFERROR(VLOOKUP(C32&amp;'H.A. Dynamic Split'!$C$13,'Flat Base'!#REF!,3,0),"")</f>
        <v/>
      </c>
      <c r="F32" s="30" t="str">
        <f>IFERROR(HYPERLINK(VLOOKUP(C32,'Flat Base'!D:J,3,0),"SIG TOOLS"),"")</f>
        <v/>
      </c>
      <c r="G32" s="30" t="str">
        <f>IFERROR(HYPERLINK(VLOOKUP(C32,'Flat Base'!D:J,4,0),"SITE MAP"),"")</f>
        <v/>
      </c>
      <c r="S32"/>
      <c r="T32" s="8"/>
      <c r="U32" s="8"/>
      <c r="V32"/>
      <c r="W32" s="8"/>
      <c r="X32" s="8"/>
    </row>
    <row r="33" spans="2:24" ht="18.75" x14ac:dyDescent="0.3">
      <c r="B33"/>
      <c r="C33"/>
      <c r="D33"/>
      <c r="E33" s="10" t="str">
        <f>IFERROR(VLOOKUP(C33&amp;'H.A. Dynamic Split'!$C$13,'Flat Base'!#REF!,3,0),"")</f>
        <v/>
      </c>
      <c r="F33" s="30" t="str">
        <f>IFERROR(HYPERLINK(VLOOKUP(C33,'Flat Base'!D:J,3,0),"SIG TOOLS"),"")</f>
        <v/>
      </c>
      <c r="G33" s="30" t="str">
        <f>IFERROR(HYPERLINK(VLOOKUP(C33,'Flat Base'!D:J,4,0),"SITE MAP"),"")</f>
        <v/>
      </c>
      <c r="S33"/>
      <c r="T33" s="8"/>
      <c r="U33" s="8"/>
      <c r="V33"/>
      <c r="W33" s="8"/>
      <c r="X33" s="8"/>
    </row>
    <row r="34" spans="2:24" ht="18.75" x14ac:dyDescent="0.3">
      <c r="B34"/>
      <c r="C34"/>
      <c r="D34"/>
      <c r="E34" s="10" t="str">
        <f>IFERROR(VLOOKUP(C34&amp;'H.A. Dynamic Split'!$C$13,'Flat Base'!#REF!,3,0),"")</f>
        <v/>
      </c>
      <c r="F34" s="30" t="str">
        <f>IFERROR(HYPERLINK(VLOOKUP(C34,'Flat Base'!D:J,3,0),"SIG TOOLS"),"")</f>
        <v/>
      </c>
      <c r="G34" s="30" t="str">
        <f>IFERROR(HYPERLINK(VLOOKUP(C34,'Flat Base'!D:J,4,0),"SITE MAP"),"")</f>
        <v/>
      </c>
      <c r="S34"/>
      <c r="T34" s="8"/>
      <c r="U34" s="8"/>
      <c r="V34"/>
      <c r="W34" s="8"/>
      <c r="X34" s="8"/>
    </row>
    <row r="35" spans="2:24" ht="18.75" x14ac:dyDescent="0.3">
      <c r="B35"/>
      <c r="C35"/>
      <c r="D35"/>
      <c r="E35" s="10" t="str">
        <f>IFERROR(VLOOKUP(C35&amp;'H.A. Dynamic Split'!$C$13,'Flat Base'!#REF!,3,0),"")</f>
        <v/>
      </c>
      <c r="F35" s="30" t="str">
        <f>IFERROR(HYPERLINK(VLOOKUP(C35,'Flat Base'!D:J,3,0),"SIG TOOLS"),"")</f>
        <v/>
      </c>
      <c r="G35" s="30" t="str">
        <f>IFERROR(HYPERLINK(VLOOKUP(C35,'Flat Base'!D:J,4,0),"SITE MAP"),"")</f>
        <v/>
      </c>
      <c r="S35"/>
      <c r="T35" s="8"/>
      <c r="U35" s="8"/>
      <c r="V35"/>
      <c r="W35" s="8"/>
      <c r="X35" s="8"/>
    </row>
    <row r="36" spans="2:24" ht="18.75" x14ac:dyDescent="0.3">
      <c r="B36"/>
      <c r="C36"/>
      <c r="D36"/>
      <c r="E36" s="10" t="str">
        <f>IFERROR(VLOOKUP(C36&amp;'H.A. Dynamic Split'!$C$13,'Flat Base'!#REF!,3,0),"")</f>
        <v/>
      </c>
      <c r="F36" s="30" t="str">
        <f>IFERROR(HYPERLINK(VLOOKUP(C36,'Flat Base'!D:J,3,0),"SIG TOOLS"),"")</f>
        <v/>
      </c>
      <c r="G36" s="30" t="str">
        <f>IFERROR(HYPERLINK(VLOOKUP(C36,'Flat Base'!D:J,4,0),"SITE MAP"),"")</f>
        <v/>
      </c>
      <c r="S36"/>
      <c r="T36" s="8"/>
      <c r="U36" s="8"/>
      <c r="V36"/>
      <c r="W36" s="8"/>
      <c r="X36" s="8"/>
    </row>
    <row r="37" spans="2:24" ht="18.75" x14ac:dyDescent="0.3">
      <c r="B37"/>
      <c r="C37"/>
      <c r="D37"/>
      <c r="E37" s="10" t="str">
        <f>IFERROR(VLOOKUP(C37&amp;'H.A. Dynamic Split'!$C$13,'Flat Base'!#REF!,3,0),"")</f>
        <v/>
      </c>
      <c r="F37" s="30" t="str">
        <f>IFERROR(HYPERLINK(VLOOKUP(C37,'Flat Base'!D:J,3,0),"SIG TOOLS"),"")</f>
        <v/>
      </c>
      <c r="G37" s="30" t="str">
        <f>IFERROR(HYPERLINK(VLOOKUP(C37,'Flat Base'!D:J,4,0),"SITE MAP"),"")</f>
        <v/>
      </c>
      <c r="S37"/>
      <c r="T37" s="8"/>
      <c r="U37" s="8"/>
      <c r="V37"/>
      <c r="W37" s="8"/>
      <c r="X37" s="8"/>
    </row>
    <row r="38" spans="2:24" ht="18.75" x14ac:dyDescent="0.3">
      <c r="B38"/>
      <c r="C38"/>
      <c r="D38"/>
      <c r="E38" s="10" t="str">
        <f>IFERROR(VLOOKUP(C38&amp;'H.A. Dynamic Split'!$C$13,'Flat Base'!#REF!,3,0),"")</f>
        <v/>
      </c>
      <c r="F38" s="30" t="str">
        <f>IFERROR(HYPERLINK(VLOOKUP(C38,'Flat Base'!D:J,3,0),"SIG TOOLS"),"")</f>
        <v/>
      </c>
      <c r="G38" s="30" t="str">
        <f>IFERROR(HYPERLINK(VLOOKUP(C38,'Flat Base'!D:J,4,0),"SITE MAP"),"")</f>
        <v/>
      </c>
      <c r="S38"/>
      <c r="T38" s="8"/>
      <c r="U38" s="8"/>
      <c r="V38"/>
      <c r="W38" s="8"/>
      <c r="X38" s="8"/>
    </row>
    <row r="39" spans="2:24" ht="18.75" x14ac:dyDescent="0.3">
      <c r="B39"/>
      <c r="C39"/>
      <c r="D39"/>
      <c r="E39" s="3" t="str">
        <f>IFERROR(VLOOKUP(C39&amp;'H.A. Dynamic Split'!$C$13,'Flat Base'!#REF!,3,0),"")</f>
        <v/>
      </c>
      <c r="F39" s="9" t="str">
        <f>IFERROR(HYPERLINK(VLOOKUP(C39,'Flat Base'!D:J,3,0),"SIG TOOLS"),"")</f>
        <v/>
      </c>
      <c r="G39" s="9" t="str">
        <f>IFERROR(HYPERLINK(VLOOKUP(C39,'Flat Base'!D:J,4,0),"SITE MAP"),"")</f>
        <v/>
      </c>
      <c r="S39"/>
      <c r="T39" s="8"/>
      <c r="U39" s="8"/>
      <c r="V39"/>
      <c r="W39" s="8"/>
      <c r="X39" s="8"/>
    </row>
    <row r="40" spans="2:24" ht="18.75" x14ac:dyDescent="0.3">
      <c r="B40"/>
      <c r="C40"/>
      <c r="D40"/>
      <c r="E40" t="str">
        <f>IFERROR(VLOOKUP(C40&amp;'H.A. Dynamic Split'!$C$13,'Flat Base'!#REF!,3,0),"")</f>
        <v/>
      </c>
      <c r="F40" s="9" t="str">
        <f>IFERROR(HYPERLINK(VLOOKUP(C40,'Flat Base'!D:J,3,0),"SIG TOOLS"),"")</f>
        <v/>
      </c>
      <c r="G40" s="9" t="str">
        <f>IFERROR(HYPERLINK(VLOOKUP(C40,'Flat Base'!D:J,4,0),"SITE MAP"),"")</f>
        <v/>
      </c>
      <c r="S40"/>
      <c r="T40" s="8"/>
      <c r="U40" s="8"/>
      <c r="V40"/>
      <c r="W40" s="8"/>
      <c r="X40" s="8"/>
    </row>
    <row r="41" spans="2:24" ht="18.75" x14ac:dyDescent="0.3">
      <c r="B41"/>
      <c r="C41"/>
      <c r="D41"/>
      <c r="E41"/>
      <c r="F41" s="9" t="str">
        <f>IFERROR(HYPERLINK(VLOOKUP(C41,'Flat Base'!D:J,3,0),"SIG TOOLS"),"")</f>
        <v/>
      </c>
      <c r="G41" s="9" t="str">
        <f>IFERROR(HYPERLINK(VLOOKUP(C41,'Flat Base'!D:J,4,0),"SITE MAP"),"")</f>
        <v/>
      </c>
      <c r="S41"/>
      <c r="T41" s="8"/>
      <c r="U41" s="8"/>
      <c r="V41"/>
      <c r="W41" s="8"/>
      <c r="X41" s="8"/>
    </row>
    <row r="42" spans="2:24" ht="18.75" x14ac:dyDescent="0.3">
      <c r="B42"/>
      <c r="C42"/>
      <c r="D42"/>
      <c r="E42"/>
      <c r="F42" s="9" t="str">
        <f>IFERROR(HYPERLINK(VLOOKUP(C42,'Flat Base'!D:J,3,0),"SIG TOOLS"),"")</f>
        <v/>
      </c>
      <c r="G42" s="9" t="str">
        <f>IFERROR(HYPERLINK(VLOOKUP(C42,'Flat Base'!D:J,4,0),"SITE MAP"),"")</f>
        <v/>
      </c>
      <c r="S42"/>
      <c r="T42" s="8"/>
      <c r="U42" s="8"/>
      <c r="V42"/>
      <c r="W42" s="8"/>
      <c r="X42" s="8"/>
    </row>
    <row r="43" spans="2:24" ht="18.75" x14ac:dyDescent="0.3">
      <c r="B43"/>
      <c r="C43"/>
      <c r="D43"/>
      <c r="E43"/>
      <c r="F43" s="9" t="str">
        <f>IFERROR(HYPERLINK(VLOOKUP(C43,'Flat Base'!D:J,3,0),"SIG TOOLS"),"")</f>
        <v/>
      </c>
      <c r="G43" s="9" t="str">
        <f>IFERROR(HYPERLINK(VLOOKUP(C43,'Flat Base'!D:J,4,0),"SITE MAP"),"")</f>
        <v/>
      </c>
      <c r="S43"/>
      <c r="T43" s="8"/>
      <c r="U43" s="8"/>
      <c r="V43"/>
      <c r="W43" s="8"/>
      <c r="X43" s="8"/>
    </row>
    <row r="44" spans="2:24" ht="18.75" x14ac:dyDescent="0.3">
      <c r="B44"/>
      <c r="C44"/>
      <c r="D44"/>
      <c r="E44"/>
      <c r="F44" s="9" t="str">
        <f>IFERROR(HYPERLINK(VLOOKUP(C44,'Flat Base'!D:J,3,0),"SIG TOOLS"),"")</f>
        <v/>
      </c>
      <c r="G44" s="9" t="str">
        <f>IFERROR(HYPERLINK(VLOOKUP(C44,'Flat Base'!D:J,4,0),"SITE MAP"),"")</f>
        <v/>
      </c>
      <c r="S44"/>
      <c r="T44" s="8"/>
      <c r="U44" s="8"/>
      <c r="V44"/>
      <c r="W44" s="8"/>
      <c r="X44" s="8"/>
    </row>
    <row r="45" spans="2:24" ht="18.75" x14ac:dyDescent="0.3">
      <c r="B45"/>
      <c r="C45"/>
      <c r="D45"/>
      <c r="E45"/>
      <c r="F45" s="9" t="str">
        <f>IFERROR(HYPERLINK(VLOOKUP(C45,'Flat Base'!D:J,3,0),"SIG TOOLS"),"")</f>
        <v/>
      </c>
      <c r="G45" s="9" t="str">
        <f>IFERROR(HYPERLINK(VLOOKUP(C45,'Flat Base'!D:J,4,0),"SITE MAP"),"")</f>
        <v/>
      </c>
      <c r="S45"/>
      <c r="T45" s="8"/>
      <c r="U45" s="8"/>
      <c r="V45"/>
      <c r="W45" s="8"/>
      <c r="X45" s="8"/>
    </row>
    <row r="46" spans="2:24" ht="18.75" hidden="1" x14ac:dyDescent="0.3">
      <c r="B46"/>
      <c r="C46"/>
      <c r="D46"/>
      <c r="E46"/>
      <c r="F46" s="9" t="str">
        <f>IFERROR(HYPERLINK(VLOOKUP(C46,'Flat Base'!D:J,3,0),"SIG TOOLS"),"")</f>
        <v/>
      </c>
      <c r="G46" s="9" t="str">
        <f>IFERROR(HYPERLINK(VLOOKUP(C46,'Flat Base'!D:J,4,0),"SITE MAP"),"")</f>
        <v/>
      </c>
      <c r="S46"/>
      <c r="T46" s="8"/>
      <c r="U46" s="8"/>
      <c r="V46"/>
      <c r="W46" s="8"/>
      <c r="X46" s="8"/>
    </row>
    <row r="47" spans="2:24" ht="18.75" hidden="1" x14ac:dyDescent="0.3">
      <c r="B47"/>
      <c r="C47"/>
      <c r="D47"/>
      <c r="E47"/>
      <c r="F47" s="9" t="str">
        <f>IFERROR(HYPERLINK(VLOOKUP(C47,'Flat Base'!D:J,3,0),"SIG TOOLS"),"")</f>
        <v/>
      </c>
      <c r="G47" s="9" t="str">
        <f>IFERROR(HYPERLINK(VLOOKUP(C47,'Flat Base'!D:J,4,0),"SITE MAP"),"")</f>
        <v/>
      </c>
      <c r="S47"/>
      <c r="T47" s="8"/>
      <c r="U47" s="8"/>
      <c r="V47"/>
      <c r="W47" s="8"/>
      <c r="X47" s="8"/>
    </row>
    <row r="48" spans="2:24" ht="18.75" hidden="1" x14ac:dyDescent="0.3">
      <c r="B48"/>
      <c r="C48"/>
      <c r="D48"/>
      <c r="E48"/>
      <c r="F48" s="9" t="str">
        <f>IFERROR(HYPERLINK(VLOOKUP(C48,'Flat Base'!D:J,3,0),"SIG TOOLS"),"")</f>
        <v/>
      </c>
      <c r="G48" s="9" t="str">
        <f>IFERROR(HYPERLINK(VLOOKUP(C48,'Flat Base'!D:J,4,0),"SITE MAP"),"")</f>
        <v/>
      </c>
      <c r="S48"/>
      <c r="T48" s="8"/>
      <c r="U48" s="8"/>
      <c r="V48"/>
      <c r="W48" s="8"/>
      <c r="X48" s="8"/>
    </row>
    <row r="49" spans="2:24" ht="18.75" hidden="1" x14ac:dyDescent="0.3">
      <c r="B49"/>
      <c r="C49"/>
      <c r="D49"/>
      <c r="E49"/>
      <c r="F49" s="9" t="str">
        <f>IFERROR(HYPERLINK(VLOOKUP(C49,'Flat Base'!D:J,3,0),"SIG TOOLS"),"")</f>
        <v/>
      </c>
      <c r="G49" s="9" t="str">
        <f>IFERROR(HYPERLINK(VLOOKUP(C49,'Flat Base'!D:J,4,0),"SITE MAP"),"")</f>
        <v/>
      </c>
      <c r="S49"/>
      <c r="T49" s="8"/>
      <c r="U49" s="8"/>
      <c r="V49"/>
      <c r="W49" s="8"/>
      <c r="X49" s="8"/>
    </row>
    <row r="50" spans="2:24" ht="18.75" hidden="1" x14ac:dyDescent="0.3">
      <c r="B50"/>
      <c r="C50"/>
      <c r="D50"/>
      <c r="E50"/>
      <c r="F50" s="9" t="str">
        <f>IFERROR(HYPERLINK(VLOOKUP(C50,'Flat Base'!D:J,3,0),"SIG TOOLS"),"")</f>
        <v/>
      </c>
      <c r="G50" s="9" t="str">
        <f>IFERROR(HYPERLINK(VLOOKUP(C50,'Flat Base'!D:J,4,0),"SITE MAP"),"")</f>
        <v/>
      </c>
      <c r="S50"/>
      <c r="T50" s="8"/>
      <c r="U50" s="8"/>
      <c r="V50"/>
      <c r="W50" s="8"/>
      <c r="X50" s="8"/>
    </row>
    <row r="51" spans="2:24" ht="18.75" hidden="1" x14ac:dyDescent="0.3">
      <c r="B51"/>
      <c r="C51"/>
      <c r="D51"/>
      <c r="E51"/>
      <c r="F51" s="9" t="str">
        <f>IFERROR(HYPERLINK(VLOOKUP(C51,'Flat Base'!D:J,3,0),"SIG TOOLS"),"")</f>
        <v/>
      </c>
      <c r="G51" s="9" t="str">
        <f>IFERROR(HYPERLINK(VLOOKUP(C51,'Flat Base'!D:J,4,0),"SITE MAP"),"")</f>
        <v/>
      </c>
      <c r="S51"/>
      <c r="T51" s="8"/>
      <c r="U51" s="8"/>
      <c r="V51"/>
      <c r="W51" s="8"/>
      <c r="X51" s="8"/>
    </row>
    <row r="52" spans="2:24" ht="18.75" hidden="1" x14ac:dyDescent="0.3">
      <c r="B52"/>
      <c r="C52"/>
      <c r="D52"/>
      <c r="E52"/>
      <c r="F52" s="9" t="str">
        <f>IFERROR(HYPERLINK(VLOOKUP(C52,'Flat Base'!D:J,3,0),"SIG TOOLS"),"")</f>
        <v/>
      </c>
      <c r="G52" s="9" t="str">
        <f>IFERROR(HYPERLINK(VLOOKUP(C52,'Flat Base'!D:J,4,0),"SITE MAP"),"")</f>
        <v/>
      </c>
      <c r="S52"/>
      <c r="T52" s="8"/>
      <c r="U52" s="8"/>
      <c r="V52"/>
      <c r="W52" s="8"/>
      <c r="X52" s="8"/>
    </row>
    <row r="53" spans="2:24" ht="18.75" hidden="1" x14ac:dyDescent="0.3">
      <c r="B53"/>
      <c r="C53"/>
      <c r="D53"/>
      <c r="E53"/>
      <c r="F53" s="9" t="str">
        <f>IFERROR(HYPERLINK(VLOOKUP(C53,'Flat Base'!D:J,3,0),"SIG TOOLS"),"")</f>
        <v/>
      </c>
      <c r="G53" s="9" t="str">
        <f>IFERROR(HYPERLINK(VLOOKUP(C53,'Flat Base'!D:J,4,0),"SITE MAP"),"")</f>
        <v/>
      </c>
      <c r="S53"/>
      <c r="T53" s="8"/>
      <c r="U53" s="8"/>
      <c r="V53"/>
      <c r="W53" s="8"/>
      <c r="X53" s="8"/>
    </row>
    <row r="54" spans="2:24" ht="18.75" hidden="1" x14ac:dyDescent="0.3">
      <c r="B54"/>
      <c r="C54"/>
      <c r="D54"/>
      <c r="E54"/>
      <c r="F54" s="9" t="str">
        <f>IFERROR(HYPERLINK(VLOOKUP(C54,'Flat Base'!D:J,3,0),"SIG TOOLS"),"")</f>
        <v/>
      </c>
      <c r="G54" s="9" t="str">
        <f>IFERROR(HYPERLINK(VLOOKUP(C54,'Flat Base'!D:J,4,0),"SITE MAP"),"")</f>
        <v/>
      </c>
      <c r="S54"/>
      <c r="T54" s="8"/>
      <c r="U54" s="8"/>
      <c r="V54"/>
      <c r="W54" s="8"/>
      <c r="X54" s="8"/>
    </row>
    <row r="55" spans="2:24" ht="18.75" hidden="1" x14ac:dyDescent="0.3">
      <c r="B55"/>
      <c r="C55"/>
      <c r="D55"/>
      <c r="E55"/>
      <c r="F55" s="9" t="str">
        <f>IFERROR(HYPERLINK(VLOOKUP(C55,'Flat Base'!D:J,3,0),"SIG TOOLS"),"")</f>
        <v/>
      </c>
      <c r="G55" s="9" t="str">
        <f>IFERROR(HYPERLINK(VLOOKUP(C55,'Flat Base'!D:J,4,0),"SITE MAP"),"")</f>
        <v/>
      </c>
      <c r="S55"/>
      <c r="T55" s="8"/>
      <c r="U55" s="8"/>
      <c r="V55"/>
      <c r="W55" s="8"/>
      <c r="X55" s="8"/>
    </row>
    <row r="56" spans="2:24" ht="18.75" hidden="1" x14ac:dyDescent="0.3">
      <c r="B56"/>
      <c r="C56"/>
      <c r="D56"/>
      <c r="E56"/>
      <c r="F56" s="9" t="str">
        <f>IFERROR(HYPERLINK(VLOOKUP(C56,'Flat Base'!D:J,3,0),"SIG TOOLS"),"")</f>
        <v/>
      </c>
      <c r="G56" s="9" t="str">
        <f>IFERROR(HYPERLINK(VLOOKUP(C56,'Flat Base'!D:J,4,0),"SITE MAP"),"")</f>
        <v/>
      </c>
      <c r="S56"/>
      <c r="T56" s="8"/>
      <c r="U56" s="8"/>
      <c r="V56"/>
      <c r="W56" s="8"/>
      <c r="X56" s="8"/>
    </row>
    <row r="57" spans="2:24" ht="18.75" hidden="1" x14ac:dyDescent="0.3">
      <c r="B57"/>
      <c r="C57"/>
      <c r="D57"/>
      <c r="E57"/>
      <c r="F57" s="9" t="str">
        <f>IFERROR(HYPERLINK(VLOOKUP(C57,'Flat Base'!D:J,3,0),"SIG TOOLS"),"")</f>
        <v/>
      </c>
      <c r="G57" s="9" t="str">
        <f>IFERROR(HYPERLINK(VLOOKUP(C57,'Flat Base'!D:J,4,0),"SITE MAP"),"")</f>
        <v/>
      </c>
      <c r="S57"/>
      <c r="T57" s="8"/>
      <c r="U57" s="8"/>
      <c r="V57"/>
      <c r="W57" s="8"/>
      <c r="X57" s="8"/>
    </row>
    <row r="58" spans="2:24" ht="18.75" hidden="1" x14ac:dyDescent="0.3">
      <c r="B58"/>
      <c r="C58"/>
      <c r="D58"/>
      <c r="E58"/>
      <c r="F58" s="9" t="str">
        <f>IFERROR(HYPERLINK(VLOOKUP(C58,'Flat Base'!D:J,3,0),"SIG TOOLS"),"")</f>
        <v/>
      </c>
      <c r="G58" s="9" t="str">
        <f>IFERROR(HYPERLINK(VLOOKUP(C58,'Flat Base'!D:J,4,0),"SITE MAP"),"")</f>
        <v/>
      </c>
      <c r="S58"/>
      <c r="T58" s="8"/>
      <c r="U58" s="8"/>
      <c r="V58"/>
      <c r="W58" s="8"/>
      <c r="X58" s="8"/>
    </row>
    <row r="59" spans="2:24" ht="18.75" hidden="1" x14ac:dyDescent="0.3">
      <c r="B59"/>
      <c r="C59"/>
      <c r="D59"/>
      <c r="E59"/>
      <c r="F59" s="9" t="str">
        <f>IFERROR(HYPERLINK(VLOOKUP(C59,'Flat Base'!D:J,3,0),"SIG TOOLS"),"")</f>
        <v/>
      </c>
      <c r="G59" s="9" t="str">
        <f>IFERROR(HYPERLINK(VLOOKUP(C59,'Flat Base'!D:J,4,0),"SITE MAP"),"")</f>
        <v/>
      </c>
      <c r="S59"/>
      <c r="T59" s="8"/>
      <c r="U59" s="8"/>
      <c r="V59"/>
      <c r="W59" s="8"/>
      <c r="X59" s="8"/>
    </row>
    <row r="60" spans="2:24" ht="18.75" hidden="1" x14ac:dyDescent="0.3">
      <c r="B60"/>
      <c r="C60"/>
      <c r="D60"/>
      <c r="E60"/>
      <c r="F60" s="9" t="str">
        <f>IFERROR(HYPERLINK(VLOOKUP(C60,'Flat Base'!D:J,3,0),"SIG TOOLS"),"")</f>
        <v/>
      </c>
      <c r="G60" s="9" t="str">
        <f>IFERROR(HYPERLINK(VLOOKUP(C60,'Flat Base'!D:J,4,0),"SITE MAP"),"")</f>
        <v/>
      </c>
      <c r="S60"/>
      <c r="T60" s="8"/>
      <c r="U60" s="8"/>
      <c r="V60"/>
      <c r="W60" s="8"/>
      <c r="X60" s="8"/>
    </row>
    <row r="61" spans="2:24" ht="18.75" hidden="1" x14ac:dyDescent="0.3">
      <c r="B61"/>
      <c r="C61"/>
      <c r="D61"/>
      <c r="E61"/>
      <c r="F61" s="9" t="str">
        <f>IFERROR(HYPERLINK(VLOOKUP(C61,'Flat Base'!D:J,3,0),"SIG TOOLS"),"")</f>
        <v/>
      </c>
      <c r="G61" s="9" t="str">
        <f>IFERROR(HYPERLINK(VLOOKUP(C61,'Flat Base'!D:J,4,0),"SITE MAP"),"")</f>
        <v/>
      </c>
      <c r="S61"/>
      <c r="T61" s="8"/>
      <c r="U61" s="8"/>
      <c r="V61"/>
      <c r="W61" s="8"/>
      <c r="X61" s="8"/>
    </row>
    <row r="62" spans="2:24" ht="18.75" hidden="1" x14ac:dyDescent="0.3">
      <c r="B62"/>
      <c r="C62"/>
      <c r="D62"/>
      <c r="E62"/>
      <c r="F62" s="9" t="str">
        <f>IFERROR(HYPERLINK(VLOOKUP(C62,'Flat Base'!D:J,3,0),"SIG TOOLS"),"")</f>
        <v/>
      </c>
      <c r="G62" s="9" t="str">
        <f>IFERROR(HYPERLINK(VLOOKUP(C62,'Flat Base'!D:J,4,0),"SITE MAP"),"")</f>
        <v/>
      </c>
      <c r="S62"/>
      <c r="T62" s="8"/>
      <c r="U62" s="8"/>
      <c r="V62"/>
      <c r="W62" s="8"/>
      <c r="X62" s="8"/>
    </row>
    <row r="63" spans="2:24" ht="18.75" hidden="1" x14ac:dyDescent="0.3">
      <c r="B63"/>
      <c r="C63"/>
      <c r="D63"/>
      <c r="E63"/>
      <c r="F63" s="9" t="str">
        <f>IFERROR(HYPERLINK(VLOOKUP(C63,'Flat Base'!D:J,3,0),"SIG TOOLS"),"")</f>
        <v/>
      </c>
      <c r="G63" s="9" t="str">
        <f>IFERROR(HYPERLINK(VLOOKUP(C63,'Flat Base'!D:J,4,0),"SITE MAP"),"")</f>
        <v/>
      </c>
      <c r="S63"/>
      <c r="T63" s="8"/>
      <c r="U63" s="8"/>
      <c r="V63"/>
      <c r="W63" s="8"/>
      <c r="X63" s="8"/>
    </row>
    <row r="64" spans="2:24" ht="18.75" hidden="1" x14ac:dyDescent="0.3">
      <c r="B64"/>
      <c r="C64"/>
      <c r="D64"/>
      <c r="E64"/>
      <c r="F64" s="9" t="str">
        <f>IFERROR(HYPERLINK(VLOOKUP(C64,'Flat Base'!D:J,3,0),"SIG TOOLS"),"")</f>
        <v/>
      </c>
      <c r="G64" s="9" t="str">
        <f>IFERROR(HYPERLINK(VLOOKUP(C64,'Flat Base'!D:J,4,0),"SITE MAP"),"")</f>
        <v/>
      </c>
      <c r="S64"/>
      <c r="T64" s="8"/>
      <c r="U64" s="8"/>
      <c r="V64"/>
      <c r="W64" s="8"/>
      <c r="X64" s="8"/>
    </row>
    <row r="65" spans="2:24" ht="18.75" hidden="1" x14ac:dyDescent="0.3">
      <c r="B65"/>
      <c r="C65"/>
      <c r="D65"/>
      <c r="E65"/>
      <c r="F65" s="9" t="str">
        <f>IFERROR(HYPERLINK(VLOOKUP(C65,'Flat Base'!D:J,3,0),"SIG TOOLS"),"")</f>
        <v/>
      </c>
      <c r="G65" s="9" t="str">
        <f>IFERROR(HYPERLINK(VLOOKUP(C65,'Flat Base'!D:J,4,0),"SITE MAP"),"")</f>
        <v/>
      </c>
      <c r="S65"/>
      <c r="T65" s="8"/>
      <c r="U65" s="8"/>
      <c r="V65"/>
      <c r="W65" s="8"/>
      <c r="X65" s="8"/>
    </row>
    <row r="66" spans="2:24" ht="18.75" hidden="1" x14ac:dyDescent="0.3">
      <c r="B66"/>
      <c r="C66"/>
      <c r="D66"/>
      <c r="E66"/>
      <c r="F66" s="9" t="str">
        <f>IFERROR(HYPERLINK(VLOOKUP(C66,'Flat Base'!D:J,3,0),"SIG TOOLS"),"")</f>
        <v/>
      </c>
      <c r="G66" s="9" t="str">
        <f>IFERROR(HYPERLINK(VLOOKUP(C66,'Flat Base'!D:J,4,0),"SITE MAP"),"")</f>
        <v/>
      </c>
      <c r="S66"/>
      <c r="T66" s="8"/>
      <c r="U66" s="8"/>
      <c r="V66"/>
      <c r="W66" s="8"/>
      <c r="X66" s="8"/>
    </row>
    <row r="67" spans="2:24" ht="18.75" hidden="1" x14ac:dyDescent="0.3">
      <c r="B67"/>
      <c r="C67"/>
      <c r="D67"/>
      <c r="E67"/>
      <c r="F67" s="9" t="str">
        <f>IFERROR(HYPERLINK(VLOOKUP(C67,'Flat Base'!D:J,3,0),"SIG TOOLS"),"")</f>
        <v/>
      </c>
      <c r="G67" s="9" t="str">
        <f>IFERROR(HYPERLINK(VLOOKUP(C67,'Flat Base'!D:J,4,0),"SITE MAP"),"")</f>
        <v/>
      </c>
      <c r="S67"/>
      <c r="T67" s="8"/>
      <c r="U67" s="8"/>
      <c r="V67"/>
      <c r="W67" s="8"/>
      <c r="X67" s="8"/>
    </row>
    <row r="68" spans="2:24" ht="18.75" hidden="1" x14ac:dyDescent="0.3">
      <c r="B68"/>
      <c r="C68"/>
      <c r="D68"/>
      <c r="E68"/>
      <c r="F68" s="9" t="str">
        <f>IFERROR(HYPERLINK(VLOOKUP(C68,'Flat Base'!D:J,3,0),"SIG TOOLS"),"")</f>
        <v/>
      </c>
      <c r="G68" s="9" t="str">
        <f>IFERROR(HYPERLINK(VLOOKUP(C68,'Flat Base'!D:J,4,0),"SITE MAP"),"")</f>
        <v/>
      </c>
      <c r="S68"/>
      <c r="T68" s="8"/>
      <c r="U68" s="8"/>
      <c r="V68"/>
      <c r="W68" s="8"/>
      <c r="X68" s="8"/>
    </row>
    <row r="69" spans="2:24" ht="18.75" hidden="1" x14ac:dyDescent="0.3">
      <c r="B69"/>
      <c r="C69"/>
      <c r="D69"/>
      <c r="E69"/>
      <c r="F69" s="9" t="str">
        <f>IFERROR(HYPERLINK(VLOOKUP(C69,'Flat Base'!D:J,3,0),"SIG TOOLS"),"")</f>
        <v/>
      </c>
      <c r="G69" s="9" t="str">
        <f>IFERROR(HYPERLINK(VLOOKUP(C69,'Flat Base'!D:J,4,0),"SITE MAP"),"")</f>
        <v/>
      </c>
      <c r="S69"/>
      <c r="T69" s="8"/>
      <c r="U69" s="8"/>
      <c r="V69"/>
      <c r="W69" s="8"/>
      <c r="X69" s="8"/>
    </row>
    <row r="70" spans="2:24" ht="18.75" hidden="1" x14ac:dyDescent="0.3">
      <c r="B70"/>
      <c r="C70"/>
      <c r="D70"/>
      <c r="E70"/>
      <c r="F70" s="9" t="str">
        <f>IFERROR(HYPERLINK(VLOOKUP(C70,'Flat Base'!D:J,3,0),"SIG TOOLS"),"")</f>
        <v/>
      </c>
      <c r="G70" s="9" t="str">
        <f>IFERROR(HYPERLINK(VLOOKUP(C70,'Flat Base'!D:J,4,0),"SITE MAP"),"")</f>
        <v/>
      </c>
      <c r="S70"/>
      <c r="T70" s="8"/>
      <c r="U70" s="8"/>
      <c r="V70"/>
      <c r="W70" s="8"/>
      <c r="X70" s="8"/>
    </row>
    <row r="71" spans="2:24" ht="18.75" hidden="1" x14ac:dyDescent="0.3">
      <c r="B71"/>
      <c r="C71"/>
      <c r="D71"/>
      <c r="E71"/>
      <c r="F71" s="9" t="str">
        <f>IFERROR(HYPERLINK(VLOOKUP(C71,'Flat Base'!D:J,3,0),"SIG TOOLS"),"")</f>
        <v/>
      </c>
      <c r="G71" s="9" t="str">
        <f>IFERROR(HYPERLINK(VLOOKUP(C71,'Flat Base'!D:J,4,0),"SITE MAP"),"")</f>
        <v/>
      </c>
      <c r="S71"/>
      <c r="T71" s="8"/>
      <c r="U71" s="8"/>
      <c r="V71"/>
      <c r="W71" s="8"/>
      <c r="X71" s="8"/>
    </row>
    <row r="72" spans="2:24" ht="18.75" hidden="1" x14ac:dyDescent="0.3">
      <c r="B72"/>
      <c r="C72"/>
      <c r="D72"/>
      <c r="E72"/>
      <c r="F72" s="9" t="str">
        <f>IFERROR(HYPERLINK(VLOOKUP(C72,'Flat Base'!D:J,3,0),"SIG TOOLS"),"")</f>
        <v/>
      </c>
      <c r="G72" s="9" t="str">
        <f>IFERROR(HYPERLINK(VLOOKUP(C72,'Flat Base'!D:J,4,0),"SITE MAP"),"")</f>
        <v/>
      </c>
      <c r="S72"/>
      <c r="T72" s="8"/>
      <c r="U72" s="8"/>
      <c r="V72"/>
      <c r="W72" s="8"/>
      <c r="X72" s="8"/>
    </row>
    <row r="73" spans="2:24" ht="18.75" hidden="1" x14ac:dyDescent="0.3">
      <c r="B73"/>
      <c r="C73"/>
      <c r="D73"/>
      <c r="E73"/>
      <c r="F73"/>
      <c r="G73" s="3"/>
      <c r="S73"/>
      <c r="T73" s="8"/>
      <c r="U73" s="8"/>
      <c r="V73"/>
      <c r="W73" s="8"/>
      <c r="X73" s="8"/>
    </row>
    <row r="74" spans="2:24" ht="18.75" hidden="1" x14ac:dyDescent="0.3">
      <c r="B74"/>
      <c r="C74"/>
      <c r="D74"/>
      <c r="E74"/>
      <c r="F74"/>
      <c r="G74" s="3"/>
      <c r="S74"/>
      <c r="T74" s="8"/>
      <c r="U74" s="8"/>
      <c r="V74"/>
      <c r="W74" s="8"/>
      <c r="X74" s="8"/>
    </row>
    <row r="75" spans="2:24" ht="18.75" hidden="1" x14ac:dyDescent="0.3">
      <c r="B75"/>
      <c r="C75"/>
      <c r="D75"/>
      <c r="E75"/>
      <c r="F75"/>
      <c r="G75" s="3"/>
      <c r="S75"/>
      <c r="T75" s="8"/>
      <c r="U75" s="8"/>
      <c r="V75"/>
      <c r="W75" s="8"/>
      <c r="X75" s="8"/>
    </row>
    <row r="76" spans="2:24" ht="18.75" hidden="1" x14ac:dyDescent="0.3">
      <c r="B76"/>
      <c r="C76"/>
      <c r="D76"/>
      <c r="E76"/>
      <c r="F76"/>
      <c r="G76" s="3"/>
      <c r="S76"/>
      <c r="T76" s="8"/>
      <c r="U76" s="8"/>
      <c r="V76"/>
      <c r="W76" s="8"/>
      <c r="X76" s="8"/>
    </row>
    <row r="499" spans="5:5" hidden="1" x14ac:dyDescent="0.25">
      <c r="E499" t="str">
        <f>IFERROR(VLOOKUP(C499&amp;'H.A. Dynamic Split'!$C$13,'Flat Base'!#REF!,3,0),"")</f>
        <v/>
      </c>
    </row>
    <row r="500" spans="5:5" hidden="1" x14ac:dyDescent="0.25">
      <c r="E500" t="str">
        <f>IFERROR(VLOOKUP(C500&amp;'H.A. Dynamic Split'!$C$13,'Flat Base'!#REF!,3,0),"")</f>
        <v/>
      </c>
    </row>
    <row r="501" spans="5:5" hidden="1" x14ac:dyDescent="0.25">
      <c r="E501" t="str">
        <f>IFERROR(VLOOKUP(C501&amp;'H.A. Dynamic Split'!$C$13,'Flat Base'!#REF!,3,0),"")</f>
        <v/>
      </c>
    </row>
  </sheetData>
  <sheetProtection formatCells="0" formatColumns="0" autoFilter="0" pivotTables="0"/>
  <autoFilter ref="A15:M501" xr:uid="{00000000-0001-0000-0000-000000000000}">
    <filterColumn colId="5" showButton="0"/>
  </autoFilter>
  <mergeCells count="3">
    <mergeCell ref="A1:C1"/>
    <mergeCell ref="F15:G15"/>
    <mergeCell ref="G5:G6"/>
  </mergeCells>
  <conditionalFormatting sqref="C16:C19">
    <cfRule type="expression" dxfId="1728" priority="17">
      <formula>$C$16</formula>
    </cfRule>
  </conditionalFormatting>
  <conditionalFormatting sqref="C16:C6288 T33:X239">
    <cfRule type="endsWith" dxfId="1727" priority="29" operator="endsWith" text="(NO TOURS)">
      <formula>RIGHT(C16,LEN("(NO TOURS)"))="(NO TOURS)"</formula>
    </cfRule>
  </conditionalFormatting>
  <conditionalFormatting sqref="G11 G36:G6288">
    <cfRule type="cellIs" dxfId="1726" priority="46" operator="equal">
      <formula>"Log Out"</formula>
    </cfRule>
  </conditionalFormatting>
  <conditionalFormatting sqref="J16:J35">
    <cfRule type="endsWith" dxfId="1725" priority="4" operator="endsWith" text="(NO SPEAKERS)">
      <formula>RIGHT(J16,LEN("(NO SPEAKERS)"))="(NO SPEAKERS)"</formula>
    </cfRule>
    <cfRule type="endsWith" dxfId="1724" priority="5" operator="endsWith" text="(NO TOURS)">
      <formula>RIGHT(J16,LEN("(NO TOURS)"))="(NO TOURS)"</formula>
    </cfRule>
  </conditionalFormatting>
  <conditionalFormatting sqref="Q33:Q242 Q243:R246 Q247:S312">
    <cfRule type="endsWith" dxfId="1723" priority="18" operator="endsWith" text="(NO SPEAKERS)">
      <formula>RIGHT(Q33,LEN("(NO SPEAKERS)"))="(NO SPEAKERS)"</formula>
    </cfRule>
    <cfRule type="endsWith" dxfId="1722" priority="19" operator="endsWith" text="(NO TOURS)">
      <formula>RIGHT(Q33,LEN("(NO TOURS)"))="(NO TOURS)"</formula>
    </cfRule>
  </conditionalFormatting>
  <conditionalFormatting sqref="T11:X11 T15:V22 U15:U28 T16:T76 T23:X239">
    <cfRule type="cellIs" dxfId="1721" priority="13" operator="equal">
      <formula>"Log In"</formula>
    </cfRule>
    <cfRule type="endsWith" dxfId="1720" priority="14" operator="endsWith" text="(NO SPEAKERS)">
      <formula>RIGHT(T11,LEN("(NO SPEAKERS)"))="(NO SPEAKERS)"</formula>
    </cfRule>
    <cfRule type="endsWith" dxfId="1719" priority="15" operator="endsWith" text="(NO TOURS)">
      <formula>RIGHT(T11,LEN("(NO TOURS)"))="(NO TOURS)"</formula>
    </cfRule>
  </conditionalFormatting>
  <conditionalFormatting sqref="T33:X72">
    <cfRule type="cellIs" dxfId="1718" priority="16" operator="equal">
      <formula>"Log In"</formula>
    </cfRule>
  </conditionalFormatting>
  <conditionalFormatting sqref="T33:X239 C16:C6288">
    <cfRule type="endsWith" dxfId="1717" priority="27" operator="endsWith" text="(NO SPEAKERS)">
      <formula>RIGHT(C16,LEN("(NO SPEAKERS)"))="(NO SPEAKERS)"</formula>
    </cfRule>
  </conditionalFormatting>
  <pageMargins left="0.7" right="0.7" top="0.75" bottom="0.75" header="0.3" footer="0.3"/>
  <pageSetup scale="29" orientation="portrait" r:id="rId8"/>
  <drawing r:id="rId9"/>
  <extLst>
    <ext xmlns:x14="http://schemas.microsoft.com/office/spreadsheetml/2009/9/main" uri="{A8765BA9-456A-4dab-B4F3-ACF838C121DE}">
      <x14:slicerList>
        <x14:slicer r:id="rId10"/>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6B7FB-92D3-4082-BFE8-08D0B72055F4}">
  <sheetPr codeName="Sheet4"/>
  <dimension ref="A1:H87"/>
  <sheetViews>
    <sheetView zoomScaleNormal="100" workbookViewId="0">
      <selection activeCell="I20" sqref="I20:J20"/>
    </sheetView>
  </sheetViews>
  <sheetFormatPr defaultColWidth="11.5703125" defaultRowHeight="15" x14ac:dyDescent="0.25"/>
  <cols>
    <col min="5" max="5" width="44.7109375" bestFit="1" customWidth="1"/>
    <col min="6" max="6" width="12.140625" bestFit="1" customWidth="1"/>
    <col min="7" max="7" width="16.140625" bestFit="1" customWidth="1"/>
    <col min="8" max="8" width="16" customWidth="1"/>
  </cols>
  <sheetData>
    <row r="1" spans="1:8" x14ac:dyDescent="0.25">
      <c r="H1" t="s">
        <v>52</v>
      </c>
    </row>
    <row r="2" spans="1:8" x14ac:dyDescent="0.25">
      <c r="A2" t="s">
        <v>25</v>
      </c>
      <c r="B2" t="s">
        <v>29</v>
      </c>
      <c r="C2" t="s">
        <v>26</v>
      </c>
      <c r="D2" t="s">
        <v>54</v>
      </c>
      <c r="E2" t="s">
        <v>27</v>
      </c>
      <c r="F2" t="s">
        <v>30</v>
      </c>
      <c r="G2" t="s">
        <v>28</v>
      </c>
      <c r="H2" t="s">
        <v>53</v>
      </c>
    </row>
    <row r="3" spans="1:8" x14ac:dyDescent="0.25">
      <c r="A3" t="s">
        <v>75</v>
      </c>
      <c r="B3">
        <v>1</v>
      </c>
      <c r="C3" t="s">
        <v>63</v>
      </c>
      <c r="D3" t="s">
        <v>2</v>
      </c>
      <c r="E3" t="s">
        <v>40</v>
      </c>
      <c r="F3" t="s">
        <v>72</v>
      </c>
      <c r="G3" t="s">
        <v>3</v>
      </c>
    </row>
    <row r="4" spans="1:8" x14ac:dyDescent="0.25">
      <c r="A4" t="s">
        <v>76</v>
      </c>
      <c r="B4">
        <v>1</v>
      </c>
      <c r="C4" t="s">
        <v>63</v>
      </c>
      <c r="D4" t="s">
        <v>2</v>
      </c>
      <c r="E4" t="s">
        <v>40</v>
      </c>
      <c r="F4" t="s">
        <v>72</v>
      </c>
      <c r="G4" t="s">
        <v>3</v>
      </c>
    </row>
    <row r="5" spans="1:8" x14ac:dyDescent="0.25">
      <c r="A5" t="s">
        <v>77</v>
      </c>
      <c r="B5">
        <v>1</v>
      </c>
      <c r="C5" t="s">
        <v>63</v>
      </c>
      <c r="D5" t="s">
        <v>2</v>
      </c>
      <c r="E5" t="s">
        <v>40</v>
      </c>
      <c r="F5" t="s">
        <v>72</v>
      </c>
      <c r="G5" t="s">
        <v>3</v>
      </c>
    </row>
    <row r="6" spans="1:8" x14ac:dyDescent="0.25">
      <c r="A6" t="s">
        <v>78</v>
      </c>
      <c r="B6">
        <v>1</v>
      </c>
      <c r="C6" t="s">
        <v>63</v>
      </c>
      <c r="D6" t="s">
        <v>2</v>
      </c>
      <c r="E6" t="s">
        <v>40</v>
      </c>
      <c r="F6" t="s">
        <v>72</v>
      </c>
      <c r="G6" t="s">
        <v>3</v>
      </c>
    </row>
    <row r="7" spans="1:8" x14ac:dyDescent="0.25">
      <c r="A7" t="s">
        <v>78</v>
      </c>
      <c r="B7">
        <v>4</v>
      </c>
      <c r="C7" t="s">
        <v>63</v>
      </c>
      <c r="D7" t="s">
        <v>2</v>
      </c>
      <c r="E7" t="s">
        <v>11</v>
      </c>
      <c r="F7" t="s">
        <v>72</v>
      </c>
      <c r="G7" t="s">
        <v>68</v>
      </c>
    </row>
    <row r="8" spans="1:8" x14ac:dyDescent="0.25">
      <c r="A8" t="s">
        <v>76</v>
      </c>
      <c r="B8">
        <v>1</v>
      </c>
      <c r="C8" t="s">
        <v>63</v>
      </c>
      <c r="D8" t="s">
        <v>2</v>
      </c>
      <c r="E8" t="s">
        <v>22</v>
      </c>
      <c r="F8" t="s">
        <v>72</v>
      </c>
      <c r="G8" t="s">
        <v>68</v>
      </c>
    </row>
    <row r="9" spans="1:8" x14ac:dyDescent="0.25">
      <c r="A9" t="s">
        <v>77</v>
      </c>
      <c r="B9">
        <v>1</v>
      </c>
      <c r="C9" t="s">
        <v>63</v>
      </c>
      <c r="D9" t="s">
        <v>2</v>
      </c>
      <c r="E9" t="s">
        <v>22</v>
      </c>
      <c r="F9" t="s">
        <v>72</v>
      </c>
      <c r="G9" t="s">
        <v>68</v>
      </c>
    </row>
    <row r="10" spans="1:8" x14ac:dyDescent="0.25">
      <c r="A10" t="s">
        <v>78</v>
      </c>
      <c r="B10">
        <v>1</v>
      </c>
      <c r="C10" t="s">
        <v>63</v>
      </c>
      <c r="D10" t="s">
        <v>2</v>
      </c>
      <c r="E10" t="s">
        <v>22</v>
      </c>
      <c r="F10" t="s">
        <v>72</v>
      </c>
      <c r="G10" t="s">
        <v>68</v>
      </c>
    </row>
    <row r="11" spans="1:8" x14ac:dyDescent="0.25">
      <c r="A11" t="s">
        <v>78</v>
      </c>
      <c r="B11">
        <v>4</v>
      </c>
      <c r="C11" t="s">
        <v>63</v>
      </c>
      <c r="D11" t="s">
        <v>2</v>
      </c>
      <c r="E11" t="s">
        <v>38</v>
      </c>
      <c r="F11" t="s">
        <v>72</v>
      </c>
      <c r="G11" t="s">
        <v>3</v>
      </c>
    </row>
    <row r="12" spans="1:8" x14ac:dyDescent="0.25">
      <c r="A12" t="s">
        <v>77</v>
      </c>
      <c r="B12">
        <v>2</v>
      </c>
      <c r="C12" t="s">
        <v>63</v>
      </c>
      <c r="D12" t="s">
        <v>2</v>
      </c>
      <c r="E12" t="s">
        <v>12</v>
      </c>
      <c r="F12" t="s">
        <v>72</v>
      </c>
      <c r="G12" t="s">
        <v>3</v>
      </c>
    </row>
    <row r="13" spans="1:8" x14ac:dyDescent="0.25">
      <c r="A13" t="s">
        <v>78</v>
      </c>
      <c r="B13">
        <v>2</v>
      </c>
      <c r="C13" t="s">
        <v>63</v>
      </c>
      <c r="D13" t="s">
        <v>2</v>
      </c>
      <c r="E13" t="s">
        <v>12</v>
      </c>
      <c r="F13" t="s">
        <v>72</v>
      </c>
      <c r="G13" t="s">
        <v>3</v>
      </c>
    </row>
    <row r="14" spans="1:8" x14ac:dyDescent="0.25">
      <c r="A14" t="s">
        <v>75</v>
      </c>
      <c r="B14">
        <v>1</v>
      </c>
      <c r="C14" t="s">
        <v>63</v>
      </c>
      <c r="D14" t="s">
        <v>2</v>
      </c>
      <c r="E14" t="s">
        <v>95</v>
      </c>
      <c r="F14" t="s">
        <v>72</v>
      </c>
      <c r="G14" t="s">
        <v>69</v>
      </c>
    </row>
    <row r="15" spans="1:8" x14ac:dyDescent="0.25">
      <c r="A15" t="s">
        <v>76</v>
      </c>
      <c r="B15">
        <v>1</v>
      </c>
      <c r="C15" t="s">
        <v>63</v>
      </c>
      <c r="D15" t="s">
        <v>2</v>
      </c>
      <c r="E15" t="s">
        <v>95</v>
      </c>
      <c r="F15" t="s">
        <v>72</v>
      </c>
      <c r="G15" t="s">
        <v>69</v>
      </c>
    </row>
    <row r="16" spans="1:8" x14ac:dyDescent="0.25">
      <c r="A16" t="s">
        <v>77</v>
      </c>
      <c r="B16">
        <v>1</v>
      </c>
      <c r="C16" t="s">
        <v>63</v>
      </c>
      <c r="D16" t="s">
        <v>2</v>
      </c>
      <c r="E16" t="s">
        <v>95</v>
      </c>
      <c r="F16" t="s">
        <v>72</v>
      </c>
      <c r="G16" t="s">
        <v>69</v>
      </c>
    </row>
    <row r="17" spans="1:7" x14ac:dyDescent="0.25">
      <c r="A17" t="s">
        <v>78</v>
      </c>
      <c r="B17">
        <v>1</v>
      </c>
      <c r="C17" t="s">
        <v>63</v>
      </c>
      <c r="D17" t="s">
        <v>2</v>
      </c>
      <c r="E17" t="s">
        <v>95</v>
      </c>
      <c r="F17" t="s">
        <v>72</v>
      </c>
      <c r="G17" t="s">
        <v>69</v>
      </c>
    </row>
    <row r="18" spans="1:7" x14ac:dyDescent="0.25">
      <c r="A18" t="s">
        <v>77</v>
      </c>
      <c r="B18">
        <v>3</v>
      </c>
      <c r="C18" t="s">
        <v>63</v>
      </c>
      <c r="D18" t="s">
        <v>2</v>
      </c>
      <c r="E18" t="s">
        <v>16</v>
      </c>
      <c r="F18" t="s">
        <v>72</v>
      </c>
      <c r="G18" t="s">
        <v>3</v>
      </c>
    </row>
    <row r="19" spans="1:7" x14ac:dyDescent="0.25">
      <c r="A19" t="s">
        <v>78</v>
      </c>
      <c r="B19">
        <v>3</v>
      </c>
      <c r="C19" t="s">
        <v>63</v>
      </c>
      <c r="D19" t="s">
        <v>2</v>
      </c>
      <c r="E19" t="s">
        <v>16</v>
      </c>
      <c r="F19" t="s">
        <v>72</v>
      </c>
      <c r="G19" t="s">
        <v>3</v>
      </c>
    </row>
    <row r="20" spans="1:7" x14ac:dyDescent="0.25">
      <c r="A20" t="s">
        <v>77</v>
      </c>
      <c r="B20">
        <v>2</v>
      </c>
      <c r="C20" t="s">
        <v>62</v>
      </c>
      <c r="D20" t="s">
        <v>2</v>
      </c>
      <c r="E20" t="s">
        <v>37</v>
      </c>
      <c r="F20" t="s">
        <v>72</v>
      </c>
      <c r="G20" t="s">
        <v>3</v>
      </c>
    </row>
    <row r="21" spans="1:7" x14ac:dyDescent="0.25">
      <c r="A21" t="s">
        <v>78</v>
      </c>
      <c r="B21">
        <v>2</v>
      </c>
      <c r="C21" t="s">
        <v>62</v>
      </c>
      <c r="D21" t="s">
        <v>2</v>
      </c>
      <c r="E21" t="s">
        <v>37</v>
      </c>
      <c r="F21" t="s">
        <v>72</v>
      </c>
      <c r="G21" t="s">
        <v>3</v>
      </c>
    </row>
    <row r="22" spans="1:7" x14ac:dyDescent="0.25">
      <c r="A22" t="s">
        <v>78</v>
      </c>
      <c r="B22">
        <v>4</v>
      </c>
      <c r="C22" t="s">
        <v>62</v>
      </c>
      <c r="D22" t="s">
        <v>2</v>
      </c>
      <c r="E22" t="s">
        <v>39</v>
      </c>
      <c r="F22" t="s">
        <v>72</v>
      </c>
      <c r="G22" t="s">
        <v>3</v>
      </c>
    </row>
    <row r="23" spans="1:7" x14ac:dyDescent="0.25">
      <c r="A23" t="s">
        <v>76</v>
      </c>
      <c r="B23">
        <v>2</v>
      </c>
      <c r="C23" t="s">
        <v>62</v>
      </c>
      <c r="D23" t="s">
        <v>2</v>
      </c>
      <c r="E23" t="s">
        <v>49</v>
      </c>
      <c r="F23" t="s">
        <v>72</v>
      </c>
      <c r="G23" t="s">
        <v>3</v>
      </c>
    </row>
    <row r="24" spans="1:7" x14ac:dyDescent="0.25">
      <c r="A24" t="s">
        <v>77</v>
      </c>
      <c r="B24">
        <v>2</v>
      </c>
      <c r="C24" t="s">
        <v>62</v>
      </c>
      <c r="D24" t="s">
        <v>2</v>
      </c>
      <c r="E24" t="s">
        <v>49</v>
      </c>
      <c r="F24" t="s">
        <v>72</v>
      </c>
      <c r="G24" t="s">
        <v>3</v>
      </c>
    </row>
    <row r="25" spans="1:7" x14ac:dyDescent="0.25">
      <c r="A25" t="s">
        <v>78</v>
      </c>
      <c r="B25">
        <v>2</v>
      </c>
      <c r="C25" t="s">
        <v>62</v>
      </c>
      <c r="D25" t="s">
        <v>2</v>
      </c>
      <c r="E25" t="s">
        <v>49</v>
      </c>
      <c r="F25" t="s">
        <v>72</v>
      </c>
      <c r="G25" t="s">
        <v>3</v>
      </c>
    </row>
    <row r="26" spans="1:7" x14ac:dyDescent="0.25">
      <c r="A26" t="s">
        <v>77</v>
      </c>
      <c r="B26">
        <v>3</v>
      </c>
      <c r="C26" t="s">
        <v>63</v>
      </c>
      <c r="D26" t="s">
        <v>2</v>
      </c>
      <c r="E26" t="s">
        <v>23</v>
      </c>
      <c r="F26" t="s">
        <v>72</v>
      </c>
      <c r="G26" t="s">
        <v>69</v>
      </c>
    </row>
    <row r="27" spans="1:7" x14ac:dyDescent="0.25">
      <c r="A27" t="s">
        <v>78</v>
      </c>
      <c r="B27">
        <v>3</v>
      </c>
      <c r="C27" t="s">
        <v>63</v>
      </c>
      <c r="D27" t="s">
        <v>2</v>
      </c>
      <c r="E27" t="s">
        <v>23</v>
      </c>
      <c r="F27" t="s">
        <v>72</v>
      </c>
      <c r="G27" t="s">
        <v>69</v>
      </c>
    </row>
    <row r="28" spans="1:7" x14ac:dyDescent="0.25">
      <c r="A28" t="s">
        <v>78</v>
      </c>
      <c r="B28">
        <v>4</v>
      </c>
      <c r="C28" t="s">
        <v>63</v>
      </c>
      <c r="D28" t="s">
        <v>2</v>
      </c>
      <c r="E28" t="s">
        <v>21</v>
      </c>
      <c r="F28" t="s">
        <v>72</v>
      </c>
      <c r="G28" t="s">
        <v>3</v>
      </c>
    </row>
    <row r="29" spans="1:7" x14ac:dyDescent="0.25">
      <c r="A29" t="s">
        <v>76</v>
      </c>
      <c r="B29">
        <v>2</v>
      </c>
      <c r="C29" t="s">
        <v>65</v>
      </c>
      <c r="D29" t="s">
        <v>4</v>
      </c>
      <c r="E29" t="s">
        <v>44</v>
      </c>
      <c r="F29" t="s">
        <v>70</v>
      </c>
      <c r="G29" t="s">
        <v>3</v>
      </c>
    </row>
    <row r="30" spans="1:7" x14ac:dyDescent="0.25">
      <c r="A30" t="s">
        <v>77</v>
      </c>
      <c r="B30">
        <v>2</v>
      </c>
      <c r="C30" t="s">
        <v>65</v>
      </c>
      <c r="D30" t="s">
        <v>4</v>
      </c>
      <c r="E30" t="s">
        <v>44</v>
      </c>
      <c r="F30" t="s">
        <v>70</v>
      </c>
      <c r="G30" t="s">
        <v>3</v>
      </c>
    </row>
    <row r="31" spans="1:7" x14ac:dyDescent="0.25">
      <c r="A31" t="s">
        <v>78</v>
      </c>
      <c r="B31">
        <v>2</v>
      </c>
      <c r="C31" t="s">
        <v>65</v>
      </c>
      <c r="D31" t="s">
        <v>4</v>
      </c>
      <c r="E31" t="s">
        <v>44</v>
      </c>
      <c r="F31" t="s">
        <v>70</v>
      </c>
      <c r="G31" t="s">
        <v>3</v>
      </c>
    </row>
    <row r="32" spans="1:7" x14ac:dyDescent="0.25">
      <c r="A32" t="s">
        <v>76</v>
      </c>
      <c r="B32">
        <v>2</v>
      </c>
      <c r="C32" t="s">
        <v>65</v>
      </c>
      <c r="D32" t="s">
        <v>4</v>
      </c>
      <c r="E32" t="s">
        <v>7</v>
      </c>
      <c r="F32" t="s">
        <v>70</v>
      </c>
      <c r="G32" t="s">
        <v>3</v>
      </c>
    </row>
    <row r="33" spans="1:7" x14ac:dyDescent="0.25">
      <c r="A33" t="s">
        <v>77</v>
      </c>
      <c r="B33">
        <v>2</v>
      </c>
      <c r="C33" t="s">
        <v>65</v>
      </c>
      <c r="D33" t="s">
        <v>4</v>
      </c>
      <c r="E33" t="s">
        <v>7</v>
      </c>
      <c r="F33" t="s">
        <v>70</v>
      </c>
      <c r="G33" t="s">
        <v>3</v>
      </c>
    </row>
    <row r="34" spans="1:7" x14ac:dyDescent="0.25">
      <c r="A34" t="s">
        <v>78</v>
      </c>
      <c r="B34">
        <v>2</v>
      </c>
      <c r="C34" t="s">
        <v>65</v>
      </c>
      <c r="D34" t="s">
        <v>4</v>
      </c>
      <c r="E34" t="s">
        <v>7</v>
      </c>
      <c r="F34" t="s">
        <v>70</v>
      </c>
      <c r="G34" t="s">
        <v>3</v>
      </c>
    </row>
    <row r="35" spans="1:7" x14ac:dyDescent="0.25">
      <c r="A35" t="s">
        <v>76</v>
      </c>
      <c r="B35">
        <v>2</v>
      </c>
      <c r="C35" t="s">
        <v>65</v>
      </c>
      <c r="D35" t="s">
        <v>4</v>
      </c>
      <c r="E35" t="s">
        <v>8</v>
      </c>
      <c r="F35" t="s">
        <v>70</v>
      </c>
      <c r="G35" t="s">
        <v>3</v>
      </c>
    </row>
    <row r="36" spans="1:7" x14ac:dyDescent="0.25">
      <c r="A36" t="s">
        <v>77</v>
      </c>
      <c r="B36">
        <v>2</v>
      </c>
      <c r="C36" t="s">
        <v>65</v>
      </c>
      <c r="D36" t="s">
        <v>4</v>
      </c>
      <c r="E36" t="s">
        <v>8</v>
      </c>
      <c r="F36" t="s">
        <v>70</v>
      </c>
      <c r="G36" t="s">
        <v>3</v>
      </c>
    </row>
    <row r="37" spans="1:7" x14ac:dyDescent="0.25">
      <c r="A37" t="s">
        <v>78</v>
      </c>
      <c r="B37">
        <v>2</v>
      </c>
      <c r="C37" t="s">
        <v>65</v>
      </c>
      <c r="D37" t="s">
        <v>4</v>
      </c>
      <c r="E37" t="s">
        <v>8</v>
      </c>
      <c r="F37" t="s">
        <v>70</v>
      </c>
      <c r="G37" t="s">
        <v>3</v>
      </c>
    </row>
    <row r="38" spans="1:7" x14ac:dyDescent="0.25">
      <c r="A38" t="s">
        <v>76</v>
      </c>
      <c r="B38">
        <v>1</v>
      </c>
      <c r="C38" t="s">
        <v>65</v>
      </c>
      <c r="D38" t="s">
        <v>4</v>
      </c>
      <c r="E38" t="s">
        <v>47</v>
      </c>
      <c r="F38" t="s">
        <v>70</v>
      </c>
      <c r="G38" t="s">
        <v>3</v>
      </c>
    </row>
    <row r="39" spans="1:7" x14ac:dyDescent="0.25">
      <c r="A39" t="s">
        <v>77</v>
      </c>
      <c r="B39">
        <v>1</v>
      </c>
      <c r="C39" t="s">
        <v>65</v>
      </c>
      <c r="D39" t="s">
        <v>4</v>
      </c>
      <c r="E39" t="s">
        <v>47</v>
      </c>
      <c r="F39" t="s">
        <v>70</v>
      </c>
      <c r="G39" t="s">
        <v>3</v>
      </c>
    </row>
    <row r="40" spans="1:7" x14ac:dyDescent="0.25">
      <c r="A40" t="s">
        <v>78</v>
      </c>
      <c r="B40">
        <v>1</v>
      </c>
      <c r="C40" t="s">
        <v>65</v>
      </c>
      <c r="D40" t="s">
        <v>4</v>
      </c>
      <c r="E40" t="s">
        <v>47</v>
      </c>
      <c r="F40" t="s">
        <v>70</v>
      </c>
      <c r="G40" t="s">
        <v>3</v>
      </c>
    </row>
    <row r="41" spans="1:7" x14ac:dyDescent="0.25">
      <c r="A41" t="s">
        <v>76</v>
      </c>
      <c r="B41">
        <v>1</v>
      </c>
      <c r="C41" t="s">
        <v>65</v>
      </c>
      <c r="D41" t="s">
        <v>4</v>
      </c>
      <c r="E41" t="s">
        <v>42</v>
      </c>
      <c r="F41" t="s">
        <v>70</v>
      </c>
      <c r="G41" t="s">
        <v>3</v>
      </c>
    </row>
    <row r="42" spans="1:7" x14ac:dyDescent="0.25">
      <c r="A42" t="s">
        <v>77</v>
      </c>
      <c r="B42">
        <v>2</v>
      </c>
      <c r="C42" t="s">
        <v>65</v>
      </c>
      <c r="D42" t="s">
        <v>4</v>
      </c>
      <c r="E42" t="s">
        <v>99</v>
      </c>
      <c r="F42" t="s">
        <v>70</v>
      </c>
      <c r="G42" t="s">
        <v>3</v>
      </c>
    </row>
    <row r="43" spans="1:7" x14ac:dyDescent="0.25">
      <c r="A43" t="s">
        <v>78</v>
      </c>
      <c r="B43">
        <v>2</v>
      </c>
      <c r="C43" t="s">
        <v>65</v>
      </c>
      <c r="D43" t="s">
        <v>4</v>
      </c>
      <c r="E43" t="s">
        <v>99</v>
      </c>
      <c r="F43" t="s">
        <v>70</v>
      </c>
      <c r="G43" t="s">
        <v>3</v>
      </c>
    </row>
    <row r="44" spans="1:7" x14ac:dyDescent="0.25">
      <c r="A44" t="s">
        <v>78</v>
      </c>
      <c r="B44">
        <v>4</v>
      </c>
      <c r="C44" t="s">
        <v>65</v>
      </c>
      <c r="D44" t="s">
        <v>4</v>
      </c>
      <c r="E44" t="s">
        <v>50</v>
      </c>
      <c r="F44" t="s">
        <v>70</v>
      </c>
      <c r="G44" t="s">
        <v>3</v>
      </c>
    </row>
    <row r="45" spans="1:7" x14ac:dyDescent="0.25">
      <c r="A45" t="s">
        <v>78</v>
      </c>
      <c r="B45">
        <v>4</v>
      </c>
      <c r="C45" t="s">
        <v>65</v>
      </c>
      <c r="D45" t="s">
        <v>4</v>
      </c>
      <c r="E45" t="s">
        <v>19</v>
      </c>
      <c r="F45" t="s">
        <v>70</v>
      </c>
      <c r="G45" t="s">
        <v>3</v>
      </c>
    </row>
    <row r="46" spans="1:7" x14ac:dyDescent="0.25">
      <c r="A46" t="s">
        <v>77</v>
      </c>
      <c r="B46">
        <v>2</v>
      </c>
      <c r="C46" t="s">
        <v>65</v>
      </c>
      <c r="D46" t="s">
        <v>4</v>
      </c>
      <c r="E46" t="s">
        <v>18</v>
      </c>
      <c r="F46" t="s">
        <v>70</v>
      </c>
      <c r="G46" t="s">
        <v>3</v>
      </c>
    </row>
    <row r="47" spans="1:7" x14ac:dyDescent="0.25">
      <c r="A47" t="s">
        <v>78</v>
      </c>
      <c r="B47">
        <v>2</v>
      </c>
      <c r="C47" t="s">
        <v>65</v>
      </c>
      <c r="D47" t="s">
        <v>4</v>
      </c>
      <c r="E47" t="s">
        <v>18</v>
      </c>
      <c r="F47" t="s">
        <v>70</v>
      </c>
      <c r="G47" t="s">
        <v>3</v>
      </c>
    </row>
    <row r="48" spans="1:7" x14ac:dyDescent="0.25">
      <c r="A48" t="s">
        <v>75</v>
      </c>
      <c r="B48">
        <v>1</v>
      </c>
      <c r="C48" t="s">
        <v>66</v>
      </c>
      <c r="D48" t="s">
        <v>4</v>
      </c>
      <c r="E48" t="s">
        <v>17</v>
      </c>
      <c r="F48" t="s">
        <v>70</v>
      </c>
      <c r="G48" t="s">
        <v>3</v>
      </c>
    </row>
    <row r="49" spans="1:7" x14ac:dyDescent="0.25">
      <c r="A49" t="s">
        <v>75</v>
      </c>
      <c r="B49">
        <v>1</v>
      </c>
      <c r="C49" t="s">
        <v>66</v>
      </c>
      <c r="D49" t="s">
        <v>4</v>
      </c>
      <c r="E49" t="s">
        <v>43</v>
      </c>
      <c r="F49" t="s">
        <v>70</v>
      </c>
      <c r="G49" t="s">
        <v>3</v>
      </c>
    </row>
    <row r="50" spans="1:7" x14ac:dyDescent="0.25">
      <c r="A50" t="s">
        <v>78</v>
      </c>
      <c r="B50">
        <v>4</v>
      </c>
      <c r="C50" t="s">
        <v>65</v>
      </c>
      <c r="D50" t="s">
        <v>4</v>
      </c>
      <c r="E50" t="s">
        <v>48</v>
      </c>
      <c r="F50" t="s">
        <v>70</v>
      </c>
      <c r="G50" t="s">
        <v>3</v>
      </c>
    </row>
    <row r="51" spans="1:7" x14ac:dyDescent="0.25">
      <c r="A51" t="s">
        <v>77</v>
      </c>
      <c r="B51">
        <v>3</v>
      </c>
      <c r="C51" t="s">
        <v>65</v>
      </c>
      <c r="D51" t="s">
        <v>4</v>
      </c>
      <c r="E51" t="s">
        <v>15</v>
      </c>
      <c r="F51" t="s">
        <v>70</v>
      </c>
      <c r="G51" t="s">
        <v>3</v>
      </c>
    </row>
    <row r="52" spans="1:7" x14ac:dyDescent="0.25">
      <c r="A52" t="s">
        <v>78</v>
      </c>
      <c r="B52">
        <v>3</v>
      </c>
      <c r="C52" t="s">
        <v>65</v>
      </c>
      <c r="D52" t="s">
        <v>4</v>
      </c>
      <c r="E52" t="s">
        <v>15</v>
      </c>
      <c r="F52" t="s">
        <v>70</v>
      </c>
      <c r="G52" t="s">
        <v>3</v>
      </c>
    </row>
    <row r="53" spans="1:7" x14ac:dyDescent="0.25">
      <c r="A53" t="s">
        <v>76</v>
      </c>
      <c r="B53">
        <v>2</v>
      </c>
      <c r="C53" s="23" t="s">
        <v>65</v>
      </c>
      <c r="D53" t="s">
        <v>4</v>
      </c>
      <c r="E53" t="s">
        <v>20</v>
      </c>
      <c r="F53" t="s">
        <v>70</v>
      </c>
      <c r="G53" t="s">
        <v>3</v>
      </c>
    </row>
    <row r="54" spans="1:7" x14ac:dyDescent="0.25">
      <c r="A54" t="s">
        <v>77</v>
      </c>
      <c r="B54">
        <v>2</v>
      </c>
      <c r="C54" s="23" t="s">
        <v>65</v>
      </c>
      <c r="D54" t="s">
        <v>4</v>
      </c>
      <c r="E54" t="s">
        <v>20</v>
      </c>
      <c r="F54" t="s">
        <v>70</v>
      </c>
      <c r="G54" t="s">
        <v>3</v>
      </c>
    </row>
    <row r="55" spans="1:7" x14ac:dyDescent="0.25">
      <c r="A55" t="s">
        <v>78</v>
      </c>
      <c r="B55">
        <v>2</v>
      </c>
      <c r="C55" s="23" t="s">
        <v>65</v>
      </c>
      <c r="D55" t="s">
        <v>4</v>
      </c>
      <c r="E55" t="s">
        <v>20</v>
      </c>
      <c r="F55" t="s">
        <v>70</v>
      </c>
      <c r="G55" t="s">
        <v>3</v>
      </c>
    </row>
    <row r="56" spans="1:7" x14ac:dyDescent="0.25">
      <c r="A56" t="s">
        <v>75</v>
      </c>
      <c r="B56">
        <v>1</v>
      </c>
      <c r="C56" s="23" t="s">
        <v>65</v>
      </c>
      <c r="D56" t="s">
        <v>4</v>
      </c>
      <c r="E56" t="s">
        <v>20</v>
      </c>
      <c r="F56" t="s">
        <v>70</v>
      </c>
      <c r="G56" t="s">
        <v>3</v>
      </c>
    </row>
    <row r="57" spans="1:7" x14ac:dyDescent="0.25">
      <c r="A57" t="s">
        <v>78</v>
      </c>
      <c r="B57">
        <v>4</v>
      </c>
      <c r="C57" t="s">
        <v>65</v>
      </c>
      <c r="D57" t="s">
        <v>4</v>
      </c>
      <c r="E57" t="s">
        <v>24</v>
      </c>
      <c r="F57" t="s">
        <v>70</v>
      </c>
      <c r="G57" t="s">
        <v>3</v>
      </c>
    </row>
    <row r="58" spans="1:7" x14ac:dyDescent="0.25">
      <c r="A58" t="s">
        <v>78</v>
      </c>
      <c r="B58">
        <v>4</v>
      </c>
      <c r="C58" t="s">
        <v>63</v>
      </c>
      <c r="D58" t="s">
        <v>2</v>
      </c>
      <c r="E58" t="s">
        <v>35</v>
      </c>
      <c r="F58" s="23" t="s">
        <v>70</v>
      </c>
      <c r="G58" t="s">
        <v>73</v>
      </c>
    </row>
    <row r="59" spans="1:7" x14ac:dyDescent="0.25">
      <c r="A59" t="s">
        <v>78</v>
      </c>
      <c r="B59">
        <v>4</v>
      </c>
      <c r="C59" t="s">
        <v>64</v>
      </c>
      <c r="D59" t="s">
        <v>5</v>
      </c>
      <c r="E59" t="s">
        <v>34</v>
      </c>
      <c r="F59" t="s">
        <v>73</v>
      </c>
      <c r="G59" t="s">
        <v>3</v>
      </c>
    </row>
    <row r="60" spans="1:7" x14ac:dyDescent="0.25">
      <c r="A60" t="s">
        <v>77</v>
      </c>
      <c r="B60">
        <v>1</v>
      </c>
      <c r="C60" s="37" t="s">
        <v>66</v>
      </c>
      <c r="D60" t="s">
        <v>5</v>
      </c>
      <c r="E60" t="s">
        <v>9</v>
      </c>
      <c r="F60" t="s">
        <v>73</v>
      </c>
      <c r="G60" t="s">
        <v>3</v>
      </c>
    </row>
    <row r="61" spans="1:7" x14ac:dyDescent="0.25">
      <c r="A61" t="s">
        <v>78</v>
      </c>
      <c r="B61">
        <v>1</v>
      </c>
      <c r="C61" s="37" t="s">
        <v>66</v>
      </c>
      <c r="D61" t="s">
        <v>5</v>
      </c>
      <c r="E61" t="s">
        <v>9</v>
      </c>
      <c r="F61" t="s">
        <v>73</v>
      </c>
      <c r="G61" t="s">
        <v>3</v>
      </c>
    </row>
    <row r="62" spans="1:7" x14ac:dyDescent="0.25">
      <c r="A62" t="s">
        <v>77</v>
      </c>
      <c r="B62">
        <v>2</v>
      </c>
      <c r="C62" t="s">
        <v>66</v>
      </c>
      <c r="D62" t="s">
        <v>5</v>
      </c>
      <c r="E62" t="s">
        <v>41</v>
      </c>
      <c r="F62" t="s">
        <v>73</v>
      </c>
      <c r="G62" t="s">
        <v>3</v>
      </c>
    </row>
    <row r="63" spans="1:7" x14ac:dyDescent="0.25">
      <c r="A63" t="s">
        <v>78</v>
      </c>
      <c r="B63">
        <v>2</v>
      </c>
      <c r="C63" t="s">
        <v>66</v>
      </c>
      <c r="D63" t="s">
        <v>5</v>
      </c>
      <c r="E63" t="s">
        <v>41</v>
      </c>
      <c r="F63" t="s">
        <v>73</v>
      </c>
      <c r="G63" t="s">
        <v>3</v>
      </c>
    </row>
    <row r="64" spans="1:7" x14ac:dyDescent="0.25">
      <c r="A64" t="s">
        <v>75</v>
      </c>
      <c r="B64">
        <v>1</v>
      </c>
      <c r="C64" t="s">
        <v>67</v>
      </c>
      <c r="D64" t="s">
        <v>5</v>
      </c>
      <c r="E64" t="s">
        <v>33</v>
      </c>
      <c r="F64" t="s">
        <v>73</v>
      </c>
      <c r="G64" t="s">
        <v>3</v>
      </c>
    </row>
    <row r="65" spans="1:7" x14ac:dyDescent="0.25">
      <c r="A65" t="s">
        <v>76</v>
      </c>
      <c r="B65">
        <v>1</v>
      </c>
      <c r="C65" t="s">
        <v>67</v>
      </c>
      <c r="D65" t="s">
        <v>5</v>
      </c>
      <c r="E65" t="s">
        <v>33</v>
      </c>
      <c r="F65" t="s">
        <v>73</v>
      </c>
      <c r="G65" t="s">
        <v>3</v>
      </c>
    </row>
    <row r="66" spans="1:7" x14ac:dyDescent="0.25">
      <c r="A66" t="s">
        <v>77</v>
      </c>
      <c r="B66">
        <v>1</v>
      </c>
      <c r="C66" t="s">
        <v>67</v>
      </c>
      <c r="D66" t="s">
        <v>5</v>
      </c>
      <c r="E66" t="s">
        <v>33</v>
      </c>
      <c r="F66" t="s">
        <v>73</v>
      </c>
      <c r="G66" t="s">
        <v>3</v>
      </c>
    </row>
    <row r="67" spans="1:7" x14ac:dyDescent="0.25">
      <c r="A67" t="s">
        <v>78</v>
      </c>
      <c r="B67">
        <v>1</v>
      </c>
      <c r="C67" t="s">
        <v>67</v>
      </c>
      <c r="D67" t="s">
        <v>5</v>
      </c>
      <c r="E67" t="s">
        <v>33</v>
      </c>
      <c r="F67" t="s">
        <v>73</v>
      </c>
      <c r="G67" t="s">
        <v>3</v>
      </c>
    </row>
    <row r="68" spans="1:7" x14ac:dyDescent="0.25">
      <c r="A68" t="s">
        <v>78</v>
      </c>
      <c r="B68">
        <v>4</v>
      </c>
      <c r="C68" t="s">
        <v>67</v>
      </c>
      <c r="D68" t="s">
        <v>5</v>
      </c>
      <c r="E68" t="s">
        <v>36</v>
      </c>
      <c r="F68" t="s">
        <v>73</v>
      </c>
      <c r="G68" t="s">
        <v>3</v>
      </c>
    </row>
    <row r="69" spans="1:7" x14ac:dyDescent="0.25">
      <c r="A69" t="s">
        <v>77</v>
      </c>
      <c r="B69">
        <v>3</v>
      </c>
      <c r="C69" t="s">
        <v>67</v>
      </c>
      <c r="D69" t="s">
        <v>6</v>
      </c>
      <c r="E69" t="s">
        <v>10</v>
      </c>
      <c r="F69" t="s">
        <v>74</v>
      </c>
      <c r="G69" t="s">
        <v>3</v>
      </c>
    </row>
    <row r="70" spans="1:7" x14ac:dyDescent="0.25">
      <c r="A70" t="s">
        <v>78</v>
      </c>
      <c r="B70">
        <v>3</v>
      </c>
      <c r="C70" t="s">
        <v>67</v>
      </c>
      <c r="D70" t="s">
        <v>6</v>
      </c>
      <c r="E70" t="s">
        <v>10</v>
      </c>
      <c r="F70" t="s">
        <v>74</v>
      </c>
      <c r="G70" t="s">
        <v>3</v>
      </c>
    </row>
    <row r="71" spans="1:7" x14ac:dyDescent="0.25">
      <c r="A71" t="s">
        <v>77</v>
      </c>
      <c r="B71">
        <v>1</v>
      </c>
      <c r="C71" t="s">
        <v>67</v>
      </c>
      <c r="D71" t="s">
        <v>6</v>
      </c>
      <c r="E71" t="s">
        <v>14</v>
      </c>
      <c r="F71" t="s">
        <v>74</v>
      </c>
      <c r="G71" t="s">
        <v>3</v>
      </c>
    </row>
    <row r="72" spans="1:7" x14ac:dyDescent="0.25">
      <c r="A72" t="s">
        <v>78</v>
      </c>
      <c r="B72">
        <v>1</v>
      </c>
      <c r="C72" t="s">
        <v>67</v>
      </c>
      <c r="D72" t="s">
        <v>6</v>
      </c>
      <c r="E72" t="s">
        <v>14</v>
      </c>
      <c r="F72" t="s">
        <v>74</v>
      </c>
      <c r="G72" t="s">
        <v>3</v>
      </c>
    </row>
    <row r="73" spans="1:7" x14ac:dyDescent="0.25">
      <c r="A73" t="s">
        <v>75</v>
      </c>
      <c r="B73">
        <v>1</v>
      </c>
      <c r="C73" t="s">
        <v>0</v>
      </c>
      <c r="D73" t="s">
        <v>5</v>
      </c>
      <c r="E73" t="s">
        <v>13</v>
      </c>
      <c r="F73" t="s">
        <v>3</v>
      </c>
      <c r="G73" t="s">
        <v>3</v>
      </c>
    </row>
    <row r="74" spans="1:7" x14ac:dyDescent="0.25">
      <c r="A74" t="s">
        <v>76</v>
      </c>
      <c r="B74">
        <v>2</v>
      </c>
      <c r="C74" t="s">
        <v>0</v>
      </c>
      <c r="D74" t="s">
        <v>6</v>
      </c>
      <c r="E74" t="s">
        <v>13</v>
      </c>
      <c r="F74" t="s">
        <v>3</v>
      </c>
      <c r="G74" t="s">
        <v>3</v>
      </c>
    </row>
    <row r="75" spans="1:7" x14ac:dyDescent="0.25">
      <c r="A75" t="s">
        <v>77</v>
      </c>
      <c r="B75">
        <v>2</v>
      </c>
      <c r="C75" t="s">
        <v>0</v>
      </c>
      <c r="D75" t="s">
        <v>6</v>
      </c>
      <c r="E75" t="s">
        <v>13</v>
      </c>
      <c r="F75" t="s">
        <v>3</v>
      </c>
      <c r="G75" t="s">
        <v>3</v>
      </c>
    </row>
    <row r="76" spans="1:7" x14ac:dyDescent="0.25">
      <c r="A76" t="s">
        <v>78</v>
      </c>
      <c r="B76">
        <v>2</v>
      </c>
      <c r="C76" t="s">
        <v>0</v>
      </c>
      <c r="D76" t="s">
        <v>6</v>
      </c>
      <c r="E76" t="s">
        <v>13</v>
      </c>
      <c r="F76" t="s">
        <v>3</v>
      </c>
      <c r="G76" t="s">
        <v>3</v>
      </c>
    </row>
    <row r="77" spans="1:7" x14ac:dyDescent="0.25">
      <c r="A77" t="s">
        <v>75</v>
      </c>
      <c r="B77">
        <v>1</v>
      </c>
      <c r="C77" t="s">
        <v>0</v>
      </c>
      <c r="D77" t="s">
        <v>2</v>
      </c>
      <c r="E77" t="s">
        <v>100</v>
      </c>
      <c r="F77" t="s">
        <v>3</v>
      </c>
      <c r="G77" t="s">
        <v>3</v>
      </c>
    </row>
    <row r="78" spans="1:7" x14ac:dyDescent="0.25">
      <c r="A78" t="s">
        <v>76</v>
      </c>
      <c r="B78">
        <v>1</v>
      </c>
      <c r="C78" t="s">
        <v>0</v>
      </c>
      <c r="D78" t="s">
        <v>2</v>
      </c>
      <c r="E78" t="s">
        <v>100</v>
      </c>
      <c r="F78" t="s">
        <v>3</v>
      </c>
      <c r="G78" t="s">
        <v>3</v>
      </c>
    </row>
    <row r="79" spans="1:7" x14ac:dyDescent="0.25">
      <c r="A79" t="s">
        <v>77</v>
      </c>
      <c r="B79">
        <v>1</v>
      </c>
      <c r="C79" t="s">
        <v>0</v>
      </c>
      <c r="D79" t="s">
        <v>2</v>
      </c>
      <c r="E79" t="s">
        <v>100</v>
      </c>
      <c r="F79" t="s">
        <v>3</v>
      </c>
      <c r="G79" t="s">
        <v>3</v>
      </c>
    </row>
    <row r="80" spans="1:7" x14ac:dyDescent="0.25">
      <c r="A80" t="s">
        <v>78</v>
      </c>
      <c r="B80">
        <v>1</v>
      </c>
      <c r="C80" t="s">
        <v>0</v>
      </c>
      <c r="D80" t="s">
        <v>2</v>
      </c>
      <c r="E80" t="s">
        <v>100</v>
      </c>
      <c r="F80" t="s">
        <v>3</v>
      </c>
      <c r="G80" t="s">
        <v>3</v>
      </c>
    </row>
    <row r="81" spans="1:7" x14ac:dyDescent="0.25">
      <c r="A81" t="s">
        <v>75</v>
      </c>
      <c r="B81">
        <v>1</v>
      </c>
      <c r="C81" t="s">
        <v>0</v>
      </c>
      <c r="D81" t="s">
        <v>2</v>
      </c>
      <c r="E81" t="s">
        <v>101</v>
      </c>
      <c r="F81" t="s">
        <v>3</v>
      </c>
      <c r="G81" t="s">
        <v>3</v>
      </c>
    </row>
    <row r="82" spans="1:7" x14ac:dyDescent="0.25">
      <c r="A82" t="s">
        <v>76</v>
      </c>
      <c r="B82">
        <v>1</v>
      </c>
      <c r="C82" t="s">
        <v>0</v>
      </c>
      <c r="D82" t="s">
        <v>2</v>
      </c>
      <c r="E82" t="s">
        <v>101</v>
      </c>
      <c r="F82" t="s">
        <v>3</v>
      </c>
      <c r="G82" t="s">
        <v>3</v>
      </c>
    </row>
    <row r="83" spans="1:7" x14ac:dyDescent="0.25">
      <c r="A83" t="s">
        <v>77</v>
      </c>
      <c r="B83">
        <v>1</v>
      </c>
      <c r="C83" t="s">
        <v>0</v>
      </c>
      <c r="D83" t="s">
        <v>2</v>
      </c>
      <c r="E83" t="s">
        <v>101</v>
      </c>
      <c r="F83" t="s">
        <v>3</v>
      </c>
      <c r="G83" t="s">
        <v>3</v>
      </c>
    </row>
    <row r="84" spans="1:7" x14ac:dyDescent="0.25">
      <c r="A84" t="s">
        <v>78</v>
      </c>
      <c r="B84">
        <v>1</v>
      </c>
      <c r="C84" t="s">
        <v>0</v>
      </c>
      <c r="D84" t="s">
        <v>2</v>
      </c>
      <c r="E84" t="s">
        <v>101</v>
      </c>
      <c r="F84" t="s">
        <v>3</v>
      </c>
      <c r="G84" t="s">
        <v>3</v>
      </c>
    </row>
    <row r="85" spans="1:7" x14ac:dyDescent="0.25">
      <c r="A85" t="s">
        <v>75</v>
      </c>
      <c r="B85">
        <v>1</v>
      </c>
      <c r="C85" t="s">
        <v>0</v>
      </c>
      <c r="D85" t="s">
        <v>2</v>
      </c>
      <c r="E85" t="s">
        <v>110</v>
      </c>
      <c r="F85" t="s">
        <v>3</v>
      </c>
      <c r="G85" t="s">
        <v>3</v>
      </c>
    </row>
    <row r="86" spans="1:7" x14ac:dyDescent="0.25">
      <c r="A86" t="s">
        <v>76</v>
      </c>
      <c r="B86">
        <v>2</v>
      </c>
      <c r="C86" t="s">
        <v>0</v>
      </c>
      <c r="D86" t="s">
        <v>2</v>
      </c>
      <c r="E86" t="s">
        <v>110</v>
      </c>
      <c r="F86" t="s">
        <v>3</v>
      </c>
      <c r="G86" t="s">
        <v>3</v>
      </c>
    </row>
    <row r="87" spans="1:7" x14ac:dyDescent="0.25">
      <c r="A87" t="s">
        <v>77</v>
      </c>
      <c r="B87">
        <v>3</v>
      </c>
      <c r="C87" t="s">
        <v>0</v>
      </c>
      <c r="D87" t="s">
        <v>2</v>
      </c>
      <c r="E87" t="s">
        <v>110</v>
      </c>
      <c r="F87" t="s">
        <v>3</v>
      </c>
      <c r="G87" t="s">
        <v>3</v>
      </c>
    </row>
  </sheetData>
  <conditionalFormatting sqref="E57:E68 E12:E23">
    <cfRule type="duplicateValues" dxfId="1716" priority="52"/>
  </conditionalFormatting>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Dynamic Split</vt:lpstr>
      <vt:lpstr>Cambio de Split</vt:lpstr>
      <vt:lpstr>Maestra</vt:lpstr>
      <vt:lpstr>Flat Base</vt:lpstr>
      <vt:lpstr>Important Info!</vt:lpstr>
      <vt:lpstr>H.A. Dynamic Split</vt:lpstr>
      <vt:lpstr> (H.A.) Flat Base</vt:lpstr>
      <vt:lpstr>'Dynamic Split'!Print_Area</vt:lpstr>
      <vt:lpstr>'H.A. Dynamic Split'!Print_Area</vt:lpstr>
    </vt:vector>
  </TitlesOfParts>
  <Company>Luffi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Luffi</dc:creator>
  <cp:lastModifiedBy>Central Station CO</cp:lastModifiedBy>
  <cp:lastPrinted>2023-06-08T02:50:00Z</cp:lastPrinted>
  <dcterms:created xsi:type="dcterms:W3CDTF">2023-04-11T21:33:52Z</dcterms:created>
  <dcterms:modified xsi:type="dcterms:W3CDTF">2025-10-31T02:04:55Z</dcterms:modified>
</cp:coreProperties>
</file>